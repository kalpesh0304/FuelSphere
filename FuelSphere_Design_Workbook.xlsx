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3.xml" ContentType="application/vnd.openxmlformats-officedocument.spreadsheetml.worksheet+xml"/>
  <Override PartName="/xl/worksheets/sheet44.xml" ContentType="application/vnd.openxmlformats-officedocument.spreadsheetml.worksheet+xml"/>
  <Override PartName="/xl/worksheets/sheet4.xml" ContentType="application/vnd.openxmlformats-officedocument.spreadsheetml.worksheet+xml"/>
  <Override PartName="/xl/worksheets/sheet33.xml" ContentType="application/vnd.openxmlformats-officedocument.spreadsheetml.worksheet+xml"/>
  <Override PartName="/xl/worksheets/sheet45.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2.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 sheetId="1" state="visible" r:id="rId3"/>
    <sheet name="Test Scenarios" sheetId="2" state="visible" r:id="rId4"/>
    <sheet name="FLIGHT_OPERATIONS" sheetId="3" state="visible" r:id="rId5"/>
    <sheet name="FD_FUEL_PLAN" sheetId="4" state="visible" r:id="rId6"/>
    <sheet name="FUEL_ORDER" sheetId="5" state="visible" r:id="rId7"/>
    <sheet name="FUEL_TICKET" sheetId="6" state="visible" r:id="rId8"/>
    <sheet name="Validation Rules" sheetId="7" state="visible" r:id="rId9"/>
    <sheet name="FOB Reconciliation" sheetId="8" state="visible" r:id="rId10"/>
    <sheet name="FUEL_INVOICE" sheetId="9" state="visible" r:id="rId11"/>
    <sheet name="FUEL_INVOICE_LINE" sheetId="10" state="visible" r:id="rId12"/>
    <sheet name="FUEL_PARAMETER" sheetId="11" state="visible" r:id="rId13"/>
    <sheet name="FUEL_PARAMETER_APPLIED" sheetId="12" state="visible" r:id="rId14"/>
    <sheet name="APPLICATION_LOG" sheetId="13" state="visible" r:id="rId15"/>
    <sheet name="AI_SETTING" sheetId="14" state="visible" r:id="rId16"/>
    <sheet name="AI_ANALYSIS" sheetId="15" state="visible" r:id="rId17"/>
    <sheet name="UI Inventory" sheetId="16" state="visible" r:id="rId18"/>
    <sheet name="Action Catalogue" sheetId="17" state="visible" r:id="rId19"/>
    <sheet name="CRITICAL_FIELD_CONFIG" sheetId="18" state="visible" r:id="rId20"/>
    <sheet name="IF_FLIGHT_OPERATIONS_STG" sheetId="19" state="visible" r:id="rId21"/>
    <sheet name="AIRCRAFT_MASTER" sheetId="20" state="visible" r:id="rId22"/>
    <sheet name="CARRIER_ARRANGEMENT" sheetId="21" state="visible" r:id="rId23"/>
    <sheet name="Mandatory Criteria" sheetId="22" state="visible" r:id="rId24"/>
    <sheet name="IF_FD_FUEL_PLAN_STG" sheetId="23" state="visible" r:id="rId25"/>
    <sheet name="AIRCRAFT_TYPE_MASTER" sheetId="24" state="visible" r:id="rId26"/>
    <sheet name="AIRCRAFT_CONFIG_MASTER" sheetId="25" state="visible" r:id="rId27"/>
    <sheet name="AIRCRAFT_TYPE_ALIAS" sheetId="26" state="visible" r:id="rId28"/>
    <sheet name="FUEL_BURN_ACTUAL" sheetId="27" state="visible" r:id="rId29"/>
    <sheet name="APU_USAGE" sheetId="28" state="visible" r:id="rId30"/>
    <sheet name="FUEL_LEDGER" sheetId="29" state="visible" r:id="rId31"/>
    <sheet name="DASHBOARD_SPEC" sheetId="30" state="visible" r:id="rId32"/>
    <sheet name="UI_FLOORPLAN_MAP" sheetId="31" state="visible" r:id="rId33"/>
    <sheet name="FS_MOVEMENT_TYPE_MAP" sheetId="32" state="visible" r:id="rId34"/>
    <sheet name="FS_COST_OBJECT_RULE" sheetId="33" state="visible" r:id="rId35"/>
    <sheet name="FUEL_COMPLETENESS" sheetId="34" state="visible" r:id="rId36"/>
    <sheet name="TAIL_STOCK_RECON" sheetId="35" state="visible" r:id="rId37"/>
    <sheet name="FS_PRICE_QUOTATION" sheetId="36" state="visible" r:id="rId38"/>
    <sheet name="FS_PRICING_SCHEME" sheetId="37" state="visible" r:id="rId39"/>
    <sheet name="FS_PRICE_COMPONENT" sheetId="38" state="visible" r:id="rId40"/>
    <sheet name="FS_INTO_PLANE_PRICE" sheetId="39" state="visible" r:id="rId41"/>
    <sheet name="FS_TAX_CODE_RULE" sheetId="40" state="visible" r:id="rId42"/>
    <sheet name="FS_PRICE_CALCULATION" sheetId="41" state="visible" r:id="rId43"/>
    <sheet name="FS_SAP_DOC_FLOW" sheetId="42" state="visible" r:id="rId44"/>
    <sheet name="UI_LAYOUT_SPEC" sheetId="43" state="visible" r:id="rId45"/>
    <sheet name="FUEL_CLAIM_WINDOW" sheetId="44" state="visible" r:id="rId46"/>
    <sheet name="IATA_STANDARDS_MAP" sheetId="45" state="visible" r:id="rId4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<sst xmlns="http://schemas.openxmlformats.org/spreadsheetml/2006/main" count="13655" uniqueCount="6404">
  <si>
    <t xml:space="preserve">FuelSphere - Fuel Data Model Test Scenarios</t>
  </si>
  <si>
    <t xml:space="preserve">Test data covering flight operations, flight dispatch fuel plan, fuel order and fuel ticket</t>
  </si>
  <si>
    <t xml:space="preserve">SHEET</t>
  </si>
  <si>
    <t xml:space="preserve">PURPOSE</t>
  </si>
  <si>
    <t xml:space="preserve">Test Scenarios</t>
  </si>
  <si>
    <t xml:space="preserve">Master list of test cases with trigger, expected system behaviour and validation focus</t>
  </si>
  <si>
    <t xml:space="preserve">FLIGHT_OPERATIONS</t>
  </si>
  <si>
    <t xml:space="preserve">Flight leg master. One row per operating leg. Parent of all fuel records</t>
  </si>
  <si>
    <t xml:space="preserve">FD_FUEL_PLAN</t>
  </si>
  <si>
    <t xml:space="preserve">Flight dispatch fuel plan. One row per plan VERSION. Never updated in place</t>
  </si>
  <si>
    <t xml:space="preserve">FUEL_ORDER</t>
  </si>
  <si>
    <t xml:space="preserve">Order placed to the into-plane supplier. Derived from a plan version</t>
  </si>
  <si>
    <t xml:space="preserve">FUEL_TICKET</t>
  </si>
  <si>
    <t xml:space="preserve">Physical fuel event record. Uplift, defuel or jettison</t>
  </si>
  <si>
    <t xml:space="preserve">FUEL_INVOICE</t>
  </si>
  <si>
    <t xml:space="preserve">Supplier invoice header including the posting lifecycle</t>
  </si>
  <si>
    <t xml:space="preserve">FUEL_INVOICE_LINE</t>
  </si>
  <si>
    <t xml:space="preserve">One billed uplift. Completes the three way match</t>
  </si>
  <si>
    <t xml:space="preserve">FUEL_PARAMETER</t>
  </si>
  <si>
    <t xml:space="preserve">Configuration. Tolerances, conversion density, density limits</t>
  </si>
  <si>
    <t xml:space="preserve">FUEL_PARAMETER_APPLIED</t>
  </si>
  <si>
    <t xml:space="preserve">Immutable record of which config row applied to a transaction</t>
  </si>
  <si>
    <t xml:space="preserve">APPLICATION_LOG</t>
  </si>
  <si>
    <t xml:space="preserve">Posting attempts, errors and warnings. Source for the error screens</t>
  </si>
  <si>
    <t xml:space="preserve">AI_SETTING</t>
  </si>
  <si>
    <t xml:space="preserve">AI provider, limits and governance so features bind to the organisation ecosystem</t>
  </si>
  <si>
    <t xml:space="preserve">AI_ANALYSIS</t>
  </si>
  <si>
    <t xml:space="preserve">AI grouped errors and proposed resolution steps, each with a human status</t>
  </si>
  <si>
    <t xml:space="preserve">UI Inventory</t>
  </si>
  <si>
    <t xml:space="preserve">Screens required across the model</t>
  </si>
  <si>
    <t xml:space="preserve">Action Catalogue</t>
  </si>
  <si>
    <t xml:space="preserve">Actions available per screen with preconditions and roles</t>
  </si>
  <si>
    <t xml:space="preserve">Validation Rules</t>
  </si>
  <si>
    <t xml:space="preserve">Assertions each test case must satisfy</t>
  </si>
  <si>
    <t xml:space="preserve">CONVENTION</t>
  </si>
  <si>
    <t xml:space="preserve">MEANING</t>
  </si>
  <si>
    <t xml:space="preserve">Blue text</t>
  </si>
  <si>
    <t xml:space="preserve">Hardcoded test input - edit these to build new cases</t>
  </si>
  <si>
    <t xml:space="preserve">Black text</t>
  </si>
  <si>
    <t xml:space="preserve">Formula derived - do not overwrite</t>
  </si>
  <si>
    <t xml:space="preserve">Yellow fill</t>
  </si>
  <si>
    <t xml:space="preserve">Field that most commonly breaks in production - pay attention</t>
  </si>
  <si>
    <t xml:space="preserve">TC_ID</t>
  </si>
  <si>
    <t xml:space="preserve">Test case identifier. Present on every child row for traceability</t>
  </si>
  <si>
    <t xml:space="preserve">Quantities</t>
  </si>
  <si>
    <t xml:space="preserve">All fuel mass in KG unless fuel_unit says otherwise. Volume in litres</t>
  </si>
  <si>
    <t xml:space="preserve">Timestamps</t>
  </si>
  <si>
    <t xml:space="preserve">All UTC. Dates as YYYY-MM-DD</t>
  </si>
  <si>
    <t xml:space="preserve">Negative qty</t>
  </si>
  <si>
    <t xml:space="preserve">Valid. Indicates DEFUEL or JETTISON, not a data error</t>
  </si>
  <si>
    <t xml:space="preserve">Null FK</t>
  </si>
  <si>
    <t xml:space="preserve">Valid on FUEL_TICKET. A ticket may arrive with no order and no plan</t>
  </si>
  <si>
    <t xml:space="preserve">KEY STRUCTURE</t>
  </si>
  <si>
    <t xml:space="preserve">DEFINITION</t>
  </si>
  <si>
    <t xml:space="preserve">PK flight_leg_id | UK airline_code + flight_number + sched_dep_date_utc + leg_sequence</t>
  </si>
  <si>
    <t xml:space="preserve">PK fd_fuel_plan_id | UK flight_leg_id + plan_version</t>
  </si>
  <si>
    <t xml:space="preserve">PK fuel_order_id | UK order_number + order_version</t>
  </si>
  <si>
    <t xml:space="preserve">PK ticket_id | UK supplier_code + station + supplier_ticket_no + uplift_date</t>
  </si>
  <si>
    <t xml:space="preserve">PK fuel_invoice_id | UK supplier_code + invoice_number</t>
  </si>
  <si>
    <t xml:space="preserve">PK fuel_invoice_line_id | UK fuel_invoice_id + line_no</t>
  </si>
  <si>
    <t xml:space="preserve">PK parameter_id | UK parameter_code + scope_level + scope_key + qty_band_from + valid_from</t>
  </si>
  <si>
    <t xml:space="preserve">PK applied_id | UK entity_type + entity_id + parameter_code</t>
  </si>
  <si>
    <t xml:space="preserve">PK log_id | indexed on correlation_id, entity_id, resolution_status</t>
  </si>
  <si>
    <t xml:space="preserve">PK setting_id | UK setting_group + setting_key + scope_key + valid_from</t>
  </si>
  <si>
    <t xml:space="preserve">PK analysis_id + group_no | FK to the log rows in each group</t>
  </si>
  <si>
    <t xml:space="preserve">INVOICE STATUS</t>
  </si>
  <si>
    <t xml:space="preserve">RECEIVED</t>
  </si>
  <si>
    <t xml:space="preserve">Loaded from the supplier feed or file, not yet validated</t>
  </si>
  <si>
    <t xml:space="preserve">UNDER_REVIEW</t>
  </si>
  <si>
    <t xml:space="preserve">Validated; one or more lines in exception</t>
  </si>
  <si>
    <t xml:space="preserve">APPROVED</t>
  </si>
  <si>
    <t xml:space="preserve">Released for automatic posting</t>
  </si>
  <si>
    <t xml:space="preserve">DISPUTED</t>
  </si>
  <si>
    <t xml:space="preserve">Held pending a supplier conversation</t>
  </si>
  <si>
    <t xml:space="preserve">POSTING_ATTEMPTED</t>
  </si>
  <si>
    <t xml:space="preserve">Posting was tried and did not succeed. Errors are in APPLICATION_LOG</t>
  </si>
  <si>
    <t xml:space="preserve">POSTED</t>
  </si>
  <si>
    <t xml:space="preserve">Successfully posted; ERP document reference held</t>
  </si>
  <si>
    <t xml:space="preserve">REJECTED</t>
  </si>
  <si>
    <t xml:space="preserve">Will not be posted. Reason recorded</t>
  </si>
  <si>
    <t xml:space="preserve">PAID</t>
  </si>
  <si>
    <t xml:space="preserve">Payment settled in the finance system</t>
  </si>
  <si>
    <t xml:space="preserve">Test Scenario Catalogue</t>
  </si>
  <si>
    <t xml:space="preserve">Scenario</t>
  </si>
  <si>
    <t xml:space="preserve">Category</t>
  </si>
  <si>
    <t xml:space="preserve">Trigger</t>
  </si>
  <si>
    <t xml:space="preserve">Expected System Behaviour</t>
  </si>
  <si>
    <t xml:space="preserve">Primary Validation Focus</t>
  </si>
  <si>
    <t xml:space="preserve">TC01</t>
  </si>
  <si>
    <t xml:space="preserve">Baseline single uplift</t>
  </si>
  <si>
    <t xml:space="preserve">Happy path</t>
  </si>
  <si>
    <t xml:space="preserve">Flight planned, fuelled and departed with no change</t>
  </si>
  <si>
    <t xml:space="preserve">One plan version, one order, one ticket. Ticket matched to order and plan</t>
  </si>
  <si>
    <t xml:space="preserve">1:1:1 linkage; variance within meter tolerance</t>
  </si>
  <si>
    <t xml:space="preserve">TC02</t>
  </si>
  <si>
    <t xml:space="preserve">Plan update before fuelling</t>
  </si>
  <si>
    <t xml:space="preserve">Re-plan</t>
  </si>
  <si>
    <t xml:space="preserve">Payload increase raises ZFW before the bowser connects</t>
  </si>
  <si>
    <t xml:space="preserve">New plan version created. Existing order amended to v2. Single ticket against amended order</t>
  </si>
  <si>
    <t xml:space="preserve">Order versioning; plan v1 marked SUPERSEDED; no orphan ticket</t>
  </si>
  <si>
    <t xml:space="preserve">TC03</t>
  </si>
  <si>
    <t xml:space="preserve">Plan update after fuelling</t>
  </si>
  <si>
    <t xml:space="preserve">ATC reroute after uplift completed</t>
  </si>
  <si>
    <t xml:space="preserve">New plan version. Required uplift computed as delta against actual FOB, not arrival FOB. Separate TOP_UP order and second ticket</t>
  </si>
  <si>
    <t xml:space="preserve">required_uplift = block_fuel - actual FOB including prior tickets</t>
  </si>
  <si>
    <t xml:space="preserve">TC04</t>
  </si>
  <si>
    <t xml:space="preserve">Tail swap after fuelling</t>
  </si>
  <si>
    <t xml:space="preserve">Disruption</t>
  </si>
  <si>
    <t xml:space="preserve">Original tail goes tech after uplift; flight moved to another registration</t>
  </si>
  <si>
    <t xml:space="preserve">New plan version with new registration. First ticket stays valid but unlinked from the leg. Second order and ticket against the new tail</t>
  </si>
  <si>
    <t xml:space="preserve">Ticket keyed to registration not flight; orphan ticket retained not deleted</t>
  </si>
  <si>
    <t xml:space="preserve">TC05</t>
  </si>
  <si>
    <t xml:space="preserve">Multiple tickets per order</t>
  </si>
  <si>
    <t xml:space="preserve">Multi-ticket</t>
  </si>
  <si>
    <t xml:space="preserve">Widebody uplift exceeds single bowser capacity</t>
  </si>
  <si>
    <t xml:space="preserve">One order, two tickets with uplift_sequence 1 and 2. Order delivered quantity is the SUM of tickets</t>
  </si>
  <si>
    <t xml:space="preserve">Order rollup summed from tickets, never stored as a scalar</t>
  </si>
  <si>
    <t xml:space="preserve">TC06</t>
  </si>
  <si>
    <t xml:space="preserve">Interrupted fuelling</t>
  </si>
  <si>
    <t xml:space="preserve">Fuelling stopped mid-uplift when alternate changed, resumed under a new order</t>
  </si>
  <si>
    <t xml:space="preserve">First order shows PART_FULFILLED with under-delivery. New order covers the balance</t>
  </si>
  <si>
    <t xml:space="preserve">Under-delivery flagged with a reason code, not treated as supplier shortfall</t>
  </si>
  <si>
    <t xml:space="preserve">TC07</t>
  </si>
  <si>
    <t xml:space="preserve">Cancelled flight after fuelling</t>
  </si>
  <si>
    <t xml:space="preserve">Flight cancelled after fuel already delivered</t>
  </si>
  <si>
    <t xml:space="preserve">Leg status CANCELLED. Ticket remains valid and billable. Cost allocated to aircraft not flight leg</t>
  </si>
  <si>
    <t xml:space="preserve">cost_allocation_basis populated; ticket not orphaned or voided</t>
  </si>
  <si>
    <t xml:space="preserve">TC08</t>
  </si>
  <si>
    <t xml:space="preserve">Return to ramp with defuel</t>
  </si>
  <si>
    <t xml:space="preserve">Return</t>
  </si>
  <si>
    <t xml:space="preserve">Aircraft returns to stand before takeoff; replacement routing is shorter</t>
  </si>
  <si>
    <t xml:space="preserve">New plan version. DEFUEL event recorded as a negative quantity ticket</t>
  </si>
  <si>
    <t xml:space="preserve">Negative quantity accepted; FOB delta negative and consistent</t>
  </si>
  <si>
    <t xml:space="preserve">TC09</t>
  </si>
  <si>
    <t xml:space="preserve">Air return with jettison</t>
  </si>
  <si>
    <t xml:space="preserve">Aircraft returns to departure station airborne and jettisons fuel to reach MLW</t>
  </si>
  <si>
    <t xml:space="preserve">JETTISON event recorded with quantity from FQIS and no meter reading or density</t>
  </si>
  <si>
    <t xml:space="preserve">Non-metered event supported; burn variance not inflated by unrecorded jettison</t>
  </si>
  <si>
    <t xml:space="preserve">TC10</t>
  </si>
  <si>
    <t xml:space="preserve">Ticket with no order</t>
  </si>
  <si>
    <t xml:space="preserve">Exception</t>
  </si>
  <si>
    <t xml:space="preserve">Post-freeze top-up requested verbally at the aircraft</t>
  </si>
  <si>
    <t xml:space="preserve">Ticket created with null fuel_order_id and match_status UNMATCHED, pending reconciliation</t>
  </si>
  <si>
    <t xml:space="preserve">Nullable FK; ticket not rejected at ingestion</t>
  </si>
  <si>
    <t xml:space="preserve">TC11</t>
  </si>
  <si>
    <t xml:space="preserve">Captain discretionary fuel</t>
  </si>
  <si>
    <t xml:space="preserve">Commander requests extra fuel for expected holding at destination</t>
  </si>
  <si>
    <t xml:space="preserve">New plan version with extra_fuel populated and a discretionary reason code</t>
  </si>
  <si>
    <t xml:space="preserve">extra_fuel separated from additional_fuel; reason code captured</t>
  </si>
  <si>
    <t xml:space="preserve">TC12</t>
  </si>
  <si>
    <t xml:space="preserve">Density and rounding variance</t>
  </si>
  <si>
    <t xml:space="preserve">Reconciliation</t>
  </si>
  <si>
    <t xml:space="preserve">Delivered density differs from the planning assumption</t>
  </si>
  <si>
    <t xml:space="preserve">Ticket mass computed from actual delivered density. Variance against FQIS within tolerance band</t>
  </si>
  <si>
    <t xml:space="preserve">Mass computed not assumed; rounding applied at display only</t>
  </si>
  <si>
    <t xml:space="preserve">TC13</t>
  </si>
  <si>
    <t xml:space="preserve">Diversion uplift</t>
  </si>
  <si>
    <t xml:space="preserve">Aircraft diverts and uplifts at an unplanned station with no contract order</t>
  </si>
  <si>
    <t xml:space="preserve">Ticket created at diversion station with null order. Leg status DIVERTED</t>
  </si>
  <si>
    <t xml:space="preserve">Station on ticket differs from leg departure_station; still linkable to the leg</t>
  </si>
  <si>
    <t xml:space="preserve">TC14</t>
  </si>
  <si>
    <t xml:space="preserve">Tankering uplift</t>
  </si>
  <si>
    <t xml:space="preserve">Commercial</t>
  </si>
  <si>
    <t xml:space="preserve">Fuel materially cheaper at departure station than at destination</t>
  </si>
  <si>
    <t xml:space="preserve">Plan carries tankering quantity within extra_fuel with a tankering flag. Uplift exceeds sector requirement</t>
  </si>
  <si>
    <t xml:space="preserve">Tankering identified separately from discretionary extra</t>
  </si>
  <si>
    <t xml:space="preserve">TC15</t>
  </si>
  <si>
    <t xml:space="preserve">Same flight number twice in a day</t>
  </si>
  <si>
    <t xml:space="preserve">Key integrity</t>
  </si>
  <si>
    <t xml:space="preserve">Shuttle rotation departs the same station twice under one flight number on one date</t>
  </si>
  <si>
    <t xml:space="preserve">Two distinct legs distinguished by leg_sequence. Independent plans, orders and tickets</t>
  </si>
  <si>
    <t xml:space="preserve">Unique key holds; no collision or overwrite between the two legs</t>
  </si>
  <si>
    <t xml:space="preserve">TC16</t>
  </si>
  <si>
    <t xml:space="preserve">FOB variance within tolerance</t>
  </si>
  <si>
    <t xml:space="preserve">FOB reconciliation</t>
  </si>
  <si>
    <t xml:space="preserve">Metered delivery and FQIS gauge reading differ slightly</t>
  </si>
  <si>
    <t xml:space="preserve">Variance computed and recorded. Status PASS. No exception raised</t>
  </si>
  <si>
    <t xml:space="preserve">Tolerance band applied; small variance not escalated</t>
  </si>
  <si>
    <t xml:space="preserve">TC17</t>
  </si>
  <si>
    <t xml:space="preserve">FOB variance beyond tolerance</t>
  </si>
  <si>
    <t xml:space="preserve">FQIS shows materially less fuel received than the meter billed</t>
  </si>
  <si>
    <t xml:space="preserve">Status FAIL. Exception raised for investigation before invoice approval</t>
  </si>
  <si>
    <t xml:space="preserve">Absolute and percentage breach detected; ticket blocked from auto-approval</t>
  </si>
  <si>
    <t xml:space="preserve">TC18</t>
  </si>
  <si>
    <t xml:space="preserve">Density mismatch on ticket</t>
  </si>
  <si>
    <t xml:space="preserve">Supplier billed on a default density instead of the batch certificate value</t>
  </si>
  <si>
    <t xml:space="preserve">One directional variance flagged. Recomputation against certificate density resolves it</t>
  </si>
  <si>
    <t xml:space="preserve">Density treated as a suspect field, not an assumption</t>
  </si>
  <si>
    <t xml:space="preserve">TC19</t>
  </si>
  <si>
    <t xml:space="preserve">Small uplift, large percentage</t>
  </si>
  <si>
    <t xml:space="preserve">Minor top-up where FQIS resolution dominates the reading</t>
  </si>
  <si>
    <t xml:space="preserve">Percentage breach ignored because absolute variance is below the floor. Status PASS</t>
  </si>
  <si>
    <t xml:space="preserve">Absolute floor prevents false positives on small quantities</t>
  </si>
  <si>
    <t xml:space="preserve">TC20</t>
  </si>
  <si>
    <t xml:space="preserve">FQIS reading not reported</t>
  </si>
  <si>
    <t xml:space="preserve">Crew did not record fuel on board before or after uplift</t>
  </si>
  <si>
    <t xml:space="preserve">Ticket accepted. Status NOT_RECONCILED. Excluded from variance statistics</t>
  </si>
  <si>
    <t xml:space="preserve">Nullable FQIS fields; unreconciled is a distinct state, not a failure</t>
  </si>
  <si>
    <t xml:space="preserve">TC21</t>
  </si>
  <si>
    <t xml:space="preserve">Systematic bowser bias</t>
  </si>
  <si>
    <t xml:space="preserve">Same bowser shows a consistent one directional variance across several uplifts</t>
  </si>
  <si>
    <t xml:space="preserve">Each ticket passes individually. Aggregate pattern flags the bowser for meter calibration</t>
  </si>
  <si>
    <t xml:space="preserve">Bias detected at bowser level, not just per ticket</t>
  </si>
  <si>
    <t xml:space="preserve">TC22</t>
  </si>
  <si>
    <t xml:space="preserve">Planned FOB vs actual FOB</t>
  </si>
  <si>
    <t xml:space="preserve">Aircraft arrived with less fuel than the plan assumed; order placed on the stale figure</t>
  </si>
  <si>
    <t xml:space="preserve">Uplift matches the order but block fuel is short. Plan FOB variance raised before departure</t>
  </si>
  <si>
    <t xml:space="preserve">Plan assumed FOB compared against actual FOB at fuelling start</t>
  </si>
  <si>
    <t xml:space="preserve">TC23</t>
  </si>
  <si>
    <t xml:space="preserve">Clean three way match</t>
  </si>
  <si>
    <t xml:space="preserve">Invoicing</t>
  </si>
  <si>
    <t xml:space="preserve">Invoice line agrees with the ticket on quantity and with the contract on price</t>
  </si>
  <si>
    <t xml:space="preserve">Status MATCHED. Line released for payment without manual intervention</t>
  </si>
  <si>
    <t xml:space="preserve">Order, ticket and invoice reconcile end to end</t>
  </si>
  <si>
    <t xml:space="preserve">TC24</t>
  </si>
  <si>
    <t xml:space="preserve">Invoiced volume exceeds ticket</t>
  </si>
  <si>
    <t xml:space="preserve">Supplier billed more litres than the ticket records</t>
  </si>
  <si>
    <t xml:space="preserve">Status EXCEPTION on quantity. Line held and a dispute raised against the supplier</t>
  </si>
  <si>
    <t xml:space="preserve">Quantity variance detected using the same tolerance as FOB reconciliation</t>
  </si>
  <si>
    <t xml:space="preserve">TC25</t>
  </si>
  <si>
    <t xml:space="preserve">Price above contract formula</t>
  </si>
  <si>
    <t xml:space="preserve">Unit price carries a differential higher than the contracted rate</t>
  </si>
  <si>
    <t xml:space="preserve">Status EXCEPTION on price. Line held pending contract review</t>
  </si>
  <si>
    <t xml:space="preserve">Price checked against the contract formula, not the previous invoice</t>
  </si>
  <si>
    <t xml:space="preserve">TC26</t>
  </si>
  <si>
    <t xml:space="preserve">Invoice line with no ticket</t>
  </si>
  <si>
    <t xml:space="preserve">Invoice references an uplift that does not exist in the system</t>
  </si>
  <si>
    <t xml:space="preserve">Status NO_TICKET. Line rejected and escalated as potential duplicate or erroneous billing</t>
  </si>
  <si>
    <t xml:space="preserve">Phantom billing detected; line never auto approved</t>
  </si>
  <si>
    <t xml:space="preserve">TC27</t>
  </si>
  <si>
    <t xml:space="preserve">Density error passing both gates</t>
  </si>
  <si>
    <t xml:space="preserve">Supplier billed on a default density; invoice and ticket agree because both carry the wrong value</t>
  </si>
  <si>
    <t xml:space="preserve">Line shows MATCHED on quantity and price. Only the FQIS cross check exposes the overcharge</t>
  </si>
  <si>
    <t xml:space="preserve">Volume and price matching alone cannot detect a density error</t>
  </si>
  <si>
    <t xml:space="preserve">TC28</t>
  </si>
  <si>
    <t xml:space="preserve">Delivered fuel never invoiced</t>
  </si>
  <si>
    <t xml:space="preserve">Billing period closes with a ticket that has no corresponding invoice line</t>
  </si>
  <si>
    <t xml:space="preserve">Ticket reported as unbilled exposure. Flagged so a later period does not double pay it</t>
  </si>
  <si>
    <t xml:space="preserve">Inverse exposure tracked, not just over billing</t>
  </si>
  <si>
    <t xml:space="preserve">TC29</t>
  </si>
  <si>
    <t xml:space="preserve">Defuel credit line</t>
  </si>
  <si>
    <t xml:space="preserve">Fuel removed from the aircraft is billed as a negative quantity</t>
  </si>
  <si>
    <t xml:space="preserve">Negative line accepted and matched to the DEFUEL ticket. Credit basis validated against contract</t>
  </si>
  <si>
    <t xml:space="preserve">Negative amounts handled without sign errors in totals</t>
  </si>
  <si>
    <t xml:space="preserve">TC30</t>
  </si>
  <si>
    <t xml:space="preserve">Ad hoc pricing at diversion station</t>
  </si>
  <si>
    <t xml:space="preserve">Uplift at a station with no supply contract, billed at posted price</t>
  </si>
  <si>
    <t xml:space="preserve">Line matched to the diversion ticket. Price validated against posted rate rather than contract formula</t>
  </si>
  <si>
    <t xml:space="preserve">Alternate pricing basis supported; not treated as a contract breach</t>
  </si>
  <si>
    <t xml:space="preserve">TC31</t>
  </si>
  <si>
    <t xml:space="preserve">Invoice header not keyed from supplier</t>
  </si>
  <si>
    <t xml:space="preserve">Supplier document total differs from the sum of its own lines</t>
  </si>
  <si>
    <t xml:space="preserve">System total derived from lines. Header discrepancy raised as an invoice level exception</t>
  </si>
  <si>
    <t xml:space="preserve">Totals always computed, never accepted as stated</t>
  </si>
  <si>
    <t xml:space="preserve">TC32</t>
  </si>
  <si>
    <t xml:space="preserve">Same ticket billed twice</t>
  </si>
  <si>
    <t xml:space="preserve">One uplift appears on two invoices across consecutive billing periods</t>
  </si>
  <si>
    <t xml:space="preserve">Second occurrence detected as a duplicate and blocked before payment</t>
  </si>
  <si>
    <t xml:space="preserve">Ticket to line relationship enforced as one to one for payment</t>
  </si>
  <si>
    <t xml:space="preserve">TC33</t>
  </si>
  <si>
    <t xml:space="preserve">Order over-delivered</t>
  </si>
  <si>
    <t xml:space="preserve">Order fulfilment</t>
  </si>
  <si>
    <t xml:space="preserve">Fueller rounded up to a whole volume figure, delivering more than ordered</t>
  </si>
  <si>
    <t xml:space="preserve">Order level variance exceeds tolerance in the positive direction. Status OVER_DELIVERED</t>
  </si>
  <si>
    <t xml:space="preserve">Over-delivery detected as clearly as under-delivery; sign not assumed</t>
  </si>
  <si>
    <t xml:space="preserve">TC34</t>
  </si>
  <si>
    <t xml:space="preserve">Repeated failing update, one worklist row</t>
  </si>
  <si>
    <t xml:space="preserve">Interface</t>
  </si>
  <si>
    <t xml:space="preserve">Ops resends the same unapplied tail change on three consecutive days</t>
  </si>
  <si>
    <t xml:space="preserve">Each arrival supersedes the prior. Only the newest carries is_latest_for_key Y and appears in the worklist</t>
  </si>
  <si>
    <t xml:space="preserve">One actionable error per business key; history retained as SUPERSEDED_ERROR</t>
  </si>
  <si>
    <t xml:space="preserve">TC35</t>
  </si>
  <si>
    <t xml:space="preserve">Identical resend suppressed</t>
  </si>
  <si>
    <t xml:space="preserve">Ops resends a record with no change to any mapped field</t>
  </si>
  <si>
    <t xml:space="preserve">change_type NO_CHANGE. Record ignored, target untouched, worklist unaffected</t>
  </si>
  <si>
    <t xml:space="preserve">Hash on mapped fields only; source timestamps excluded</t>
  </si>
  <si>
    <t xml:space="preserve">TC36</t>
  </si>
  <si>
    <t xml:space="preserve">Reversal not misread as no-change</t>
  </si>
  <si>
    <t xml:space="preserve">A failed tail change is followed by a record matching the value already applied</t>
  </si>
  <si>
    <t xml:space="preserve">change_type REVERSAL, not NO_CHANGE. Record applies and clears PENDING_UPDATE</t>
  </si>
  <si>
    <t xml:space="preserve">Comparison is against the latest staging record, never against the target alone</t>
  </si>
  <si>
    <t xml:space="preserve">TC37</t>
  </si>
  <si>
    <t xml:space="preserve">Out of order arrival</t>
  </si>
  <si>
    <t xml:space="preserve">A record arrives late carrying an older source_change_utc than what is applied</t>
  </si>
  <si>
    <t xml:space="preserve">change_type evaluated but record IGNORED_STALE. Target not regressed</t>
  </si>
  <si>
    <t xml:space="preserve">Ordering uses the source timestamp, never received_utc</t>
  </si>
  <si>
    <t xml:space="preserve">TC38</t>
  </si>
  <si>
    <t xml:space="preserve">Unknown station on inbound</t>
  </si>
  <si>
    <t xml:space="preserve">Feed carries a departure station absent from station master</t>
  </si>
  <si>
    <t xml:space="preserve">Critical field, so the whole record is held in ERROR. No partial apply</t>
  </si>
  <si>
    <t xml:space="preserve">critical_field_config drives the gate; behaviour is data not code</t>
  </si>
  <si>
    <t xml:space="preserve">TC39</t>
  </si>
  <si>
    <t xml:space="preserve">Non critical field applies partially</t>
  </si>
  <si>
    <t xml:space="preserve">Only delay_code changes on an otherwise applied leg</t>
  </si>
  <si>
    <t xml:space="preserve">Status APPLIED_PARTIAL. Target updated without entering PENDING_UPDATE</t>
  </si>
  <si>
    <t xml:space="preserve">Non critical changes do not gate downstream actions</t>
  </si>
  <si>
    <t xml:space="preserve">TC40</t>
  </si>
  <si>
    <t xml:space="preserve">Auto provisioned tail</t>
  </si>
  <si>
    <t xml:space="preserve">Master data</t>
  </si>
  <si>
    <t xml:space="preserve">Feed carries a registration absent from aircraft master</t>
  </si>
  <si>
    <t xml:space="preserve">Aircraft created as PROVISIONAL. Schedule applies. Plan allowed with warning, order blocked</t>
  </si>
  <si>
    <t xml:space="preserve">Ops not blocked, but external commitment is gated</t>
  </si>
  <si>
    <t xml:space="preserve">TC41</t>
  </si>
  <si>
    <t xml:space="preserve">Codeshare operating carrier</t>
  </si>
  <si>
    <t xml:space="preserve">Operating carrier differs from the marketing carrier and holds no fuel contract at that station</t>
  </si>
  <si>
    <t xml:space="preserve">Critical field error. Order creation and invoice posting blocked until resolved</t>
  </si>
  <si>
    <t xml:space="preserve">operating_carrier treated as distinct from flight number</t>
  </si>
  <si>
    <t xml:space="preserve">TC42</t>
  </si>
  <si>
    <t xml:space="preserve">Positioning flight</t>
  </si>
  <si>
    <t xml:space="preserve">Ferry flight with no payload arrives on the flight operations feed</t>
  </si>
  <si>
    <t xml:space="preserve">Applies normally. Fuel plan still expected; cost allocation differs by service type</t>
  </si>
  <si>
    <t xml:space="preserve">service_type drives whether a plan and order are expected</t>
  </si>
  <si>
    <t xml:space="preserve">TC43</t>
  </si>
  <si>
    <t xml:space="preserve">Order blocked on provisional tail</t>
  </si>
  <si>
    <t xml:space="preserve">User attempts to create a fuel order for a leg whose tail is still PROVISIONAL</t>
  </si>
  <si>
    <t xml:space="preserve">Order creation blocked with a clear reason and a link to the aircraft confirmation screen</t>
  </si>
  <si>
    <t xml:space="preserve">Gate sits at external commitment, not at plan creation</t>
  </si>
  <si>
    <t xml:space="preserve">TC44</t>
  </si>
  <si>
    <t xml:space="preserve">Dispatch plan blocked by stale leg</t>
  </si>
  <si>
    <t xml:space="preserve">Fuel plan arrives for the new tail while the leg still holds the old one</t>
  </si>
  <si>
    <t xml:space="preserve">Plan rejected with LEG_STALE_PENDING_TAIL naming the blocking staging record</t>
  </si>
  <si>
    <t xml:space="preserve">Diagnostic error code, not a generic mismatch</t>
  </si>
  <si>
    <t xml:space="preserve">TC45</t>
  </si>
  <si>
    <t xml:space="preserve">Cascade reprocess after master data fix</t>
  </si>
  <si>
    <t xml:space="preserve">Aircraft master gap closed; dependent records must be retried in order</t>
  </si>
  <si>
    <t xml:space="preserve">Staging record reprocessed, then the leg, then the held plan and order, as one chain</t>
  </si>
  <si>
    <t xml:space="preserve">cascade_reprocess sequence honoured; no manual per-object retry</t>
  </si>
  <si>
    <t xml:space="preserve">TC46</t>
  </si>
  <si>
    <t xml:space="preserve">Own metal</t>
  </si>
  <si>
    <t xml:space="preserve">Carrier arrangement</t>
  </si>
  <si>
    <t xml:space="preserve">Operating and marketing carrier are both the implementing airline</t>
  </si>
  <si>
    <t xml:space="preserve">buys SELF, bears SELF. Mode FULL. Order, ticket, supplier invoice and posting all proceed</t>
  </si>
  <si>
    <t xml:space="preserve">Default arrangement resolves at GLOBAL rank</t>
  </si>
  <si>
    <t xml:space="preserve">TC47</t>
  </si>
  <si>
    <t xml:space="preserve">Codeshare marketed only</t>
  </si>
  <si>
    <t xml:space="preserve">Partner operates the aircraft; we sell seats under our flight number</t>
  </si>
  <si>
    <t xml:space="preserve">buys COUNTERPARTY, bears COUNTERPARTY. Mode NONE. No order, no ticket expected, leg excluded from fuel exception reporting</t>
  </si>
  <si>
    <t xml:space="preserve">Fuel processing suppressed entirely by contractual arrangement</t>
  </si>
  <si>
    <t xml:space="preserve">TC48</t>
  </si>
  <si>
    <t xml:space="preserve">ACMI, we buy and bear</t>
  </si>
  <si>
    <t xml:space="preserve">Standard wet lease in. Lessor supplies aircraft and crew; fuel is our cost</t>
  </si>
  <si>
    <t xml:space="preserve">buys SELF, bears SELF. Mode FULL with aircraft_master_required N. Provisional tail does not block order creation</t>
  </si>
  <si>
    <t xml:space="preserve">Order proceeds on a tail that will never enter our fleet master</t>
  </si>
  <si>
    <t xml:space="preserve">TC49</t>
  </si>
  <si>
    <t xml:space="preserve">ACMI, we buy, lessor bears</t>
  </si>
  <si>
    <t xml:space="preserve">We use our station contracts to buy, but the lease puts the cost with the lessor</t>
  </si>
  <si>
    <t xml:space="preserve">buys SELF, bears COUNTERPARTY. Mode RECHARGE_OUT. Full purchase chain plus an outbound recharge document</t>
  </si>
  <si>
    <t xml:space="preserve">Buying and bearing are independent; only the buyer drives order and ticket</t>
  </si>
  <si>
    <t xml:space="preserve">TC50</t>
  </si>
  <si>
    <t xml:space="preserve">ACMI, lessor buys, we bear</t>
  </si>
  <si>
    <t xml:space="preserve">Lessor purchases fuel on its own contracts; the lease puts the cost with us</t>
  </si>
  <si>
    <t xml:space="preserve">buys COUNTERPARTY, bears SELF. Mode RECHARGE_IN. No order, no supplier ticket. Cost arrives as a counterparty invoice</t>
  </si>
  <si>
    <t xml:space="preserve">A real fuel cost with no supplier document of our own</t>
  </si>
  <si>
    <t xml:space="preserve">TC51</t>
  </si>
  <si>
    <t xml:space="preserve">Fuel inclusive wet lease</t>
  </si>
  <si>
    <t xml:space="preserve">Fuel bundled into the block hour rate</t>
  </si>
  <si>
    <t xml:space="preserve">buys COUNTERPARTY, bears COUNTERPARTY. Mode NONE. No fuel processing on a flight we market and operate under our number</t>
  </si>
  <si>
    <t xml:space="preserve">ACMI plus fuel is not the same as standard ACMI</t>
  </si>
  <si>
    <t xml:space="preserve">TC52</t>
  </si>
  <si>
    <t xml:space="preserve">Wet lease out with recharge</t>
  </si>
  <si>
    <t xml:space="preserve">Our aircraft and crew operated for another carrier; we buy on our contracts</t>
  </si>
  <si>
    <t xml:space="preserve">buys SELF, bears COUNTERPARTY. Mode RECHARGE_OUT with counterparty_party populated</t>
  </si>
  <si>
    <t xml:space="preserve">Recharge worklist driven by bears_cost, not by arrangement type</t>
  </si>
  <si>
    <t xml:space="preserve">TC53</t>
  </si>
  <si>
    <t xml:space="preserve">Wet lease out, lessee buys</t>
  </si>
  <si>
    <t xml:space="preserve">Lessee purchases and bears fuel on our metal</t>
  </si>
  <si>
    <t xml:space="preserve">buys COUNTERPARTY, bears COUNTERPARTY. Mode NONE on our own aircraft</t>
  </si>
  <si>
    <t xml:space="preserve">Our registration does not imply our fuel</t>
  </si>
  <si>
    <t xml:space="preserve">TC54</t>
  </si>
  <si>
    <t xml:space="preserve">Dry lease is not an exception</t>
  </si>
  <si>
    <t xml:space="preserve">Aircraft leased without crew, operating on our AOC and register</t>
  </si>
  <si>
    <t xml:space="preserve">Resolves to the GLOBAL own metal row. No arrangement row is created</t>
  </si>
  <si>
    <t xml:space="preserve">Deliberate non exception; creating a row would change behaviour incorrectly</t>
  </si>
  <si>
    <t xml:space="preserve">TC55</t>
  </si>
  <si>
    <t xml:space="preserve">Registration outranks flight number</t>
  </si>
  <si>
    <t xml:space="preserve">A leased tail operates a flight number covered by a charter arrangement row</t>
  </si>
  <si>
    <t xml:space="preserve">REGISTRATION_PERIOD at rank 50 wins over FLIGHT_NUMBER at rank 40. Lease terms govern</t>
  </si>
  <si>
    <t xml:space="preserve">If leased metal is flying, the lease governs whatever number it carries</t>
  </si>
  <si>
    <t xml:space="preserve">TC56</t>
  </si>
  <si>
    <t xml:space="preserve">Subcharter leg level override</t>
  </si>
  <si>
    <t xml:space="preserve">One off ad hoc charter in, not covered by any standing arrangement</t>
  </si>
  <si>
    <t xml:space="preserve">SPECIFIC_LEG at rank 60 resolves above everything else</t>
  </si>
  <si>
    <t xml:space="preserve">Standing arrangements cannot cover genuine one offs</t>
  </si>
  <si>
    <t xml:space="preserve">TC57</t>
  </si>
  <si>
    <t xml:space="preserve">Tail swap changes processing mode</t>
  </si>
  <si>
    <t xml:space="preserve">A leg is re-tailed onto a leased aircraft after an order has been sent</t>
  </si>
  <si>
    <t xml:space="preserve">Re-resolution detects a mode change and blocks rather than silently re-resolving. Exception raised</t>
  </si>
  <si>
    <t xml:space="preserve">An order already sent is now under different commercial terms</t>
  </si>
  <si>
    <t xml:space="preserve">TC58</t>
  </si>
  <si>
    <t xml:space="preserve">Maintenance ferry cost allocation</t>
  </si>
  <si>
    <t xml:space="preserve">Positioning flight for maintenance, fuel genuinely ours</t>
  </si>
  <si>
    <t xml:space="preserve">Mode FULL but cost_allocation_basis AIRCRAFT, not FLIGHT_LEG</t>
  </si>
  <si>
    <t xml:space="preserve">Processing mode and cost allocation are independent fields</t>
  </si>
  <si>
    <t xml:space="preserve">TC59</t>
  </si>
  <si>
    <t xml:space="preserve">Unexpected ticket on a NONE leg</t>
  </si>
  <si>
    <t xml:space="preserve">Supplier fuels and bills us for a leg we do not process fuel on</t>
  </si>
  <si>
    <t xml:space="preserve">Ticket accepted with match_status NOT_EXPECTED. Flagged for dispute, never silently discarded</t>
  </si>
  <si>
    <t xml:space="preserve">Physical event still recorded even where no processing was expected</t>
  </si>
  <si>
    <t xml:space="preserve">TC60</t>
  </si>
  <si>
    <t xml:space="preserve">Missing arrangement</t>
  </si>
  <si>
    <t xml:space="preserve">A carrier pairing with no matching arrangement row at any scope level</t>
  </si>
  <si>
    <t xml:space="preserve">Exception raised. Never a silent default to FULL</t>
  </si>
  <si>
    <t xml:space="preserve">Defaulting would raise orders for partner operated flights</t>
  </si>
  <si>
    <t xml:space="preserve">TC61</t>
  </si>
  <si>
    <t xml:space="preserve">Snapshot confirms applied value</t>
  </si>
  <si>
    <t xml:space="preserve">Overnight snapshot carries the same values already applied by the intraday delta stream</t>
  </si>
  <si>
    <t xml:space="preserve">IGNORED_NO_CHANGE. Heartbeat advances, no divergence raised</t>
  </si>
  <si>
    <t xml:space="preserve">Snapshot volume does not generate noise</t>
  </si>
  <si>
    <t xml:space="preserve">TC62</t>
  </si>
  <si>
    <t xml:space="preserve">Snapshot reveals a dropped delta</t>
  </si>
  <si>
    <t xml:space="preserve">Snapshot differs from the applied value and no intraday delta explains the difference</t>
  </si>
  <si>
    <t xml:space="preserve">Correction applied AND a divergence exception raised naming the field</t>
  </si>
  <si>
    <t xml:space="preserve">The snapshot's purpose is served; silent correction would hide a lossy feed</t>
  </si>
  <si>
    <t xml:space="preserve">TC63</t>
  </si>
  <si>
    <t xml:space="preserve">Stale snapshot must not read as reversal</t>
  </si>
  <si>
    <t xml:space="preserve">Snapshot generated at 02:00; an intraday delta applied at 02:05; snapshot processed at 02:30</t>
  </si>
  <si>
    <t xml:space="preserve">IGNORED_STALE. PENDING_UPDATE is not cleared and the target is not regressed</t>
  </si>
  <si>
    <t xml:space="preserve">Staleness is evaluated before change type; stale wins over REVERSAL</t>
  </si>
  <si>
    <t xml:space="preserve">TC64</t>
  </si>
  <si>
    <t xml:space="preserve">Leg absent from snapshot inside window</t>
  </si>
  <si>
    <t xml:space="preserve">A leg held in the target does not appear in the snapshot despite being inside the declared window</t>
  </si>
  <si>
    <t xml:space="preserve">Divergence exception raised. No automatic cancellation, because cancellation is always explicit</t>
  </si>
  <si>
    <t xml:space="preserve">Absence never infers cancellation once MC-05 holds</t>
  </si>
  <si>
    <t xml:space="preserve">TC65</t>
  </si>
  <si>
    <t xml:space="preserve">Leg absent from snapshot outside window</t>
  </si>
  <si>
    <t xml:space="preserve">A leg held in the target falls outside the declared rolling window</t>
  </si>
  <si>
    <t xml:space="preserve">No action. Absence outside the window carries no meaning</t>
  </si>
  <si>
    <t xml:space="preserve">Declared window prevents false divergence at the boundary</t>
  </si>
  <si>
    <t xml:space="preserve">TC66</t>
  </si>
  <si>
    <t xml:space="preserve">Explicit cancellation on the delta stream</t>
  </si>
  <si>
    <t xml:space="preserve">Ops transmits a full record with flight_status CANCELLED</t>
  </si>
  <si>
    <t xml:space="preserve">Applied normally as a critical field change. Existing tickets retained with cost allocation</t>
  </si>
  <si>
    <t xml:space="preserve">Cancellation arrives as data, never as absence</t>
  </si>
  <si>
    <t xml:space="preserve">TC68</t>
  </si>
  <si>
    <t xml:space="preserve">First plan for a leg</t>
  </si>
  <si>
    <t xml:space="preserve">Dispatch interface</t>
  </si>
  <si>
    <t xml:space="preserve">Initial fuel plan arrives for a leg with no prior version</t>
  </si>
  <si>
    <t xml:space="preserve">Applied. No prior version so no gap evaluation applies</t>
  </si>
  <si>
    <t xml:space="preserve">Version gap is N/A on the first version, not N</t>
  </si>
  <si>
    <t xml:space="preserve">TC69</t>
  </si>
  <si>
    <t xml:space="preserve">Consecutive plan version</t>
  </si>
  <si>
    <t xml:space="preserve">Version 2 arrives with version 1 already applied</t>
  </si>
  <si>
    <t xml:space="preserve">Applied. version_gap N, versions_skipped 0</t>
  </si>
  <si>
    <t xml:space="preserve">Normal path</t>
  </si>
  <si>
    <t xml:space="preserve">TC70</t>
  </si>
  <si>
    <t xml:space="preserve">Version gap flagged not held</t>
  </si>
  <si>
    <t xml:space="preserve">Version 5 arrives with version 2 applied; dispatch transmits the current plan only</t>
  </si>
  <si>
    <t xml:space="preserve">APPLIED_WITH_GAP with versions_skipped 2. Never held, because v3 and v4 will never arrive</t>
  </si>
  <si>
    <t xml:space="preserve">Holding on a latest only feed would deadlock permanently</t>
  </si>
  <si>
    <t xml:space="preserve">TC71</t>
  </si>
  <si>
    <t xml:space="preserve">Duplicate version resent</t>
  </si>
  <si>
    <t xml:space="preserve">The same plan version is transmitted twice</t>
  </si>
  <si>
    <t xml:space="preserve">IGNORED_DUPLICATE. Plan versions are inserts, so a resend is a duplicate insert, not an update</t>
  </si>
  <si>
    <t xml:space="preserve">NO_CHANGE means something different for an insert only table</t>
  </si>
  <si>
    <t xml:space="preserve">TC72</t>
  </si>
  <si>
    <t xml:space="preserve">Plan ahead of the flight operations record</t>
  </si>
  <si>
    <t xml:space="preserve">Fuel plan arrives before the flight leg has been created</t>
  </si>
  <si>
    <t xml:space="preserve">HELD_AWAITING_LEG. Not an error; retries automatically and escalates only if it ages</t>
  </si>
  <si>
    <t xml:space="preserve">Held statuses sit in a separate queue from genuine errors</t>
  </si>
  <si>
    <t xml:space="preserve">TC73</t>
  </si>
  <si>
    <t xml:space="preserve">Plan blocked by stale leg</t>
  </si>
  <si>
    <t xml:space="preserve">Plan carries the new tail while the leg still holds the old one</t>
  </si>
  <si>
    <t xml:space="preserve">HELD_STALE_LEG with LEG_STALE_PENDING_TAIL and the blocking staging record named</t>
  </si>
  <si>
    <t xml:space="preserve">Diagnostic error code sends the user to the leg, not to the plan</t>
  </si>
  <si>
    <t xml:space="preserve">TC74</t>
  </si>
  <si>
    <t xml:space="preserve">Lower version after higher</t>
  </si>
  <si>
    <t xml:space="preserve">Version 4 arrives after version 5 has been applied</t>
  </si>
  <si>
    <t xml:space="preserve">IGNORED_STALE. The target is never regressed to an older version</t>
  </si>
  <si>
    <t xml:space="preserve">Ordering by version, independent of receipt order</t>
  </si>
  <si>
    <t xml:space="preserve">TC75</t>
  </si>
  <si>
    <t xml:space="preserve">Genuine plan validation failure</t>
  </si>
  <si>
    <t xml:space="preserve">block_fuel does not equal the sum of its components</t>
  </si>
  <si>
    <t xml:space="preserve">ERROR. Appears in the error worklist for correction and reprocessing</t>
  </si>
  <si>
    <t xml:space="preserve">Distinguishes a bad record from a blocked one</t>
  </si>
  <si>
    <t xml:space="preserve">TC76</t>
  </si>
  <si>
    <t xml:space="preserve">Ticket bound to an unreceived version</t>
  </si>
  <si>
    <t xml:space="preserve">Uplift occurred while a version that was never transmitted was active</t>
  </si>
  <si>
    <t xml:space="preserve">Ticket records version_coverage GAPPED rather than binding falsely to the last received version</t>
  </si>
  <si>
    <t xml:space="preserve">False certainty is worse than declared uncertainty in variance analysis</t>
  </si>
  <si>
    <t xml:space="preserve">TC77</t>
  </si>
  <si>
    <t xml:space="preserve">Same ICAO code, different burn</t>
  </si>
  <si>
    <t xml:space="preserve">Aircraft type</t>
  </si>
  <si>
    <t xml:space="preserve">Two engine variants share ICAO code A21N and IATA code 32Q</t>
  </si>
  <si>
    <t xml:space="preserve">Resolved to distinct aircraft_type_id rows via the manufacturer code. Performance factors differ</t>
  </si>
  <si>
    <t xml:space="preserve">Never resolve type on IATA or ICAO alone</t>
  </si>
  <si>
    <t xml:space="preserve">TC78</t>
  </si>
  <si>
    <t xml:space="preserve">Inbound code scheme varies by feed</t>
  </si>
  <si>
    <t xml:space="preserve">Schedule feed sends the IATA code; dispatch sends the manufacturer designation</t>
  </si>
  <si>
    <t xml:space="preserve">Both resolve to the same aircraft_type_id through AIRCRAFT_TYPE_ALIAS</t>
  </si>
  <si>
    <t xml:space="preserve">No per customer code change required</t>
  </si>
  <si>
    <t xml:space="preserve">TC79</t>
  </si>
  <si>
    <t xml:space="preserve">Unknown type auto provisioned</t>
  </si>
  <si>
    <t xml:space="preserve">Schedule feed carries a type code absent from every alias</t>
  </si>
  <si>
    <t xml:space="preserve">PROVISIONAL type row created. Tail applies. Tolerance resolution falls back to GLOBAL and is flagged</t>
  </si>
  <si>
    <t xml:space="preserve">Setup burden removed without silent misresolution</t>
  </si>
  <si>
    <t xml:space="preserve">TC80</t>
  </si>
  <si>
    <t xml:space="preserve">Config granularity NONE</t>
  </si>
  <si>
    <t xml:space="preserve">Airline operates one cabin fit per type</t>
  </si>
  <si>
    <t xml:space="preserve">Config table hidden. DOW held on the tail. No config selection presented anywhere</t>
  </si>
  <si>
    <t xml:space="preserve">Product configurability without structural change</t>
  </si>
  <si>
    <t xml:space="preserve">TC81</t>
  </si>
  <si>
    <t xml:space="preserve">Config granularity BY_CONFIG</t>
  </si>
  <si>
    <t xml:space="preserve">Two cabin fits on the same type with a 1300 kg DOW difference</t>
  </si>
  <si>
    <t xml:space="preserve">Each tail carries a config_id. Fuel plan validation uses the config specific DOW</t>
  </si>
  <si>
    <t xml:space="preserve">Cabin fit materially affects the fuel calculation</t>
  </si>
  <si>
    <t xml:space="preserve">TC82</t>
  </si>
  <si>
    <t xml:space="preserve">Free text type on a legacy feed</t>
  </si>
  <si>
    <t xml:space="preserve">Ops feed sends a type string with inconsistent spacing and casing</t>
  </si>
  <si>
    <t xml:space="preserve">Normalised then resolved through an alias with code_scheme FREE_TEXT</t>
  </si>
  <si>
    <t xml:space="preserve">Normalisation precedes alias lookup</t>
  </si>
  <si>
    <t xml:space="preserve">TC83</t>
  </si>
  <si>
    <t xml:space="preserve">Full burn capture with source hierarchy</t>
  </si>
  <si>
    <t xml:space="preserve">Burn</t>
  </si>
  <si>
    <t xml:space="preserve">Both ACARS and crew reported figures exist for one leg</t>
  </si>
  <si>
    <t xml:space="preserve">ACARS is primary at priority 1. The manual row is retained but not primary</t>
  </si>
  <si>
    <t xml:space="preserve">One primary row per leg; lower priority sources kept for audit</t>
  </si>
  <si>
    <t xml:space="preserve">TC84</t>
  </si>
  <si>
    <t xml:space="preserve">Widebody long haul burn</t>
  </si>
  <si>
    <t xml:space="preserve">Four gauge points captured on a long sector</t>
  </si>
  <si>
    <t xml:space="preserve">Block, trip, taxi out and taxi in all derive. Engine burn separates from APU</t>
  </si>
  <si>
    <t xml:space="preserve">Engine and APU burn must be separable for efficiency reporting</t>
  </si>
  <si>
    <t xml:space="preserve">TC85</t>
  </si>
  <si>
    <t xml:space="preserve">Partial burn capture</t>
  </si>
  <si>
    <t xml:space="preserve">Only off blocks and on blocks reported; no takeoff or touchdown figures</t>
  </si>
  <si>
    <t xml:space="preserve">Block burn derives. Trip and taxi split are null, not zero. Completeness PARTIAL</t>
  </si>
  <si>
    <t xml:space="preserve">Missing is not zero</t>
  </si>
  <si>
    <t xml:space="preserve">TC86</t>
  </si>
  <si>
    <t xml:space="preserve">Burn derived from the uplift chain</t>
  </si>
  <si>
    <t xml:space="preserve">No gauge reading at all for the leg</t>
  </si>
  <si>
    <t xml:space="preserve">Burn derived from ledger closure across the rotation. Confidence LOW</t>
  </si>
  <si>
    <t xml:space="preserve">Fallback source, clearly labelled</t>
  </si>
  <si>
    <t xml:space="preserve">TC87</t>
  </si>
  <si>
    <t xml:space="preserve">Estimated burn excluded from statistics</t>
  </si>
  <si>
    <t xml:space="preserve">Nothing reported. Burn estimated from plan times a historical factor</t>
  </si>
  <si>
    <t xml:space="preserve">Source ESTIMATED, completeness ESTIMATED, excluded from variance statistics</t>
  </si>
  <si>
    <t xml:space="preserve">An estimated leg must not sit beside an ACARS leg in a variance report</t>
  </si>
  <si>
    <t xml:space="preserve">TC88</t>
  </si>
  <si>
    <t xml:space="preserve">Burn on an air return with jettison</t>
  </si>
  <si>
    <t xml:space="preserve">Aircraft returns airborne and jettisons fuel to reach MLW</t>
  </si>
  <si>
    <t xml:space="preserve">Burn excludes the jettisoned quantity. Variance against plan is suppressed because the planned sector was not flown</t>
  </si>
  <si>
    <t xml:space="preserve">Jettison is fuel lost, not burned; and an incomplete leg has no meaningful plan comparison</t>
  </si>
  <si>
    <t xml:space="preserve">TC89</t>
  </si>
  <si>
    <t xml:space="preserve">Avoidable APU minutes</t>
  </si>
  <si>
    <t xml:space="preserve">APU</t>
  </si>
  <si>
    <t xml:space="preserve">APU runs pre departure with GPU available on stand but unused</t>
  </si>
  <si>
    <t xml:space="preserve">Avoidable minutes and avoidable burn computed. Flagged for the station</t>
  </si>
  <si>
    <t xml:space="preserve">Avoidable APU is the actionable KPI, not total APU</t>
  </si>
  <si>
    <t xml:space="preserve">TC90</t>
  </si>
  <si>
    <t xml:space="preserve">APU unavoidable at an unequipped stand</t>
  </si>
  <si>
    <t xml:space="preserve">No GPU at the stand, so APU running is necessary</t>
  </si>
  <si>
    <t xml:space="preserve">Minutes recorded, avoidable minutes zero</t>
  </si>
  <si>
    <t xml:space="preserve">Distinguishes waste from necessity</t>
  </si>
  <si>
    <t xml:space="preserve">TC91</t>
  </si>
  <si>
    <t xml:space="preserve">APU estimated from ground time</t>
  </si>
  <si>
    <t xml:space="preserve">No APU event data available from ACARS or the meter</t>
  </si>
  <si>
    <t xml:space="preserve">Minutes estimated from ground time. Source ESTIMATED, confidence low</t>
  </si>
  <si>
    <t xml:space="preserve">APU burn is always derived; the question is only how good the minutes are</t>
  </si>
  <si>
    <t xml:space="preserve">TC92</t>
  </si>
  <si>
    <t xml:space="preserve">Overnight APU running</t>
  </si>
  <si>
    <t xml:space="preserve">APU runs overnight with ground power available</t>
  </si>
  <si>
    <t xml:space="preserve">Fully avoidable. Highest value single finding in APU reporting</t>
  </si>
  <si>
    <t xml:space="preserve">Overnight running is where the largest APU savings sit</t>
  </si>
  <si>
    <t xml:space="preserve">TC98</t>
  </si>
  <si>
    <t xml:space="preserve">Open APU cycle</t>
  </si>
  <si>
    <t xml:space="preserve">APU start event received with no matching stop event</t>
  </si>
  <si>
    <t xml:space="preserve">Cycle flagged open. Minutes and burn not computed. Capped and escalated rather than computing a false long run</t>
  </si>
  <si>
    <t xml:space="preserve">An open cycle is never silently completed</t>
  </si>
  <si>
    <t xml:space="preserve">TC99</t>
  </si>
  <si>
    <t xml:space="preserve">APU stop before start</t>
  </si>
  <si>
    <t xml:space="preserve">Clock skew or event reordering places the stop before the start</t>
  </si>
  <si>
    <t xml:space="preserve">Rejected. Minutes never computed as negative</t>
  </si>
  <si>
    <t xml:space="preserve">Derivation validates order before computing</t>
  </si>
  <si>
    <t xml:space="preserve">TC100</t>
  </si>
  <si>
    <t xml:space="preserve">Multiple APU cycles in one phase</t>
  </si>
  <si>
    <t xml:space="preserve">APU shut down and restarted twice during a single pre departure phase</t>
  </si>
  <si>
    <t xml:space="preserve">Three separate cycle rows. Phase totals are an aggregation, not a stored figure</t>
  </si>
  <si>
    <t xml:space="preserve">One row per cycle; one row per phase would lose the cycling</t>
  </si>
  <si>
    <t xml:space="preserve">TC101</t>
  </si>
  <si>
    <t xml:space="preserve">GPU availability inferred from stand type</t>
  </si>
  <si>
    <t xml:space="preserve">No handler report, but the stand is remote</t>
  </si>
  <si>
    <t xml:space="preserve">gpu_source STAND_TYPE, avoidable computed with MEDIUM confidence</t>
  </si>
  <si>
    <t xml:space="preserve">Degrades to qualified rather than to wrong</t>
  </si>
  <si>
    <t xml:space="preserve">TC102</t>
  </si>
  <si>
    <t xml:space="preserve">No GPU data at any level</t>
  </si>
  <si>
    <t xml:space="preserve">Neither handler report nor stand identifier available</t>
  </si>
  <si>
    <t xml:space="preserve">avoidable_minutes NULL and confidence NOT_COMPUTED. Total APU minutes still reported</t>
  </si>
  <si>
    <t xml:space="preserve">Null avoidable and zero avoidable mean opposite things</t>
  </si>
  <si>
    <t xml:space="preserve">TC103</t>
  </si>
  <si>
    <t xml:space="preserve">APU reporting available on the fleet</t>
  </si>
  <si>
    <t xml:space="preserve">AMI is configured with an APU report and the ops system retains it</t>
  </si>
  <si>
    <t xml:space="preserve">apu_reporting_available Y. Minutes derived from ACARS events at HIGH confidence</t>
  </si>
  <si>
    <t xml:space="preserve">Automated capture where the fleet supports it</t>
  </si>
  <si>
    <t xml:space="preserve">TC104</t>
  </si>
  <si>
    <t xml:space="preserve">APU reporting absent on the fleet</t>
  </si>
  <si>
    <t xml:space="preserve">Older fleet whose AMI carries no APU report</t>
  </si>
  <si>
    <t xml:space="preserve">apu_reporting_available N. Minutes estimated from ground time at LOW confidence, or entered manually</t>
  </si>
  <si>
    <t xml:space="preserve">Estimation is the expected default on many fleets, not an exception</t>
  </si>
  <si>
    <t xml:space="preserve">TC105</t>
  </si>
  <si>
    <t xml:space="preserve">Mixed APU capability across fleets</t>
  </si>
  <si>
    <t xml:space="preserve">One fleet reports APU events, another does not, within the same airline</t>
  </si>
  <si>
    <t xml:space="preserve">Source resolves per fleet, not per airline. Reporting labels each figure with its source</t>
  </si>
  <si>
    <t xml:space="preserve">ACARS configuration is per fleet; capability must not be assumed uniform</t>
  </si>
  <si>
    <t xml:space="preserve">TC106</t>
  </si>
  <si>
    <t xml:space="preserve">APU capability unknown on a provisional type</t>
  </si>
  <si>
    <t xml:space="preserve">Auto provisioned aircraft type with no confirmed APU capability</t>
  </si>
  <si>
    <t xml:space="preserve">apu_reporting_available UNKNOWN. Falls back to MANUAL until the type is confirmed</t>
  </si>
  <si>
    <t xml:space="preserve">Unknown is a distinct state from N</t>
  </si>
  <si>
    <t xml:space="preserve">TC107</t>
  </si>
  <si>
    <t xml:space="preserve">APU and engine burn to different accounts</t>
  </si>
  <si>
    <t xml:space="preserve">Posting</t>
  </si>
  <si>
    <t xml:space="preserve">One leg produces both engine burn and APU burn</t>
  </si>
  <si>
    <t xml:space="preserve">Two goods movements with different movement types. SAP derives different GL accounts through OBYC</t>
  </si>
  <si>
    <t xml:space="preserve">Separate movement type is the only mechanism that splits the GL for one material</t>
  </si>
  <si>
    <t xml:space="preserve">TC108</t>
  </si>
  <si>
    <t xml:space="preserve">Cost object by event category</t>
  </si>
  <si>
    <t xml:space="preserve">Engine and APU burn on the same leg require different cost centres</t>
  </si>
  <si>
    <t xml:space="preserve">Rules resolve independently per event category at rank 10</t>
  </si>
  <si>
    <t xml:space="preserve">Cost object determination is per event, not per leg</t>
  </si>
  <si>
    <t xml:space="preserve">TC109</t>
  </si>
  <si>
    <t xml:space="preserve">Station override above carrier</t>
  </si>
  <si>
    <t xml:space="preserve">A carrier level rule exists and a station level rule also matches</t>
  </si>
  <si>
    <t xml:space="preserve">Station rule at rank 30 wins over carrier at rank 20</t>
  </si>
  <si>
    <t xml:space="preserve">Most specific scope wins, as in the parameter framework</t>
  </si>
  <si>
    <t xml:space="preserve">TC110</t>
  </si>
  <si>
    <t xml:space="preserve">Cost object read from master data</t>
  </si>
  <si>
    <t xml:space="preserve">Station cost centre maintained on station master rather than in a rule</t>
  </si>
  <si>
    <t xml:space="preserve">object_source FROM_STATION reads it at resolution time. No rule per station required</t>
  </si>
  <si>
    <t xml:space="preserve">Avoids a rule explosion across a large station network</t>
  </si>
  <si>
    <t xml:space="preserve">TC111</t>
  </si>
  <si>
    <t xml:space="preserve">Training flight to an internal order</t>
  </si>
  <si>
    <t xml:space="preserve">Service type K flight burns fuel</t>
  </si>
  <si>
    <t xml:space="preserve">Rule at rank 25 resolves to an internal order rather than a cost centre</t>
  </si>
  <si>
    <t xml:space="preserve">Account assignment category changes with object type</t>
  </si>
  <si>
    <t xml:space="preserve">TC112</t>
  </si>
  <si>
    <t xml:space="preserve">Estimated APU burn posted</t>
  </si>
  <si>
    <t xml:space="preserve">APU minutes estimated from ground time on a fleet with no APU reporting</t>
  </si>
  <si>
    <t xml:space="preserve">Posted, because allow_estimated_posting is Y for APU. Flagged as estimated on the document</t>
  </si>
  <si>
    <t xml:space="preserve">Estimated APU is postable; estimated engine burn is not</t>
  </si>
  <si>
    <t xml:space="preserve">TC113</t>
  </si>
  <si>
    <t xml:space="preserve">Burn revision after posting</t>
  </si>
  <si>
    <t xml:space="preserve">Improved burn data arrives after the original posting</t>
  </si>
  <si>
    <t xml:space="preserve">Reversal movement type posts the original out, new movement posts the revised figure</t>
  </si>
  <si>
    <t xml:space="preserve">Every movement type has a reversal counterpart</t>
  </si>
  <si>
    <t xml:space="preserve">TC114</t>
  </si>
  <si>
    <t xml:space="preserve">APU burn spanning two legs</t>
  </si>
  <si>
    <t xml:space="preserve">APU runs from arrival of one leg through departure of the next</t>
  </si>
  <si>
    <t xml:space="preserve">Posted at turn granularity, not leg. Allocation follows the configured rule</t>
  </si>
  <si>
    <t xml:space="preserve">Most APU burn falls outside any single leg</t>
  </si>
  <si>
    <t xml:space="preserve">TC115</t>
  </si>
  <si>
    <t xml:space="preserve">Jettison to a distinct account</t>
  </si>
  <si>
    <t xml:space="preserve">Fuel jettisoned during an air return</t>
  </si>
  <si>
    <t xml:space="preserve">Own movement type and GL account. Never posted as consumption</t>
  </si>
  <si>
    <t xml:space="preserve">Fuel lost is not fuel burned</t>
  </si>
  <si>
    <t xml:space="preserve">TC116</t>
  </si>
  <si>
    <t xml:space="preserve">No cost object rule matches</t>
  </si>
  <si>
    <t xml:space="preserve">An event whose scope matches no rule above the global catch all</t>
  </si>
  <si>
    <t xml:space="preserve">Global rule at rank 0 resolves. Posting proceeds and the fallback use is reported</t>
  </si>
  <si>
    <t xml:space="preserve">The global rule must always exist; posting never fails for want of a cost object</t>
  </si>
  <si>
    <t xml:space="preserve">TC117</t>
  </si>
  <si>
    <t xml:space="preserve">Leg complete end to end</t>
  </si>
  <si>
    <t xml:space="preserve">Completeness</t>
  </si>
  <si>
    <t xml:space="preserve">Plan, uplift, burn and all postings present</t>
  </si>
  <si>
    <t xml:space="preserve">Uplift CAPTURED, burn CAPTURED, posting POSTED, zero open items</t>
  </si>
  <si>
    <t xml:space="preserve">The baseline against which gaps are measured</t>
  </si>
  <si>
    <t xml:space="preserve">TC118</t>
  </si>
  <si>
    <t xml:space="preserve">Multiple tickets, all posted</t>
  </si>
  <si>
    <t xml:space="preserve">Two tickets against one order, both received and posted</t>
  </si>
  <si>
    <t xml:space="preserve">Ticket count 2, uplifted quantity matches required uplift, status COMPLETE</t>
  </si>
  <si>
    <t xml:space="preserve">Multi ticket legs must not read as partial</t>
  </si>
  <si>
    <t xml:space="preserve">TC119</t>
  </si>
  <si>
    <t xml:space="preserve">No uplift expected</t>
  </si>
  <si>
    <t xml:space="preserve">Aircraft arrived with sufficient fuel; active plan required uplift is zero</t>
  </si>
  <si>
    <t xml:space="preserve">uplift_expectation NOT_EXPECTED, uplift_status NOT_APPLICABLE. Absence is correct, not a gap</t>
  </si>
  <si>
    <t xml:space="preserve">This is the mechanism that answers whether an uplift was even planned</t>
  </si>
  <si>
    <t xml:space="preserve">TC120</t>
  </si>
  <si>
    <t xml:space="preserve">Uplift expected but missing</t>
  </si>
  <si>
    <t xml:space="preserve">Plan requires an uplift and no ticket exists</t>
  </si>
  <si>
    <t xml:space="preserve">uplift_status MISSING, completeness GAP, ageing tracked for chasing</t>
  </si>
  <si>
    <t xml:space="preserve">Distinguishes a genuine gap from a legitimate absence</t>
  </si>
  <si>
    <t xml:space="preserve">TC121</t>
  </si>
  <si>
    <t xml:space="preserve">Burn missing after departure</t>
  </si>
  <si>
    <t xml:space="preserve">Leg departed with no burn data received</t>
  </si>
  <si>
    <t xml:space="preserve">burn_status MISSING. Engine and APU goods issues blocked. completeness GAP</t>
  </si>
  <si>
    <t xml:space="preserve">Missing burn blocks posting, not just reporting</t>
  </si>
  <si>
    <t xml:space="preserve">TC122</t>
  </si>
  <si>
    <t xml:space="preserve">Burn estimated, partial posting</t>
  </si>
  <si>
    <t xml:space="preserve">Burn estimated from plan on a fleet with no reporting</t>
  </si>
  <si>
    <t xml:space="preserve">burn_status ESTIMATED. APU posts, engine burn held. completeness ATTENTION</t>
  </si>
  <si>
    <t xml:space="preserve">Estimated is neither complete nor missing</t>
  </si>
  <si>
    <t xml:space="preserve">TC123</t>
  </si>
  <si>
    <t xml:space="preserve">Cancelled after fuelling</t>
  </si>
  <si>
    <t xml:space="preserve">Flight cancelled with fuel already delivered</t>
  </si>
  <si>
    <t xml:space="preserve">Burn NOT_EXPECTED because the leg never departed. Uplift allocated to the aircraft</t>
  </si>
  <si>
    <t xml:space="preserve">Expectation follows what actually happened, not what was scheduled</t>
  </si>
  <si>
    <t xml:space="preserve">TC124</t>
  </si>
  <si>
    <t xml:space="preserve">Leg excluded from expectation</t>
  </si>
  <si>
    <t xml:space="preserve">Codeshare marketed only, processing mode NONE</t>
  </si>
  <si>
    <t xml:space="preserve">Everything NOT_APPLICABLE, completeness EXCLUDED. Never appears in exception counts</t>
  </si>
  <si>
    <t xml:space="preserve">Excluded legs must not depress completeness percentages</t>
  </si>
  <si>
    <t xml:space="preserve">TC125</t>
  </si>
  <si>
    <t xml:space="preserve">Diversion uplift unposted</t>
  </si>
  <si>
    <t xml:space="preserve">Second uplift at the diversion station has no order and no goods receipt</t>
  </si>
  <si>
    <t xml:space="preserve">Uplift CAPTURED, posting PART_POSTED, open item raised</t>
  </si>
  <si>
    <t xml:space="preserve">Capture and posting are separate completeness dimensions</t>
  </si>
  <si>
    <t xml:space="preserve">TC126</t>
  </si>
  <si>
    <t xml:space="preserve">Ticket with no plan</t>
  </si>
  <si>
    <t xml:space="preserve">Uplift recorded for a leg where no fuel plan was received</t>
  </si>
  <si>
    <t xml:space="preserve">uplift_expectation INDETERMINATE, status CAPTURED_NO_PLAN</t>
  </si>
  <si>
    <t xml:space="preserve">Cannot assert a gap or a legitimate absence without a plan</t>
  </si>
  <si>
    <t xml:space="preserve">TC127</t>
  </si>
  <si>
    <t xml:space="preserve">Tail stock reconciles</t>
  </si>
  <si>
    <t xml:space="preserve">Stock reconciliation</t>
  </si>
  <si>
    <t xml:space="preserve">All events posted, gauge agrees with ledger and SAP</t>
  </si>
  <si>
    <t xml:space="preserve">Unexplained difference within tolerance. Status RECONCILED</t>
  </si>
  <si>
    <t xml:space="preserve">Three way agreement at the cutoff event</t>
  </si>
  <si>
    <t xml:space="preserve">TC128</t>
  </si>
  <si>
    <t xml:space="preserve">Unposted goods receipt</t>
  </si>
  <si>
    <t xml:space="preserve">Uplift delivered and captured but the goods receipt is not posted</t>
  </si>
  <si>
    <t xml:space="preserve">SAP below ledger by exactly the unposted uplift. Status TIMING_ONLY with the accrual quantified</t>
  </si>
  <si>
    <t xml:space="preserve">A timing difference is explained, but finance still needs the figure</t>
  </si>
  <si>
    <t xml:space="preserve">TC129</t>
  </si>
  <si>
    <t xml:space="preserve">Unposted goods issue</t>
  </si>
  <si>
    <t xml:space="preserve">Burn recorded but the goods issue is not posted</t>
  </si>
  <si>
    <t xml:space="preserve">SAP above ledger by the unposted burn. Status TIMING_ONLY</t>
  </si>
  <si>
    <t xml:space="preserve">Both directions of posting lag are detected</t>
  </si>
  <si>
    <t xml:space="preserve">TC130</t>
  </si>
  <si>
    <t xml:space="preserve">Unexplained stock difference</t>
  </si>
  <si>
    <t xml:space="preserve">Everything posted, yet the gauge is materially below the ledger</t>
  </si>
  <si>
    <t xml:space="preserve">Status UNEXPLAINED. Uncaptured event or gauge fault. Raised for investigation</t>
  </si>
  <si>
    <t xml:space="preserve">This is the finding the reconciliation exists to produce</t>
  </si>
  <si>
    <t xml:space="preserve">TC131</t>
  </si>
  <si>
    <t xml:space="preserve">Widebody within tolerance</t>
  </si>
  <si>
    <t xml:space="preserve">Large tank quantity with a proportionally small difference</t>
  </si>
  <si>
    <t xml:space="preserve">Tolerance scales with quantity. Status RECONCILED</t>
  </si>
  <si>
    <t xml:space="preserve">A fixed absolute tolerance would fail every widebody</t>
  </si>
  <si>
    <t xml:space="preserve">TC132</t>
  </si>
  <si>
    <t xml:space="preserve">Airborne at period end</t>
  </si>
  <si>
    <t xml:space="preserve">Aircraft has no on blocks event within the cutoff window</t>
  </si>
  <si>
    <t xml:space="preserve">Status EXCLUDED_NO_GAUGE. Not reported as a difference</t>
  </si>
  <si>
    <t xml:space="preserve">A clock based cutoff would show a false difference on every airborne tail</t>
  </si>
  <si>
    <t xml:space="preserve">TC133</t>
  </si>
  <si>
    <t xml:space="preserve">Provisional supplier, nothing posted</t>
  </si>
  <si>
    <t xml:space="preserve">Fuel delivered at a new station before the SAP vendor exists</t>
  </si>
  <si>
    <t xml:space="preserve">Ledger holds the fuel, SAP does not. Status TIMING_ONLY, accrual required</t>
  </si>
  <si>
    <t xml:space="preserve">Capture without posting is a valid state that must be quantified at close</t>
  </si>
  <si>
    <t xml:space="preserve">TC134</t>
  </si>
  <si>
    <t xml:space="preserve">Native daily index pricing</t>
  </si>
  <si>
    <t xml:space="preserve">Pricing</t>
  </si>
  <si>
    <t xml:space="preserve">Contract prices on the daily assessment plus a differential</t>
  </si>
  <si>
    <t xml:space="preserve">Index in USD per MT converts to per litre using density. Components remain individually visible</t>
  </si>
  <si>
    <t xml:space="preserve">The native engine calculates the basic fuel price only</t>
  </si>
  <si>
    <t xml:space="preserve">TC135</t>
  </si>
  <si>
    <t xml:space="preserve">Same scheme, different density</t>
  </si>
  <si>
    <t xml:space="preserve">Two uplifts on one scheme with different delivered densities</t>
  </si>
  <si>
    <t xml:space="preserve">Per litre index differs because density differs. Contract states delivered density</t>
  </si>
  <si>
    <t xml:space="preserve">Density basis is contractual or delivered, per the scheme</t>
  </si>
  <si>
    <t xml:space="preserve">TC136</t>
  </si>
  <si>
    <t xml:space="preserve">Posted price at an uncontracted station</t>
  </si>
  <si>
    <t xml:space="preserve">Diversion uplift with no contract</t>
  </si>
  <si>
    <t xml:space="preserve">No index resolved. Supplied posted rate used, into-plane added</t>
  </si>
  <si>
    <t xml:space="preserve">POSTED bypasses the index engine entirely</t>
  </si>
  <si>
    <t xml:space="preserve">TC137</t>
  </si>
  <si>
    <t xml:space="preserve">Provisional price on a month average</t>
  </si>
  <si>
    <t xml:space="preserve">Uplift mid month on a calendar month average contract</t>
  </si>
  <si>
    <t xml:space="preserve">Priced provisionally on the prior month average. price_status PROVISIONAL</t>
  </si>
  <si>
    <t xml:space="preserve">A month average cannot resolve until the month closes</t>
  </si>
  <si>
    <t xml:space="preserve">TC138</t>
  </si>
  <si>
    <t xml:space="preserve">Final price replaces provisional</t>
  </si>
  <si>
    <t xml:space="preserve">The month average publishes after period end</t>
  </si>
  <si>
    <t xml:space="preserve">Repriced to FINAL. Difference settled by credit or debit note</t>
  </si>
  <si>
    <t xml:space="preserve">Provisional to final exposure is a distinct accrual</t>
  </si>
  <si>
    <t xml:space="preserve">TC139</t>
  </si>
  <si>
    <t xml:space="preserve">Split vendor into-plane</t>
  </si>
  <si>
    <t xml:space="preserve">Into-plane agent is a different vendor from the fuel supplier</t>
  </si>
  <si>
    <t xml:space="preserve">Into-plane excluded from the fuel PO price and carried on the service PO price</t>
  </si>
  <si>
    <t xml:space="preserve">vendor_role on the component decides which PO it lands on</t>
  </si>
  <si>
    <t xml:space="preserve">TC140</t>
  </si>
  <si>
    <t xml:space="preserve">Fixed rate contract</t>
  </si>
  <si>
    <t xml:space="preserve">Seasonal charter block on a flat all in rate</t>
  </si>
  <si>
    <t xml:space="preserve">No index, no differential. Supplied rate used directly</t>
  </si>
  <si>
    <t xml:space="preserve">FIXED bypasses both index and component build up</t>
  </si>
  <si>
    <t xml:space="preserve">TC141</t>
  </si>
  <si>
    <t xml:space="preserve">Priced through SAP CPE</t>
  </si>
  <si>
    <t xml:space="preserve">Customer has CPE configured for this contract</t>
  </si>
  <si>
    <t xml:space="preserve">FuelSphere records the CPE result and does not compute it. Into-plane still added where in scope</t>
  </si>
  <si>
    <t xml:space="preserve">Engine choice is per contract, not per airline</t>
  </si>
  <si>
    <t xml:space="preserve">TC142</t>
  </si>
  <si>
    <t xml:space="preserve">Single vendor document flow</t>
  </si>
  <si>
    <t xml:space="preserve">Fuel supplier also performs into-plane</t>
  </si>
  <si>
    <t xml:space="preserve">One PO, one GR, one invoice. No service PO exists</t>
  </si>
  <si>
    <t xml:space="preserve">Service side is NOT_APPLICABLE, not missing</t>
  </si>
  <si>
    <t xml:space="preserve">TC143</t>
  </si>
  <si>
    <t xml:space="preserve">Split vendor document flow</t>
  </si>
  <si>
    <t xml:space="preserve">Separate into-plane vendor</t>
  </si>
  <si>
    <t xml:space="preserve">Fuel PO with GR and service PO with SES. One ticket maps to both</t>
  </si>
  <si>
    <t xml:space="preserve">The ePOD acknowledgement triggers both confirmations</t>
  </si>
  <si>
    <t xml:space="preserve">TC144</t>
  </si>
  <si>
    <t xml:space="preserve">Provisional invoice awaited</t>
  </si>
  <si>
    <t xml:space="preserve">Goods receipt posted, invoice held pending final pricing</t>
  </si>
  <si>
    <t xml:space="preserve">Fuel status RECEIPTED, overall IN_PROGRESS</t>
  </si>
  <si>
    <t xml:space="preserve">Provisional pricing delays invoice, not receipt</t>
  </si>
  <si>
    <t xml:space="preserve">TC145</t>
  </si>
  <si>
    <t xml:space="preserve">SES created but not accepted</t>
  </si>
  <si>
    <t xml:space="preserve">Service entry sheet raised and awaiting acceptance</t>
  </si>
  <si>
    <t xml:space="preserve">Service status SES_PENDING while the fuel side is already invoiced</t>
  </si>
  <si>
    <t xml:space="preserve">Fuel and service sides progress independently</t>
  </si>
  <si>
    <t xml:space="preserve">TC146</t>
  </si>
  <si>
    <t xml:space="preserve">Ticket with no PO</t>
  </si>
  <si>
    <t xml:space="preserve">Verbal top up captured with no order raised</t>
  </si>
  <si>
    <t xml:space="preserve">Fuel status NO_PO, overall BLOCKED. Ticket retained regardless</t>
  </si>
  <si>
    <t xml:space="preserve">Capture is never blocked by the absence of a purchase document</t>
  </si>
  <si>
    <t xml:space="preserve">TC147</t>
  </si>
  <si>
    <t xml:space="preserve">SES never created</t>
  </si>
  <si>
    <t xml:space="preserve">Service PO exists but no service entry sheet was raised</t>
  </si>
  <si>
    <t xml:space="preserve">Service status SES_MISSING, overall BLOCKED</t>
  </si>
  <si>
    <t xml:space="preserve">A half confirmed uplift is its own state, not a generic posting failure</t>
  </si>
  <si>
    <t xml:space="preserve">TC148</t>
  </si>
  <si>
    <t xml:space="preserve">Tax code from flight nature</t>
  </si>
  <si>
    <t xml:space="preserve">Two uplifts at one station, one international and one domestic</t>
  </si>
  <si>
    <t xml:space="preserve">Different tax codes resolved from flight nature. Contract default not used</t>
  </si>
  <si>
    <t xml:space="preserve">Contract default alone cannot distinguish sectors at a mixed station</t>
  </si>
  <si>
    <t xml:space="preserve">TC149</t>
  </si>
  <si>
    <t xml:space="preserve">Training flight loses exemption</t>
  </si>
  <si>
    <t xml:space="preserve">International training sector</t>
  </si>
  <si>
    <t xml:space="preserve">Service type override at rank 30 resolves to the standard code</t>
  </si>
  <si>
    <t xml:space="preserve">Exemption follows commercial air transport status, not the sector alone</t>
  </si>
  <si>
    <t xml:space="preserve">TC150</t>
  </si>
  <si>
    <t xml:space="preserve">Quotation restated</t>
  </si>
  <si>
    <t xml:space="preserve">A publication revises a previously issued assessment</t>
  </si>
  <si>
    <t xml:space="preserve">Restated flag set, original value retained, anything priced on that date reprices</t>
  </si>
  <si>
    <t xml:space="preserve">Restatement is a repricing trigger, not a data correction</t>
  </si>
  <si>
    <t xml:space="preserve">TC151</t>
  </si>
  <si>
    <t xml:space="preserve">No quote on a non business day</t>
  </si>
  <si>
    <t xml:space="preserve">Uplift on a Saturday under a daily pricing scheme</t>
  </si>
  <si>
    <t xml:space="preserve">missing_quote_policy resolves to the prior available quote</t>
  </si>
  <si>
    <t xml:space="preserve">Publication calendars must be respected, not assumed</t>
  </si>
  <si>
    <t xml:space="preserve">TC152</t>
  </si>
  <si>
    <t xml:space="preserve">Claim notified at delivery</t>
  </si>
  <si>
    <t xml:space="preserve">Claim window</t>
  </si>
  <si>
    <t xml:space="preserve">Short delivery identified and notified to the supplier at the aircraft</t>
  </si>
  <si>
    <t xml:space="preserve">Notification recorded. Written claim deadline derived from the contract window</t>
  </si>
  <si>
    <t xml:space="preserve">Notification and written claim are separate obligations with separate clocks</t>
  </si>
  <si>
    <t xml:space="preserve">TC153</t>
  </si>
  <si>
    <t xml:space="preserve">Quality claim, longer window</t>
  </si>
  <si>
    <t xml:space="preserve">Density disputed against the batch certificate</t>
  </si>
  <si>
    <t xml:space="preserve">Quality window applied, longer than the short delivery window</t>
  </si>
  <si>
    <t xml:space="preserve">Window resolves by claim type, not one figure for all disputes</t>
  </si>
  <si>
    <t xml:space="preserve">TC154</t>
  </si>
  <si>
    <t xml:space="preserve">Not notified at delivery</t>
  </si>
  <si>
    <t xml:space="preserve">Variance found after the aircraft departed, no notification given at the time</t>
  </si>
  <si>
    <t xml:space="preserve">Status AT_RISK. The right may already be impaired regardless of the written claim deadline</t>
  </si>
  <si>
    <t xml:space="preserve">Notification at delivery is a precondition, not a formality</t>
  </si>
  <si>
    <t xml:space="preserve">TC155</t>
  </si>
  <si>
    <t xml:space="preserve">Claim raised within the window</t>
  </si>
  <si>
    <t xml:space="preserve">Written claim submitted before the deadline</t>
  </si>
  <si>
    <t xml:space="preserve">Status RAISED, urgency CLOSED. Removed from the countdown</t>
  </si>
  <si>
    <t xml:space="preserve">A raised claim stops the clock</t>
  </si>
  <si>
    <t xml:space="preserve">TC156</t>
  </si>
  <si>
    <t xml:space="preserve">Window expired</t>
  </si>
  <si>
    <t xml:space="preserve">Uncontracted station, default window applied, deadline passed with no claim</t>
  </si>
  <si>
    <t xml:space="preserve">Status EXPIRED. The right is waived and the value is lost</t>
  </si>
  <si>
    <t xml:space="preserve">Expiry must be recorded as a write off, not silently closed</t>
  </si>
  <si>
    <t xml:space="preserve">TC157</t>
  </si>
  <si>
    <t xml:space="preserve">Contract window exceeds the default</t>
  </si>
  <si>
    <t xml:space="preserve">Supply contract allows sixty days for a pricing dispute</t>
  </si>
  <si>
    <t xml:space="preserve">Contract window resolves above the model agreement default</t>
  </si>
  <si>
    <t xml:space="preserve">The model agreement is a negotiating starting point, not a rule</t>
  </si>
  <si>
    <t xml:space="preserve">TC93</t>
  </si>
  <si>
    <t xml:space="preserve">Ledger chains cleanly</t>
  </si>
  <si>
    <t xml:space="preserve">Ledger</t>
  </si>
  <si>
    <t xml:space="preserve">Opening balance, uplift, then burn across one leg</t>
  </si>
  <si>
    <t xml:space="preserve">Each computed FOB matches the reported gauge within tolerance. Status BALANCED</t>
  </si>
  <si>
    <t xml:space="preserve">The chain is the check</t>
  </si>
  <si>
    <t xml:space="preserve">TC94</t>
  </si>
  <si>
    <t xml:space="preserve">Ledger chains through a tail swap</t>
  </si>
  <si>
    <t xml:space="preserve">Uplift to the original tail after the flight moved to another aircraft</t>
  </si>
  <si>
    <t xml:space="preserve">Ledger still chains on registration even though the leg link is null</t>
  </si>
  <si>
    <t xml:space="preserve">Ledger keys on tail, not on flight</t>
  </si>
  <si>
    <t xml:space="preserve">TC95</t>
  </si>
  <si>
    <t xml:space="preserve">Defuel chains as a negative event</t>
  </si>
  <si>
    <t xml:space="preserve">Fuel removed after a ramp return</t>
  </si>
  <si>
    <t xml:space="preserve">Negative quantity reduces the computed FOB and the chain still closes</t>
  </si>
  <si>
    <t xml:space="preserve">Signed quantities chain without special handling</t>
  </si>
  <si>
    <t xml:space="preserve">TC96</t>
  </si>
  <si>
    <t xml:space="preserve">Broken chain detected</t>
  </si>
  <si>
    <t xml:space="preserve">Reported gauge is 300 kg below the computed figure with no explaining event</t>
  </si>
  <si>
    <t xml:space="preserve">Status BROKEN_CHAIN. Raised as unexplained fuel for investigation</t>
  </si>
  <si>
    <t xml:space="preserve">Catches uncaptured uplifts and bad readings that per ticket checks cannot</t>
  </si>
  <si>
    <t xml:space="preserve">TC97</t>
  </si>
  <si>
    <t xml:space="preserve">Unmatched ticket still closes the ledger</t>
  </si>
  <si>
    <t xml:space="preserve">Verbal post freeze top up with no order</t>
  </si>
  <si>
    <t xml:space="preserve">Ticket enters the ledger and the chain closes despite no order linkage</t>
  </si>
  <si>
    <t xml:space="preserve">Ledger completeness is independent of order matching</t>
  </si>
  <si>
    <t xml:space="preserve">TC67</t>
  </si>
  <si>
    <t xml:space="preserve">Delta sequence gap detected</t>
  </si>
  <si>
    <t xml:space="preserve">Intraday delta stream skips a sequence number</t>
  </si>
  <si>
    <t xml:space="preserve">Gap raised on the run. Snapshot run resets the expected sequence position</t>
  </si>
  <si>
    <t xml:space="preserve">Gap detection scoped to the delta stream only</t>
  </si>
  <si>
    <t xml:space="preserve">FLIGHT_OPERATIONS  -  PK flight_leg_id  |  UK airline_code + flight_number + sched_dep_date_utc + leg_sequence  |  OOOI, stand, weight and payload fields feed burn derivation and variance analysis</t>
  </si>
  <si>
    <t xml:space="preserve">flight_leg_id</t>
  </si>
  <si>
    <t xml:space="preserve">airline_code</t>
  </si>
  <si>
    <t xml:space="preserve">flight_number</t>
  </si>
  <si>
    <t xml:space="preserve">sched_dep_date_utc</t>
  </si>
  <si>
    <t xml:space="preserve">leg_sequence</t>
  </si>
  <si>
    <t xml:space="preserve">operating_carrier</t>
  </si>
  <si>
    <t xml:space="preserve">marketing_carrier</t>
  </si>
  <si>
    <t xml:space="preserve">codeshare_numbers</t>
  </si>
  <si>
    <t xml:space="preserve">service_type</t>
  </si>
  <si>
    <t xml:space="preserve">flight_nature</t>
  </si>
  <si>
    <t xml:space="preserve">departure_station</t>
  </si>
  <si>
    <t xml:space="preserve">arrival_station</t>
  </si>
  <si>
    <t xml:space="preserve">sched_dep_station</t>
  </si>
  <si>
    <t xml:space="preserve">sched_arr_station</t>
  </si>
  <si>
    <t xml:space="preserve">route_sequence</t>
  </si>
  <si>
    <t xml:space="preserve">is_multi_leg</t>
  </si>
  <si>
    <t xml:space="preserve">std_utc</t>
  </si>
  <si>
    <t xml:space="preserve">sta_utc</t>
  </si>
  <si>
    <t xml:space="preserve">etd_utc</t>
  </si>
  <si>
    <t xml:space="preserve">eta_utc</t>
  </si>
  <si>
    <t xml:space="preserve">out_utc</t>
  </si>
  <si>
    <t xml:space="preserve">off_utc</t>
  </si>
  <si>
    <t xml:space="preserve">on_utc</t>
  </si>
  <si>
    <t xml:space="preserve">in_utc</t>
  </si>
  <si>
    <t xml:space="preserve">block_minutes</t>
  </si>
  <si>
    <t xml:space="preserve">flight_minutes</t>
  </si>
  <si>
    <t xml:space="preserve">taxi_out_minutes</t>
  </si>
  <si>
    <t xml:space="preserve">taxi_in_minutes</t>
  </si>
  <si>
    <t xml:space="preserve">aircraft_type_id</t>
  </si>
  <si>
    <t xml:space="preserve">aircraft_config_id</t>
  </si>
  <si>
    <t xml:space="preserve">planned_registration</t>
  </si>
  <si>
    <t xml:space="preserve">actual_registration</t>
  </si>
  <si>
    <t xml:space="preserve">tail_change_flag</t>
  </si>
  <si>
    <t xml:space="preserve">dep_stand</t>
  </si>
  <si>
    <t xml:space="preserve">dep_stand_type</t>
  </si>
  <si>
    <t xml:space="preserve">arr_stand</t>
  </si>
  <si>
    <t xml:space="preserve">arr_stand_type</t>
  </si>
  <si>
    <t xml:space="preserve">dep_runway</t>
  </si>
  <si>
    <t xml:space="preserve">arr_runway</t>
  </si>
  <si>
    <t xml:space="preserve">flight_status</t>
  </si>
  <si>
    <t xml:space="preserve">ops_phase</t>
  </si>
  <si>
    <t xml:space="preserve">return_type</t>
  </si>
  <si>
    <t xml:space="preserve">status_reason</t>
  </si>
  <si>
    <t xml:space="preserve">status_updated_utc</t>
  </si>
  <si>
    <t xml:space="preserve">sync_status</t>
  </si>
  <si>
    <t xml:space="preserve">pending_field_summary</t>
  </si>
  <si>
    <t xml:space="preserve">delay_code</t>
  </si>
  <si>
    <t xml:space="preserve">delay_minutes</t>
  </si>
  <si>
    <t xml:space="preserve">diversion_station</t>
  </si>
  <si>
    <t xml:space="preserve">cancellation_reason</t>
  </si>
  <si>
    <t xml:space="preserve">pax_booked</t>
  </si>
  <si>
    <t xml:space="preserve">pax_actual</t>
  </si>
  <si>
    <t xml:space="preserve">cargo_kg</t>
  </si>
  <si>
    <t xml:space="preserve">mail_kg</t>
  </si>
  <si>
    <t xml:space="preserve">bag_kg</t>
  </si>
  <si>
    <t xml:space="preserve">actual_zfw_kg</t>
  </si>
  <si>
    <t xml:space="preserve">actual_tow_kg</t>
  </si>
  <si>
    <t xml:space="preserve">actual_lw_kg</t>
  </si>
  <si>
    <t xml:space="preserve">loadsheet_ref</t>
  </si>
  <si>
    <t xml:space="preserve">cruise_level_planned</t>
  </si>
  <si>
    <t xml:space="preserve">cruise_level_flown</t>
  </si>
  <si>
    <t xml:space="preserve">alternate_planned</t>
  </si>
  <si>
    <t xml:space="preserve">alternate_used</t>
  </si>
  <si>
    <t xml:space="preserve">single_engine_taxi_flag</t>
  </si>
  <si>
    <t xml:space="preserve">deicing_flag</t>
  </si>
  <si>
    <t xml:space="preserve">apu_reported_flag</t>
  </si>
  <si>
    <t xml:space="preserve">fuel_processing_mode</t>
  </si>
  <si>
    <t xml:space="preserve">resolved_arrangement_id</t>
  </si>
  <si>
    <t xml:space="preserve">provisional_tail_flag</t>
  </si>
  <si>
    <t xml:space="preserve">fuel_reconciled_flag</t>
  </si>
  <si>
    <t xml:space="preserve">burn_capture_status</t>
  </si>
  <si>
    <t xml:space="preserve">LEG-26081401</t>
  </si>
  <si>
    <t xml:space="preserve">PR</t>
  </si>
  <si>
    <t xml:space="preserve">0126</t>
  </si>
  <si>
    <t xml:space="preserve">2026-08-14</t>
  </si>
  <si>
    <t xml:space="preserve">J</t>
  </si>
  <si>
    <t xml:space="preserve">REVENUE</t>
  </si>
  <si>
    <t xml:space="preserve">MNL</t>
  </si>
  <si>
    <t xml:space="preserve">SIN</t>
  </si>
  <si>
    <t xml:space="preserve">N</t>
  </si>
  <si>
    <t xml:space="preserve">A321</t>
  </si>
  <si>
    <t xml:space="preserve">RP-C4108</t>
  </si>
  <si>
    <t xml:space="preserve">S12</t>
  </si>
  <si>
    <t xml:space="preserve">CONTACT</t>
  </si>
  <si>
    <t xml:space="preserve">B04</t>
  </si>
  <si>
    <t xml:space="preserve">ARRIVED</t>
  </si>
  <si>
    <t xml:space="preserve">ON_BLOCKS</t>
  </si>
  <si>
    <t xml:space="preserve">CURRENT</t>
  </si>
  <si>
    <t xml:space="preserve">LS-081401</t>
  </si>
  <si>
    <t xml:space="preserve">350</t>
  </si>
  <si>
    <t xml:space="preserve">WSSS</t>
  </si>
  <si>
    <t xml:space="preserve">Y</t>
  </si>
  <si>
    <t xml:space="preserve">FULL</t>
  </si>
  <si>
    <t xml:space="preserve">CAR-01</t>
  </si>
  <si>
    <t xml:space="preserve">COMPLETE</t>
  </si>
  <si>
    <t xml:space="preserve">LEG-26081402</t>
  </si>
  <si>
    <t xml:space="preserve">0128</t>
  </si>
  <si>
    <t xml:space="preserve">RP-C4110</t>
  </si>
  <si>
    <t xml:space="preserve">S14</t>
  </si>
  <si>
    <t xml:space="preserve">B07</t>
  </si>
  <si>
    <t xml:space="preserve">LS-081402</t>
  </si>
  <si>
    <t xml:space="preserve">370</t>
  </si>
  <si>
    <t xml:space="preserve">PARTIAL</t>
  </si>
  <si>
    <t xml:space="preserve">LEG-26081403</t>
  </si>
  <si>
    <t xml:space="preserve">0130</t>
  </si>
  <si>
    <t xml:space="preserve">RP-C4112</t>
  </si>
  <si>
    <t xml:space="preserve">S09</t>
  </si>
  <si>
    <t xml:space="preserve">B02</t>
  </si>
  <si>
    <t xml:space="preserve">81</t>
  </si>
  <si>
    <t xml:space="preserve">LS-081403</t>
  </si>
  <si>
    <t xml:space="preserve">330</t>
  </si>
  <si>
    <t xml:space="preserve">LEG-26081404</t>
  </si>
  <si>
    <t xml:space="preserve">0132</t>
  </si>
  <si>
    <t xml:space="preserve">RP-C4109</t>
  </si>
  <si>
    <t xml:space="preserve">S11</t>
  </si>
  <si>
    <t xml:space="preserve">B09</t>
  </si>
  <si>
    <t xml:space="preserve">TAIL_SWAP</t>
  </si>
  <si>
    <t xml:space="preserve">41</t>
  </si>
  <si>
    <t xml:space="preserve">LS-081404</t>
  </si>
  <si>
    <t xml:space="preserve">LEG-26081405</t>
  </si>
  <si>
    <t xml:space="preserve">0102</t>
  </si>
  <si>
    <t xml:space="preserve">KE7702</t>
  </si>
  <si>
    <t xml:space="preserve">LAX</t>
  </si>
  <si>
    <t xml:space="preserve">A350-900</t>
  </si>
  <si>
    <t xml:space="preserve">RP-C3505</t>
  </si>
  <si>
    <t xml:space="preserve">S22</t>
  </si>
  <si>
    <t xml:space="preserve">T148</t>
  </si>
  <si>
    <t xml:space="preserve">LS-081405</t>
  </si>
  <si>
    <t xml:space="preserve">340</t>
  </si>
  <si>
    <t xml:space="preserve">360</t>
  </si>
  <si>
    <t xml:space="preserve">KSFO</t>
  </si>
  <si>
    <t xml:space="preserve">LEG-26081406</t>
  </si>
  <si>
    <t xml:space="preserve">0104</t>
  </si>
  <si>
    <t xml:space="preserve">2026-08-15</t>
  </si>
  <si>
    <t xml:space="preserve">RP-C3507</t>
  </si>
  <si>
    <t xml:space="preserve">89</t>
  </si>
  <si>
    <t xml:space="preserve">LS-081406</t>
  </si>
  <si>
    <t xml:space="preserve">LEG-26081407</t>
  </si>
  <si>
    <t xml:space="preserve">0134</t>
  </si>
  <si>
    <t xml:space="preserve">RP-C4114</t>
  </si>
  <si>
    <t xml:space="preserve">S07</t>
  </si>
  <si>
    <t xml:space="preserve">CANCELLED</t>
  </si>
  <si>
    <t xml:space="preserve">NOT_STARTED</t>
  </si>
  <si>
    <t xml:space="preserve">TECHNICAL</t>
  </si>
  <si>
    <t xml:space="preserve">LS-081407</t>
  </si>
  <si>
    <t xml:space="preserve">NOT_CAPTURED</t>
  </si>
  <si>
    <t xml:space="preserve">LEG-26081408</t>
  </si>
  <si>
    <t xml:space="preserve">0136</t>
  </si>
  <si>
    <t xml:space="preserve">RP-C4116</t>
  </si>
  <si>
    <t xml:space="preserve">S16</t>
  </si>
  <si>
    <t xml:space="preserve">RETURN_TO_RAMP</t>
  </si>
  <si>
    <t xml:space="preserve">RAMP</t>
  </si>
  <si>
    <t xml:space="preserve">LS-081408</t>
  </si>
  <si>
    <t xml:space="preserve">LEG-26081409</t>
  </si>
  <si>
    <t xml:space="preserve">0106</t>
  </si>
  <si>
    <t xml:space="preserve">RP-C3509</t>
  </si>
  <si>
    <t xml:space="preserve">S24</t>
  </si>
  <si>
    <t xml:space="preserve">AIR_RETURN</t>
  </si>
  <si>
    <t xml:space="preserve">AIR</t>
  </si>
  <si>
    <t xml:space="preserve">MEDICAL</t>
  </si>
  <si>
    <t xml:space="preserve">63</t>
  </si>
  <si>
    <t xml:space="preserve">LS-081409</t>
  </si>
  <si>
    <t xml:space="preserve">260</t>
  </si>
  <si>
    <t xml:space="preserve">RPLL</t>
  </si>
  <si>
    <t xml:space="preserve">LEG-26081410</t>
  </si>
  <si>
    <t xml:space="preserve">0138</t>
  </si>
  <si>
    <t xml:space="preserve">2026-08-16</t>
  </si>
  <si>
    <t xml:space="preserve">RP-C4118</t>
  </si>
  <si>
    <t xml:space="preserve">LS-081410</t>
  </si>
  <si>
    <t xml:space="preserve">LEG-26081411</t>
  </si>
  <si>
    <t xml:space="preserve">0140</t>
  </si>
  <si>
    <t xml:space="preserve">RP-C4120</t>
  </si>
  <si>
    <t xml:space="preserve">LS-081411</t>
  </si>
  <si>
    <t xml:space="preserve">ESTIMATED</t>
  </si>
  <si>
    <t xml:space="preserve">LEG-26081412</t>
  </si>
  <si>
    <t xml:space="preserve">0142</t>
  </si>
  <si>
    <t xml:space="preserve">RP-C4122</t>
  </si>
  <si>
    <t xml:space="preserve">LS-081412</t>
  </si>
  <si>
    <t xml:space="preserve">LEG-26081413</t>
  </si>
  <si>
    <t xml:space="preserve">0108</t>
  </si>
  <si>
    <t xml:space="preserve">RP-C3511</t>
  </si>
  <si>
    <t xml:space="preserve">R12</t>
  </si>
  <si>
    <t xml:space="preserve">REMOTE</t>
  </si>
  <si>
    <t xml:space="preserve">DIVERTED</t>
  </si>
  <si>
    <t xml:space="preserve">WEATHER</t>
  </si>
  <si>
    <t xml:space="preserve">71</t>
  </si>
  <si>
    <t xml:space="preserve">CEB</t>
  </si>
  <si>
    <t xml:space="preserve">LS-081413</t>
  </si>
  <si>
    <t xml:space="preserve">320</t>
  </si>
  <si>
    <t xml:space="preserve">RPVM</t>
  </si>
  <si>
    <t xml:space="preserve">LEG-26081414</t>
  </si>
  <si>
    <t xml:space="preserve">0144</t>
  </si>
  <si>
    <t xml:space="preserve">2026-08-17</t>
  </si>
  <si>
    <t xml:space="preserve">RP-C4124</t>
  </si>
  <si>
    <t xml:space="preserve">LS-081414</t>
  </si>
  <si>
    <t xml:space="preserve">LEG-26081415</t>
  </si>
  <si>
    <t xml:space="preserve">0150</t>
  </si>
  <si>
    <t xml:space="preserve">A320</t>
  </si>
  <si>
    <t xml:space="preserve">RP-C4126</t>
  </si>
  <si>
    <t xml:space="preserve">S03</t>
  </si>
  <si>
    <t xml:space="preserve">C05</t>
  </si>
  <si>
    <t xml:space="preserve">LS-081415</t>
  </si>
  <si>
    <t xml:space="preserve">RPMD</t>
  </si>
  <si>
    <t xml:space="preserve">LEG-26081416</t>
  </si>
  <si>
    <t xml:space="preserve">LS-081416</t>
  </si>
  <si>
    <t xml:space="preserve">LEG-26081417</t>
  </si>
  <si>
    <t xml:space="preserve">0152</t>
  </si>
  <si>
    <t xml:space="preserve">2026-08-18</t>
  </si>
  <si>
    <t xml:space="preserve">RP-C4128</t>
  </si>
  <si>
    <t xml:space="preserve">LS-081417</t>
  </si>
  <si>
    <t xml:space="preserve">LEG-26081418</t>
  </si>
  <si>
    <t xml:space="preserve">0154</t>
  </si>
  <si>
    <t xml:space="preserve">RP-C4130</t>
  </si>
  <si>
    <t xml:space="preserve">LS-081418</t>
  </si>
  <si>
    <t xml:space="preserve">LEG-26081419</t>
  </si>
  <si>
    <t xml:space="preserve">0156</t>
  </si>
  <si>
    <t xml:space="preserve">RP-C4132</t>
  </si>
  <si>
    <t xml:space="preserve">LS-081419</t>
  </si>
  <si>
    <t xml:space="preserve">LEG-26081420</t>
  </si>
  <si>
    <t xml:space="preserve">0158</t>
  </si>
  <si>
    <t xml:space="preserve">2026-08-19</t>
  </si>
  <si>
    <t xml:space="preserve">RP-C4134</t>
  </si>
  <si>
    <t xml:space="preserve">LS-081420</t>
  </si>
  <si>
    <t xml:space="preserve">LEG-26081421</t>
  </si>
  <si>
    <t xml:space="preserve">0160</t>
  </si>
  <si>
    <t xml:space="preserve">RP-C4136</t>
  </si>
  <si>
    <t xml:space="preserve">LS-081421</t>
  </si>
  <si>
    <t xml:space="preserve">LEG-26081422</t>
  </si>
  <si>
    <t xml:space="preserve">0110</t>
  </si>
  <si>
    <t xml:space="preserve">RP-C3513</t>
  </si>
  <si>
    <t xml:space="preserve">LS-081422</t>
  </si>
  <si>
    <t xml:space="preserve">LEG-26081423</t>
  </si>
  <si>
    <t xml:space="preserve">0162</t>
  </si>
  <si>
    <t xml:space="preserve">2026-08-20</t>
  </si>
  <si>
    <t xml:space="preserve">RP-C4138</t>
  </si>
  <si>
    <t xml:space="preserve">LS-081423</t>
  </si>
  <si>
    <t xml:space="preserve">LEG-26081424</t>
  </si>
  <si>
    <t xml:space="preserve">0164</t>
  </si>
  <si>
    <t xml:space="preserve">2026-08-21</t>
  </si>
  <si>
    <t xml:space="preserve">RP-C4140</t>
  </si>
  <si>
    <t xml:space="preserve">LS-081424</t>
  </si>
  <si>
    <t xml:space="preserve">FIELD GROUPS  -  why each group is held</t>
  </si>
  <si>
    <t xml:space="preserve">Group</t>
  </si>
  <si>
    <t xml:space="preserve">Fields</t>
  </si>
  <si>
    <t xml:space="preserve">Purpose in FuelSphere</t>
  </si>
  <si>
    <t xml:space="preserve">Identity</t>
  </si>
  <si>
    <t xml:space="preserve">carrier codes, flight number, date, leg sequence, service type</t>
  </si>
  <si>
    <t xml:space="preserve">Resolves the leg and the carrier arrangement. operating_carrier is distinct from the flight number</t>
  </si>
  <si>
    <t xml:space="preserve">OOOI</t>
  </si>
  <si>
    <t xml:space="preserve">out, off, on, in</t>
  </si>
  <si>
    <t xml:space="preserve">The four points burn is derived between. Without off and on there is no trip or taxi split</t>
  </si>
  <si>
    <t xml:space="preserve">Derived times</t>
  </si>
  <si>
    <t xml:space="preserve">block, flight, taxi out, taxi in minutes</t>
  </si>
  <si>
    <t xml:space="preserve">Ground time drives APU estimation. Taxi time explains taxi burn variance</t>
  </si>
  <si>
    <t xml:space="preserve">Stand</t>
  </si>
  <si>
    <t xml:space="preserve">dep and arr stand, stand type</t>
  </si>
  <si>
    <t xml:space="preserve">Contact versus remote determines whether APU running was avoidable</t>
  </si>
  <si>
    <t xml:space="preserve">Weight and payload</t>
  </si>
  <si>
    <t xml:space="preserve">ZFW, TOW, LW, pax, cargo</t>
  </si>
  <si>
    <t xml:space="preserve">Actual versus planned weight explains most burn variance</t>
  </si>
  <si>
    <t xml:space="preserve">Operational</t>
  </si>
  <si>
    <t xml:space="preserve">cruise level planned and flown, alternate planned and used</t>
  </si>
  <si>
    <t xml:space="preserve">Level and route deviation is the other main variance cause</t>
  </si>
  <si>
    <t xml:space="preserve">Efficiency flags</t>
  </si>
  <si>
    <t xml:space="preserve">single engine taxi, de-icing, APU reported</t>
  </si>
  <si>
    <t xml:space="preserve">Efficiency KPIs and taxi burn context</t>
  </si>
  <si>
    <t xml:space="preserve">Fuel linkage</t>
  </si>
  <si>
    <t xml:space="preserve">processing mode, arrangement, provisional tail, burn capture status</t>
  </si>
  <si>
    <t xml:space="preserve">Stamped at resolution; drives whether fuel is processed at all</t>
  </si>
  <si>
    <t xml:space="preserve">FD_FUEL_PLAN  -  PK fd_fuel_plan_id  |  UK flight_leg_id + plan_version  |  one row per plan VERSION</t>
  </si>
  <si>
    <t xml:space="preserve">fd_fuel_plan_id</t>
  </si>
  <si>
    <t xml:space="preserve">plan_group_id</t>
  </si>
  <si>
    <t xml:space="preserve">plan_version</t>
  </si>
  <si>
    <t xml:space="preserve">source_system</t>
  </si>
  <si>
    <t xml:space="preserve">ofp_reference</t>
  </si>
  <si>
    <t xml:space="preserve">registration</t>
  </si>
  <si>
    <t xml:space="preserve">fuel_unit</t>
  </si>
  <si>
    <t xml:space="preserve">trip_fuel</t>
  </si>
  <si>
    <t xml:space="preserve">contingency_fuel</t>
  </si>
  <si>
    <t xml:space="preserve">alternate_fuel</t>
  </si>
  <si>
    <t xml:space="preserve">final_reserve_fuel</t>
  </si>
  <si>
    <t xml:space="preserve">additional_fuel</t>
  </si>
  <si>
    <t xml:space="preserve">taxi_fuel</t>
  </si>
  <si>
    <t xml:space="preserve">extra_fuel</t>
  </si>
  <si>
    <t xml:space="preserve">block_fuel</t>
  </si>
  <si>
    <t xml:space="preserve">fuel_on_board</t>
  </si>
  <si>
    <t xml:space="preserve">required_uplift</t>
  </si>
  <si>
    <t xml:space="preserve">tankering_flag</t>
  </si>
  <si>
    <t xml:space="preserve">extra_reason_code</t>
  </si>
  <si>
    <t xml:space="preserve">plan_status</t>
  </si>
  <si>
    <t xml:space="preserve">change_reason</t>
  </si>
  <si>
    <t xml:space="preserve">fuelling_state_at_change</t>
  </si>
  <si>
    <t xml:space="preserve">received_utc</t>
  </si>
  <si>
    <t xml:space="preserve">FDP-0101</t>
  </si>
  <si>
    <t xml:space="preserve">PLG-101</t>
  </si>
  <si>
    <t xml:space="preserve">LIDO</t>
  </si>
  <si>
    <t xml:space="preserve">PR126/14AUG/01</t>
  </si>
  <si>
    <t xml:space="preserve">KG</t>
  </si>
  <si>
    <t xml:space="preserve">ACTIVE</t>
  </si>
  <si>
    <t xml:space="preserve">2026-08-14T02:14Z</t>
  </si>
  <si>
    <t xml:space="preserve">FDP-0201</t>
  </si>
  <si>
    <t xml:space="preserve">PLG-201</t>
  </si>
  <si>
    <t xml:space="preserve">PR128/14AUG/01</t>
  </si>
  <si>
    <t xml:space="preserve">SUPERSEDED</t>
  </si>
  <si>
    <t xml:space="preserve">2026-08-14T07:10Z</t>
  </si>
  <si>
    <t xml:space="preserve">FDP-0202</t>
  </si>
  <si>
    <t xml:space="preserve">PR128/14AUG/02</t>
  </si>
  <si>
    <t xml:space="preserve">PAYLOAD_INCREASE</t>
  </si>
  <si>
    <t xml:space="preserve">2026-08-14T08:05Z</t>
  </si>
  <si>
    <t xml:space="preserve">FDP-0301</t>
  </si>
  <si>
    <t xml:space="preserve">PLG-301</t>
  </si>
  <si>
    <t xml:space="preserve">PR130/14AUG/01</t>
  </si>
  <si>
    <t xml:space="preserve">2026-08-14T11:00Z</t>
  </si>
  <si>
    <t xml:space="preserve">FDP-0302</t>
  </si>
  <si>
    <t xml:space="preserve">PR130/14AUG/02</t>
  </si>
  <si>
    <t xml:space="preserve">OPS</t>
  </si>
  <si>
    <t xml:space="preserve">ATC_REROUTE</t>
  </si>
  <si>
    <t xml:space="preserve">COMPLETED</t>
  </si>
  <si>
    <t xml:space="preserve">2026-08-14T13:22Z</t>
  </si>
  <si>
    <t xml:space="preserve">FDP-0401</t>
  </si>
  <si>
    <t xml:space="preserve">PLG-401</t>
  </si>
  <si>
    <t xml:space="preserve">PR132/14AUG/01</t>
  </si>
  <si>
    <t xml:space="preserve">2026-08-14T14:00Z</t>
  </si>
  <si>
    <t xml:space="preserve">FDP-0402</t>
  </si>
  <si>
    <t xml:space="preserve">PR132/14AUG/02</t>
  </si>
  <si>
    <t xml:space="preserve">2026-08-14T16:38Z</t>
  </si>
  <si>
    <t xml:space="preserve">FDP-0501</t>
  </si>
  <si>
    <t xml:space="preserve">PLG-501</t>
  </si>
  <si>
    <t xml:space="preserve">PR102/14AUG/01</t>
  </si>
  <si>
    <t xml:space="preserve">2026-08-14T09:10Z</t>
  </si>
  <si>
    <t xml:space="preserve">FDP-0601</t>
  </si>
  <si>
    <t xml:space="preserve">PLG-601</t>
  </si>
  <si>
    <t xml:space="preserve">PR104/15AUG/01</t>
  </si>
  <si>
    <t xml:space="preserve">2026-08-15T09:10Z</t>
  </si>
  <si>
    <t xml:space="preserve">FDP-0602</t>
  </si>
  <si>
    <t xml:space="preserve">PR104/15AUG/02</t>
  </si>
  <si>
    <t xml:space="preserve">ALTERNATE_CHANGE</t>
  </si>
  <si>
    <t xml:space="preserve">IN_PROGRESS</t>
  </si>
  <si>
    <t xml:space="preserve">2026-08-15T11:48Z</t>
  </si>
  <si>
    <t xml:space="preserve">FDP-0701</t>
  </si>
  <si>
    <t xml:space="preserve">PLG-701</t>
  </si>
  <si>
    <t xml:space="preserve">PR134/15AUG/01</t>
  </si>
  <si>
    <t xml:space="preserve">FLIGHT_CANCELLED</t>
  </si>
  <si>
    <t xml:space="preserve">2026-08-15T02:20Z</t>
  </si>
  <si>
    <t xml:space="preserve">FDP-0801</t>
  </si>
  <si>
    <t xml:space="preserve">PLG-801</t>
  </si>
  <si>
    <t xml:space="preserve">PR136/15AUG/01</t>
  </si>
  <si>
    <t xml:space="preserve">2026-08-15T07:10Z</t>
  </si>
  <si>
    <t xml:space="preserve">FDP-0802</t>
  </si>
  <si>
    <t xml:space="preserve">PR136/15AUG/02</t>
  </si>
  <si>
    <t xml:space="preserve">2026-08-15T11:40Z</t>
  </si>
  <si>
    <t xml:space="preserve">FDP-0901</t>
  </si>
  <si>
    <t xml:space="preserve">PLG-901</t>
  </si>
  <si>
    <t xml:space="preserve">PR106/15AUG/01</t>
  </si>
  <si>
    <t xml:space="preserve">FDP-1001</t>
  </si>
  <si>
    <t xml:space="preserve">PLG-1001</t>
  </si>
  <si>
    <t xml:space="preserve">PR138/16AUG/01</t>
  </si>
  <si>
    <t xml:space="preserve">2026-08-16T02:14Z</t>
  </si>
  <si>
    <t xml:space="preserve">FDP-1101</t>
  </si>
  <si>
    <t xml:space="preserve">PLG-1101</t>
  </si>
  <si>
    <t xml:space="preserve">PR140/16AUG/01</t>
  </si>
  <si>
    <t xml:space="preserve">2026-08-16T07:00Z</t>
  </si>
  <si>
    <t xml:space="preserve">FDP-1102</t>
  </si>
  <si>
    <t xml:space="preserve">PR140/16AUG/02</t>
  </si>
  <si>
    <t xml:space="preserve">CMD_WX_HOLDING</t>
  </si>
  <si>
    <t xml:space="preserve">CAPTAIN_REQUEST</t>
  </si>
  <si>
    <t xml:space="preserve">2026-08-16T08:15Z</t>
  </si>
  <si>
    <t xml:space="preserve">FDP-1201</t>
  </si>
  <si>
    <t xml:space="preserve">PLG-1201</t>
  </si>
  <si>
    <t xml:space="preserve">PR142/16AUG/01</t>
  </si>
  <si>
    <t xml:space="preserve">2026-08-16T11:00Z</t>
  </si>
  <si>
    <t xml:space="preserve">FDP-1301</t>
  </si>
  <si>
    <t xml:space="preserve">PLG-1301</t>
  </si>
  <si>
    <t xml:space="preserve">PR108/16AUG/01</t>
  </si>
  <si>
    <t xml:space="preserve">2026-08-16T09:10Z</t>
  </si>
  <si>
    <t xml:space="preserve">FDP-1401</t>
  </si>
  <si>
    <t xml:space="preserve">PLG-1401</t>
  </si>
  <si>
    <t xml:space="preserve">PR144/17AUG/01</t>
  </si>
  <si>
    <t xml:space="preserve">TANKERING</t>
  </si>
  <si>
    <t xml:space="preserve">2026-08-17T02:14Z</t>
  </si>
  <si>
    <t xml:space="preserve">FDP-1501</t>
  </si>
  <si>
    <t xml:space="preserve">PLG-1501</t>
  </si>
  <si>
    <t xml:space="preserve">PR150/17AUG/01</t>
  </si>
  <si>
    <t xml:space="preserve">2026-08-17T02:00Z</t>
  </si>
  <si>
    <t xml:space="preserve">FDP-1601</t>
  </si>
  <si>
    <t xml:space="preserve">PLG-1601</t>
  </si>
  <si>
    <t xml:space="preserve">PR150/17AUG/03</t>
  </si>
  <si>
    <t xml:space="preserve">2026-08-17T11:00Z</t>
  </si>
  <si>
    <t xml:space="preserve">FDP-1701</t>
  </si>
  <si>
    <t xml:space="preserve">PLG-1701</t>
  </si>
  <si>
    <t xml:space="preserve">PR152/18AUG/01</t>
  </si>
  <si>
    <t xml:space="preserve">2026-08-18T02:14Z</t>
  </si>
  <si>
    <t xml:space="preserve">FDP-1801</t>
  </si>
  <si>
    <t xml:space="preserve">PLG-1801</t>
  </si>
  <si>
    <t xml:space="preserve">PR154/18AUG/01</t>
  </si>
  <si>
    <t xml:space="preserve">2026-08-18T07:10Z</t>
  </si>
  <si>
    <t xml:space="preserve">FDP-1901</t>
  </si>
  <si>
    <t xml:space="preserve">PLG-1901</t>
  </si>
  <si>
    <t xml:space="preserve">PR156/18AUG/01</t>
  </si>
  <si>
    <t xml:space="preserve">2026-08-18T11:00Z</t>
  </si>
  <si>
    <t xml:space="preserve">FDP-2001</t>
  </si>
  <si>
    <t xml:space="preserve">PLG-2001</t>
  </si>
  <si>
    <t xml:space="preserve">PR158/19AUG/01</t>
  </si>
  <si>
    <t xml:space="preserve">SLOT_DELAY</t>
  </si>
  <si>
    <t xml:space="preserve">2026-08-19T04:40Z</t>
  </si>
  <si>
    <t xml:space="preserve">FDP-2101</t>
  </si>
  <si>
    <t xml:space="preserve">PLG-2101</t>
  </si>
  <si>
    <t xml:space="preserve">PR160/19AUG/01</t>
  </si>
  <si>
    <t xml:space="preserve">2026-08-19T07:10Z</t>
  </si>
  <si>
    <t xml:space="preserve">FDP-2201</t>
  </si>
  <si>
    <t xml:space="preserve">PLG-2201</t>
  </si>
  <si>
    <t xml:space="preserve">PR110/19AUG/01</t>
  </si>
  <si>
    <t xml:space="preserve">2026-08-19T09:10Z</t>
  </si>
  <si>
    <t xml:space="preserve">FDP-2301</t>
  </si>
  <si>
    <t xml:space="preserve">PLG-2301</t>
  </si>
  <si>
    <t xml:space="preserve">PR162/20AUG/01</t>
  </si>
  <si>
    <t xml:space="preserve">2026-08-20T02:14Z</t>
  </si>
  <si>
    <t xml:space="preserve">FDP-2401</t>
  </si>
  <si>
    <t xml:space="preserve">PLG-2401</t>
  </si>
  <si>
    <t xml:space="preserve">PR164/21AUG/01</t>
  </si>
  <si>
    <t xml:space="preserve">2026-08-21T02:14Z</t>
  </si>
  <si>
    <t xml:space="preserve">FUEL_ORDER  -  PK fuel_order_id  |  UK order_number + order_version  |  delivered_qty summed from tickets; fulfilment checked at order level</t>
  </si>
  <si>
    <t xml:space="preserve">fuel_order_id</t>
  </si>
  <si>
    <t xml:space="preserve">order_number</t>
  </si>
  <si>
    <t xml:space="preserve">order_version</t>
  </si>
  <si>
    <t xml:space="preserve">station</t>
  </si>
  <si>
    <t xml:space="preserve">supplier_code</t>
  </si>
  <si>
    <t xml:space="preserve">ordered_qty</t>
  </si>
  <si>
    <t xml:space="preserve">order_unit</t>
  </si>
  <si>
    <t xml:space="preserve">order_type</t>
  </si>
  <si>
    <t xml:space="preserve">delivered_qty</t>
  </si>
  <si>
    <t xml:space="preserve">ticket_count</t>
  </si>
  <si>
    <t xml:space="preserve">variance_qty</t>
  </si>
  <si>
    <t xml:space="preserve">variance_pct</t>
  </si>
  <si>
    <t xml:space="preserve">tolerance_qty</t>
  </si>
  <si>
    <t xml:space="preserve">fulfilment_check</t>
  </si>
  <si>
    <t xml:space="preserve">order_status</t>
  </si>
  <si>
    <t xml:space="preserve">under_delivery_reason</t>
  </si>
  <si>
    <t xml:space="preserve">freeze_flag</t>
  </si>
  <si>
    <t xml:space="preserve">sent_utc</t>
  </si>
  <si>
    <t xml:space="preserve">ORD-1001</t>
  </si>
  <si>
    <t xml:space="preserve">PR/MNL/140826/0126</t>
  </si>
  <si>
    <t xml:space="preserve">PPC</t>
  </si>
  <si>
    <t xml:space="preserve">INITIAL</t>
  </si>
  <si>
    <t xml:space="preserve">FULFILLED</t>
  </si>
  <si>
    <t xml:space="preserve">2026-08-14T02:30Z</t>
  </si>
  <si>
    <t xml:space="preserve">ORD-1002</t>
  </si>
  <si>
    <t xml:space="preserve">PR/MNL/140826/0128</t>
  </si>
  <si>
    <t xml:space="preserve">2026-08-14T07:25Z</t>
  </si>
  <si>
    <t xml:space="preserve">ORD-1003</t>
  </si>
  <si>
    <t xml:space="preserve">AMENDMENT</t>
  </si>
  <si>
    <t xml:space="preserve">2026-08-14T08:20Z</t>
  </si>
  <si>
    <t xml:space="preserve">ORD-1004</t>
  </si>
  <si>
    <t xml:space="preserve">PR/MNL/140826/0130</t>
  </si>
  <si>
    <t xml:space="preserve">2026-08-14T11:15Z</t>
  </si>
  <si>
    <t xml:space="preserve">ORD-1005</t>
  </si>
  <si>
    <t xml:space="preserve">PR/MNL/140826/0130-T</t>
  </si>
  <si>
    <t xml:space="preserve">TOP_UP</t>
  </si>
  <si>
    <t xml:space="preserve">2026-08-14T13:30Z</t>
  </si>
  <si>
    <t xml:space="preserve">ORD-1006</t>
  </si>
  <si>
    <t xml:space="preserve">PR/MNL/140826/0132</t>
  </si>
  <si>
    <t xml:space="preserve">2026-08-14T14:15Z</t>
  </si>
  <si>
    <t xml:space="preserve">ORD-1007</t>
  </si>
  <si>
    <t xml:space="preserve">PR/MNL/140826/0132-S</t>
  </si>
  <si>
    <t xml:space="preserve">2026-08-14T16:50Z</t>
  </si>
  <si>
    <t xml:space="preserve">ORD-1008</t>
  </si>
  <si>
    <t xml:space="preserve">PR/MNL/140826/0102</t>
  </si>
  <si>
    <t xml:space="preserve">2026-08-14T09:25Z</t>
  </si>
  <si>
    <t xml:space="preserve">ORD-1009</t>
  </si>
  <si>
    <t xml:space="preserve">PR/MNL/150826/0104</t>
  </si>
  <si>
    <t xml:space="preserve">PART_FULFILLED</t>
  </si>
  <si>
    <t xml:space="preserve">FUELLING_INTERRUPTED_BY_REPLAN</t>
  </si>
  <si>
    <t xml:space="preserve">2026-08-15T09:25Z</t>
  </si>
  <si>
    <t xml:space="preserve">ORD-1010</t>
  </si>
  <si>
    <t xml:space="preserve">PR/MNL/150826/0104-T</t>
  </si>
  <si>
    <t xml:space="preserve">2026-08-15T11:55Z</t>
  </si>
  <si>
    <t xml:space="preserve">ORD-1011</t>
  </si>
  <si>
    <t xml:space="preserve">PR/MNL/150826/0134</t>
  </si>
  <si>
    <t xml:space="preserve">2026-08-15T02:35Z</t>
  </si>
  <si>
    <t xml:space="preserve">ORD-1012</t>
  </si>
  <si>
    <t xml:space="preserve">PR/MNL/150826/0136</t>
  </si>
  <si>
    <t xml:space="preserve">2026-08-15T07:25Z</t>
  </si>
  <si>
    <t xml:space="preserve">ORD-1013</t>
  </si>
  <si>
    <t xml:space="preserve">PR/MNL/150826/0136-D</t>
  </si>
  <si>
    <t xml:space="preserve">DEFUEL</t>
  </si>
  <si>
    <t xml:space="preserve">2026-08-15T11:50Z</t>
  </si>
  <si>
    <t xml:space="preserve">ORD-1014</t>
  </si>
  <si>
    <t xml:space="preserve">PR/MNL/150826/0106</t>
  </si>
  <si>
    <t xml:space="preserve">ORD-1015</t>
  </si>
  <si>
    <t xml:space="preserve">PR/MNL/160826/0140</t>
  </si>
  <si>
    <t xml:space="preserve">2026-08-16T08:30Z</t>
  </si>
  <si>
    <t xml:space="preserve">ORD-1016</t>
  </si>
  <si>
    <t xml:space="preserve">PR/MNL/160826/0142</t>
  </si>
  <si>
    <t xml:space="preserve">2026-08-16T11:15Z</t>
  </si>
  <si>
    <t xml:space="preserve">ORD-1017</t>
  </si>
  <si>
    <t xml:space="preserve">PR/MNL/160826/0108</t>
  </si>
  <si>
    <t xml:space="preserve">2026-08-16T09:25Z</t>
  </si>
  <si>
    <t xml:space="preserve">ORD-1018</t>
  </si>
  <si>
    <t xml:space="preserve">PR/MNL/170826/0144</t>
  </si>
  <si>
    <t xml:space="preserve">2026-08-17T02:30Z</t>
  </si>
  <si>
    <t xml:space="preserve">ORD-1019</t>
  </si>
  <si>
    <t xml:space="preserve">PR/MNL/170826/0150-L1</t>
  </si>
  <si>
    <t xml:space="preserve">2026-08-17T02:20Z</t>
  </si>
  <si>
    <t xml:space="preserve">ORD-1020</t>
  </si>
  <si>
    <t xml:space="preserve">PR/MNL/170826/0150-L2</t>
  </si>
  <si>
    <t xml:space="preserve">2026-08-17T11:20Z</t>
  </si>
  <si>
    <t xml:space="preserve">ORD-1021</t>
  </si>
  <si>
    <t xml:space="preserve">PR/MNL/180826/0152</t>
  </si>
  <si>
    <t xml:space="preserve">2026-08-18T02:30Z</t>
  </si>
  <si>
    <t xml:space="preserve">ORD-1022</t>
  </si>
  <si>
    <t xml:space="preserve">PR/MNL/180826/0154</t>
  </si>
  <si>
    <t xml:space="preserve">2026-08-18T07:25Z</t>
  </si>
  <si>
    <t xml:space="preserve">ORD-1023</t>
  </si>
  <si>
    <t xml:space="preserve">PR/MNL/180826/0156</t>
  </si>
  <si>
    <t xml:space="preserve">2026-08-18T11:15Z</t>
  </si>
  <si>
    <t xml:space="preserve">ORD-1024</t>
  </si>
  <si>
    <t xml:space="preserve">PR/MNL/190826/0158</t>
  </si>
  <si>
    <t xml:space="preserve">2026-08-19T04:55Z</t>
  </si>
  <si>
    <t xml:space="preserve">ORD-1025</t>
  </si>
  <si>
    <t xml:space="preserve">PR/MNL/190826/0160</t>
  </si>
  <si>
    <t xml:space="preserve">2026-08-19T07:25Z</t>
  </si>
  <si>
    <t xml:space="preserve">ORD-1026</t>
  </si>
  <si>
    <t xml:space="preserve">PR/MNL/190826/0110</t>
  </si>
  <si>
    <t xml:space="preserve">2026-08-19T09:25Z</t>
  </si>
  <si>
    <t xml:space="preserve">ORD-1027</t>
  </si>
  <si>
    <t xml:space="preserve">PR/MNL/200826/0162</t>
  </si>
  <si>
    <t xml:space="preserve">2026-08-20T02:30Z</t>
  </si>
  <si>
    <t xml:space="preserve">ORD-1028</t>
  </si>
  <si>
    <t xml:space="preserve">PR/MNL/210826/0164</t>
  </si>
  <si>
    <t xml:space="preserve">2026-08-21T02:30Z</t>
  </si>
  <si>
    <t xml:space="preserve">FUEL_TICKET (fuel event)  -  PK ticket_id  |  UK supplier_code + station + supplier_ticket_no + uplift_date  |  order and plan FKs are NULLABLE</t>
  </si>
  <si>
    <t xml:space="preserve">ticket_id</t>
  </si>
  <si>
    <t xml:space="preserve">into_plane_agent_code</t>
  </si>
  <si>
    <t xml:space="preserve">supplier_ticket_no</t>
  </si>
  <si>
    <t xml:space="preserve">uplift_date</t>
  </si>
  <si>
    <t xml:space="preserve">event_type</t>
  </si>
  <si>
    <t xml:space="preserve">uplift_sequence</t>
  </si>
  <si>
    <t xml:space="preserve">is_partial</t>
  </si>
  <si>
    <t xml:space="preserve">fuel_grade</t>
  </si>
  <si>
    <t xml:space="preserve">saf_blend_pct</t>
  </si>
  <si>
    <t xml:space="preserve">delivery_method</t>
  </si>
  <si>
    <t xml:space="preserve">bowser_id</t>
  </si>
  <si>
    <t xml:space="preserve">meter_start</t>
  </si>
  <si>
    <t xml:space="preserve">meter_end</t>
  </si>
  <si>
    <t xml:space="preserve">quantity_litres</t>
  </si>
  <si>
    <t xml:space="preserve">density_kg_per_l</t>
  </si>
  <si>
    <t xml:space="preserve">density_temp_c</t>
  </si>
  <si>
    <t xml:space="preserve">batch_coa_ref</t>
  </si>
  <si>
    <t xml:space="preserve">quantity_kg_manual</t>
  </si>
  <si>
    <t xml:space="preserve">quantity_kg</t>
  </si>
  <si>
    <t xml:space="preserve">fob_before_kg</t>
  </si>
  <si>
    <t xml:space="preserve">fob_after_kg</t>
  </si>
  <si>
    <t xml:space="preserve">fob_delta_kg</t>
  </si>
  <si>
    <t xml:space="preserve">recon_variance_kg</t>
  </si>
  <si>
    <t xml:space="preserve">recon_status</t>
  </si>
  <si>
    <t xml:space="preserve">water_check_result</t>
  </si>
  <si>
    <t xml:space="preserve">uplift_start_utc</t>
  </si>
  <si>
    <t xml:space="preserve">uplift_end_utc</t>
  </si>
  <si>
    <t xml:space="preserve">fueller_id</t>
  </si>
  <si>
    <t xml:space="preserve">receiver_signature_ref</t>
  </si>
  <si>
    <t xml:space="preserve">match_status</t>
  </si>
  <si>
    <t xml:space="preserve">cost_allocation_basis</t>
  </si>
  <si>
    <t xml:space="preserve">ticket_source</t>
  </si>
  <si>
    <t xml:space="preserve">raw_payload_ref</t>
  </si>
  <si>
    <t xml:space="preserve">created_by</t>
  </si>
  <si>
    <t xml:space="preserve">created_utc</t>
  </si>
  <si>
    <t xml:space="preserve">changed_by</t>
  </si>
  <si>
    <t xml:space="preserve">changed_utc</t>
  </si>
  <si>
    <t xml:space="preserve">notes</t>
  </si>
  <si>
    <t xml:space="preserve">TK-2001</t>
  </si>
  <si>
    <t xml:space="preserve">PPC-IPA</t>
  </si>
  <si>
    <t xml:space="preserve">880101</t>
  </si>
  <si>
    <t xml:space="preserve">UPLIFT</t>
  </si>
  <si>
    <t xml:space="preserve">JET_A1</t>
  </si>
  <si>
    <t xml:space="preserve">HYDRANT</t>
  </si>
  <si>
    <t xml:space="preserve">BW-11</t>
  </si>
  <si>
    <t xml:space="preserve">COA-PPC-8000</t>
  </si>
  <si>
    <t xml:space="preserve">PASS</t>
  </si>
  <si>
    <t xml:space="preserve">2026-08-14T03:40:00Z</t>
  </si>
  <si>
    <t xml:space="preserve">2026-08-14T04:05:00Z</t>
  </si>
  <si>
    <t xml:space="preserve">FL-100</t>
  </si>
  <si>
    <t xml:space="preserve">SIG-880101</t>
  </si>
  <si>
    <t xml:space="preserve">MATCHED</t>
  </si>
  <si>
    <t xml:space="preserve">FLIGHT_LEG</t>
  </si>
  <si>
    <t xml:space="preserve">EDI</t>
  </si>
  <si>
    <t xml:space="preserve">RAW-T9000</t>
  </si>
  <si>
    <t xml:space="preserve">IF_INTERFACE</t>
  </si>
  <si>
    <t xml:space="preserve">2026-08-14T2026-08-14T03:40:00ZZ</t>
  </si>
  <si>
    <t xml:space="preserve">TK-2002</t>
  </si>
  <si>
    <t xml:space="preserve">880115</t>
  </si>
  <si>
    <t xml:space="preserve">COA-PPC-8001</t>
  </si>
  <si>
    <t xml:space="preserve">2026-08-14T09:10:00Z</t>
  </si>
  <si>
    <t xml:space="preserve">2026-08-14T09:36:00Z</t>
  </si>
  <si>
    <t xml:space="preserve">FL-101</t>
  </si>
  <si>
    <t xml:space="preserve">SIG-880115</t>
  </si>
  <si>
    <t xml:space="preserve">RAW-T9001</t>
  </si>
  <si>
    <t xml:space="preserve">2026-08-14T2026-08-14T09:10:00ZZ</t>
  </si>
  <si>
    <t xml:space="preserve">Uplift against amended order v2</t>
  </si>
  <si>
    <t xml:space="preserve">TK-2003</t>
  </si>
  <si>
    <t xml:space="preserve">880131</t>
  </si>
  <si>
    <t xml:space="preserve">BOWSER</t>
  </si>
  <si>
    <t xml:space="preserve">BW-09</t>
  </si>
  <si>
    <t xml:space="preserve">COA-PPC-8002</t>
  </si>
  <si>
    <t xml:space="preserve">2026-08-14T12:20:00Z</t>
  </si>
  <si>
    <t xml:space="preserve">2026-08-14T12:48:00Z</t>
  </si>
  <si>
    <t xml:space="preserve">FL-102</t>
  </si>
  <si>
    <t xml:space="preserve">SIG-880131</t>
  </si>
  <si>
    <t xml:space="preserve">RAW-T9002</t>
  </si>
  <si>
    <t xml:space="preserve">2026-08-14T2026-08-14T12:20:00ZZ</t>
  </si>
  <si>
    <t xml:space="preserve">Initial uplift against plan v1</t>
  </si>
  <si>
    <t xml:space="preserve">TK-2004</t>
  </si>
  <si>
    <t xml:space="preserve">880140</t>
  </si>
  <si>
    <t xml:space="preserve">COA-PPC-8003</t>
  </si>
  <si>
    <t xml:space="preserve">2026-08-14T13:50:00Z</t>
  </si>
  <si>
    <t xml:space="preserve">2026-08-14T14:02:00Z</t>
  </si>
  <si>
    <t xml:space="preserve">FL-103</t>
  </si>
  <si>
    <t xml:space="preserve">SIG-880140</t>
  </si>
  <si>
    <t xml:space="preserve">RAW-T9003</t>
  </si>
  <si>
    <t xml:space="preserve">2026-08-14T2026-08-14T13:50:00ZZ</t>
  </si>
  <si>
    <t xml:space="preserve">Top-up after re-plan; delta only</t>
  </si>
  <si>
    <t xml:space="preserve">TK-2005</t>
  </si>
  <si>
    <t xml:space="preserve">880155</t>
  </si>
  <si>
    <t xml:space="preserve">BW-14</t>
  </si>
  <si>
    <t xml:space="preserve">COA-PPC-8004</t>
  </si>
  <si>
    <t xml:space="preserve">2026-08-14T15:05:00Z</t>
  </si>
  <si>
    <t xml:space="preserve">2026-08-14T15:33:00Z</t>
  </si>
  <si>
    <t xml:space="preserve">FL-104</t>
  </si>
  <si>
    <t xml:space="preserve">SIG-880155</t>
  </si>
  <si>
    <t xml:space="preserve">UNMATCHED</t>
  </si>
  <si>
    <t xml:space="preserve">AIRCRAFT</t>
  </si>
  <si>
    <t xml:space="preserve">RAW-T9004</t>
  </si>
  <si>
    <t xml:space="preserve">2026-08-14T2026-08-14T15:05:00ZZ</t>
  </si>
  <si>
    <t xml:space="preserve">Fuel stays with original tail after swap</t>
  </si>
  <si>
    <t xml:space="preserve">TK-2006</t>
  </si>
  <si>
    <t xml:space="preserve">880162</t>
  </si>
  <si>
    <t xml:space="preserve">COA-PPC-8005</t>
  </si>
  <si>
    <t xml:space="preserve">2026-08-14T17:20:00Z</t>
  </si>
  <si>
    <t xml:space="preserve">2026-08-14T17:41:00Z</t>
  </si>
  <si>
    <t xml:space="preserve">FL-105</t>
  </si>
  <si>
    <t xml:space="preserve">SIG-880162</t>
  </si>
  <si>
    <t xml:space="preserve">RAW-T9005</t>
  </si>
  <si>
    <t xml:space="preserve">2026-08-14T2026-08-14T17:20:00ZZ</t>
  </si>
  <si>
    <t xml:space="preserve">Uplift to replacement tail</t>
  </si>
  <si>
    <t xml:space="preserve">TK-2007</t>
  </si>
  <si>
    <t xml:space="preserve">880201</t>
  </si>
  <si>
    <t xml:space="preserve">COA-PPC-8006</t>
  </si>
  <si>
    <t xml:space="preserve">2026-08-14T09:55:00Z</t>
  </si>
  <si>
    <t xml:space="preserve">2026-08-14T11:05:00Z</t>
  </si>
  <si>
    <t xml:space="preserve">FL-106</t>
  </si>
  <si>
    <t xml:space="preserve">SIG-880201</t>
  </si>
  <si>
    <t xml:space="preserve">RAW-T9006</t>
  </si>
  <si>
    <t xml:space="preserve">2026-08-14T2026-08-14T09:55:00ZZ</t>
  </si>
  <si>
    <t xml:space="preserve">Bowser 1 of 2</t>
  </si>
  <si>
    <t xml:space="preserve">TK-2008</t>
  </si>
  <si>
    <t xml:space="preserve">880202</t>
  </si>
  <si>
    <t xml:space="preserve">COA-PPC-8007</t>
  </si>
  <si>
    <t xml:space="preserve">2026-08-14T11:20:00Z</t>
  </si>
  <si>
    <t xml:space="preserve">2026-08-14T12:15:00Z</t>
  </si>
  <si>
    <t xml:space="preserve">FL-107</t>
  </si>
  <si>
    <t xml:space="preserve">SIG-880202</t>
  </si>
  <si>
    <t xml:space="preserve">RAW-T9007</t>
  </si>
  <si>
    <t xml:space="preserve">2026-08-14T2026-08-14T11:20:00ZZ</t>
  </si>
  <si>
    <t xml:space="preserve">Bowser 2 of 2; same order</t>
  </si>
  <si>
    <t xml:space="preserve">TK-2009</t>
  </si>
  <si>
    <t xml:space="preserve">880231</t>
  </si>
  <si>
    <t xml:space="preserve">COA-PPC-8008</t>
  </si>
  <si>
    <t xml:space="preserve">2026-08-15T09:55:00Z</t>
  </si>
  <si>
    <t xml:space="preserve">2026-08-15T11:05:00Z</t>
  </si>
  <si>
    <t xml:space="preserve">FL-108</t>
  </si>
  <si>
    <t xml:space="preserve">SIG-880231</t>
  </si>
  <si>
    <t xml:space="preserve">RAW-T9008</t>
  </si>
  <si>
    <t xml:space="preserve">2026-08-15T2026-08-15T09:55:00ZZ</t>
  </si>
  <si>
    <t xml:space="preserve">Bowser 1; interrupted at 11:05</t>
  </si>
  <si>
    <t xml:space="preserve">TK-2010</t>
  </si>
  <si>
    <t xml:space="preserve">880232</t>
  </si>
  <si>
    <t xml:space="preserve">COA-PPC-8009</t>
  </si>
  <si>
    <t xml:space="preserve">2026-08-15T11:20:00Z</t>
  </si>
  <si>
    <t xml:space="preserve">2026-08-15T11:38:00Z</t>
  </si>
  <si>
    <t xml:space="preserve">FL-109</t>
  </si>
  <si>
    <t xml:space="preserve">SIG-880232</t>
  </si>
  <si>
    <t xml:space="preserve">RAW-T9009</t>
  </si>
  <si>
    <t xml:space="preserve">2026-08-15T2026-08-15T11:20:00ZZ</t>
  </si>
  <si>
    <t xml:space="preserve">Partial before re-plan; order under-delivered</t>
  </si>
  <si>
    <t xml:space="preserve">TK-2011</t>
  </si>
  <si>
    <t xml:space="preserve">880255</t>
  </si>
  <si>
    <t xml:space="preserve">COA-PPC-8010</t>
  </si>
  <si>
    <t xml:space="preserve">2026-08-15T12:04:00Z</t>
  </si>
  <si>
    <t xml:space="preserve">2026-08-15T12:58:00Z</t>
  </si>
  <si>
    <t xml:space="preserve">FL-110</t>
  </si>
  <si>
    <t xml:space="preserve">SIG-880255</t>
  </si>
  <si>
    <t xml:space="preserve">RAW-T9010</t>
  </si>
  <si>
    <t xml:space="preserve">2026-08-15T2026-08-15T12:04:00ZZ</t>
  </si>
  <si>
    <t xml:space="preserve">Balance under new order</t>
  </si>
  <si>
    <t xml:space="preserve">TK-2012</t>
  </si>
  <si>
    <t xml:space="preserve">880301</t>
  </si>
  <si>
    <t xml:space="preserve">COA-PPC-8011</t>
  </si>
  <si>
    <t xml:space="preserve">2026-08-15T03:40:00Z</t>
  </si>
  <si>
    <t xml:space="preserve">2026-08-15T04:08:00Z</t>
  </si>
  <si>
    <t xml:space="preserve">FL-111</t>
  </si>
  <si>
    <t xml:space="preserve">SIG-880301</t>
  </si>
  <si>
    <t xml:space="preserve">RAW-T9011</t>
  </si>
  <si>
    <t xml:space="preserve">2026-08-15T2026-08-15T03:40:00ZZ</t>
  </si>
  <si>
    <t xml:space="preserve">Flight cancelled after uplift; fuel billable</t>
  </si>
  <si>
    <t xml:space="preserve">TK-2013</t>
  </si>
  <si>
    <t xml:space="preserve">880321</t>
  </si>
  <si>
    <t xml:space="preserve">COA-PPC-8012</t>
  </si>
  <si>
    <t xml:space="preserve">2026-08-15T09:20:00Z</t>
  </si>
  <si>
    <t xml:space="preserve">2026-08-15T09:48:00Z</t>
  </si>
  <si>
    <t xml:space="preserve">FL-112</t>
  </si>
  <si>
    <t xml:space="preserve">SIG-880321</t>
  </si>
  <si>
    <t xml:space="preserve">RAW-T9012</t>
  </si>
  <si>
    <t xml:space="preserve">2026-08-15T2026-08-15T09:20:00ZZ</t>
  </si>
  <si>
    <t xml:space="preserve">Initial uplift</t>
  </si>
  <si>
    <t xml:space="preserve">TK-2014</t>
  </si>
  <si>
    <t xml:space="preserve">880340</t>
  </si>
  <si>
    <t xml:space="preserve">COA-PPC-8013</t>
  </si>
  <si>
    <t xml:space="preserve">2026-08-15T12:10:00Z</t>
  </si>
  <si>
    <t xml:space="preserve">2026-08-15T12:52:00Z</t>
  </si>
  <si>
    <t xml:space="preserve">FL-113</t>
  </si>
  <si>
    <t xml:space="preserve">SIG-880340</t>
  </si>
  <si>
    <t xml:space="preserve">RAW-T9013</t>
  </si>
  <si>
    <t xml:space="preserve">2026-08-15T2026-08-15T12:10:00ZZ</t>
  </si>
  <si>
    <t xml:space="preserve">Ramp return; shorter re-route so fuel removed</t>
  </si>
  <si>
    <t xml:space="preserve">TK-2015</t>
  </si>
  <si>
    <t xml:space="preserve">880361</t>
  </si>
  <si>
    <t xml:space="preserve">COA-PPC-8014</t>
  </si>
  <si>
    <t xml:space="preserve">2026-08-15T11:40:00Z</t>
  </si>
  <si>
    <t xml:space="preserve">FL-114</t>
  </si>
  <si>
    <t xml:space="preserve">SIG-880361</t>
  </si>
  <si>
    <t xml:space="preserve">RAW-T9014</t>
  </si>
  <si>
    <t xml:space="preserve">Full uplift before departure</t>
  </si>
  <si>
    <t xml:space="preserve">TK-2016</t>
  </si>
  <si>
    <t xml:space="preserve">JETT-0901</t>
  </si>
  <si>
    <t xml:space="preserve">JETTISON</t>
  </si>
  <si>
    <t xml:space="preserve">2026-08-15T14:05:00Z</t>
  </si>
  <si>
    <t xml:space="preserve">2026-08-15T14:32:00Z</t>
  </si>
  <si>
    <t xml:space="preserve">FLT-CREW</t>
  </si>
  <si>
    <t xml:space="preserve">N_A</t>
  </si>
  <si>
    <t xml:space="preserve">MANUAL</t>
  </si>
  <si>
    <t xml:space="preserve">RAW-T9015</t>
  </si>
  <si>
    <t xml:space="preserve">OPS_CONTROLLER</t>
  </si>
  <si>
    <t xml:space="preserve">2026-08-15T2026-08-15T14:05:00ZZ</t>
  </si>
  <si>
    <t xml:space="preserve">Air return; jettison to reach MLW. No meter, FQIS only</t>
  </si>
  <si>
    <t xml:space="preserve">TK-2017</t>
  </si>
  <si>
    <t xml:space="preserve">880401</t>
  </si>
  <si>
    <t xml:space="preserve">COA-PPC-8016</t>
  </si>
  <si>
    <t xml:space="preserve">2026-08-16T05:48:00Z</t>
  </si>
  <si>
    <t xml:space="preserve">2026-08-16T05:55:00Z</t>
  </si>
  <si>
    <t xml:space="preserve">FL-116</t>
  </si>
  <si>
    <t xml:space="preserve">SIG-880401</t>
  </si>
  <si>
    <t xml:space="preserve">RAW-T9016</t>
  </si>
  <si>
    <t xml:space="preserve">STATION_OPS</t>
  </si>
  <si>
    <t xml:space="preserve">2026-08-16T2026-08-16T05:48:00ZZ</t>
  </si>
  <si>
    <t xml:space="preserve">Verbal post-freeze top-up; no order raised</t>
  </si>
  <si>
    <t xml:space="preserve">TK-2018</t>
  </si>
  <si>
    <t xml:space="preserve">880421</t>
  </si>
  <si>
    <t xml:space="preserve">COA-PPC-8017</t>
  </si>
  <si>
    <t xml:space="preserve">2026-08-16T09:15:00Z</t>
  </si>
  <si>
    <t xml:space="preserve">2026-08-16T09:46:00Z</t>
  </si>
  <si>
    <t xml:space="preserve">FL-117</t>
  </si>
  <si>
    <t xml:space="preserve">SIG-880421</t>
  </si>
  <si>
    <t xml:space="preserve">RAW-T9017</t>
  </si>
  <si>
    <t xml:space="preserve">2026-08-16T2026-08-16T09:15:00ZZ</t>
  </si>
  <si>
    <t xml:space="preserve">Includes 900 kg commander discretionary</t>
  </si>
  <si>
    <t xml:space="preserve">TK-2019</t>
  </si>
  <si>
    <t xml:space="preserve">880441</t>
  </si>
  <si>
    <t xml:space="preserve">COA-PPC-8018</t>
  </si>
  <si>
    <t xml:space="preserve">2026-08-16T13:20:00Z</t>
  </si>
  <si>
    <t xml:space="preserve">2026-08-16T13:49:00Z</t>
  </si>
  <si>
    <t xml:space="preserve">FL-118</t>
  </si>
  <si>
    <t xml:space="preserve">SIG-880441</t>
  </si>
  <si>
    <t xml:space="preserve">RAW-T9018</t>
  </si>
  <si>
    <t xml:space="preserve">2026-08-16T2026-08-16T13:20:00ZZ</t>
  </si>
  <si>
    <t xml:space="preserve">Delivered density above plan assumption</t>
  </si>
  <si>
    <t xml:space="preserve">TK-2020</t>
  </si>
  <si>
    <t xml:space="preserve">880481</t>
  </si>
  <si>
    <t xml:space="preserve">COA-PPC-8019</t>
  </si>
  <si>
    <t xml:space="preserve">2026-08-16T09:55:00Z</t>
  </si>
  <si>
    <t xml:space="preserve">2026-08-16T11:40:00Z</t>
  </si>
  <si>
    <t xml:space="preserve">FL-119</t>
  </si>
  <si>
    <t xml:space="preserve">SIG-880481</t>
  </si>
  <si>
    <t xml:space="preserve">RAW-T9019</t>
  </si>
  <si>
    <t xml:space="preserve">2026-08-16T2026-08-16T09:55:00ZZ</t>
  </si>
  <si>
    <t xml:space="preserve">Planned uplift at MNL before diversion</t>
  </si>
  <si>
    <t xml:space="preserve">TK-2020B</t>
  </si>
  <si>
    <t xml:space="preserve">SHL</t>
  </si>
  <si>
    <t xml:space="preserve">SHL-IPA</t>
  </si>
  <si>
    <t xml:space="preserve">CB-7712</t>
  </si>
  <si>
    <t xml:space="preserve">BW-03</t>
  </si>
  <si>
    <t xml:space="preserve">COA-SHL-4471</t>
  </si>
  <si>
    <t xml:space="preserve">2026-08-16T20:15:00Z</t>
  </si>
  <si>
    <t xml:space="preserve">2026-08-16T21:02:00Z</t>
  </si>
  <si>
    <t xml:space="preserve">FL-120</t>
  </si>
  <si>
    <t xml:space="preserve">SIG-CB-7712</t>
  </si>
  <si>
    <t xml:space="preserve">OCR</t>
  </si>
  <si>
    <t xml:space="preserve">RAW-T9020</t>
  </si>
  <si>
    <t xml:space="preserve">2026-08-16T2026-08-16T20:15:00ZZ</t>
  </si>
  <si>
    <t xml:space="preserve">Diversion station; no contract order in place</t>
  </si>
  <si>
    <t xml:space="preserve">TK-2021</t>
  </si>
  <si>
    <t xml:space="preserve">880501</t>
  </si>
  <si>
    <t xml:space="preserve">COA-PPC-SAF-118</t>
  </si>
  <si>
    <t xml:space="preserve">2026-08-17T03:40:00Z</t>
  </si>
  <si>
    <t xml:space="preserve">2026-08-17T04:18:00Z</t>
  </si>
  <si>
    <t xml:space="preserve">FL-121</t>
  </si>
  <si>
    <t xml:space="preserve">SIG-880501</t>
  </si>
  <si>
    <t xml:space="preserve">RAW-T9021</t>
  </si>
  <si>
    <t xml:space="preserve">2026-08-17T2026-08-17T03:40:00ZZ</t>
  </si>
  <si>
    <t xml:space="preserve">Includes 3200 kg tankering</t>
  </si>
  <si>
    <t xml:space="preserve">TK-2022</t>
  </si>
  <si>
    <t xml:space="preserve">880521</t>
  </si>
  <si>
    <t xml:space="preserve">COA-PPC-8022</t>
  </si>
  <si>
    <t xml:space="preserve">2026-08-17T04:45:00Z</t>
  </si>
  <si>
    <t xml:space="preserve">2026-08-17T05:00:00Z</t>
  </si>
  <si>
    <t xml:space="preserve">FL-122</t>
  </si>
  <si>
    <t xml:space="preserve">SIG-880521</t>
  </si>
  <si>
    <t xml:space="preserve">RAW-T9022</t>
  </si>
  <si>
    <t xml:space="preserve">2026-08-17T2026-08-17T04:45:00ZZ</t>
  </si>
  <si>
    <t xml:space="preserve">Rotation leg 1</t>
  </si>
  <si>
    <t xml:space="preserve">TK-2023</t>
  </si>
  <si>
    <t xml:space="preserve">880540</t>
  </si>
  <si>
    <t xml:space="preserve">COA-PPC-8023</t>
  </si>
  <si>
    <t xml:space="preserve">2026-08-17T13:45:00Z</t>
  </si>
  <si>
    <t xml:space="preserve">2026-08-17T14:01:00Z</t>
  </si>
  <si>
    <t xml:space="preserve">FL-123</t>
  </si>
  <si>
    <t xml:space="preserve">SIG-880540</t>
  </si>
  <si>
    <t xml:space="preserve">RAW-T9023</t>
  </si>
  <si>
    <t xml:space="preserve">2026-08-17T2026-08-17T13:45:00ZZ</t>
  </si>
  <si>
    <t xml:space="preserve">Rotation leg 2; same flight number and date</t>
  </si>
  <si>
    <t xml:space="preserve">TK-2024</t>
  </si>
  <si>
    <t xml:space="preserve">880601</t>
  </si>
  <si>
    <t xml:space="preserve">COA-PPC-8024</t>
  </si>
  <si>
    <t xml:space="preserve">2026-08-18T03:40:00Z</t>
  </si>
  <si>
    <t xml:space="preserve">2026-08-18T04:06:00Z</t>
  </si>
  <si>
    <t xml:space="preserve">FL-124</t>
  </si>
  <si>
    <t xml:space="preserve">SIG-880601</t>
  </si>
  <si>
    <t xml:space="preserve">RAW-T9024</t>
  </si>
  <si>
    <t xml:space="preserve">2026-08-18T2026-08-18T03:40:00ZZ</t>
  </si>
  <si>
    <t xml:space="preserve">FQIS 37 kg under metered mass; inside tolerance</t>
  </si>
  <si>
    <t xml:space="preserve">TK-2025</t>
  </si>
  <si>
    <t xml:space="preserve">880621</t>
  </si>
  <si>
    <t xml:space="preserve">BW-17</t>
  </si>
  <si>
    <t xml:space="preserve">COA-PPC-8025</t>
  </si>
  <si>
    <t xml:space="preserve">2026-08-18T09:10:00Z</t>
  </si>
  <si>
    <t xml:space="preserve">2026-08-18T09:38:00Z</t>
  </si>
  <si>
    <t xml:space="preserve">FL-125</t>
  </si>
  <si>
    <t xml:space="preserve">SIG-880621</t>
  </si>
  <si>
    <t xml:space="preserve">RAW-T9025</t>
  </si>
  <si>
    <t xml:space="preserve">2026-08-18T2026-08-18T09:10:00ZZ</t>
  </si>
  <si>
    <t xml:space="preserve">FQIS 301 kg under metered mass; investigate meter or leak</t>
  </si>
  <si>
    <t xml:space="preserve">TK-2026</t>
  </si>
  <si>
    <t xml:space="preserve">880641</t>
  </si>
  <si>
    <t xml:space="preserve">COA-PPC-8891</t>
  </si>
  <si>
    <t xml:space="preserve">2026-08-18T13:20:00Z</t>
  </si>
  <si>
    <t xml:space="preserve">2026-08-18T13:50:00Z</t>
  </si>
  <si>
    <t xml:space="preserve">FL-126</t>
  </si>
  <si>
    <t xml:space="preserve">SIG-880641</t>
  </si>
  <si>
    <t xml:space="preserve">RAW-T9026</t>
  </si>
  <si>
    <t xml:space="preserve">2026-08-18T2026-08-18T13:20:00ZZ</t>
  </si>
  <si>
    <t xml:space="preserve">Billed on default density 0.8000; batch certificate says 0.7850</t>
  </si>
  <si>
    <t xml:space="preserve">TK-2027</t>
  </si>
  <si>
    <t xml:space="preserve">880661</t>
  </si>
  <si>
    <t xml:space="preserve">COA-PPC-8027</t>
  </si>
  <si>
    <t xml:space="preserve">2026-08-19T05:20:00Z</t>
  </si>
  <si>
    <t xml:space="preserve">2026-08-19T05:26:00Z</t>
  </si>
  <si>
    <t xml:space="preserve">FL-127</t>
  </si>
  <si>
    <t xml:space="preserve">SIG-880661</t>
  </si>
  <si>
    <t xml:space="preserve">RAW-T9027</t>
  </si>
  <si>
    <t xml:space="preserve">2026-08-19T2026-08-19T05:20:00ZZ</t>
  </si>
  <si>
    <t xml:space="preserve">Percentage breach but absolute variance below floor</t>
  </si>
  <si>
    <t xml:space="preserve">TK-2028</t>
  </si>
  <si>
    <t xml:space="preserve">880681</t>
  </si>
  <si>
    <t xml:space="preserve">COA-PPC-8028</t>
  </si>
  <si>
    <t xml:space="preserve">2026-08-19T09:10:00Z</t>
  </si>
  <si>
    <t xml:space="preserve">2026-08-19T09:37:00Z</t>
  </si>
  <si>
    <t xml:space="preserve">FL-128</t>
  </si>
  <si>
    <t xml:space="preserve">SIG-880681</t>
  </si>
  <si>
    <t xml:space="preserve">RAW-T9028</t>
  </si>
  <si>
    <t xml:space="preserve">2026-08-19T2026-08-19T09:10:00ZZ</t>
  </si>
  <si>
    <t xml:space="preserve">Crew did not report FOB; cannot reconcile</t>
  </si>
  <si>
    <t xml:space="preserve">TK-2029</t>
  </si>
  <si>
    <t xml:space="preserve">880701</t>
  </si>
  <si>
    <t xml:space="preserve">BW-22</t>
  </si>
  <si>
    <t xml:space="preserve">COA-PPC-8029</t>
  </si>
  <si>
    <t xml:space="preserve">2026-08-19T09:55:00Z</t>
  </si>
  <si>
    <t xml:space="preserve">2026-08-19T10:35:00Z</t>
  </si>
  <si>
    <t xml:space="preserve">FL-129</t>
  </si>
  <si>
    <t xml:space="preserve">SIG-880701</t>
  </si>
  <si>
    <t xml:space="preserve">RAW-T9029</t>
  </si>
  <si>
    <t xml:space="preserve">2026-08-19T2026-08-19T09:55:00ZZ</t>
  </si>
  <si>
    <t xml:space="preserve">Bowser 22 load 1 of 3</t>
  </si>
  <si>
    <t xml:space="preserve">TK-2030</t>
  </si>
  <si>
    <t xml:space="preserve">880702</t>
  </si>
  <si>
    <t xml:space="preserve">COA-PPC-8030</t>
  </si>
  <si>
    <t xml:space="preserve">2026-08-19T10:50:00Z</t>
  </si>
  <si>
    <t xml:space="preserve">2026-08-19T11:25:00Z</t>
  </si>
  <si>
    <t xml:space="preserve">FL-130</t>
  </si>
  <si>
    <t xml:space="preserve">SIG-880702</t>
  </si>
  <si>
    <t xml:space="preserve">RAW-T9030</t>
  </si>
  <si>
    <t xml:space="preserve">2026-08-19T2026-08-19T10:50:00ZZ</t>
  </si>
  <si>
    <t xml:space="preserve">Bowser 22 load 2 of 3</t>
  </si>
  <si>
    <t xml:space="preserve">TK-2031</t>
  </si>
  <si>
    <t xml:space="preserve">880703</t>
  </si>
  <si>
    <t xml:space="preserve">COA-PPC-8031</t>
  </si>
  <si>
    <t xml:space="preserve">2026-08-19T11:40:00Z</t>
  </si>
  <si>
    <t xml:space="preserve">2026-08-19T12:05:00Z</t>
  </si>
  <si>
    <t xml:space="preserve">FL-131</t>
  </si>
  <si>
    <t xml:space="preserve">SIG-880703</t>
  </si>
  <si>
    <t xml:space="preserve">RAW-T9031</t>
  </si>
  <si>
    <t xml:space="preserve">2026-08-19T2026-08-19T11:40:00ZZ</t>
  </si>
  <si>
    <t xml:space="preserve">Bowser 22 load 3 of 3; same bias direction all three</t>
  </si>
  <si>
    <t xml:space="preserve">TK-2032</t>
  </si>
  <si>
    <t xml:space="preserve">880721</t>
  </si>
  <si>
    <t xml:space="preserve">COA-PPC-8032</t>
  </si>
  <si>
    <t xml:space="preserve">2026-08-20T03:40:00Z</t>
  </si>
  <si>
    <t xml:space="preserve">2026-08-20T04:07:00Z</t>
  </si>
  <si>
    <t xml:space="preserve">FL-132</t>
  </si>
  <si>
    <t xml:space="preserve">SIG-880721</t>
  </si>
  <si>
    <t xml:space="preserve">RAW-T9032</t>
  </si>
  <si>
    <t xml:space="preserve">2026-08-20T2026-08-20T03:40:00ZZ</t>
  </si>
  <si>
    <t xml:space="preserve">Ticket reconciles but arrival FOB 450 kg below plan assumption</t>
  </si>
  <si>
    <t xml:space="preserve">TK-2033</t>
  </si>
  <si>
    <t xml:space="preserve">880741</t>
  </si>
  <si>
    <t xml:space="preserve">COA-PPC-8033</t>
  </si>
  <si>
    <t xml:space="preserve">2026-08-21T03:40:00Z</t>
  </si>
  <si>
    <t xml:space="preserve">2026-08-21T04:10:00Z</t>
  </si>
  <si>
    <t xml:space="preserve">FL-133</t>
  </si>
  <si>
    <t xml:space="preserve">SIG-880741</t>
  </si>
  <si>
    <t xml:space="preserve">RAW-T9033</t>
  </si>
  <si>
    <t xml:space="preserve">2026-08-21T2026-08-21T03:40:00ZZ</t>
  </si>
  <si>
    <t xml:space="preserve">Fueller rounded to 12000 L; 443 kg above ordered quantity</t>
  </si>
  <si>
    <t xml:space="preserve">Rule ID</t>
  </si>
  <si>
    <t xml:space="preserve">Applies To</t>
  </si>
  <si>
    <t xml:space="preserve">Assertion</t>
  </si>
  <si>
    <t xml:space="preserve">Related TC</t>
  </si>
  <si>
    <t xml:space="preserve">Severity</t>
  </si>
  <si>
    <t xml:space="preserve">VR01</t>
  </si>
  <si>
    <t xml:space="preserve">block_fuel = trip + contingency + alternate + final_reserve + additional + taxi + extra</t>
  </si>
  <si>
    <t xml:space="preserve">All</t>
  </si>
  <si>
    <t xml:space="preserve">Error</t>
  </si>
  <si>
    <t xml:space="preserve">VR02</t>
  </si>
  <si>
    <t xml:space="preserve">required_uplift = block_fuel - fuel_on_board, where fuel_on_board includes any fuel already delivered</t>
  </si>
  <si>
    <t xml:space="preserve">TC03, TC06</t>
  </si>
  <si>
    <t xml:space="preserve">VR03</t>
  </si>
  <si>
    <t xml:space="preserve">Exactly one row per plan_group_id may have plan_status = ACTIVE</t>
  </si>
  <si>
    <t xml:space="preserve">VR04</t>
  </si>
  <si>
    <t xml:space="preserve">A superseded version is never updated in place; a new row is inserted</t>
  </si>
  <si>
    <t xml:space="preserve">TC02, TC03, TC04</t>
  </si>
  <si>
    <t xml:space="preserve">VR05</t>
  </si>
  <si>
    <t xml:space="preserve">extra_fuel and additional_fuel are distinct fields and must not be merged</t>
  </si>
  <si>
    <t xml:space="preserve">TC11, TC14</t>
  </si>
  <si>
    <t xml:space="preserve">Warning</t>
  </si>
  <si>
    <t xml:space="preserve">VR06</t>
  </si>
  <si>
    <t xml:space="preserve">delivered_qty is derived by summing linked tickets, never stored as a scalar</t>
  </si>
  <si>
    <t xml:space="preserve">TC05, TC06</t>
  </si>
  <si>
    <t xml:space="preserve">VR07</t>
  </si>
  <si>
    <t xml:space="preserve">order_status = PART_FULFILLED requires a populated under_delivery_reason</t>
  </si>
  <si>
    <t xml:space="preserve">VR08</t>
  </si>
  <si>
    <t xml:space="preserve">A negative ordered_qty is valid and denotes a DEFUEL instruction</t>
  </si>
  <si>
    <t xml:space="preserve">VR09</t>
  </si>
  <si>
    <t xml:space="preserve">quantity_kg = quantity_litres x density_kg_per_l, rounded at display only</t>
  </si>
  <si>
    <t xml:space="preserve">TC01, TC12</t>
  </si>
  <si>
    <t xml:space="preserve">VR10</t>
  </si>
  <si>
    <t xml:space="preserve">fuel_order_id and fd_fuel_plan_id may be NULL; ticket must still be accepted at ingestion</t>
  </si>
  <si>
    <t xml:space="preserve">TC10, TC13</t>
  </si>
  <si>
    <t xml:space="preserve">VR11</t>
  </si>
  <si>
    <t xml:space="preserve">A ticket links to the plan version it executed against, not the latest ACTIVE version</t>
  </si>
  <si>
    <t xml:space="preserve">VR12</t>
  </si>
  <si>
    <t xml:space="preserve">Multiple tickets may reference one fuel_order_id, distinguished by uplift_sequence</t>
  </si>
  <si>
    <t xml:space="preserve">VR13</t>
  </si>
  <si>
    <t xml:space="preserve">recon_variance_kg beyond +/- 2 percent of quantity_kg raises an exception for review</t>
  </si>
  <si>
    <t xml:space="preserve">VR14</t>
  </si>
  <si>
    <t xml:space="preserve">event_type JETTISON permits null meter, litres and density; quantity taken from FQIS</t>
  </si>
  <si>
    <t xml:space="preserve">VR15</t>
  </si>
  <si>
    <t xml:space="preserve">station on the ticket may differ from the leg departure_station</t>
  </si>
  <si>
    <t xml:space="preserve">VR16</t>
  </si>
  <si>
    <t xml:space="preserve">cost_allocation_basis must be populated when flight_status is CANCELLED or the ticket is unmatched</t>
  </si>
  <si>
    <t xml:space="preserve">TC04, TC07</t>
  </si>
  <si>
    <t xml:space="preserve">VR17</t>
  </si>
  <si>
    <t xml:space="preserve">Unique key holds when one flight number departs the same station twice on one date</t>
  </si>
  <si>
    <t xml:space="preserve">VR18</t>
  </si>
  <si>
    <t xml:space="preserve">flight_status and ops_phase are independent; freeze logic keys off ops_phase</t>
  </si>
  <si>
    <t xml:space="preserve">TC08, TC09</t>
  </si>
  <si>
    <t xml:space="preserve">VR19</t>
  </si>
  <si>
    <t xml:space="preserve">A tail swap changes actual_registration only; flight_leg_id is immutable</t>
  </si>
  <si>
    <t xml:space="preserve">VR20</t>
  </si>
  <si>
    <t xml:space="preserve">return_type must be RAMP or AIR when flight_status indicates a return</t>
  </si>
  <si>
    <t xml:space="preserve">VR21</t>
  </si>
  <si>
    <t xml:space="preserve">FOB Reconciliation</t>
  </si>
  <si>
    <t xml:space="preserve">recon_variance_kg = quantity_kg (meter x density) minus fob_delta_kg (FQIS)</t>
  </si>
  <si>
    <t xml:space="preserve">TC16 to TC22</t>
  </si>
  <si>
    <t xml:space="preserve">VR22</t>
  </si>
  <si>
    <t xml:space="preserve">Tolerance is the greater of 2 percent of metered mass or a 50 kg absolute floor</t>
  </si>
  <si>
    <t xml:space="preserve">TC16, TC19</t>
  </si>
  <si>
    <t xml:space="preserve">VR23</t>
  </si>
  <si>
    <t xml:space="preserve">Status FAIL blocks automatic invoice approval and raises an exception task</t>
  </si>
  <si>
    <t xml:space="preserve">TC17, TC18</t>
  </si>
  <si>
    <t xml:space="preserve">VR24</t>
  </si>
  <si>
    <t xml:space="preserve">Missing FQIS readings yield NOT_RECONCILED, excluded from variance statistics</t>
  </si>
  <si>
    <t xml:space="preserve">VR25</t>
  </si>
  <si>
    <t xml:space="preserve">Consistent one directional variance across a bowser flags meter calibration, even when each ticket passes</t>
  </si>
  <si>
    <t xml:space="preserve">VR26</t>
  </si>
  <si>
    <t xml:space="preserve">Plan fuel_on_board is compared against actual fob_before at fuelling start; breach raises a pre departure alert</t>
  </si>
  <si>
    <t xml:space="preserve">VR27</t>
  </si>
  <si>
    <t xml:space="preserve">Every invoice line must resolve to exactly one ticket_id; unresolved lines are NO_TICKET</t>
  </si>
  <si>
    <t xml:space="preserve">Invoice</t>
  </si>
  <si>
    <t xml:space="preserve">VR28</t>
  </si>
  <si>
    <t xml:space="preserve">Invoiced quantity must agree with ticket quantity within the same tolerance as FOB reconciliation</t>
  </si>
  <si>
    <t xml:space="preserve">VR29</t>
  </si>
  <si>
    <t xml:space="preserve">Unit price must equal the contract formula price within 0.0005 per litre</t>
  </si>
  <si>
    <t xml:space="preserve">VR30</t>
  </si>
  <si>
    <t xml:space="preserve">A ticket with no invoice line after the billing period closes is reported as unbilled exposure</t>
  </si>
  <si>
    <t xml:space="preserve">VR31</t>
  </si>
  <si>
    <t xml:space="preserve">Invoice total and line count are derived from lines, never keyed from the supplier document</t>
  </si>
  <si>
    <t xml:space="preserve">VR32</t>
  </si>
  <si>
    <t xml:space="preserve">ticket_source and raw_payload_ref are mandatory so any field value can be traced to its origin</t>
  </si>
  <si>
    <t xml:space="preserve">VR33</t>
  </si>
  <si>
    <t xml:space="preserve">A ticket_id may appear on at most one payable invoice line across all billing periods</t>
  </si>
  <si>
    <t xml:space="preserve">VR34</t>
  </si>
  <si>
    <t xml:space="preserve">Negative lines are valid for DEFUEL and must reduce, not increase, the invoice total</t>
  </si>
  <si>
    <t xml:space="preserve">VR35</t>
  </si>
  <si>
    <t xml:space="preserve">Pricing basis may be CONTRACT or POSTED; the basis determines which reference price applies</t>
  </si>
  <si>
    <t xml:space="preserve">VR36</t>
  </si>
  <si>
    <t xml:space="preserve">A MATCHED status on quantity and price does not clear a density error; FQIS cross check is required</t>
  </si>
  <si>
    <t xml:space="preserve">VR37</t>
  </si>
  <si>
    <t xml:space="preserve">variance_qty = sum of linked ticket quantities minus ordered_qty, evaluated at order level</t>
  </si>
  <si>
    <t xml:space="preserve">TC05, TC06, TC33</t>
  </si>
  <si>
    <t xml:space="preserve">VR38</t>
  </si>
  <si>
    <t xml:space="preserve">Order fulfilment tolerance is the greater of 1 percent of ordered quantity or 50 kg</t>
  </si>
  <si>
    <t xml:space="preserve">VR39</t>
  </si>
  <si>
    <t xml:space="preserve">fulfilment_check must distinguish UNDER_DELIVERED from OVER_DELIVERED; sign is never assumed</t>
  </si>
  <si>
    <t xml:space="preserve">TC06, TC33</t>
  </si>
  <si>
    <t xml:space="preserve">VR40</t>
  </si>
  <si>
    <t xml:space="preserve">A SUPERSEDED order is NOT_APPLICABLE, never reported as under-delivered</t>
  </si>
  <si>
    <t xml:space="preserve">VR41</t>
  </si>
  <si>
    <t xml:space="preserve">Order fulfilment and ticket FOB reconciliation are independent checks; passing one does not clear the other</t>
  </si>
  <si>
    <t xml:space="preserve">TC17, TC33</t>
  </si>
  <si>
    <t xml:space="preserve">VR42</t>
  </si>
  <si>
    <t xml:space="preserve">Resolution picks the highest specificity_rank whose scope, grade, quantity band and date window all match</t>
  </si>
  <si>
    <t xml:space="preserve">Config</t>
  </si>
  <si>
    <t xml:space="preserve">VR43</t>
  </si>
  <si>
    <t xml:space="preserve">The as-of date for resolution is the uplift date, never the query date</t>
  </si>
  <si>
    <t xml:space="preserve">VR44</t>
  </si>
  <si>
    <t xml:space="preserve">Only one row per parameter_code and scope_key may be ACTIVE for any given date</t>
  </si>
  <si>
    <t xml:space="preserve">VR45</t>
  </si>
  <si>
    <t xml:space="preserve">Value columns must match the parameter_code; enforce by check constraint, not by the config screen</t>
  </si>
  <si>
    <t xml:space="preserve">VR46</t>
  </si>
  <si>
    <t xml:space="preserve">Rows are immutable once written; a later config change never alters an applied value</t>
  </si>
  <si>
    <t xml:space="preserve">VR47</t>
  </si>
  <si>
    <t xml:space="preserve">Every tolerance driven status must have a corresponding applied row naming the parameter_id used</t>
  </si>
  <si>
    <t xml:space="preserve">VR48</t>
  </si>
  <si>
    <t xml:space="preserve">IF_FLIGHT_OPERATIONS_STG</t>
  </si>
  <si>
    <t xml:space="preserve">Identity resolution happens before content validation; a record that fails validation still carries a resolved business key</t>
  </si>
  <si>
    <t xml:space="preserve">VR49</t>
  </si>
  <si>
    <t xml:space="preserve">Exactly one record per business key may hold is_latest_for_key = Y</t>
  </si>
  <si>
    <t xml:space="preserve">VR50</t>
  </si>
  <si>
    <t xml:space="preserve">The error worklist shows only record_status ERROR with is_latest_for_key Y</t>
  </si>
  <si>
    <t xml:space="preserve">VR51</t>
  </si>
  <si>
    <t xml:space="preserve">Superseded records are retained, never deleted; recurrence count is itself a signal</t>
  </si>
  <si>
    <t xml:space="preserve">VR52</t>
  </si>
  <si>
    <t xml:space="preserve">payload_hash covers mapped fields only; source timestamps and sequence numbers are excluded</t>
  </si>
  <si>
    <t xml:space="preserve">VR53</t>
  </si>
  <si>
    <t xml:space="preserve">change_type compares against the latest staging record for the key, not against the target</t>
  </si>
  <si>
    <t xml:space="preserve">VR54</t>
  </si>
  <si>
    <t xml:space="preserve">A payload matching the target but differing from the latest staging record is REVERSAL, never NO_CHANGE</t>
  </si>
  <si>
    <t xml:space="preserve">VR55</t>
  </si>
  <si>
    <t xml:space="preserve">Apply ordering uses source_change_utc; a record older than last_applied_source_utc is IGNORED_STALE</t>
  </si>
  <si>
    <t xml:space="preserve">VR56</t>
  </si>
  <si>
    <t xml:space="preserve">CRITICAL_FIELD_CONFIG</t>
  </si>
  <si>
    <t xml:space="preserve">Criticality is resolved from configuration at runtime, never hardcoded in the apply logic</t>
  </si>
  <si>
    <t xml:space="preserve">TC38, TC39</t>
  </si>
  <si>
    <t xml:space="preserve">VR57</t>
  </si>
  <si>
    <t xml:space="preserve">sync_status is unchanged by an IGNORED_NO_CHANGE record; only last_source_confirmed_utc advances</t>
  </si>
  <si>
    <t xml:space="preserve">VR58</t>
  </si>
  <si>
    <t xml:space="preserve">A leg with sync_status PENDING_UPDATE on a critical field must surface that state on every screen that reads it</t>
  </si>
  <si>
    <t xml:space="preserve">TC36, TC44</t>
  </si>
  <si>
    <t xml:space="preserve">VR59</t>
  </si>
  <si>
    <t xml:space="preserve">AIRCRAFT_MASTER</t>
  </si>
  <si>
    <t xml:space="preserve">Auto provisioned aircraft are created PROVISIONAL and never auto promoted</t>
  </si>
  <si>
    <t xml:space="preserve">VR60</t>
  </si>
  <si>
    <t xml:space="preserve">Order creation and order send are blocked while the tail is PROVISIONAL; ticket capture is not</t>
  </si>
  <si>
    <t xml:space="preserve">VR61</t>
  </si>
  <si>
    <t xml:space="preserve">Provisioning warns when a registration differs from an existing one by a single character</t>
  </si>
  <si>
    <t xml:space="preserve">VR62</t>
  </si>
  <si>
    <t xml:space="preserve">PROVISIONAL beyond the configured window escalates; the state is time boxed</t>
  </si>
  <si>
    <t xml:space="preserve">VR63</t>
  </si>
  <si>
    <t xml:space="preserve">A plan whose registration matches a pending unapplied tail change fails with LEG_STALE_PENDING_TAIL, not a generic mismatch</t>
  </si>
  <si>
    <t xml:space="preserve">VR64</t>
  </si>
  <si>
    <t xml:space="preserve">Cross table</t>
  </si>
  <si>
    <t xml:space="preserve">Aircraft confirmation and leg tail confirmation are separate; both must clear before an order is sent</t>
  </si>
  <si>
    <t xml:space="preserve">VR65</t>
  </si>
  <si>
    <t xml:space="preserve">provisional_tail_flag is stamped at creation on plan, order and ticket and is never back-updated</t>
  </si>
  <si>
    <t xml:space="preserve">TC40, TC43</t>
  </si>
  <si>
    <t xml:space="preserve">VR66</t>
  </si>
  <si>
    <t xml:space="preserve">NO_CHANGE suppresses a record only when the prior latest record was APPLIED; a resend against a failed record keeps the error alive and supersedes it</t>
  </si>
  <si>
    <t xml:space="preserve">TC34, TC35</t>
  </si>
  <si>
    <t xml:space="preserve">VR67</t>
  </si>
  <si>
    <t xml:space="preserve">record_status is derived from change_type plus the prior record outcome plus validation, in that order</t>
  </si>
  <si>
    <t xml:space="preserve">TC34 to TC39</t>
  </si>
  <si>
    <t xml:space="preserve">VR68</t>
  </si>
  <si>
    <t xml:space="preserve">CARRIER_ARRANGEMENT</t>
  </si>
  <si>
    <t xml:space="preserve">Every leg resolves to exactly one arrangement; highest specificity_rank whose scope, counterparty and date window all match</t>
  </si>
  <si>
    <t xml:space="preserve">TC46 to TC56</t>
  </si>
  <si>
    <t xml:space="preserve">VR69</t>
  </si>
  <si>
    <t xml:space="preserve">fuel_processing_mode is DERIVED from buys_fuel and bears_cost; it is never keyed directly</t>
  </si>
  <si>
    <t xml:space="preserve">TC46 to TC53</t>
  </si>
  <si>
    <t xml:space="preserve">VR70</t>
  </si>
  <si>
    <t xml:space="preserve">buys_fuel alone determines whether an order and ticket are expected</t>
  </si>
  <si>
    <t xml:space="preserve">TC49, TC50</t>
  </si>
  <si>
    <t xml:space="preserve">VR71</t>
  </si>
  <si>
    <t xml:space="preserve">bears_cost alone determines cost allocation and recharge direction</t>
  </si>
  <si>
    <t xml:space="preserve">VR72</t>
  </si>
  <si>
    <t xml:space="preserve">RECHARGE_OUT and RECHARGE_IN both require counterparty_party to be populated</t>
  </si>
  <si>
    <t xml:space="preserve">VR73</t>
  </si>
  <si>
    <t xml:space="preserve">RECHARGE_IN expects a counterparty invoice and no supplier ticket; absence of a ticket is not an exception</t>
  </si>
  <si>
    <t xml:space="preserve">VR74</t>
  </si>
  <si>
    <t xml:space="preserve">A missing arrangement at every scope level is an exception, never a silent default to FULL</t>
  </si>
  <si>
    <t xml:space="preserve">VR82</t>
  </si>
  <si>
    <t xml:space="preserve">REGISTRATION_PERIOD outranks FLIGHT_NUMBER; leased metal is governed by the lease whatever number it operates</t>
  </si>
  <si>
    <t xml:space="preserve">VR83</t>
  </si>
  <si>
    <t xml:space="preserve">Overlapping rows at the same specificity_rank raise an exception; they are never resolved by ordering</t>
  </si>
  <si>
    <t xml:space="preserve">VR84</t>
  </si>
  <si>
    <t xml:space="preserve">Dry lease resolves to the own metal default; no arrangement row is created for it</t>
  </si>
  <si>
    <t xml:space="preserve">VR85</t>
  </si>
  <si>
    <t xml:space="preserve">Arrangement resolves at leg creation and re-resolves on any critical field change, then is stamped on the leg</t>
  </si>
  <si>
    <t xml:space="preserve">VR86</t>
  </si>
  <si>
    <t xml:space="preserve">A re-resolution that changes processing mode after an order was sent blocks and raises an exception</t>
  </si>
  <si>
    <t xml:space="preserve">VR87</t>
  </si>
  <si>
    <t xml:space="preserve">fuel_processing_mode and cost_allocation_basis are independent; FULL processing may allocate to AIRCRAFT</t>
  </si>
  <si>
    <t xml:space="preserve">VR88</t>
  </si>
  <si>
    <t xml:space="preserve">A ticket for a leg in NONE mode is accepted with match_status NOT_EXPECTED, never rejected</t>
  </si>
  <si>
    <t xml:space="preserve">VR89</t>
  </si>
  <si>
    <t xml:space="preserve">IF_FD_FUEL_PLAN_STG</t>
  </si>
  <si>
    <t xml:space="preserve">The dispatch feed transmits the current plan only; missing intermediate versions will never arrive</t>
  </si>
  <si>
    <t xml:space="preserve">VR90</t>
  </si>
  <si>
    <t xml:space="preserve">A version gap is flagged and the record applied; it is never held, because holding would deadlock</t>
  </si>
  <si>
    <t xml:space="preserve">VR91</t>
  </si>
  <si>
    <t xml:space="preserve">versions_skipped is recorded on the applied plan row and reported as an interface health metric</t>
  </si>
  <si>
    <t xml:space="preserve">VR92</t>
  </si>
  <si>
    <t xml:space="preserve">A resent version already applied is IGNORED_DUPLICATE; plan versions are inserts, not updates</t>
  </si>
  <si>
    <t xml:space="preserve">VR93</t>
  </si>
  <si>
    <t xml:space="preserve">HELD statuses are not errors and occupy a separate queue; they retry automatically and escalate only on ageing</t>
  </si>
  <si>
    <t xml:space="preserve">TC72, TC73</t>
  </si>
  <si>
    <t xml:space="preserve">VR94</t>
  </si>
  <si>
    <t xml:space="preserve">A plan arriving before its leg is HELD_AWAITING_LEG, never rejected</t>
  </si>
  <si>
    <t xml:space="preserve">VR95</t>
  </si>
  <si>
    <t xml:space="preserve">A plan for a leg with an unapplied critical change is HELD_STALE_LEG naming the blocking staging record</t>
  </si>
  <si>
    <t xml:space="preserve">VR96</t>
  </si>
  <si>
    <t xml:space="preserve">Ordering is by plan_version; a lower version arriving later is IGNORED_STALE</t>
  </si>
  <si>
    <t xml:space="preserve">VR97</t>
  </si>
  <si>
    <t xml:space="preserve">Where the active plan version at uplift time was never received, version_coverage is GAPPED and the ticket does not bind to an earlier version</t>
  </si>
  <si>
    <t xml:space="preserve">VR98</t>
  </si>
  <si>
    <t xml:space="preserve">version_gap_flag and versions_skipped are stamped on the applied plan row and never back-updated</t>
  </si>
  <si>
    <t xml:space="preserve">VR99</t>
  </si>
  <si>
    <t xml:space="preserve">Variance analysis on a GAPPED leg is reported with a coverage qualifier, not as a clean figure</t>
  </si>
  <si>
    <t xml:space="preserve">VR100</t>
  </si>
  <si>
    <t xml:space="preserve">AIRCRAFT_TYPE_MASTER</t>
  </si>
  <si>
    <t xml:space="preserve">aircraft_type is a parameter scope level and must be an FK; free text on the tail would break tolerance resolution silently</t>
  </si>
  <si>
    <t xml:space="preserve">VR101</t>
  </si>
  <si>
    <t xml:space="preserve">Type resolution never uses IATA or ICAO code alone; both are shared across engine variants with different burn</t>
  </si>
  <si>
    <t xml:space="preserve">VR102</t>
  </si>
  <si>
    <t xml:space="preserve">AIRCRAFT_TYPE_ALIAS</t>
  </si>
  <si>
    <t xml:space="preserve">Every inbound type code resolves through an alias; source_system plus alias_code is unique</t>
  </si>
  <si>
    <t xml:space="preserve">TC78, TC82</t>
  </si>
  <si>
    <t xml:space="preserve">VR103</t>
  </si>
  <si>
    <t xml:space="preserve">Alias codes are normalised before lookup: trimmed, uppercased, internal spacing collapsed</t>
  </si>
  <si>
    <t xml:space="preserve">VR104</t>
  </si>
  <si>
    <t xml:space="preserve">An unknown type auto provisions as PROVISIONAL; tolerance resolution falling back to GLOBAL is flagged, never silent</t>
  </si>
  <si>
    <t xml:space="preserve">VR105</t>
  </si>
  <si>
    <t xml:space="preserve">AIRCRAFT_CONFIG_MASTER</t>
  </si>
  <si>
    <t xml:space="preserve">When AIRCRAFT_CONFIG_GRANULARITY is NONE the config table is not presented and DOW is held on the tail</t>
  </si>
  <si>
    <t xml:space="preserve">VR106</t>
  </si>
  <si>
    <t xml:space="preserve">Config specific DOW overrides the type default; tail specific values override both</t>
  </si>
  <si>
    <t xml:space="preserve">VR107</t>
  </si>
  <si>
    <t xml:space="preserve">PRIMARY_TYPE_CODE_SCHEME governs display and reporting only; resolution always uses aircraft_type_id</t>
  </si>
  <si>
    <t xml:space="preserve">VR108</t>
  </si>
  <si>
    <t xml:space="preserve">FUEL_BURN_ACTUAL</t>
  </si>
  <si>
    <t xml:space="preserve">Burn is derived from gauge readings; it is never keyed directly</t>
  </si>
  <si>
    <t xml:space="preserve">TC83 to TC86</t>
  </si>
  <si>
    <t xml:space="preserve">VR109</t>
  </si>
  <si>
    <t xml:space="preserve">Exactly one row per flight_leg_id may carry is_primary = Y</t>
  </si>
  <si>
    <t xml:space="preserve">VR110</t>
  </si>
  <si>
    <t xml:space="preserve">The primary row is the lowest source_priority available; lower priority rows are retained, never deleted</t>
  </si>
  <si>
    <t xml:space="preserve">VR111</t>
  </si>
  <si>
    <t xml:space="preserve">A missing gauge point yields a null derived value, never zero</t>
  </si>
  <si>
    <t xml:space="preserve">VR112</t>
  </si>
  <si>
    <t xml:space="preserve">Legs with source ESTIMATED are excluded from variance statistics and labelled in any report that includes them</t>
  </si>
  <si>
    <t xml:space="preserve">VR113</t>
  </si>
  <si>
    <t xml:space="preserve">engine_burn = block_burn minus apu_burn; the two must be separable for efficiency reporting</t>
  </si>
  <si>
    <t xml:space="preserve">VR114</t>
  </si>
  <si>
    <t xml:space="preserve">Jettisoned and defuelled quantities are excluded from burn; they are separate ledger events</t>
  </si>
  <si>
    <t xml:space="preserve">VR115</t>
  </si>
  <si>
    <t xml:space="preserve">APU_USAGE</t>
  </si>
  <si>
    <t xml:space="preserve">APU burn is always derived as minutes over 60 times the rate from aircraft master; no meter exists</t>
  </si>
  <si>
    <t xml:space="preserve">TC89 to TC92</t>
  </si>
  <si>
    <t xml:space="preserve">VR116</t>
  </si>
  <si>
    <t xml:space="preserve">Avoidable minutes require gpu_available = Y and gpu_used = N; total APU minutes alone is not actionable</t>
  </si>
  <si>
    <t xml:space="preserve">TC89, TC90</t>
  </si>
  <si>
    <t xml:space="preserve">VR117</t>
  </si>
  <si>
    <t xml:space="preserve">Where APU event data is absent, minutes are estimated from ground time and the source recorded as GROUND_TIME_EST</t>
  </si>
  <si>
    <t xml:space="preserve">VR117a</t>
  </si>
  <si>
    <t xml:space="preserve">One row per APU cycle, not per phase; usage_phase is an attribute and phase totals are an aggregation</t>
  </si>
  <si>
    <t xml:space="preserve">VR117b</t>
  </si>
  <si>
    <t xml:space="preserve">Running minutes are derived from full UTC timestamps wherever both exist; only the manual path is keyed</t>
  </si>
  <si>
    <t xml:space="preserve">TC89, TC91</t>
  </si>
  <si>
    <t xml:space="preserve">VR117c</t>
  </si>
  <si>
    <t xml:space="preserve">A cycle with no stop event is flagged open, capped and escalated; minutes and burn are never computed for it</t>
  </si>
  <si>
    <t xml:space="preserve">VR117d</t>
  </si>
  <si>
    <t xml:space="preserve">A stop earlier than its start is rejected; negative minutes are never stored or displayed</t>
  </si>
  <si>
    <t xml:space="preserve">VR117e</t>
  </si>
  <si>
    <t xml:space="preserve">gpu_available carries a source and a confidence; HANDLER and BILLING are HIGH, STAND_TYPE MEDIUM, STATION LOW</t>
  </si>
  <si>
    <t xml:space="preserve">VR117f</t>
  </si>
  <si>
    <t xml:space="preserve">With no GPU data at any level, avoidable_minutes is NULL and confidence NOT_COMPUTED; it is never defaulted to zero</t>
  </si>
  <si>
    <t xml:space="preserve">VR181</t>
  </si>
  <si>
    <t xml:space="preserve">FUEL_CLAIM_WINDOW</t>
  </si>
  <si>
    <t xml:space="preserve">A claim window is a contractual deadline, not backlog ageing; after expiry the right to claim is waived</t>
  </si>
  <si>
    <t xml:space="preserve">VR182</t>
  </si>
  <si>
    <t xml:space="preserve">An ePOD signature is proof of delivery only; it is never treated as acceptance of quantity and never closes a variance</t>
  </si>
  <si>
    <t xml:space="preserve">VR183</t>
  </si>
  <si>
    <t xml:space="preserve">Notification at delivery and the written claim are separate obligations with separate clocks</t>
  </si>
  <si>
    <t xml:space="preserve">TC152, TC154</t>
  </si>
  <si>
    <t xml:space="preserve">VR184</t>
  </si>
  <si>
    <t xml:space="preserve">Windows resolve from the contract by claim type; the IATA model agreement default applies only where none is configured</t>
  </si>
  <si>
    <t xml:space="preserve">TC153, TC157</t>
  </si>
  <si>
    <t xml:space="preserve">VR185</t>
  </si>
  <si>
    <t xml:space="preserve">Claim queues sort by least time remaining, never by oldest first</t>
  </si>
  <si>
    <t xml:space="preserve">VR186</t>
  </si>
  <si>
    <t xml:space="preserve">Escalation occurs before the deadline, never after it</t>
  </si>
  <si>
    <t xml:space="preserve">VR187</t>
  </si>
  <si>
    <t xml:space="preserve">Expiry without a claim is recorded as a write off requiring authorisation, never a silent close</t>
  </si>
  <si>
    <t xml:space="preserve">VR188</t>
  </si>
  <si>
    <t xml:space="preserve">A reconciliation exception is never suppressed because an ePOD signature exists</t>
  </si>
  <si>
    <t xml:space="preserve">VR162</t>
  </si>
  <si>
    <t xml:space="preserve">FS_PRICING_SCHEME</t>
  </si>
  <si>
    <t xml:space="preserve">pricing_source is resolved per contract, never per airline; mixed CPE and native deployments are normal</t>
  </si>
  <si>
    <t xml:space="preserve">VR163</t>
  </si>
  <si>
    <t xml:space="preserve">A contract may not specify CPE where CPE_AVAILABLE is N; validated at configuration time, not at pricing time</t>
  </si>
  <si>
    <t xml:space="preserve">VR164</t>
  </si>
  <si>
    <t xml:space="preserve">The native engine calculates the basic fuel price only; tax and duty amounts are calculated by SAP</t>
  </si>
  <si>
    <t xml:space="preserve">VR165</t>
  </si>
  <si>
    <t xml:space="preserve">FS_PRICE_COMPONENT</t>
  </si>
  <si>
    <t xml:space="preserve">Components are stored individually and never folded into a single unit price</t>
  </si>
  <si>
    <t xml:space="preserve">VR166</t>
  </si>
  <si>
    <t xml:space="preserve">vendor_role and po_type determine whether a component lands on the fuel PO or the service PO</t>
  </si>
  <si>
    <t xml:space="preserve">VR167</t>
  </si>
  <si>
    <t xml:space="preserve">FS_PRICE_CALCULATION</t>
  </si>
  <si>
    <t xml:space="preserve">Index in contract UoM converts to price UoM using the density basis stated on the scheme</t>
  </si>
  <si>
    <t xml:space="preserve">TC134, TC135</t>
  </si>
  <si>
    <t xml:space="preserve">VR168</t>
  </si>
  <si>
    <t xml:space="preserve">Every quote used and the scheme version are stamped on the calculation, so a price is re-explainable without recomputation</t>
  </si>
  <si>
    <t xml:space="preserve">VR169</t>
  </si>
  <si>
    <t xml:space="preserve">price_status PROVISIONAL suppresses the invoice price variance check; a provisional price is not a variance</t>
  </si>
  <si>
    <t xml:space="preserve">VR170</t>
  </si>
  <si>
    <t xml:space="preserve">Provisional to final difference is settled by credit or debit note and reported as a distinct accrual</t>
  </si>
  <si>
    <t xml:space="preserve">VR171</t>
  </si>
  <si>
    <t xml:space="preserve">FS_PRICE_QUOTATION</t>
  </si>
  <si>
    <t xml:space="preserve">A restated quotation retains the original value and triggers repricing of anything priced on that date</t>
  </si>
  <si>
    <t xml:space="preserve">VR172</t>
  </si>
  <si>
    <t xml:space="preserve">Non business days carry no assessment; missing_quote_policy governs resolution, never a silent zero</t>
  </si>
  <si>
    <t xml:space="preserve">VR173</t>
  </si>
  <si>
    <t xml:space="preserve">FS_TAX_CODE_RULE</t>
  </si>
  <si>
    <t xml:space="preserve">The tax code is determined by FuelSphere and supplied on the purchase document; SAP calculates the amount</t>
  </si>
  <si>
    <t xml:space="preserve">VR174</t>
  </si>
  <si>
    <t xml:space="preserve">Contract default applies only where no rule matches; flight nature overrides it</t>
  </si>
  <si>
    <t xml:space="preserve">VR175</t>
  </si>
  <si>
    <t xml:space="preserve">A diversion changing flight nature after pricing triggers tax code reassessment</t>
  </si>
  <si>
    <t xml:space="preserve">VR176</t>
  </si>
  <si>
    <t xml:space="preserve">FS_SAP_DOC_FLOW</t>
  </si>
  <si>
    <t xml:space="preserve">Where the fuel supplier also performs into-plane, the service side is NOT_APPLICABLE, never missing</t>
  </si>
  <si>
    <t xml:space="preserve">VR177</t>
  </si>
  <si>
    <t xml:space="preserve">One fuel ticket or ePOD acknowledgement maps to both the goods receipt and the service entry sheet</t>
  </si>
  <si>
    <t xml:space="preserve">VR178</t>
  </si>
  <si>
    <t xml:space="preserve">Fuel and service sides progress independently; a completed fuel side does not imply a completed service side</t>
  </si>
  <si>
    <t xml:space="preserve">TC145, TC147</t>
  </si>
  <si>
    <t xml:space="preserve">VR179</t>
  </si>
  <si>
    <t xml:space="preserve">A corrected ticket reverses both the goods receipt and the service entry sheet, in dependency order</t>
  </si>
  <si>
    <t xml:space="preserve">VR180</t>
  </si>
  <si>
    <t xml:space="preserve">Fuel and service PO quantities are both in litres; the order in mass converts using the resolved conversion density</t>
  </si>
  <si>
    <t xml:space="preserve">TC142, TC143</t>
  </si>
  <si>
    <t xml:space="preserve">VR150</t>
  </si>
  <si>
    <t xml:space="preserve">FUEL_COMPLETENESS</t>
  </si>
  <si>
    <t xml:space="preserve">Absence of a ticket is only a gap where the active plan required uplift is above zero</t>
  </si>
  <si>
    <t xml:space="preserve">TC119, TC120</t>
  </si>
  <si>
    <t xml:space="preserve">VR151</t>
  </si>
  <si>
    <t xml:space="preserve">Legs with processing mode NONE are EXCLUDED and never counted in completeness percentages</t>
  </si>
  <si>
    <t xml:space="preserve">VR152</t>
  </si>
  <si>
    <t xml:space="preserve">Where no plan was received, uplift expectation is INDETERMINATE; neither a gap nor a legitimate absence may be asserted</t>
  </si>
  <si>
    <t xml:space="preserve">VR153</t>
  </si>
  <si>
    <t xml:space="preserve">Burn is expected only where the leg departed; a cancelled leg is NOT_APPLICABLE, not MISSING</t>
  </si>
  <si>
    <t xml:space="preserve">VR154</t>
  </si>
  <si>
    <t xml:space="preserve">Capture and posting are separate dimensions; a captured uplift with no goods receipt is PART_POSTED, not complete</t>
  </si>
  <si>
    <t xml:space="preserve">VR155</t>
  </si>
  <si>
    <t xml:space="preserve">Estimated burn is neither COMPLETE nor MISSING; it is its own state with its own posting rule</t>
  </si>
  <si>
    <t xml:space="preserve">VR156</t>
  </si>
  <si>
    <t xml:space="preserve">TAIL_STOCK_RECON</t>
  </si>
  <si>
    <t xml:space="preserve">The cutoff is each tail's last on-blocks before period end, never a clock time</t>
  </si>
  <si>
    <t xml:space="preserve">VR157</t>
  </si>
  <si>
    <t xml:space="preserve">A tail with no on-blocks event in the cutoff window is EXCLUDED_NO_GAUGE, never reported as a difference</t>
  </si>
  <si>
    <t xml:space="preserve">VR158</t>
  </si>
  <si>
    <t xml:space="preserve">The difference is decomposed into timing and unexplained before any status is assigned</t>
  </si>
  <si>
    <t xml:space="preserve">TC128, TC130</t>
  </si>
  <si>
    <t xml:space="preserve">VR159</t>
  </si>
  <si>
    <t xml:space="preserve">UNEXPLAINED takes precedence over TIMING_ONLY; a material timing difference is still reported even when nothing is unexplained</t>
  </si>
  <si>
    <t xml:space="preserve">TC128, TC129</t>
  </si>
  <si>
    <t xml:space="preserve">VR160</t>
  </si>
  <si>
    <t xml:space="preserve">Tolerance scales with the quantity on board; a fixed absolute tolerance would fail every widebody</t>
  </si>
  <si>
    <t xml:space="preserve">VR161</t>
  </si>
  <si>
    <t xml:space="preserve">Unposted uplift and unposted burn quantities are carried on the reconciliation as the accrual basis</t>
  </si>
  <si>
    <t xml:space="preserve">TC128, TC133</t>
  </si>
  <si>
    <t xml:space="preserve">VR137</t>
  </si>
  <si>
    <t xml:space="preserve">FS_MOVEMENT_TYPE_MAP</t>
  </si>
  <si>
    <t xml:space="preserve">FuelSphere supplies the movement type and cost object only; the GL account is always derived by SAP through OBYC</t>
  </si>
  <si>
    <t xml:space="preserve">VR138</t>
  </si>
  <si>
    <t xml:space="preserve">GL_ACCOUNT is never populated on the BAPI call; supplying it would bypass standard account determination</t>
  </si>
  <si>
    <t xml:space="preserve">VR139</t>
  </si>
  <si>
    <t xml:space="preserve">Engine burn and APU burn use distinct movement types with distinct account modifications</t>
  </si>
  <si>
    <t xml:space="preserve">VR140</t>
  </si>
  <si>
    <t xml:space="preserve">Every movement type has a reversal counterpart; burn revisions reverse and repost rather than adjust</t>
  </si>
  <si>
    <t xml:space="preserve">VR141</t>
  </si>
  <si>
    <t xml:space="preserve">allow_estimated_posting is set per event category; estimated APU is postable, estimated engine burn is not</t>
  </si>
  <si>
    <t xml:space="preserve">VR142</t>
  </si>
  <si>
    <t xml:space="preserve">Jettison posts to its own movement type and account; it is never posted as consumption</t>
  </si>
  <si>
    <t xml:space="preserve">VR143</t>
  </si>
  <si>
    <t xml:space="preserve">FS_COST_OBJECT_RULE</t>
  </si>
  <si>
    <t xml:space="preserve">Cost object resolves per fuel event, not per leg; engine and APU burn on one leg may resolve differently</t>
  </si>
  <si>
    <t xml:space="preserve">VR144</t>
  </si>
  <si>
    <t xml:space="preserve">Highest specificity_rank whose scope, event category and date window all match wins</t>
  </si>
  <si>
    <t xml:space="preserve">VR145</t>
  </si>
  <si>
    <t xml:space="preserve">A GLOBAL rank 0 rule must always exist; posting never fails for want of a cost object</t>
  </si>
  <si>
    <t xml:space="preserve">VR146</t>
  </si>
  <si>
    <t xml:space="preserve">object_source FROM_STATION, FROM_AIRCRAFT and FROM_ARRANGEMENT read the value from master data at resolution time</t>
  </si>
  <si>
    <t xml:space="preserve">VR147</t>
  </si>
  <si>
    <t xml:space="preserve">account_assignment_category must agree with object_type; a cost centre rule never populates ORDERID</t>
  </si>
  <si>
    <t xml:space="preserve">VR148</t>
  </si>
  <si>
    <t xml:space="preserve">The resolved movement type and cost object are stamped on the posted document and never re-resolved</t>
  </si>
  <si>
    <t xml:space="preserve">TC107 to TC116</t>
  </si>
  <si>
    <t xml:space="preserve">VR149</t>
  </si>
  <si>
    <t xml:space="preserve">APU burn posts at turn granularity because most of it falls outside any single leg</t>
  </si>
  <si>
    <t xml:space="preserve">VR132</t>
  </si>
  <si>
    <t xml:space="preserve">apu_reporting_available records whether the AMI carries an APU report; it is held per fleet, never per airline</t>
  </si>
  <si>
    <t xml:space="preserve">VR133</t>
  </si>
  <si>
    <t xml:space="preserve">minutes_source defaults from apu_minutes_default_source on the aircraft type unless a better source is present for the cycle</t>
  </si>
  <si>
    <t xml:space="preserve">TC103, TC104</t>
  </si>
  <si>
    <t xml:space="preserve">VR134</t>
  </si>
  <si>
    <t xml:space="preserve">Where apu_reporting_available is N, GROUND_TIME_EST is the expected path and is not treated as a data quality exception</t>
  </si>
  <si>
    <t xml:space="preserve">VR135</t>
  </si>
  <si>
    <t xml:space="preserve">apu_reporting_available UNKNOWN is distinct from N; unknown falls back to MANUAL and is resolved at type confirmation</t>
  </si>
  <si>
    <t xml:space="preserve">VR136</t>
  </si>
  <si>
    <t xml:space="preserve">Estimated APU figures remain comparable station to station and are labelled; they are never presented beside ACARS figures as equivalent</t>
  </si>
  <si>
    <t xml:space="preserve">TC104, TC105</t>
  </si>
  <si>
    <t xml:space="preserve">VR124</t>
  </si>
  <si>
    <t xml:space="preserve">All four OOOI times are requested separately; out and in alone give block burn but no trip or taxi split</t>
  </si>
  <si>
    <t xml:space="preserve">TC83, TC85</t>
  </si>
  <si>
    <t xml:space="preserve">VR125</t>
  </si>
  <si>
    <t xml:space="preserve">Block, flight and taxi minutes are derived from OOOI timestamps, never keyed</t>
  </si>
  <si>
    <t xml:space="preserve">VR126</t>
  </si>
  <si>
    <t xml:space="preserve">Timestamps crossing midnight roll to the following day; derived durations are never negative</t>
  </si>
  <si>
    <t xml:space="preserve">VR127</t>
  </si>
  <si>
    <t xml:space="preserve">delay_minutes is derived from out_utc minus std_utc; a keyed value is overwritten</t>
  </si>
  <si>
    <t xml:space="preserve">VR128</t>
  </si>
  <si>
    <t xml:space="preserve">dep_stand_type and arr_stand_type feed APU avoidability; where absent, gpu_source falls back below STAND_TYPE</t>
  </si>
  <si>
    <t xml:space="preserve">TC101, TC102</t>
  </si>
  <si>
    <t xml:space="preserve">VR129</t>
  </si>
  <si>
    <t xml:space="preserve">Actual ZFW, TOW and payload are held so burn variance can be attributed to weight rather than to inefficiency</t>
  </si>
  <si>
    <t xml:space="preserve">VR130</t>
  </si>
  <si>
    <t xml:space="preserve">Planned and flown cruise level are both held; level deviation is a primary cause of burn variance</t>
  </si>
  <si>
    <t xml:space="preserve">VR131</t>
  </si>
  <si>
    <t xml:space="preserve">codeshare_numbers is informational only; carrier arrangement resolves on operating and marketing carrier, never on the codeshare list</t>
  </si>
  <si>
    <t xml:space="preserve">VR117g</t>
  </si>
  <si>
    <t xml:space="preserve">Null avoidable and zero avoidable are displayed distinctly; a station with no GPU data must not appear perfectly efficient</t>
  </si>
  <si>
    <t xml:space="preserve">VR118</t>
  </si>
  <si>
    <t xml:space="preserve">FUEL_LEDGER</t>
  </si>
  <si>
    <t xml:space="preserve">computed FOB = prior FOB plus signed quantity; every event chains</t>
  </si>
  <si>
    <t xml:space="preserve">TC93 to TC97</t>
  </si>
  <si>
    <t xml:space="preserve">VR119</t>
  </si>
  <si>
    <t xml:space="preserve">The ledger keys on registration, not on flight leg; it chains through tail swaps and unmatched tickets</t>
  </si>
  <si>
    <t xml:space="preserve">TC94, TC97</t>
  </si>
  <si>
    <t xml:space="preserve">VR120</t>
  </si>
  <si>
    <t xml:space="preserve">Closure beyond the outer tolerance is BROKEN_CHAIN and raised as unexplained fuel</t>
  </si>
  <si>
    <t xml:space="preserve">VR121</t>
  </si>
  <si>
    <t xml:space="preserve">Ledger closure is the only check that detects an entirely uncaptured event</t>
  </si>
  <si>
    <t xml:space="preserve">VR122</t>
  </si>
  <si>
    <t xml:space="preserve">Burn variance against plan is not computed for legs that did not complete as planned - air return, diversion, return to ramp. The planned trip fuel refers to a sector that was not flown</t>
  </si>
  <si>
    <t xml:space="preserve">VR123</t>
  </si>
  <si>
    <t xml:space="preserve">Dashboard</t>
  </si>
  <si>
    <t xml:space="preserve">Band 1 control metrics are presented above band 2 and 3 analytics; analytics are qualified when band 1 is below target</t>
  </si>
  <si>
    <t xml:space="preserve">VR75</t>
  </si>
  <si>
    <t xml:space="preserve">IF_RUN</t>
  </si>
  <si>
    <t xml:space="preserve">run_mode is DELTA, SNAPSHOT or RECONCILIATION; divergence detection runs only on the latter two</t>
  </si>
  <si>
    <t xml:space="preserve">TC61 to TC65</t>
  </si>
  <si>
    <t xml:space="preserve">VR76</t>
  </si>
  <si>
    <t xml:space="preserve">The staleness check runs before change_type is acted on; STALE short circuits and wins over REVERSAL</t>
  </si>
  <si>
    <t xml:space="preserve">VR77</t>
  </si>
  <si>
    <t xml:space="preserve">A snapshot value differing from the applied value with no explaining delta raises a divergence exception even though the correction is applied</t>
  </si>
  <si>
    <t xml:space="preserve">VR78</t>
  </si>
  <si>
    <t xml:space="preserve">Absence inside the declared window raises divergence; absence outside the window is ignored</t>
  </si>
  <si>
    <t xml:space="preserve">TC64, TC65</t>
  </si>
  <si>
    <t xml:space="preserve">VR79</t>
  </si>
  <si>
    <t xml:space="preserve">Cancellation is never inferred from absence; it arrives as an explicit record</t>
  </si>
  <si>
    <t xml:space="preserve">VR80</t>
  </si>
  <si>
    <t xml:space="preserve">Sequence gap detection applies to the delta stream only; a snapshot run resets the expected position</t>
  </si>
  <si>
    <t xml:space="preserve">VR81</t>
  </si>
  <si>
    <t xml:space="preserve">Divergence count is reported as an interface health metric, not only as individual exceptions</t>
  </si>
  <si>
    <t xml:space="preserve">FOB RECONCILIATION  -  metered mass (bowser) vs FQIS gauge delta (aircraft).  Tolerance = greater of 2% or 50 kg</t>
  </si>
  <si>
    <t xml:space="preserve">metered_kg</t>
  </si>
  <si>
    <t xml:space="preserve">fqis_delta_kg</t>
  </si>
  <si>
    <t xml:space="preserve">variance_kg</t>
  </si>
  <si>
    <t xml:space="preserve">tolerance_kg</t>
  </si>
  <si>
    <t xml:space="preserve">likely_cause</t>
  </si>
  <si>
    <t xml:space="preserve">Baseline reference</t>
  </si>
  <si>
    <t xml:space="preserve">Normal meter and gauge tolerance</t>
  </si>
  <si>
    <t xml:space="preserve">Meter over-read, leak or gauge fault - investigate</t>
  </si>
  <si>
    <t xml:space="preserve">Default density used instead of batch certificate value</t>
  </si>
  <si>
    <t xml:space="preserve">FQIS resolution dominates on a small uplift</t>
  </si>
  <si>
    <t xml:space="preserve">FQIS not reported by crew</t>
  </si>
  <si>
    <t xml:space="preserve">Bowser 22 - load 1</t>
  </si>
  <si>
    <t xml:space="preserve">Bowser 22 - load 2</t>
  </si>
  <si>
    <t xml:space="preserve">Bowser 22 - load 3</t>
  </si>
  <si>
    <t xml:space="preserve">Ticket reconciles; discrepancy is at plan level</t>
  </si>
  <si>
    <t xml:space="preserve">BOWSER BIAS ROLLUP - a consistent one directional variance indicates meter calibration drift</t>
  </si>
  <si>
    <t xml:space="preserve">tickets</t>
  </si>
  <si>
    <t xml:space="preserve">total_metered_kg</t>
  </si>
  <si>
    <t xml:space="preserve">total_variance_kg</t>
  </si>
  <si>
    <t xml:space="preserve">bias_pct</t>
  </si>
  <si>
    <t xml:space="preserve">assessment</t>
  </si>
  <si>
    <t xml:space="preserve">PLAN FOB vs ACTUAL FOB - assumed arrival fuel compared against the gauge at fuelling start</t>
  </si>
  <si>
    <t xml:space="preserve">planned_fob_kg</t>
  </si>
  <si>
    <t xml:space="preserve">actual_fob_kg</t>
  </si>
  <si>
    <t xml:space="preserve">fob_variance_kg</t>
  </si>
  <si>
    <t xml:space="preserve">status</t>
  </si>
  <si>
    <t xml:space="preserve">FUEL_INVOICE  -  PK fuel_invoice_id  |  header only; totals derived from FUEL_INVOICE_LINE</t>
  </si>
  <si>
    <t xml:space="preserve">fuel_invoice_id</t>
  </si>
  <si>
    <t xml:space="preserve">invoice_number</t>
  </si>
  <si>
    <t xml:space="preserve">period_from</t>
  </si>
  <si>
    <t xml:space="preserve">period_to</t>
  </si>
  <si>
    <t xml:space="preserve">currency</t>
  </si>
  <si>
    <t xml:space="preserve">line_count</t>
  </si>
  <si>
    <t xml:space="preserve">invoice_total</t>
  </si>
  <si>
    <t xml:space="preserve">supplier_stated_total</t>
  </si>
  <si>
    <t xml:space="preserve">header_variance</t>
  </si>
  <si>
    <t xml:space="preserve">invoice_status</t>
  </si>
  <si>
    <t xml:space="preserve">approved_by</t>
  </si>
  <si>
    <t xml:space="preserve">approved_utc</t>
  </si>
  <si>
    <t xml:space="preserve">posting_attempt_count</t>
  </si>
  <si>
    <t xml:space="preserve">last_posting_attempt_utc</t>
  </si>
  <si>
    <t xml:space="preserve">erp_document_ref</t>
  </si>
  <si>
    <t xml:space="preserve">last_error_log_id</t>
  </si>
  <si>
    <t xml:space="preserve">due_date</t>
  </si>
  <si>
    <t xml:space="preserve">dispute_flag</t>
  </si>
  <si>
    <t xml:space="preserve">INV-0001</t>
  </si>
  <si>
    <t xml:space="preserve">PPC/2026/08/00412</t>
  </si>
  <si>
    <t xml:space="preserve">USD</t>
  </si>
  <si>
    <t xml:space="preserve">2026-08-25T09:00Z</t>
  </si>
  <si>
    <t xml:space="preserve">2026-09-24</t>
  </si>
  <si>
    <t xml:space="preserve">INV-0002</t>
  </si>
  <si>
    <t xml:space="preserve">PPC/2026/08/00455</t>
  </si>
  <si>
    <t xml:space="preserve">L.TAN</t>
  </si>
  <si>
    <t xml:space="preserve">2026-08-29T04:10Z</t>
  </si>
  <si>
    <t xml:space="preserve">2026-08-31T02:15Z</t>
  </si>
  <si>
    <t xml:space="preserve">LOG-0007</t>
  </si>
  <si>
    <t xml:space="preserve">2026-08-28T09:00Z</t>
  </si>
  <si>
    <t xml:space="preserve">2026-09-27</t>
  </si>
  <si>
    <t xml:space="preserve">INV-0003</t>
  </si>
  <si>
    <t xml:space="preserve">SHL/CEB/26-1188</t>
  </si>
  <si>
    <t xml:space="preserve">2026-08-23T06:00Z</t>
  </si>
  <si>
    <t xml:space="preserve">2026-08-23T06:05Z</t>
  </si>
  <si>
    <t xml:space="preserve">5100048812</t>
  </si>
  <si>
    <t xml:space="preserve">2026-08-22T09:00Z</t>
  </si>
  <si>
    <t xml:space="preserve">2026-09-21</t>
  </si>
  <si>
    <t xml:space="preserve">INV-0004</t>
  </si>
  <si>
    <t xml:space="preserve">PPC/2026/08/00478</t>
  </si>
  <si>
    <t xml:space="preserve">2026-08-30T04:10Z</t>
  </si>
  <si>
    <t xml:space="preserve">LOG-0011</t>
  </si>
  <si>
    <t xml:space="preserve">2026-08-29T09:00Z</t>
  </si>
  <si>
    <t xml:space="preserve">2026-09-28</t>
  </si>
  <si>
    <t xml:space="preserve">INV-0005</t>
  </si>
  <si>
    <t xml:space="preserve">PPC/2026/08/00490</t>
  </si>
  <si>
    <t xml:space="preserve">LOG-0014</t>
  </si>
  <si>
    <t xml:space="preserve">2026-08-30T09:00Z</t>
  </si>
  <si>
    <t xml:space="preserve">2026-09-29</t>
  </si>
  <si>
    <t xml:space="preserve">FUEL_INVOICE_LINE  -  PK fuel_invoice_line_id  |  FK ticket_id completes the three-way match: order / ticket / invoice</t>
  </si>
  <si>
    <t xml:space="preserve">fuel_invoice_line_id</t>
  </si>
  <si>
    <t xml:space="preserve">line_no</t>
  </si>
  <si>
    <t xml:space="preserve">invoiced_qty_litres</t>
  </si>
  <si>
    <t xml:space="preserve">invoiced_density</t>
  </si>
  <si>
    <t xml:space="preserve">invoiced_qty_kg</t>
  </si>
  <si>
    <t xml:space="preserve">ticket_qty_kg</t>
  </si>
  <si>
    <t xml:space="preserve">qty_variance_kg</t>
  </si>
  <si>
    <t xml:space="preserve">unit_price_per_litre</t>
  </si>
  <si>
    <t xml:space="preserve">line_amount</t>
  </si>
  <si>
    <t xml:space="preserve">contract_price_per_litre</t>
  </si>
  <si>
    <t xml:space="preserve">price_variance</t>
  </si>
  <si>
    <t xml:space="preserve">three_way_status</t>
  </si>
  <si>
    <t xml:space="preserve">duplicate_check</t>
  </si>
  <si>
    <t xml:space="preserve">exception_reason</t>
  </si>
  <si>
    <t xml:space="preserve">ILN-0001</t>
  </si>
  <si>
    <t xml:space="preserve">ILN-0002</t>
  </si>
  <si>
    <t xml:space="preserve">ILN-0003</t>
  </si>
  <si>
    <t xml:space="preserve">ILN-0004</t>
  </si>
  <si>
    <t xml:space="preserve">ILN-0005</t>
  </si>
  <si>
    <t xml:space="preserve">ILN-0006</t>
  </si>
  <si>
    <t xml:space="preserve">ILN-0007</t>
  </si>
  <si>
    <t xml:space="preserve">Differential above contract</t>
  </si>
  <si>
    <t xml:space="preserve">ILN-0008</t>
  </si>
  <si>
    <t xml:space="preserve">TK-9999</t>
  </si>
  <si>
    <t xml:space="preserve">No matching ticket in system</t>
  </si>
  <si>
    <t xml:space="preserve">ILN-0009</t>
  </si>
  <si>
    <t xml:space="preserve">ILN-0010</t>
  </si>
  <si>
    <t xml:space="preserve">ILN-0011</t>
  </si>
  <si>
    <t xml:space="preserve">Density under review against certificate</t>
  </si>
  <si>
    <t xml:space="preserve">ILN-0012</t>
  </si>
  <si>
    <t xml:space="preserve">ILN-0013</t>
  </si>
  <si>
    <t xml:space="preserve">Ad hoc diversion pricing</t>
  </si>
  <si>
    <t xml:space="preserve">ILN-0014</t>
  </si>
  <si>
    <t xml:space="preserve">Duplicate - already billed on ILN-0001</t>
  </si>
  <si>
    <t xml:space="preserve">UNBILLED TICKETS - delivered fuel with no invoice line. The inverse exposure to a phantom invoice line</t>
  </si>
  <si>
    <t xml:space="preserve">invoice_lines</t>
  </si>
  <si>
    <t xml:space="preserve">FUEL_PARAMETER  -  configuration.  Most specific scope wins; resolved as of the UPLIFT date, never the query date</t>
  </si>
  <si>
    <t xml:space="preserve">parameter_id</t>
  </si>
  <si>
    <t xml:space="preserve">parameter_code</t>
  </si>
  <si>
    <t xml:space="preserve">parameter_name</t>
  </si>
  <si>
    <t xml:space="preserve">scope_level</t>
  </si>
  <si>
    <t xml:space="preserve">scope_key</t>
  </si>
  <si>
    <t xml:space="preserve">specificity_rank</t>
  </si>
  <si>
    <t xml:space="preserve">qty_band_from</t>
  </si>
  <si>
    <t xml:space="preserve">qty_band_to</t>
  </si>
  <si>
    <t xml:space="preserve">value_pct</t>
  </si>
  <si>
    <t xml:space="preserve">value_absolute</t>
  </si>
  <si>
    <t xml:space="preserve">value_decimal</t>
  </si>
  <si>
    <t xml:space="preserve">combine_rule</t>
  </si>
  <si>
    <t xml:space="preserve">unit</t>
  </si>
  <si>
    <t xml:space="preserve">valid_from</t>
  </si>
  <si>
    <t xml:space="preserve">valid_to</t>
  </si>
  <si>
    <t xml:space="preserve">PRM-0001</t>
  </si>
  <si>
    <t xml:space="preserve">SG_CONVERSION</t>
  </si>
  <si>
    <t xml:space="preserve">Default conversion density</t>
  </si>
  <si>
    <t xml:space="preserve">GLOBAL</t>
  </si>
  <si>
    <t xml:space="preserve">*</t>
  </si>
  <si>
    <t xml:space="preserve">RATIO</t>
  </si>
  <si>
    <t xml:space="preserve">2026-01-01</t>
  </si>
  <si>
    <t xml:space="preserve">R.DELACRUZ</t>
  </si>
  <si>
    <t xml:space="preserve">Initial baseline</t>
  </si>
  <si>
    <t xml:space="preserve">PRM-0002</t>
  </si>
  <si>
    <t xml:space="preserve">MNL PPC conversion density</t>
  </si>
  <si>
    <t xml:space="preserve">STATION_SUPPLIER</t>
  </si>
  <si>
    <t xml:space="preserve">MNL|PPC</t>
  </si>
  <si>
    <t xml:space="preserve">2026-07-01</t>
  </si>
  <si>
    <t xml:space="preserve">Aligned to Q3 tank farm average</t>
  </si>
  <si>
    <t xml:space="preserve">PRM-0003</t>
  </si>
  <si>
    <t xml:space="preserve">2026-06-30</t>
  </si>
  <si>
    <t xml:space="preserve">Replaced by PRM-0002</t>
  </si>
  <si>
    <t xml:space="preserve">PRM-0004</t>
  </si>
  <si>
    <t xml:space="preserve">CEB SHL conversion density</t>
  </si>
  <si>
    <t xml:space="preserve">CEB|SHL</t>
  </si>
  <si>
    <t xml:space="preserve">Ad hoc station baseline</t>
  </si>
  <si>
    <t xml:space="preserve">PRM-0010</t>
  </si>
  <si>
    <t xml:space="preserve">FOB_TOLERANCE</t>
  </si>
  <si>
    <t xml:space="preserve">Default FOB tolerance</t>
  </si>
  <si>
    <t xml:space="preserve">GREATER_OF</t>
  </si>
  <si>
    <t xml:space="preserve">M.SANTOS</t>
  </si>
  <si>
    <t xml:space="preserve">PRM-0011</t>
  </si>
  <si>
    <t xml:space="preserve">A321 small uplift tolerance</t>
  </si>
  <si>
    <t xml:space="preserve">AIRCRAFT_TYPE</t>
  </si>
  <si>
    <t xml:space="preserve">FQIS resolution poor at low quantity</t>
  </si>
  <si>
    <t xml:space="preserve">PRM-0012</t>
  </si>
  <si>
    <t xml:space="preserve">Widebody large uplift tolerance</t>
  </si>
  <si>
    <t xml:space="preserve">Percentage too generous in absolute terms</t>
  </si>
  <si>
    <t xml:space="preserve">PRM-0020</t>
  </si>
  <si>
    <t xml:space="preserve">ORDER_TOLERANCE</t>
  </si>
  <si>
    <t xml:space="preserve">Default order fulfilment tolerance</t>
  </si>
  <si>
    <t xml:space="preserve">PRM-0021</t>
  </si>
  <si>
    <t xml:space="preserve">MNL PPC order tolerance</t>
  </si>
  <si>
    <t xml:space="preserve">2026-04-01</t>
  </si>
  <si>
    <t xml:space="preserve">Tightened after Q1 meter calibration</t>
  </si>
  <si>
    <t xml:space="preserve">PRM-0030</t>
  </si>
  <si>
    <t xml:space="preserve">DENSITY_MIN</t>
  </si>
  <si>
    <t xml:space="preserve">Jet A-1 minimum plausible density</t>
  </si>
  <si>
    <t xml:space="preserve">GRADE</t>
  </si>
  <si>
    <t xml:space="preserve">ABS_ONLY</t>
  </si>
  <si>
    <t xml:space="preserve">A.REYES</t>
  </si>
  <si>
    <t xml:space="preserve">Per specification range</t>
  </si>
  <si>
    <t xml:space="preserve">PRM-0031</t>
  </si>
  <si>
    <t xml:space="preserve">DENSITY_MAX</t>
  </si>
  <si>
    <t xml:space="preserve">Jet A-1 maximum plausible density</t>
  </si>
  <si>
    <t xml:space="preserve">PRM-0050</t>
  </si>
  <si>
    <t xml:space="preserve">AIRCRAFT_CONFIG_GRANULARITY</t>
  </si>
  <si>
    <t xml:space="preserve">Cabin configuration depth</t>
  </si>
  <si>
    <t xml:space="preserve">ENUM</t>
  </si>
  <si>
    <t xml:space="preserve">IT.ARCH</t>
  </si>
  <si>
    <t xml:space="preserve">NONE or BY_CONFIG. Hides the config table entirely for airlines with one fit per type</t>
  </si>
  <si>
    <t xml:space="preserve">PRM-0051</t>
  </si>
  <si>
    <t xml:space="preserve">PRIMARY_TYPE_CODE_SCHEME</t>
  </si>
  <si>
    <t xml:space="preserve">Type code shown on screen</t>
  </si>
  <si>
    <t xml:space="preserve">ICAO, IATA, MANUFACTURER or INTERNAL. Display and reporting only; resolution always uses the FK</t>
  </si>
  <si>
    <t xml:space="preserve">PRM-0052</t>
  </si>
  <si>
    <t xml:space="preserve">ALLOW_PROVISIONAL_TYPE</t>
  </si>
  <si>
    <t xml:space="preserve">Auto provision unknown aircraft types</t>
  </si>
  <si>
    <t xml:space="preserve">BOOLEAN</t>
  </si>
  <si>
    <t xml:space="preserve">Removes setup burden at implementation</t>
  </si>
  <si>
    <t xml:space="preserve">PRM-0040</t>
  </si>
  <si>
    <t xml:space="preserve">PRICE_TOLERANCE</t>
  </si>
  <si>
    <t xml:space="preserve">Unit price match tolerance</t>
  </si>
  <si>
    <t xml:space="preserve">Rounding allowance per litre</t>
  </si>
  <si>
    <t xml:space="preserve">FUEL_PARAMETER_APPLIED  -  immutable evidence.  What DID apply to this transaction, and which config row produced it</t>
  </si>
  <si>
    <t xml:space="preserve">applied_id</t>
  </si>
  <si>
    <t xml:space="preserve">entity_type</t>
  </si>
  <si>
    <t xml:space="preserve">entity_id</t>
  </si>
  <si>
    <t xml:space="preserve">scope_key_resolved</t>
  </si>
  <si>
    <t xml:space="preserve">basis_qty</t>
  </si>
  <si>
    <t xml:space="preserve">resolved_value</t>
  </si>
  <si>
    <t xml:space="preserve">resolved_utc</t>
  </si>
  <si>
    <t xml:space="preserve">as_of_date</t>
  </si>
  <si>
    <t xml:space="preserve">APP-0001</t>
  </si>
  <si>
    <t xml:space="preserve">TICKET</t>
  </si>
  <si>
    <t xml:space="preserve">2026-08-31T00:00Z</t>
  </si>
  <si>
    <t xml:space="preserve">APP-0002</t>
  </si>
  <si>
    <t xml:space="preserve">APP-0003</t>
  </si>
  <si>
    <t xml:space="preserve">APP-0004</t>
  </si>
  <si>
    <t xml:space="preserve">APP-0005</t>
  </si>
  <si>
    <t xml:space="preserve">APP-0006</t>
  </si>
  <si>
    <t xml:space="preserve">APP-0007</t>
  </si>
  <si>
    <t xml:space="preserve">APP-0008</t>
  </si>
  <si>
    <t xml:space="preserve">APP-0009</t>
  </si>
  <si>
    <t xml:space="preserve">APP-0010</t>
  </si>
  <si>
    <t xml:space="preserve">ORDER</t>
  </si>
  <si>
    <t xml:space="preserve">APP-0011</t>
  </si>
  <si>
    <t xml:space="preserve">APP-0012</t>
  </si>
  <si>
    <t xml:space="preserve">APP-0013</t>
  </si>
  <si>
    <t xml:space="preserve">APP-0014</t>
  </si>
  <si>
    <t xml:space="preserve">APP-0015</t>
  </si>
  <si>
    <t xml:space="preserve">APP-0016</t>
  </si>
  <si>
    <t xml:space="preserve">APP-0017</t>
  </si>
  <si>
    <t xml:space="preserve">INVOICE_LINE</t>
  </si>
  <si>
    <t xml:space="preserve">APP-0018</t>
  </si>
  <si>
    <t xml:space="preserve">APPLICATION_LOG  -  PK log_id  |  every posting attempt, error and warning; drilled into from the posting error screens</t>
  </si>
  <si>
    <t xml:space="preserve">log_id</t>
  </si>
  <si>
    <t xml:space="preserve">log_utc</t>
  </si>
  <si>
    <t xml:space="preserve">severity</t>
  </si>
  <si>
    <t xml:space="preserve">process_code</t>
  </si>
  <si>
    <t xml:space="preserve">message_code</t>
  </si>
  <si>
    <t xml:space="preserve">message_text</t>
  </si>
  <si>
    <t xml:space="preserve">error_category</t>
  </si>
  <si>
    <t xml:space="preserve">technical_detail</t>
  </si>
  <si>
    <t xml:space="preserve">target_system</t>
  </si>
  <si>
    <t xml:space="preserve">attempt_no</t>
  </si>
  <si>
    <t xml:space="preserve">retryable</t>
  </si>
  <si>
    <t xml:space="preserve">resolution_status</t>
  </si>
  <si>
    <t xml:space="preserve">resolved_by</t>
  </si>
  <si>
    <t xml:space="preserve">correlation_id</t>
  </si>
  <si>
    <t xml:space="preserve">2026-08-31T02:15:04Z</t>
  </si>
  <si>
    <t xml:space="preserve">ERROR</t>
  </si>
  <si>
    <t xml:space="preserve">INV_POSTING</t>
  </si>
  <si>
    <t xml:space="preserve">FI_ACCT_MISSING</t>
  </si>
  <si>
    <t xml:space="preserve">GL account not found for expense type AVFUEL at company code 1000</t>
  </si>
  <si>
    <t xml:space="preserve">MASTER_DATA</t>
  </si>
  <si>
    <t xml:space="preserve">SAP RFC: KI235 Account 0000512100 not created in CoCd 1000</t>
  </si>
  <si>
    <t xml:space="preserve">SAP_S4</t>
  </si>
  <si>
    <t xml:space="preserve">OPEN</t>
  </si>
  <si>
    <t xml:space="preserve">CORR-99120</t>
  </si>
  <si>
    <t xml:space="preserve">LOG-0008</t>
  </si>
  <si>
    <t xml:space="preserve">FI_TAX_CODE_INVALID</t>
  </si>
  <si>
    <t xml:space="preserve">Tax code V0 not permitted for supplier PPC in country PH</t>
  </si>
  <si>
    <t xml:space="preserve">SAP RFC: FF805 Tax code V0 country PH</t>
  </si>
  <si>
    <t xml:space="preserve">LOG-0009</t>
  </si>
  <si>
    <t xml:space="preserve">2026-08-31T02:15:05Z</t>
  </si>
  <si>
    <t xml:space="preserve">WARNING</t>
  </si>
  <si>
    <t xml:space="preserve">PRICE_VAR_TOLERANCE</t>
  </si>
  <si>
    <t xml:space="preserve">Line held: density under review against batch certificate</t>
  </si>
  <si>
    <t xml:space="preserve">BUSINESS_RULE</t>
  </si>
  <si>
    <t xml:space="preserve">Internal rule VR36</t>
  </si>
  <si>
    <t xml:space="preserve">FUELSPHERE</t>
  </si>
  <si>
    <t xml:space="preserve">LOG-0010</t>
  </si>
  <si>
    <t xml:space="preserve">2026-08-30T22:04:11Z</t>
  </si>
  <si>
    <t xml:space="preserve">INFO</t>
  </si>
  <si>
    <t xml:space="preserve">FI_POST_SUCCESS</t>
  </si>
  <si>
    <t xml:space="preserve">Invoice posted successfully</t>
  </si>
  <si>
    <t xml:space="preserve">NONE</t>
  </si>
  <si>
    <t xml:space="preserve">SAP document 5100048812 company code 1000</t>
  </si>
  <si>
    <t xml:space="preserve">CLOSED</t>
  </si>
  <si>
    <t xml:space="preserve">SYSTEM</t>
  </si>
  <si>
    <t xml:space="preserve">CORR-99101</t>
  </si>
  <si>
    <t xml:space="preserve">2026-08-31T02:15:09Z</t>
  </si>
  <si>
    <t xml:space="preserve">FI_PERIOD_CLOSED</t>
  </si>
  <si>
    <t xml:space="preserve">Posting period 08/2026 is closed for company code 1000</t>
  </si>
  <si>
    <t xml:space="preserve">PERIOD_CONTROL</t>
  </si>
  <si>
    <t xml:space="preserve">SAP RFC: F5201 Posting period 008 2026 not open</t>
  </si>
  <si>
    <t xml:space="preserve">CORR-99133</t>
  </si>
  <si>
    <t xml:space="preserve">LOG-0012</t>
  </si>
  <si>
    <t xml:space="preserve">FI_VENDOR_BLOCKED</t>
  </si>
  <si>
    <t xml:space="preserve">Vendor PPC is blocked for posting in company code 1000</t>
  </si>
  <si>
    <t xml:space="preserve">SAP RFC: F5138 Vendor blocked</t>
  </si>
  <si>
    <t xml:space="preserve">CORR-99115</t>
  </si>
  <si>
    <t xml:space="preserve">LOG-0013</t>
  </si>
  <si>
    <t xml:space="preserve">2026-08-29T04:12:33Z</t>
  </si>
  <si>
    <t xml:space="preserve">IF_TIMEOUT</t>
  </si>
  <si>
    <t xml:space="preserve">Connection to target system timed out after 30s</t>
  </si>
  <si>
    <t xml:space="preserve">CONNECTIVITY</t>
  </si>
  <si>
    <t xml:space="preserve">HTTP 504 gateway timeout on /sap/opu/odata/…</t>
  </si>
  <si>
    <t xml:space="preserve">CORR-99108</t>
  </si>
  <si>
    <t xml:space="preserve">2026-08-30T09:12:00Z</t>
  </si>
  <si>
    <t xml:space="preserve">INV_VALIDATION</t>
  </si>
  <si>
    <t xml:space="preserve">DUP_TICKET_BILLED</t>
  </si>
  <si>
    <t xml:space="preserve">Ticket TK-2001 already billed on invoice line ILN-0001</t>
  </si>
  <si>
    <t xml:space="preserve">DUPLICATE</t>
  </si>
  <si>
    <t xml:space="preserve">Internal rule VR33</t>
  </si>
  <si>
    <t xml:space="preserve">CORR-99140</t>
  </si>
  <si>
    <t xml:space="preserve">LOG-0015</t>
  </si>
  <si>
    <t xml:space="preserve">2026-08-31T02:15:12Z</t>
  </si>
  <si>
    <t xml:space="preserve">FI_REF_NOT_FOUND</t>
  </si>
  <si>
    <t xml:space="preserve">No goods receipt reference found for invoice line</t>
  </si>
  <si>
    <t xml:space="preserve">SAP RFC: M8147 Reference document missing</t>
  </si>
  <si>
    <t xml:space="preserve">LOG-0016</t>
  </si>
  <si>
    <t xml:space="preserve">2026-08-31T02:15:14Z</t>
  </si>
  <si>
    <t xml:space="preserve">FI_CURRENCY_RATE</t>
  </si>
  <si>
    <t xml:space="preserve">Exchange rate for USD to PHP not maintained on 2026-08-21</t>
  </si>
  <si>
    <t xml:space="preserve">SAP RFC: SG105 Rate type M missing</t>
  </si>
  <si>
    <t xml:space="preserve">AI_SETTING  -  configuration so the AI features bind to whatever ecosystem the organisation runs.  Secrets held by reference only</t>
  </si>
  <si>
    <t xml:space="preserve">setting_id</t>
  </si>
  <si>
    <t xml:space="preserve">setting_group</t>
  </si>
  <si>
    <t xml:space="preserve">setting_key</t>
  </si>
  <si>
    <t xml:space="preserve">setting_value</t>
  </si>
  <si>
    <t xml:space="preserve">value_type</t>
  </si>
  <si>
    <t xml:space="preserve">is_secret</t>
  </si>
  <si>
    <t xml:space="preserve">description</t>
  </si>
  <si>
    <t xml:space="preserve">AIS-0001</t>
  </si>
  <si>
    <t xml:space="preserve">PROVIDER</t>
  </si>
  <si>
    <t xml:space="preserve">AI_PROVIDER</t>
  </si>
  <si>
    <t xml:space="preserve">ANTHROPIC</t>
  </si>
  <si>
    <t xml:space="preserve">Which AI vendor the organisation uses</t>
  </si>
  <si>
    <t xml:space="preserve">AIS-0002</t>
  </si>
  <si>
    <t xml:space="preserve">AI_ENDPOINT_URL</t>
  </si>
  <si>
    <t xml:space="preserve">https://&lt;tenant-endpoint&gt;/v1/messages</t>
  </si>
  <si>
    <t xml:space="preserve">URL</t>
  </si>
  <si>
    <t xml:space="preserve">Base endpoint; may point at a private gateway</t>
  </si>
  <si>
    <t xml:space="preserve">AIS-0003</t>
  </si>
  <si>
    <t xml:space="preserve">AI_MODEL</t>
  </si>
  <si>
    <t xml:space="preserve">&lt;model-identifier&gt;</t>
  </si>
  <si>
    <t xml:space="preserve">STRING</t>
  </si>
  <si>
    <t xml:space="preserve">Model used for error summarisation</t>
  </si>
  <si>
    <t xml:space="preserve">AIS-0004</t>
  </si>
  <si>
    <t xml:space="preserve">AI_API_KEY_REF</t>
  </si>
  <si>
    <t xml:space="preserve">VAULT://fuelsphere/ai/key</t>
  </si>
  <si>
    <t xml:space="preserve">SECRET_REF</t>
  </si>
  <si>
    <t xml:space="preserve">IT.SEC</t>
  </si>
  <si>
    <t xml:space="preserve">Reference only; never store the key itself</t>
  </si>
  <si>
    <t xml:space="preserve">AIS-0005</t>
  </si>
  <si>
    <t xml:space="preserve">AI_AUTH_MODE</t>
  </si>
  <si>
    <t xml:space="preserve">API_KEY</t>
  </si>
  <si>
    <t xml:space="preserve">API_KEY / OAUTH2 / MTLS / IAM_ROLE</t>
  </si>
  <si>
    <t xml:space="preserve">AIS-0010</t>
  </si>
  <si>
    <t xml:space="preserve">LIMITS</t>
  </si>
  <si>
    <t xml:space="preserve">AI_MAX_TOKENS</t>
  </si>
  <si>
    <t xml:space="preserve">2000</t>
  </si>
  <si>
    <t xml:space="preserve">INT</t>
  </si>
  <si>
    <t xml:space="preserve">Response ceiling per call</t>
  </si>
  <si>
    <t xml:space="preserve">AIS-0011</t>
  </si>
  <si>
    <t xml:space="preserve">AI_TIMEOUT_SEC</t>
  </si>
  <si>
    <t xml:space="preserve">45</t>
  </si>
  <si>
    <t xml:space="preserve">Call timeout</t>
  </si>
  <si>
    <t xml:space="preserve">AIS-0012</t>
  </si>
  <si>
    <t xml:space="preserve">AI_MAX_ERRORS_PER_BATCH</t>
  </si>
  <si>
    <t xml:space="preserve">200</t>
  </si>
  <si>
    <t xml:space="preserve">Log rows sent in one analysis request</t>
  </si>
  <si>
    <t xml:space="preserve">AIS-0013</t>
  </si>
  <si>
    <t xml:space="preserve">AI_MONTHLY_CALL_CAP</t>
  </si>
  <si>
    <t xml:space="preserve">5000</t>
  </si>
  <si>
    <t xml:space="preserve">FIN.OPS</t>
  </si>
  <si>
    <t xml:space="preserve">Cost control</t>
  </si>
  <si>
    <t xml:space="preserve">AIS-0020</t>
  </si>
  <si>
    <t xml:space="preserve">GOVERNANCE</t>
  </si>
  <si>
    <t xml:space="preserve">AI_FEATURE_ENABLED</t>
  </si>
  <si>
    <t xml:space="preserve">Master switch; system must work fully with AI off</t>
  </si>
  <si>
    <t xml:space="preserve">AIS-0021</t>
  </si>
  <si>
    <t xml:space="preserve">AI_DATA_REDACTION</t>
  </si>
  <si>
    <t xml:space="preserve">Strip supplier names, prices and IDs before sending</t>
  </si>
  <si>
    <t xml:space="preserve">AIS-0022</t>
  </si>
  <si>
    <t xml:space="preserve">AI_RETENTION_DAYS</t>
  </si>
  <si>
    <t xml:space="preserve">90</t>
  </si>
  <si>
    <t xml:space="preserve">How long AI_ANALYSIS rows are kept</t>
  </si>
  <si>
    <t xml:space="preserve">AIS-0023</t>
  </si>
  <si>
    <t xml:space="preserve">AI_HUMAN_APPROVAL_REQUIRED</t>
  </si>
  <si>
    <t xml:space="preserve">AI never triggers a repost unattended</t>
  </si>
  <si>
    <t xml:space="preserve">AIS-0024</t>
  </si>
  <si>
    <t xml:space="preserve">AI_LOG_PROMPTS</t>
  </si>
  <si>
    <t xml:space="preserve">Store prompt and response for audit</t>
  </si>
  <si>
    <t xml:space="preserve">AIS-0030</t>
  </si>
  <si>
    <t xml:space="preserve">PROMPT</t>
  </si>
  <si>
    <t xml:space="preserve">PROMPT_ERROR_SUMMARY</t>
  </si>
  <si>
    <t xml:space="preserve">TEMPLATE://error_summary_v3</t>
  </si>
  <si>
    <t xml:space="preserve">TEMPLATE_REF</t>
  </si>
  <si>
    <t xml:space="preserve">2026-06-01</t>
  </si>
  <si>
    <t xml:space="preserve">Versioned prompt for grouping and resolution proposal</t>
  </si>
  <si>
    <t xml:space="preserve">AIS-0031</t>
  </si>
  <si>
    <t xml:space="preserve">TEMPLATE://error_summary_v2</t>
  </si>
  <si>
    <t xml:space="preserve">2026-05-31</t>
  </si>
  <si>
    <t xml:space="preserve">Replaced by v3</t>
  </si>
  <si>
    <t xml:space="preserve">AI_ANALYSIS  -  AI grouped errors by resolution type and proposed steps.  Every group carries a human status; nothing acts unattended</t>
  </si>
  <si>
    <t xml:space="preserve">analysis_id</t>
  </si>
  <si>
    <t xml:space="preserve">requested_utc</t>
  </si>
  <si>
    <t xml:space="preserve">requested_by</t>
  </si>
  <si>
    <t xml:space="preserve">scope_description</t>
  </si>
  <si>
    <t xml:space="preserve">log_count_analysed</t>
  </si>
  <si>
    <t xml:space="preserve">group_no</t>
  </si>
  <si>
    <t xml:space="preserve">group_label</t>
  </si>
  <si>
    <t xml:space="preserve">log_ids_in_group</t>
  </si>
  <si>
    <t xml:space="preserve">root_cause_summary</t>
  </si>
  <si>
    <t xml:space="preserve">proposed_resolution</t>
  </si>
  <si>
    <t xml:space="preserve">resolution_owner</t>
  </si>
  <si>
    <t xml:space="preserve">confidence</t>
  </si>
  <si>
    <t xml:space="preserve">human_status</t>
  </si>
  <si>
    <t xml:space="preserve">reviewed_by</t>
  </si>
  <si>
    <t xml:space="preserve">reviewed_utc</t>
  </si>
  <si>
    <t xml:space="preserve">prompt_version</t>
  </si>
  <si>
    <t xml:space="preserve">model_used</t>
  </si>
  <si>
    <t xml:space="preserve">tokens_used</t>
  </si>
  <si>
    <t xml:space="preserve">AIA-0001</t>
  </si>
  <si>
    <t xml:space="preserve">2026-08-31T08:00Z</t>
  </si>
  <si>
    <t xml:space="preserve">All OPEN posting errors, MNL, Aug 2026</t>
  </si>
  <si>
    <t xml:space="preserve">Missing finance master data</t>
  </si>
  <si>
    <t xml:space="preserve">LOG-0007, LOG-0012, LOG-0016</t>
  </si>
  <si>
    <t xml:space="preserve">Three distinct master data objects are absent in the target system: an expense GL account, a vendor posting block, and a currency rate. All three block posting at the header or line level.</t>
  </si>
  <si>
    <t xml:space="preserve">Raise a master data request covering all three objects together rather than individually. Sequence: unblock vendor, create GL account, maintain rate for the affected dates. Reprocess as a single batch afterwards.</t>
  </si>
  <si>
    <t xml:space="preserve">FINANCE_MDM</t>
  </si>
  <si>
    <t xml:space="preserve">HIGH</t>
  </si>
  <si>
    <t xml:space="preserve">ACCEPTED</t>
  </si>
  <si>
    <t xml:space="preserve">2026-08-31T09:20Z</t>
  </si>
  <si>
    <t xml:space="preserve">error_summary_v3</t>
  </si>
  <si>
    <t xml:space="preserve">Period control</t>
  </si>
  <si>
    <t xml:space="preserve">Posting period 08/2026 is closed for the company code. This is a timing issue, not a data defect.</t>
  </si>
  <si>
    <t xml:space="preserve">Confirm with financial control whether the period reopens or the document should post to the next open period. If the latter, adjust the posting date and reprocess. No data correction needed.</t>
  </si>
  <si>
    <t xml:space="preserve">FINANCE_CONTROL</t>
  </si>
  <si>
    <t xml:space="preserve">2026-08-31T09:22Z</t>
  </si>
  <si>
    <t xml:space="preserve">Tax configuration</t>
  </si>
  <si>
    <t xml:space="preserve">The tax code applied to the line is not valid for this supplier and country combination.</t>
  </si>
  <si>
    <t xml:space="preserve">Verify the correct tax code with tax accounting, then correct the determination rule so future lines derive it automatically rather than fixing this line in isolation.</t>
  </si>
  <si>
    <t xml:space="preserve">FINANCE_TAX</t>
  </si>
  <si>
    <t xml:space="preserve">MEDIUM</t>
  </si>
  <si>
    <t xml:space="preserve">Reference document missing</t>
  </si>
  <si>
    <t xml:space="preserve">The invoice line has no goods receipt reference. This traces back to ILN-0008, which has no matching fuel ticket.</t>
  </si>
  <si>
    <t xml:space="preserve">Do not resolve in the target system. This is the phantom billing case: the line must be disputed with the supplier and removed from the invoice before posting is retried.</t>
  </si>
  <si>
    <t xml:space="preserve">FUEL_OPS</t>
  </si>
  <si>
    <t xml:space="preserve">2026-08-31T09:25Z</t>
  </si>
  <si>
    <t xml:space="preserve">Business rule hold</t>
  </si>
  <si>
    <t xml:space="preserve">LOG-0009, LOG-0014</t>
  </si>
  <si>
    <t xml:space="preserve">Two internal holds, not target system errors: a density under review and a duplicate ticket already billed.</t>
  </si>
  <si>
    <t xml:space="preserve">These require a business decision before posting is attempted at all. The duplicate should be rejected outright; the density case needs the batch certificate comparison completed first.</t>
  </si>
  <si>
    <t xml:space="preserve">Transient connectivity</t>
  </si>
  <si>
    <t xml:space="preserve">A single gateway timeout, already closed. No pattern across the batch.</t>
  </si>
  <si>
    <t xml:space="preserve">No action. Confirm the retry policy already covers transient failures so these do not reach the manual queue.</t>
  </si>
  <si>
    <t xml:space="preserve">IT_INTEGRATION</t>
  </si>
  <si>
    <t xml:space="preserve">2026-08-31T09:26Z</t>
  </si>
  <si>
    <t xml:space="preserve">UI INVENTORY  -  screens required across the fuel data model</t>
  </si>
  <si>
    <t xml:space="preserve">Screen ID</t>
  </si>
  <si>
    <t xml:space="preserve">Screen Name</t>
  </si>
  <si>
    <t xml:space="preserve">Primary Entity</t>
  </si>
  <si>
    <t xml:space="preserve">Screen Type</t>
  </si>
  <si>
    <t xml:space="preserve">Purpose</t>
  </si>
  <si>
    <t xml:space="preserve">Key Data Shown</t>
  </si>
  <si>
    <t xml:space="preserve">Navigates To</t>
  </si>
  <si>
    <t xml:space="preserve">Roles</t>
  </si>
  <si>
    <t xml:space="preserve">UI-01</t>
  </si>
  <si>
    <t xml:space="preserve">Flight Leg Worklist</t>
  </si>
  <si>
    <t xml:space="preserve">List / search</t>
  </si>
  <si>
    <t xml:space="preserve">Find legs by date, station, tail or status</t>
  </si>
  <si>
    <t xml:space="preserve">Flight no, date, route, status, ops phase, fuel reconciled flag</t>
  </si>
  <si>
    <t xml:space="preserve">UI-02</t>
  </si>
  <si>
    <t xml:space="preserve">Fuel Ops, Dispatch, Read only</t>
  </si>
  <si>
    <t xml:space="preserve">Flight Leg Detail</t>
  </si>
  <si>
    <t xml:space="preserve">Detail</t>
  </si>
  <si>
    <t xml:space="preserve">Single leg with all fuel activity in one place</t>
  </si>
  <si>
    <t xml:space="preserve">Leg header, plan versions, orders, tickets, variances</t>
  </si>
  <si>
    <t xml:space="preserve">UI-04, UI-06, UI-09</t>
  </si>
  <si>
    <t xml:space="preserve">Fuel Ops, Dispatch</t>
  </si>
  <si>
    <t xml:space="preserve">UI-03</t>
  </si>
  <si>
    <t xml:space="preserve">Plan Version List</t>
  </si>
  <si>
    <t xml:space="preserve">List</t>
  </si>
  <si>
    <t xml:space="preserve">All plan versions for a leg in sequence</t>
  </si>
  <si>
    <t xml:space="preserve">Version, status, change reason, block fuel, required uplift</t>
  </si>
  <si>
    <t xml:space="preserve">UI-04</t>
  </si>
  <si>
    <t xml:space="preserve">Fuel Plan Detail</t>
  </si>
  <si>
    <t xml:space="preserve">Full fuel breakdown for one version</t>
  </si>
  <si>
    <t xml:space="preserve">Trip, contingency, alternate, reserve, taxi, extra, FOB, uplift</t>
  </si>
  <si>
    <t xml:space="preserve">UI-05</t>
  </si>
  <si>
    <t xml:space="preserve">Plan Version Compare</t>
  </si>
  <si>
    <t xml:space="preserve">Comparison</t>
  </si>
  <si>
    <t xml:space="preserve">Side by side diff of two versions</t>
  </si>
  <si>
    <t xml:space="preserve">Field level deltas with change reason</t>
  </si>
  <si>
    <t xml:space="preserve">UI-06</t>
  </si>
  <si>
    <t xml:space="preserve">Fuel Order Worklist</t>
  </si>
  <si>
    <t xml:space="preserve">Orders by station, supplier, status, fulfilment check</t>
  </si>
  <si>
    <t xml:space="preserve">Order no, version, ordered, delivered, variance, fulfilment check</t>
  </si>
  <si>
    <t xml:space="preserve">UI-07</t>
  </si>
  <si>
    <t xml:space="preserve">Fuel Ops</t>
  </si>
  <si>
    <t xml:space="preserve">Fuel Order Detail</t>
  </si>
  <si>
    <t xml:space="preserve">One order with all linked tickets</t>
  </si>
  <si>
    <t xml:space="preserve">Order header, ticket list, rollup, tolerance applied</t>
  </si>
  <si>
    <t xml:space="preserve">UI-10, UI-19</t>
  </si>
  <si>
    <t xml:space="preserve">UI-08</t>
  </si>
  <si>
    <t xml:space="preserve">Order Fulfilment Exceptions</t>
  </si>
  <si>
    <t xml:space="preserve">Exception queue</t>
  </si>
  <si>
    <t xml:space="preserve">Under and over delivered orders needing action</t>
  </si>
  <si>
    <t xml:space="preserve">Variance, tolerance, reason code, ageing</t>
  </si>
  <si>
    <t xml:space="preserve">Fuel Ops, Supervisor</t>
  </si>
  <si>
    <t xml:space="preserve">UI-09</t>
  </si>
  <si>
    <t xml:space="preserve">Fuel Ticket Worklist</t>
  </si>
  <si>
    <t xml:space="preserve">Tickets by station, supplier, tail, date, match status</t>
  </si>
  <si>
    <t xml:space="preserve">Ticket no, registration, quantity, match status, recon status</t>
  </si>
  <si>
    <t xml:space="preserve">UI-10</t>
  </si>
  <si>
    <t xml:space="preserve">Fuel Ticket Detail</t>
  </si>
  <si>
    <t xml:space="preserve">One fuel event end to end</t>
  </si>
  <si>
    <t xml:space="preserve">Meter, density, FQIS, variance, signatures, source, raw payload</t>
  </si>
  <si>
    <t xml:space="preserve">UI-19, UI-24</t>
  </si>
  <si>
    <t xml:space="preserve">UI-11</t>
  </si>
  <si>
    <t xml:space="preserve">Manual Ticket Entry</t>
  </si>
  <si>
    <t xml:space="preserve">Data entry</t>
  </si>
  <si>
    <t xml:space="preserve">Capture a ticket with no electronic feed</t>
  </si>
  <si>
    <t xml:space="preserve">Entry form with plausibility checks on density and quantity</t>
  </si>
  <si>
    <t xml:space="preserve">UI-12</t>
  </si>
  <si>
    <t xml:space="preserve">Unmatched Ticket Workbench</t>
  </si>
  <si>
    <t xml:space="preserve">Tickets with no order or no leg</t>
  </si>
  <si>
    <t xml:space="preserve">Ticket, registration, station, time, candidate legs</t>
  </si>
  <si>
    <t xml:space="preserve">UI-13</t>
  </si>
  <si>
    <t xml:space="preserve">FOB Reconciliation Review</t>
  </si>
  <si>
    <t xml:space="preserve">Metered mass versus FQIS beyond tolerance</t>
  </si>
  <si>
    <t xml:space="preserve">Metered, FQIS, variance, tolerance applied, status</t>
  </si>
  <si>
    <t xml:space="preserve">UI-14</t>
  </si>
  <si>
    <t xml:space="preserve">Bowser Bias Report</t>
  </si>
  <si>
    <t xml:space="preserve">Analytics</t>
  </si>
  <si>
    <t xml:space="preserve">One directional variance by bowser over time</t>
  </si>
  <si>
    <t xml:space="preserve">Bowser, ticket count, total variance, bias percent, trend</t>
  </si>
  <si>
    <t xml:space="preserve">UI-15</t>
  </si>
  <si>
    <t xml:space="preserve">Invoice Worklist</t>
  </si>
  <si>
    <t xml:space="preserve">Invoices by supplier, station, period, status</t>
  </si>
  <si>
    <t xml:space="preserve">Invoice no, period, total, status, dispute flag, attempts</t>
  </si>
  <si>
    <t xml:space="preserve">UI-16</t>
  </si>
  <si>
    <t xml:space="preserve">Finance, Fuel Ops</t>
  </si>
  <si>
    <t xml:space="preserve">Invoice Detail</t>
  </si>
  <si>
    <t xml:space="preserve">Header plus all lines with match results</t>
  </si>
  <si>
    <t xml:space="preserve">Header, derived total vs stated total, line grid</t>
  </si>
  <si>
    <t xml:space="preserve">UI-17, UI-18, UI-23</t>
  </si>
  <si>
    <t xml:space="preserve">UI-17</t>
  </si>
  <si>
    <t xml:space="preserve">Invoice Line Exceptions</t>
  </si>
  <si>
    <t xml:space="preserve">Lines failing quantity, price, duplicate or no ticket checks</t>
  </si>
  <si>
    <t xml:space="preserve">Line, ticket, variance, three way status, duplicate check</t>
  </si>
  <si>
    <t xml:space="preserve">UI-10, UI-16</t>
  </si>
  <si>
    <t xml:space="preserve">UI-18</t>
  </si>
  <si>
    <t xml:space="preserve">Invoice Approval</t>
  </si>
  <si>
    <t xml:space="preserve">Approval</t>
  </si>
  <si>
    <t xml:space="preserve">Release an invoice for posting</t>
  </si>
  <si>
    <t xml:space="preserve">Exception summary, blocking conditions, approval trail</t>
  </si>
  <si>
    <t xml:space="preserve">UI-20</t>
  </si>
  <si>
    <t xml:space="preserve">Finance Approver</t>
  </si>
  <si>
    <t xml:space="preserve">UI-19</t>
  </si>
  <si>
    <t xml:space="preserve">Unbilled Exposure Report</t>
  </si>
  <si>
    <t xml:space="preserve">Delivered fuel with no invoice line</t>
  </si>
  <si>
    <t xml:space="preserve">Ticket, registration, date, quantity, ageing</t>
  </si>
  <si>
    <t xml:space="preserve">Posting Worklist</t>
  </si>
  <si>
    <t xml:space="preserve">Invoices in POSTING_ATTEMPTED or REJECTED</t>
  </si>
  <si>
    <t xml:space="preserve">Invoice, status, attempt count, last attempt, last error</t>
  </si>
  <si>
    <t xml:space="preserve">UI-21, UI-23</t>
  </si>
  <si>
    <t xml:space="preserve">Finance, IT Support</t>
  </si>
  <si>
    <t xml:space="preserve">UI-21</t>
  </si>
  <si>
    <t xml:space="preserve">Posting Error Review</t>
  </si>
  <si>
    <t xml:space="preserve">Errors from posting attempts, grouped and filterable</t>
  </si>
  <si>
    <t xml:space="preserve">Severity, message, category, technical detail, retryable</t>
  </si>
  <si>
    <t xml:space="preserve">UI-22, UI-23</t>
  </si>
  <si>
    <t xml:space="preserve">UI-22</t>
  </si>
  <si>
    <t xml:space="preserve">Application Log Viewer</t>
  </si>
  <si>
    <t xml:space="preserve">Full log search across processes and entities</t>
  </si>
  <si>
    <t xml:space="preserve">Timestamp, severity, process, entity, message, correlation id</t>
  </si>
  <si>
    <t xml:space="preserve">IT Support, Finance</t>
  </si>
  <si>
    <t xml:space="preserve">UI-23</t>
  </si>
  <si>
    <t xml:space="preserve">AI Error Analysis Workbench</t>
  </si>
  <si>
    <t xml:space="preserve">Analytics / AI</t>
  </si>
  <si>
    <t xml:space="preserve">Grouped errors with proposed resolution per group</t>
  </si>
  <si>
    <t xml:space="preserve">Group label, root cause, proposed steps, owner, confidence</t>
  </si>
  <si>
    <t xml:space="preserve">UI-21, UI-20</t>
  </si>
  <si>
    <t xml:space="preserve">Finance, Fuel Ops, IT Support</t>
  </si>
  <si>
    <t xml:space="preserve">UI-24</t>
  </si>
  <si>
    <t xml:space="preserve">Parameter Maintenance</t>
  </si>
  <si>
    <t xml:space="preserve">Configuration</t>
  </si>
  <si>
    <t xml:space="preserve">Maintain tolerances, SG and density limits by scope</t>
  </si>
  <si>
    <t xml:space="preserve">Code, scope, band, values, combine rule, validity, status</t>
  </si>
  <si>
    <t xml:space="preserve">UI-25, UI-26</t>
  </si>
  <si>
    <t xml:space="preserve">Config Admin</t>
  </si>
  <si>
    <t xml:space="preserve">UI-25</t>
  </si>
  <si>
    <t xml:space="preserve">Parameter Change Approval</t>
  </si>
  <si>
    <t xml:space="preserve">Approve a DRAFT parameter before it becomes ACTIVE</t>
  </si>
  <si>
    <t xml:space="preserve">Old value, new value, change reason, effective date</t>
  </si>
  <si>
    <t xml:space="preserve">Config Approver</t>
  </si>
  <si>
    <t xml:space="preserve">UI-26</t>
  </si>
  <si>
    <t xml:space="preserve">Applied Parameter Trace</t>
  </si>
  <si>
    <t xml:space="preserve">Detail / read only</t>
  </si>
  <si>
    <t xml:space="preserve">Which config row produced the value used on a transaction</t>
  </si>
  <si>
    <t xml:space="preserve">Entity, code, parameter id, basis, resolved value</t>
  </si>
  <si>
    <t xml:space="preserve">All, read only</t>
  </si>
  <si>
    <t xml:space="preserve">UI-27</t>
  </si>
  <si>
    <t xml:space="preserve">Parameter Simulation</t>
  </si>
  <si>
    <t xml:space="preserve">What if: replay historic data against a proposed tolerance</t>
  </si>
  <si>
    <t xml:space="preserve">Current vs proposed exception counts and quantities</t>
  </si>
  <si>
    <t xml:space="preserve">Config Admin, Supervisor</t>
  </si>
  <si>
    <t xml:space="preserve">UI-28</t>
  </si>
  <si>
    <t xml:space="preserve">AI Settings</t>
  </si>
  <si>
    <t xml:space="preserve">Bind AI features to the organisation ecosystem</t>
  </si>
  <si>
    <t xml:space="preserve">Provider, endpoint, model, auth mode, limits, governance flags</t>
  </si>
  <si>
    <t xml:space="preserve">UI-29</t>
  </si>
  <si>
    <t xml:space="preserve">IT Admin</t>
  </si>
  <si>
    <t xml:space="preserve">AI Usage and Audit</t>
  </si>
  <si>
    <t xml:space="preserve">Call volume, cost, prompts and responses retained</t>
  </si>
  <si>
    <t xml:space="preserve">Calls, tokens, cap usage, prompt version, retention</t>
  </si>
  <si>
    <t xml:space="preserve">IT Admin, Finance</t>
  </si>
  <si>
    <t xml:space="preserve">UI-30</t>
  </si>
  <si>
    <t xml:space="preserve">Fuel Variance Dashboard</t>
  </si>
  <si>
    <t xml:space="preserve">Multiple</t>
  </si>
  <si>
    <t xml:space="preserve">Planned versus uplifted versus burned across the fleet</t>
  </si>
  <si>
    <t xml:space="preserve">Variance by route, tail, station, supplier, period</t>
  </si>
  <si>
    <t xml:space="preserve">UI-13, UI-08</t>
  </si>
  <si>
    <t xml:space="preserve">Supervisor, Management</t>
  </si>
  <si>
    <t xml:space="preserve">UI-31</t>
  </si>
  <si>
    <t xml:space="preserve">Interface Run Monitor</t>
  </si>
  <si>
    <t xml:space="preserve">List / dashboard</t>
  </si>
  <si>
    <t xml:space="preserve">Did each feed arrive, and what did it contain</t>
  </si>
  <si>
    <t xml:space="preserve">Run id, source, file, counts by status, duration, outcome</t>
  </si>
  <si>
    <t xml:space="preserve">UI-32</t>
  </si>
  <si>
    <t xml:space="preserve">IT Support, Fuel Ops</t>
  </si>
  <si>
    <t xml:space="preserve">Flight Ops Staging Errors</t>
  </si>
  <si>
    <t xml:space="preserve">Inbound records in ERROR needing correction</t>
  </si>
  <si>
    <t xml:space="preserve">Filtered to is_latest_for_key Y; key, field, error code, attempts</t>
  </si>
  <si>
    <t xml:space="preserve">UI-33, UI-22</t>
  </si>
  <si>
    <t xml:space="preserve">Fuel Ops, IT Support</t>
  </si>
  <si>
    <t xml:space="preserve">UI-33</t>
  </si>
  <si>
    <t xml:space="preserve">Staging Record Detail</t>
  </si>
  <si>
    <t xml:space="preserve">One inbound record with raw payload and supersession chain</t>
  </si>
  <si>
    <t xml:space="preserve">Mapped fields, raw payload, change type, prior versions, errors</t>
  </si>
  <si>
    <t xml:space="preserve">UI-02, UI-22</t>
  </si>
  <si>
    <t xml:space="preserve">UI-34</t>
  </si>
  <si>
    <t xml:space="preserve">Staging Correction</t>
  </si>
  <si>
    <t xml:space="preserve">Correct mapped values in staging, never in the target</t>
  </si>
  <si>
    <t xml:space="preserve">Editable mapped fields with corrected flag and note</t>
  </si>
  <si>
    <t xml:space="preserve">UI-35</t>
  </si>
  <si>
    <t xml:space="preserve">Pending Update Monitor</t>
  </si>
  <si>
    <t xml:space="preserve">Legs whose target data is known to be stale</t>
  </si>
  <si>
    <t xml:space="preserve">Leg, sync status, pending field, blocking staging id, ageing</t>
  </si>
  <si>
    <t xml:space="preserve">UI-33, UI-02</t>
  </si>
  <si>
    <t xml:space="preserve">UI-36</t>
  </si>
  <si>
    <t xml:space="preserve">Critical Field Configuration</t>
  </si>
  <si>
    <t xml:space="preserve">Which inbound fields gate downstream actions</t>
  </si>
  <si>
    <t xml:space="preserve">Table, field, criticality, action, blocked actions, cascade</t>
  </si>
  <si>
    <t xml:space="preserve">UI-37</t>
  </si>
  <si>
    <t xml:space="preserve">Aircraft Master Worklist</t>
  </si>
  <si>
    <t xml:space="preserve">Fleet with lifecycle state and completeness</t>
  </si>
  <si>
    <t xml:space="preserve">Registration, status, type, completeness, ageing in provisional</t>
  </si>
  <si>
    <t xml:space="preserve">UI-38</t>
  </si>
  <si>
    <t xml:space="preserve">Fleet Admin, Fuel Ops</t>
  </si>
  <si>
    <t xml:space="preserve">Aircraft Detail</t>
  </si>
  <si>
    <t xml:space="preserve">One aircraft across all three lifecycle stages</t>
  </si>
  <si>
    <t xml:space="preserve">Identity, fleet data, weights, performance, capability flags</t>
  </si>
  <si>
    <t xml:space="preserve">UI-39</t>
  </si>
  <si>
    <t xml:space="preserve">Fleet Admin</t>
  </si>
  <si>
    <t xml:space="preserve">Aircraft Confirmation</t>
  </si>
  <si>
    <t xml:space="preserve">Promote PROVISIONAL to CONFIRMED after human verification</t>
  </si>
  <si>
    <t xml:space="preserve">Provisional values, similar registration warnings, source trace</t>
  </si>
  <si>
    <t xml:space="preserve">UI-40</t>
  </si>
  <si>
    <t xml:space="preserve">Tail Change Confirmation</t>
  </si>
  <si>
    <t xml:space="preserve">Confirm this leg genuinely operates on this tail before an order goes out</t>
  </si>
  <si>
    <t xml:space="preserve">Old tail, new tail, source record, downstream impact</t>
  </si>
  <si>
    <t xml:space="preserve">UI-41</t>
  </si>
  <si>
    <t xml:space="preserve">Provisional Tail Exposure</t>
  </si>
  <si>
    <t xml:space="preserve">Everything transacted against an unconfirmed tail</t>
  </si>
  <si>
    <t xml:space="preserve">Plans, orders and tickets carrying provisional_tail_flag</t>
  </si>
  <si>
    <t xml:space="preserve">UI-38, UI-07</t>
  </si>
  <si>
    <t xml:space="preserve">Supervisor, Finance</t>
  </si>
  <si>
    <t xml:space="preserve">UI-42</t>
  </si>
  <si>
    <t xml:space="preserve">Cascade Reprocess</t>
  </si>
  <si>
    <t xml:space="preserve">Action</t>
  </si>
  <si>
    <t xml:space="preserve">Retry a dependency chain in order after a master data fix</t>
  </si>
  <si>
    <t xml:space="preserve">Chain preview, sequence, per step outcome</t>
  </si>
  <si>
    <t xml:space="preserve">UI-32, UI-20</t>
  </si>
  <si>
    <t xml:space="preserve">UI-43</t>
  </si>
  <si>
    <t xml:space="preserve">Carrier Arrangement Config</t>
  </si>
  <si>
    <t xml:space="preserve">Define whether and how fuel is processed per carrier pairing</t>
  </si>
  <si>
    <t xml:space="preserve">Carriers, arrangement type, processing mode, flags, contract ref, validity</t>
  </si>
  <si>
    <t xml:space="preserve">Config Admin, Commercial</t>
  </si>
  <si>
    <t xml:space="preserve">UI-44</t>
  </si>
  <si>
    <t xml:space="preserve">Fuel Processing Exclusions</t>
  </si>
  <si>
    <t xml:space="preserve">Legs excluded from fuel processing and why</t>
  </si>
  <si>
    <t xml:space="preserve">Leg, carriers, arrangement, processing mode, resolved rule</t>
  </si>
  <si>
    <t xml:space="preserve">UI-43, UI-02</t>
  </si>
  <si>
    <t xml:space="preserve">Fuel Ops, Finance</t>
  </si>
  <si>
    <t xml:space="preserve">UI-45</t>
  </si>
  <si>
    <t xml:space="preserve">Recharge Worklist</t>
  </si>
  <si>
    <t xml:space="preserve">Fuel costs to be recharged to a counterparty</t>
  </si>
  <si>
    <t xml:space="preserve">Ticket, leg, recharge party, amount, recharge status</t>
  </si>
  <si>
    <t xml:space="preserve">Finance</t>
  </si>
  <si>
    <t xml:space="preserve">UI-46</t>
  </si>
  <si>
    <t xml:space="preserve">Unexpected Ticket Review</t>
  </si>
  <si>
    <t xml:space="preserve">Tickets received for legs with no expected fuel processing</t>
  </si>
  <si>
    <t xml:space="preserve">Ticket, leg, arrangement, supplier, amount</t>
  </si>
  <si>
    <t xml:space="preserve">UI-10, UI-43</t>
  </si>
  <si>
    <t xml:space="preserve">UI-47</t>
  </si>
  <si>
    <t xml:space="preserve">Divergence Report</t>
  </si>
  <si>
    <t xml:space="preserve">Where the overnight snapshot disagreed with applied data</t>
  </si>
  <si>
    <t xml:space="preserve">Leg, field, applied value, snapshot value, explaining delta, outcome</t>
  </si>
  <si>
    <t xml:space="preserve">UI-48</t>
  </si>
  <si>
    <t xml:space="preserve">Interface Health Dashboard</t>
  </si>
  <si>
    <t xml:space="preserve">Feed reliability over time</t>
  </si>
  <si>
    <t xml:space="preserve">Divergence rate, sequence gaps, no change ratio, run duration, missed runs</t>
  </si>
  <si>
    <t xml:space="preserve">UI-31, UI-47</t>
  </si>
  <si>
    <t xml:space="preserve">IT Support, Supervisor</t>
  </si>
  <si>
    <t xml:space="preserve">UI-49</t>
  </si>
  <si>
    <t xml:space="preserve">Counterparty Invoice Worklist</t>
  </si>
  <si>
    <t xml:space="preserve">FUEL_COUNTERPARTY_INVOICE</t>
  </si>
  <si>
    <t xml:space="preserve">List / exception queue</t>
  </si>
  <si>
    <t xml:space="preserve">Fuel costs billed to us by a lessor or partner where they bought the fuel</t>
  </si>
  <si>
    <t xml:space="preserve">Counterparty, period, legs, quantity, amount, validation status</t>
  </si>
  <si>
    <t xml:space="preserve">UI-02, UI-45</t>
  </si>
  <si>
    <t xml:space="preserve">UI-50</t>
  </si>
  <si>
    <t xml:space="preserve">Arrangement Resolution Trace</t>
  </si>
  <si>
    <t xml:space="preserve">Which arrangement row resolved for a leg and why</t>
  </si>
  <si>
    <t xml:space="preserve">Leg, candidate rows by rank, winner, derived mode, stamped values</t>
  </si>
  <si>
    <t xml:space="preserve">UI-51</t>
  </si>
  <si>
    <t xml:space="preserve">Plan Staging Error Worklist</t>
  </si>
  <si>
    <t xml:space="preserve">Dispatch plan records in genuine ERROR needing correction</t>
  </si>
  <si>
    <t xml:space="preserve">Leg, version, error code, field, attempts, raw payload</t>
  </si>
  <si>
    <t xml:space="preserve">UI-52, UI-33</t>
  </si>
  <si>
    <t xml:space="preserve">UI-52</t>
  </si>
  <si>
    <t xml:space="preserve">Held Records Monitor</t>
  </si>
  <si>
    <t xml:space="preserve">Records blocked by an upstream condition rather than their own content</t>
  </si>
  <si>
    <t xml:space="preserve">Held status, blocking reference, ageing, auto retry count</t>
  </si>
  <si>
    <t xml:space="preserve">UI-33, UI-35</t>
  </si>
  <si>
    <t xml:space="preserve">UI-53</t>
  </si>
  <si>
    <t xml:space="preserve">Version Coverage Report</t>
  </si>
  <si>
    <t xml:space="preserve">Legs where intermediate plan versions were never received</t>
  </si>
  <si>
    <t xml:space="preserve">Leg, versions received, versions skipped, tickets affected</t>
  </si>
  <si>
    <t xml:space="preserve">UI-03, UI-10</t>
  </si>
  <si>
    <t xml:space="preserve">UI-54</t>
  </si>
  <si>
    <t xml:space="preserve">Aircraft Type Master</t>
  </si>
  <si>
    <t xml:space="preserve">List / detail</t>
  </si>
  <si>
    <t xml:space="preserve">Types with all four code schemes and default performance data</t>
  </si>
  <si>
    <t xml:space="preserve">ICAO, IATA, manufacturer, fleet code, defaults, capability flags</t>
  </si>
  <si>
    <t xml:space="preserve">UI-55, UI-56</t>
  </si>
  <si>
    <t xml:space="preserve">Fleet Admin, Config Admin</t>
  </si>
  <si>
    <t xml:space="preserve">UI-55</t>
  </si>
  <si>
    <t xml:space="preserve">Aircraft Config Master</t>
  </si>
  <si>
    <t xml:space="preserve">Cabin configurations per type. Hidden when granularity is NONE</t>
  </si>
  <si>
    <t xml:space="preserve">Config code, seats by class, DOW, MZFW, galley fit</t>
  </si>
  <si>
    <t xml:space="preserve">UI-56</t>
  </si>
  <si>
    <t xml:space="preserve">Type Alias Mapping</t>
  </si>
  <si>
    <t xml:space="preserve">Inbound type codes per source system and scheme</t>
  </si>
  <si>
    <t xml:space="preserve">Source, scheme, alias code, resolved type, primary flag</t>
  </si>
  <si>
    <t xml:space="preserve">Config Admin, IT Support</t>
  </si>
  <si>
    <t xml:space="preserve">UI-57</t>
  </si>
  <si>
    <t xml:space="preserve">Unresolved Type Codes</t>
  </si>
  <si>
    <t xml:space="preserve">Inbound codes with no alias, and provisional types awaiting confirmation</t>
  </si>
  <si>
    <t xml:space="preserve">Code, source, occurrences, affected tails and legs</t>
  </si>
  <si>
    <t xml:space="preserve">UI-56, UI-54</t>
  </si>
  <si>
    <t xml:space="preserve">Config Admin, Fuel Ops</t>
  </si>
  <si>
    <t xml:space="preserve">UI-58</t>
  </si>
  <si>
    <t xml:space="preserve">Burn Detail</t>
  </si>
  <si>
    <t xml:space="preserve">Actual versus planned burn per leg with source and confidence</t>
  </si>
  <si>
    <t xml:space="preserve">Four gauge points, derived quantities, variance, source, confidence</t>
  </si>
  <si>
    <t xml:space="preserve">UI-02, UI-04</t>
  </si>
  <si>
    <t xml:space="preserve">UI-59</t>
  </si>
  <si>
    <t xml:space="preserve">Ledger Closure Monitor</t>
  </si>
  <si>
    <t xml:space="preserve">Tails whose fuel chain does not close</t>
  </si>
  <si>
    <t xml:space="preserve">Tail, event sequence, computed vs reported FOB, variance, status</t>
  </si>
  <si>
    <t xml:space="preserve">UI-10, UI-58</t>
  </si>
  <si>
    <t xml:space="preserve">UI-60</t>
  </si>
  <si>
    <t xml:space="preserve">APU Usage Report</t>
  </si>
  <si>
    <t xml:space="preserve">APU minutes and avoidable minutes by station, stand and tail</t>
  </si>
  <si>
    <t xml:space="preserve">Minutes, burn, GPU availability, avoidable minutes and burn</t>
  </si>
  <si>
    <t xml:space="preserve">UI-61</t>
  </si>
  <si>
    <t xml:space="preserve">Burn Capture Exceptions</t>
  </si>
  <si>
    <t xml:space="preserve">Departed legs with no burn row, or running on estimated data</t>
  </si>
  <si>
    <t xml:space="preserve">Leg, date, tail, source, confidence, ageing</t>
  </si>
  <si>
    <t xml:space="preserve">UI-62</t>
  </si>
  <si>
    <t xml:space="preserve">Manual Burn Entry</t>
  </si>
  <si>
    <t xml:space="preserve">Capture gauge readings where no automated feed exists</t>
  </si>
  <si>
    <t xml:space="preserve">Four gauge point fields with plausibility checks</t>
  </si>
  <si>
    <t xml:space="preserve">UI-63</t>
  </si>
  <si>
    <t xml:space="preserve">Central Fuel Dashboard</t>
  </si>
  <si>
    <t xml:space="preserve">Control band above analytics: is the data captured and posted, then what does it say</t>
  </si>
  <si>
    <t xml:space="preserve">Completeness, ledger closure, uplift, burn, cost, variance, rankings</t>
  </si>
  <si>
    <t xml:space="preserve">UI-58, UI-59, UI-20</t>
  </si>
  <si>
    <t xml:space="preserve">UI-64</t>
  </si>
  <si>
    <t xml:space="preserve">Performance Factor Review</t>
  </si>
  <si>
    <t xml:space="preserve">Rolling actual over planned burn per tail against the stored factor</t>
  </si>
  <si>
    <t xml:space="preserve">Tail, stored factor, observed factor, drift, sample size</t>
  </si>
  <si>
    <t xml:space="preserve">Engineering, Fuel Ops</t>
  </si>
  <si>
    <t xml:space="preserve">UI-65</t>
  </si>
  <si>
    <t xml:space="preserve">Movement Type Mapping</t>
  </si>
  <si>
    <t xml:space="preserve">Which movement type each fuel event category posts with</t>
  </si>
  <si>
    <t xml:space="preserve">Category, scope, movement type, reversal, account modification, granularity</t>
  </si>
  <si>
    <t xml:space="preserve">Config Admin, Finance</t>
  </si>
  <si>
    <t xml:space="preserve">UI-66</t>
  </si>
  <si>
    <t xml:space="preserve">Cost Object Rules</t>
  </si>
  <si>
    <t xml:space="preserve">How cost centre, order or WBS is determined per fuel event</t>
  </si>
  <si>
    <t xml:space="preserve">Scope, rank, object type and source, validity, fallback</t>
  </si>
  <si>
    <t xml:space="preserve">UI-25, UI-67</t>
  </si>
  <si>
    <t xml:space="preserve">UI-67</t>
  </si>
  <si>
    <t xml:space="preserve">Posting Determination Trace</t>
  </si>
  <si>
    <t xml:space="preserve">Which movement type and cost object rule resolved for a posted event, and why</t>
  </si>
  <si>
    <t xml:space="preserve">Event, candidate rules by rank, winner, resolved values, SAP document</t>
  </si>
  <si>
    <t xml:space="preserve">UI-65, UI-66</t>
  </si>
  <si>
    <t xml:space="preserve">UI-68</t>
  </si>
  <si>
    <t xml:space="preserve">Goods Movement Worklist</t>
  </si>
  <si>
    <t xml:space="preserve">Fuel events awaiting or failing goods movement posting</t>
  </si>
  <si>
    <t xml:space="preserve">Event, category, movement type, cost object, status, error</t>
  </si>
  <si>
    <t xml:space="preserve">UI-67, UI-22</t>
  </si>
  <si>
    <t xml:space="preserve">UI-69</t>
  </si>
  <si>
    <t xml:space="preserve">Fuel Completeness Monitor</t>
  </si>
  <si>
    <t xml:space="preserve">Per leg: is the plan, uplift, burn and posting all present</t>
  </si>
  <si>
    <t xml:space="preserve">Leg, tail, expectation, uplift, burn, posting, open items, ageing</t>
  </si>
  <si>
    <t xml:space="preserve">UI-02, UI-10, UI-58</t>
  </si>
  <si>
    <t xml:space="preserve">UI-70</t>
  </si>
  <si>
    <t xml:space="preserve">Tail Completeness View</t>
  </si>
  <si>
    <t xml:space="preserve">Completeness rolled up by tail across a rotation or period</t>
  </si>
  <si>
    <t xml:space="preserve">Tail, legs, gaps by type, oldest open item</t>
  </si>
  <si>
    <t xml:space="preserve">UI-69, UI-59</t>
  </si>
  <si>
    <t xml:space="preserve">UI-71</t>
  </si>
  <si>
    <t xml:space="preserve">Tail Stock Reconciliation</t>
  </si>
  <si>
    <t xml:space="preserve">SAP stock against ledger against gauge at each tail's cutoff event</t>
  </si>
  <si>
    <t xml:space="preserve">Tail, three balances, timing and unexplained split, status, action</t>
  </si>
  <si>
    <t xml:space="preserve">UI-59, UI-68</t>
  </si>
  <si>
    <t xml:space="preserve">UI-72</t>
  </si>
  <si>
    <t xml:space="preserve">Period Close Readiness</t>
  </si>
  <si>
    <t xml:space="preserve">Is the period safe to close: completeness, unposted value, unexplained stock</t>
  </si>
  <si>
    <t xml:space="preserve">Completeness by dimension, accrual basis, open exceptions, blocking items</t>
  </si>
  <si>
    <t xml:space="preserve">UI-69, UI-71, UI-20</t>
  </si>
  <si>
    <t xml:space="preserve">Finance, Supervisor</t>
  </si>
  <si>
    <t xml:space="preserve">UI-73</t>
  </si>
  <si>
    <t xml:space="preserve">Market Quotation Maintenance</t>
  </si>
  <si>
    <t xml:space="preserve">Daily assessments by publication, fed or keyed</t>
  </si>
  <si>
    <t xml:space="preserve">Publication, assessment, date, high, low, mean, source, restatement</t>
  </si>
  <si>
    <t xml:space="preserve">UI-74</t>
  </si>
  <si>
    <t xml:space="preserve">Pricing Scheme Configuration</t>
  </si>
  <si>
    <t xml:space="preserve">Formula definition and engine selection per contract</t>
  </si>
  <si>
    <t xml:space="preserve">Source, publication, averaging, pricing date rule, lag, rounding, provisional basis</t>
  </si>
  <si>
    <t xml:space="preserve">UI-75, UI-25</t>
  </si>
  <si>
    <t xml:space="preserve">UI-75</t>
  </si>
  <si>
    <t xml:space="preserve">Price Component Maintenance</t>
  </si>
  <si>
    <t xml:space="preserve">Differential, fees and levies with vendor and PO routing</t>
  </si>
  <si>
    <t xml:space="preserve">Sequence, type, basis, value, vendor role, PO type</t>
  </si>
  <si>
    <t xml:space="preserve">UI-76</t>
  </si>
  <si>
    <t xml:space="preserve">Into-Plane Price Maintenance</t>
  </si>
  <si>
    <t xml:space="preserve">FS_INTO_PLANE_PRICE</t>
  </si>
  <si>
    <t xml:space="preserve">Per litre into-plane rate by station and vendor</t>
  </si>
  <si>
    <t xml:space="preserve">Station, vendor, rate per litre, minimum charge, validity</t>
  </si>
  <si>
    <t xml:space="preserve">UI-77</t>
  </si>
  <si>
    <t xml:space="preserve">Tax Code Rules</t>
  </si>
  <si>
    <t xml:space="preserve">Which tax code applies, by country, station, flight nature and service type</t>
  </si>
  <si>
    <t xml:space="preserve">Scope, rank, condition, tax code, exemption basis, certificate</t>
  </si>
  <si>
    <t xml:space="preserve">UI-78</t>
  </si>
  <si>
    <t xml:space="preserve">Price Calculation Trace</t>
  </si>
  <si>
    <t xml:space="preserve">How a price was arrived at, component by component, with the quotes used</t>
  </si>
  <si>
    <t xml:space="preserve">Scheme, quotes, index conversion, each component, rounding, final price</t>
  </si>
  <si>
    <t xml:space="preserve">UI-73, UI-74</t>
  </si>
  <si>
    <t xml:space="preserve">UI-79</t>
  </si>
  <si>
    <t xml:space="preserve">Provisional Pricing Worklist</t>
  </si>
  <si>
    <t xml:space="preserve">Uplifts priced provisionally and awaiting final</t>
  </si>
  <si>
    <t xml:space="preserve">Ticket, provisional price, expected final date, exposure</t>
  </si>
  <si>
    <t xml:space="preserve">UI-78, UI-16</t>
  </si>
  <si>
    <t xml:space="preserve">UI-80</t>
  </si>
  <si>
    <t xml:space="preserve">Repricing Queue</t>
  </si>
  <si>
    <t xml:space="preserve">Calculations invalidated by a restatement or a scheme change</t>
  </si>
  <si>
    <t xml:space="preserve">Calculation, trigger, old and new price, difference, action</t>
  </si>
  <si>
    <t xml:space="preserve">UI-78, UI-73</t>
  </si>
  <si>
    <t xml:space="preserve">UI-81</t>
  </si>
  <si>
    <t xml:space="preserve">SAP Document Flow</t>
  </si>
  <si>
    <t xml:space="preserve">Fuel PO, GR, service PO and SES for one uplift</t>
  </si>
  <si>
    <t xml:space="preserve">Both PO chains with status, quantities and linked documents</t>
  </si>
  <si>
    <t xml:space="preserve">UI-10, UI-68</t>
  </si>
  <si>
    <t xml:space="preserve">UI-82</t>
  </si>
  <si>
    <t xml:space="preserve">Service Entry Worklist</t>
  </si>
  <si>
    <t xml:space="preserve">Service entry sheets pending, missing or awaiting acceptance</t>
  </si>
  <si>
    <t xml:space="preserve">Ticket, service PO, SES, status, ageing</t>
  </si>
  <si>
    <t xml:space="preserve">UI-83</t>
  </si>
  <si>
    <t xml:space="preserve">Supplier Worklist</t>
  </si>
  <si>
    <t xml:space="preserve">FS_SUPPLIER_ROLE_MAP</t>
  </si>
  <si>
    <t xml:space="preserve">Suppliers and into-plane agents with their roles per station</t>
  </si>
  <si>
    <t xml:space="preserve">Vendor, name, station, role, status, contract, validity</t>
  </si>
  <si>
    <t xml:space="preserve">UI-84</t>
  </si>
  <si>
    <t xml:space="preserve">Fuel Ops, Finance, Config Admin</t>
  </si>
  <si>
    <t xml:space="preserve">Supplier Detail</t>
  </si>
  <si>
    <t xml:space="preserve">Object Page</t>
  </si>
  <si>
    <t xml:space="preserve">One supplier across all stations, roles, contracts and activity</t>
  </si>
  <si>
    <t xml:space="preserve">Roles by station, contracts, schemes, tickets, invoices, performance</t>
  </si>
  <si>
    <t xml:space="preserve">UI-09, UI-15, UI-74</t>
  </si>
  <si>
    <t xml:space="preserve">UI-85</t>
  </si>
  <si>
    <t xml:space="preserve">Material Worklist</t>
  </si>
  <si>
    <t xml:space="preserve">FS_MATERIAL</t>
  </si>
  <si>
    <t xml:space="preserve">Fuel and service materials with grade and specification</t>
  </si>
  <si>
    <t xml:space="preserve">Material, type, grade, density range, valuation class, base UoM</t>
  </si>
  <si>
    <t xml:space="preserve">UI-86</t>
  </si>
  <si>
    <t xml:space="preserve">Material Detail</t>
  </si>
  <si>
    <t xml:space="preserve">One material with specification, stations supplying it and schemes using it</t>
  </si>
  <si>
    <t xml:space="preserve">Specification, density limits, SAF blend, stations, schemes, stock</t>
  </si>
  <si>
    <t xml:space="preserve">UI-85, UI-74</t>
  </si>
  <si>
    <t xml:space="preserve">UI-87</t>
  </si>
  <si>
    <t xml:space="preserve">Configuration Hub</t>
  </si>
  <si>
    <t xml:space="preserve">Overview Page</t>
  </si>
  <si>
    <t xml:space="preserve">Single entry point to every configuration area with change activity</t>
  </si>
  <si>
    <t xml:space="preserve">Area, entry count, last changed, pending approvals, drill in</t>
  </si>
  <si>
    <t xml:space="preserve">UI-24, UI-36, UI-43, UI-65, UI-74</t>
  </si>
  <si>
    <t xml:space="preserve">UI-88</t>
  </si>
  <si>
    <t xml:space="preserve">Report Catalogue</t>
  </si>
  <si>
    <t xml:space="preserve">All available reports with description, grain and audience</t>
  </si>
  <si>
    <t xml:space="preserve">Report, area, grain, filters, audience, last run</t>
  </si>
  <si>
    <t xml:space="preserve">Individual reports</t>
  </si>
  <si>
    <t xml:space="preserve">UI-89</t>
  </si>
  <si>
    <t xml:space="preserve">Claim Window Monitor</t>
  </si>
  <si>
    <t xml:space="preserve">Claims against a running contractual deadline, sorted by least time remaining</t>
  </si>
  <si>
    <t xml:space="preserve">Ticket, supplier, claim type, deadline, days remaining, urgency, value</t>
  </si>
  <si>
    <t xml:space="preserve">UI-10, UI-90</t>
  </si>
  <si>
    <t xml:space="preserve">UI-90</t>
  </si>
  <si>
    <t xml:space="preserve">Claim Detail</t>
  </si>
  <si>
    <t xml:space="preserve">One claim with its evidence, correspondence and deadline</t>
  </si>
  <si>
    <t xml:space="preserve">Variance, evidence, notification record, deadline, correspondence, outcome</t>
  </si>
  <si>
    <t xml:space="preserve">UI-91</t>
  </si>
  <si>
    <t xml:space="preserve">Expired Claims Report</t>
  </si>
  <si>
    <t xml:space="preserve">Value lost to expired claim windows, by supplier and station</t>
  </si>
  <si>
    <t xml:space="preserve">Supplier, station, claims expired, value lost, trend</t>
  </si>
  <si>
    <t xml:space="preserve">ACTION CATALOGUE  -  what users and the system can do, and under what conditions</t>
  </si>
  <si>
    <t xml:space="preserve">Action ID</t>
  </si>
  <si>
    <t xml:space="preserve">Screen</t>
  </si>
  <si>
    <t xml:space="preserve">Selection</t>
  </si>
  <si>
    <t xml:space="preserve">Preconditions</t>
  </si>
  <si>
    <t xml:space="preserve">Effect</t>
  </si>
  <si>
    <t xml:space="preserve">Audit / Log</t>
  </si>
  <si>
    <t xml:space="preserve">AC-01</t>
  </si>
  <si>
    <t xml:space="preserve">Amend order</t>
  </si>
  <si>
    <t xml:space="preserve">User</t>
  </si>
  <si>
    <t xml:space="preserve">Single</t>
  </si>
  <si>
    <t xml:space="preserve">Order not frozen and fuelling not started</t>
  </si>
  <si>
    <t xml:space="preserve">Creates order version n+1; supersedes previous</t>
  </si>
  <si>
    <t xml:space="preserve">Order version history</t>
  </si>
  <si>
    <t xml:space="preserve">AC-02</t>
  </si>
  <si>
    <t xml:space="preserve">Cancel order</t>
  </si>
  <si>
    <t xml:space="preserve">Single / multiple</t>
  </si>
  <si>
    <t xml:space="preserve">No ticket linked</t>
  </si>
  <si>
    <t xml:space="preserve">Order status CANCELLED</t>
  </si>
  <si>
    <t xml:space="preserve">Audit fields</t>
  </si>
  <si>
    <t xml:space="preserve">AC-03</t>
  </si>
  <si>
    <t xml:space="preserve">Raise top up order</t>
  </si>
  <si>
    <t xml:space="preserve">Prior order fulfilled or frozen</t>
  </si>
  <si>
    <t xml:space="preserve">New order of type TOP_UP against the active plan</t>
  </si>
  <si>
    <t xml:space="preserve">AC-04</t>
  </si>
  <si>
    <t xml:space="preserve">Set under delivery reason</t>
  </si>
  <si>
    <t xml:space="preserve">fulfilment_check is UNDER_DELIVERED</t>
  </si>
  <si>
    <t xml:space="preserve">Reason code stored; exception cleared</t>
  </si>
  <si>
    <t xml:space="preserve">AC-05</t>
  </si>
  <si>
    <t xml:space="preserve">Import tickets</t>
  </si>
  <si>
    <t xml:space="preserve">Scheduled / User</t>
  </si>
  <si>
    <t xml:space="preserve">Batch</t>
  </si>
  <si>
    <t xml:space="preserve">Feed available</t>
  </si>
  <si>
    <t xml:space="preserve">Tickets created; auto match attempted</t>
  </si>
  <si>
    <t xml:space="preserve">System, Fuel Ops</t>
  </si>
  <si>
    <t xml:space="preserve">AC-06</t>
  </si>
  <si>
    <t xml:space="preserve">Create manual ticket</t>
  </si>
  <si>
    <t xml:space="preserve">Plausibility checks pass</t>
  </si>
  <si>
    <t xml:space="preserve">Ticket created with source MANUAL</t>
  </si>
  <si>
    <t xml:space="preserve">AC-07</t>
  </si>
  <si>
    <t xml:space="preserve">Match ticket to leg or order</t>
  </si>
  <si>
    <t xml:space="preserve">Ticket is UNMATCHED</t>
  </si>
  <si>
    <t xml:space="preserve">FKs populated; match_status MATCHED</t>
  </si>
  <si>
    <t xml:space="preserve">AC-08</t>
  </si>
  <si>
    <t xml:space="preserve">Mark ticket unallocatable</t>
  </si>
  <si>
    <t xml:space="preserve">No candidate leg found</t>
  </si>
  <si>
    <t xml:space="preserve">cost_allocation_basis set to AIRCRAFT or STATION_OVERHEAD</t>
  </si>
  <si>
    <t xml:space="preserve">AC-09</t>
  </si>
  <si>
    <t xml:space="preserve">Accept variance with reason</t>
  </si>
  <si>
    <t xml:space="preserve">recon_status is FAIL</t>
  </si>
  <si>
    <t xml:space="preserve">Variance accepted; reason recorded</t>
  </si>
  <si>
    <t xml:space="preserve">Supervisor</t>
  </si>
  <si>
    <t xml:space="preserve">AC-10</t>
  </si>
  <si>
    <t xml:space="preserve">Raise supplier dispute</t>
  </si>
  <si>
    <t xml:space="preserve">Dispute record created; ticket flagged DISPUTED</t>
  </si>
  <si>
    <t xml:space="preserve">AC-11</t>
  </si>
  <si>
    <t xml:space="preserve">Import invoice</t>
  </si>
  <si>
    <t xml:space="preserve">Feed or file available</t>
  </si>
  <si>
    <t xml:space="preserve">Invoice and lines created; three way match run</t>
  </si>
  <si>
    <t xml:space="preserve">System, Finance</t>
  </si>
  <si>
    <t xml:space="preserve">AC-12</t>
  </si>
  <si>
    <t xml:space="preserve">Rerun three way match</t>
  </si>
  <si>
    <t xml:space="preserve">Any</t>
  </si>
  <si>
    <t xml:space="preserve">Match recomputed against current ticket data</t>
  </si>
  <si>
    <t xml:space="preserve">AC-13</t>
  </si>
  <si>
    <t xml:space="preserve">Reject invoice line</t>
  </si>
  <si>
    <t xml:space="preserve">Line in EXCEPTION or NO_TICKET</t>
  </si>
  <si>
    <t xml:space="preserve">Line excluded from payable total; reason recorded</t>
  </si>
  <si>
    <t xml:space="preserve">AC-14</t>
  </si>
  <si>
    <t xml:space="preserve">Approve invoice</t>
  </si>
  <si>
    <t xml:space="preserve">No blocking exception, or all overridden with reason</t>
  </si>
  <si>
    <t xml:space="preserve">Status APPROVED; queued for automatic posting</t>
  </si>
  <si>
    <t xml:space="preserve">Approval trail</t>
  </si>
  <si>
    <t xml:space="preserve">AC-15</t>
  </si>
  <si>
    <t xml:space="preserve">Reject invoice</t>
  </si>
  <si>
    <t xml:space="preserve">Any pre posting status</t>
  </si>
  <si>
    <t xml:space="preserve">Status REJECTED; reason recorded</t>
  </si>
  <si>
    <t xml:space="preserve">AC-16</t>
  </si>
  <si>
    <t xml:space="preserve">System</t>
  </si>
  <si>
    <t xml:space="preserve">Post approved invoice</t>
  </si>
  <si>
    <t xml:space="preserve">Automatic</t>
  </si>
  <si>
    <t xml:space="preserve">Status APPROVED</t>
  </si>
  <si>
    <t xml:space="preserve">Success sets POSTED with ERP document ref; failure sets POSTING_ATTEMPTED</t>
  </si>
  <si>
    <t xml:space="preserve">AC-17</t>
  </si>
  <si>
    <t xml:space="preserve">Reprocess posting</t>
  </si>
  <si>
    <t xml:space="preserve">Status POSTING_ATTEMPTED or REJECTED</t>
  </si>
  <si>
    <t xml:space="preserve">Posting retried; attempt count incremented</t>
  </si>
  <si>
    <t xml:space="preserve">AC-18</t>
  </si>
  <si>
    <t xml:space="preserve">Reprocess all retryable</t>
  </si>
  <si>
    <t xml:space="preserve">Bulk</t>
  </si>
  <si>
    <t xml:space="preserve">Retryable errors only</t>
  </si>
  <si>
    <t xml:space="preserve">All qualifying invoices retried in one run</t>
  </si>
  <si>
    <t xml:space="preserve">AC-19</t>
  </si>
  <si>
    <t xml:space="preserve">Hold from auto posting</t>
  </si>
  <si>
    <t xml:space="preserve">Any pre posted status</t>
  </si>
  <si>
    <t xml:space="preserve">Excluded from the automatic run until released</t>
  </si>
  <si>
    <t xml:space="preserve">AC-20</t>
  </si>
  <si>
    <t xml:space="preserve">View error detail</t>
  </si>
  <si>
    <t xml:space="preserve">Log entry exists</t>
  </si>
  <si>
    <t xml:space="preserve">Opens technical detail and correlation trail</t>
  </si>
  <si>
    <t xml:space="preserve">None</t>
  </si>
  <si>
    <t xml:space="preserve">AC-21</t>
  </si>
  <si>
    <t xml:space="preserve">Navigate to application log</t>
  </si>
  <si>
    <t xml:space="preserve">Opens UI-22 filtered by correlation id</t>
  </si>
  <si>
    <t xml:space="preserve">AC-22</t>
  </si>
  <si>
    <t xml:space="preserve">Mark error resolved</t>
  </si>
  <si>
    <t xml:space="preserve">Underlying cause fixed</t>
  </si>
  <si>
    <t xml:space="preserve">resolution_status CLOSED with resolver and timestamp</t>
  </si>
  <si>
    <t xml:space="preserve">AC-23</t>
  </si>
  <si>
    <t xml:space="preserve">Request AI analysis</t>
  </si>
  <si>
    <t xml:space="preserve">Single / multiple / filtered set</t>
  </si>
  <si>
    <t xml:space="preserve">AI_FEATURE_ENABLED is Y and within call cap</t>
  </si>
  <si>
    <t xml:space="preserve">Errors sent redacted; AI_ANALYSIS rows created</t>
  </si>
  <si>
    <t xml:space="preserve">APPLICATION_LOG, AI audit</t>
  </si>
  <si>
    <t xml:space="preserve">AC-24</t>
  </si>
  <si>
    <t xml:space="preserve">Accept proposed resolution</t>
  </si>
  <si>
    <t xml:space="preserve">Single group</t>
  </si>
  <si>
    <t xml:space="preserve">Group in UNDER_REVIEW</t>
  </si>
  <si>
    <t xml:space="preserve">human_status ACCEPTED; owner assigned</t>
  </si>
  <si>
    <t xml:space="preserve">AC-25</t>
  </si>
  <si>
    <t xml:space="preserve">Reject proposed resolution</t>
  </si>
  <si>
    <t xml:space="preserve">human_status REJECTED with reason</t>
  </si>
  <si>
    <t xml:space="preserve">AC-26</t>
  </si>
  <si>
    <t xml:space="preserve">Reprocess group</t>
  </si>
  <si>
    <t xml:space="preserve">Group ACCEPTED and cause fixed</t>
  </si>
  <si>
    <t xml:space="preserve">All invoices in the group retried together</t>
  </si>
  <si>
    <t xml:space="preserve">AC-27</t>
  </si>
  <si>
    <t xml:space="preserve">Export analysis</t>
  </si>
  <si>
    <t xml:space="preserve">Group summary exported for the resolution owner</t>
  </si>
  <si>
    <t xml:space="preserve">AC-28</t>
  </si>
  <si>
    <t xml:space="preserve">Create parameter version</t>
  </si>
  <si>
    <t xml:space="preserve">Values valid for the parameter code</t>
  </si>
  <si>
    <t xml:space="preserve">DRAFT row created with effective date</t>
  </si>
  <si>
    <t xml:space="preserve">AC-29</t>
  </si>
  <si>
    <t xml:space="preserve">Approve parameter</t>
  </si>
  <si>
    <t xml:space="preserve">Row is DRAFT and approver differs from author</t>
  </si>
  <si>
    <t xml:space="preserve">Status ACTIVE; prior row SUPERSEDED with valid_to</t>
  </si>
  <si>
    <t xml:space="preserve">AC-30</t>
  </si>
  <si>
    <t xml:space="preserve">Run simulation</t>
  </si>
  <si>
    <t xml:space="preserve">Filtered set</t>
  </si>
  <si>
    <t xml:space="preserve">Historic data in range</t>
  </si>
  <si>
    <t xml:space="preserve">Exception counts recomputed against the proposed value</t>
  </si>
  <si>
    <t xml:space="preserve">AC-31</t>
  </si>
  <si>
    <t xml:space="preserve">Test AI connection</t>
  </si>
  <si>
    <t xml:space="preserve">Endpoint and auth configured</t>
  </si>
  <si>
    <t xml:space="preserve">Round trip call; result reported without storing payload</t>
  </si>
  <si>
    <t xml:space="preserve">AC-32</t>
  </si>
  <si>
    <t xml:space="preserve">Toggle AI feature</t>
  </si>
  <si>
    <t xml:space="preserve">IT Admin role</t>
  </si>
  <si>
    <t xml:space="preserve">AI features enabled or disabled system wide</t>
  </si>
  <si>
    <t xml:space="preserve">AC-33</t>
  </si>
  <si>
    <t xml:space="preserve">Ingest flight operations feed</t>
  </si>
  <si>
    <t xml:space="preserve">Scheduled</t>
  </si>
  <si>
    <t xml:space="preserve">Staging rows created; identity resolved; supersession applied</t>
  </si>
  <si>
    <t xml:space="preserve">IF_RUN, APPLICATION_LOG</t>
  </si>
  <si>
    <t xml:space="preserve">AC-34</t>
  </si>
  <si>
    <t xml:space="preserve">Evaluate change type</t>
  </si>
  <si>
    <t xml:space="preserve">Per record</t>
  </si>
  <si>
    <t xml:space="preserve">Prior latest staging record known</t>
  </si>
  <si>
    <t xml:space="preserve">NO_CHANGE, REVERSAL, CHANGE or INITIAL determined</t>
  </si>
  <si>
    <t xml:space="preserve">AC-35</t>
  </si>
  <si>
    <t xml:space="preserve">Apply to target</t>
  </si>
  <si>
    <t xml:space="preserve">Validation passed and not stale</t>
  </si>
  <si>
    <t xml:space="preserve">FLIGHT_OPERATIONS updated; sync_status set CURRENT</t>
  </si>
  <si>
    <t xml:space="preserve">AC-36</t>
  </si>
  <si>
    <t xml:space="preserve">Correct and reprocess</t>
  </si>
  <si>
    <t xml:space="preserve">Record is ERROR and is_latest_for_key Y</t>
  </si>
  <si>
    <t xml:space="preserve">Corrected values applied in staging, then reprocessed</t>
  </si>
  <si>
    <t xml:space="preserve">AC-37</t>
  </si>
  <si>
    <t xml:space="preserve">Reprocess without change</t>
  </si>
  <si>
    <t xml:space="preserve">Single / multiple / bulk</t>
  </si>
  <si>
    <t xml:space="preserve">Underlying cause fixed elsewhere</t>
  </si>
  <si>
    <t xml:space="preserve">Record revalidated against current master data</t>
  </si>
  <si>
    <t xml:space="preserve">AC-38</t>
  </si>
  <si>
    <t xml:space="preserve">Ignore record</t>
  </si>
  <si>
    <t xml:space="preserve">Record superseded or genuinely not applicable</t>
  </si>
  <si>
    <t xml:space="preserve">Status IGNORED with reason; removed from worklist</t>
  </si>
  <si>
    <t xml:space="preserve">AC-39</t>
  </si>
  <si>
    <t xml:space="preserve">View supersession chain</t>
  </si>
  <si>
    <t xml:space="preserve">Prior records exist</t>
  </si>
  <si>
    <t xml:space="preserve">Full history for the business key with change types</t>
  </si>
  <si>
    <t xml:space="preserve">AC-40</t>
  </si>
  <si>
    <t xml:space="preserve">Force apply pending change</t>
  </si>
  <si>
    <t xml:space="preserve">Supervisor role and reason given</t>
  </si>
  <si>
    <t xml:space="preserve">Target updated despite validation warning; override recorded</t>
  </si>
  <si>
    <t xml:space="preserve">AC-41</t>
  </si>
  <si>
    <t xml:space="preserve">Confirm aircraft</t>
  </si>
  <si>
    <t xml:space="preserve">Registration verified and type validated</t>
  </si>
  <si>
    <t xml:space="preserve">Status CONFIRMED; order blocks released</t>
  </si>
  <si>
    <t xml:space="preserve">AC-42</t>
  </si>
  <si>
    <t xml:space="preserve">Complete aircraft data</t>
  </si>
  <si>
    <t xml:space="preserve">User / Feed</t>
  </si>
  <si>
    <t xml:space="preserve">Single / batch</t>
  </si>
  <si>
    <t xml:space="preserve">Aircraft CONFIRMED</t>
  </si>
  <si>
    <t xml:space="preserve">Weights and performance loaded; status COMPLETE</t>
  </si>
  <si>
    <t xml:space="preserve">Fleet Admin, System</t>
  </si>
  <si>
    <t xml:space="preserve">AC-43</t>
  </si>
  <si>
    <t xml:space="preserve">Confirm tail change for leg</t>
  </si>
  <si>
    <t xml:space="preserve">Aircraft CONFIRMED and leg sync_status resolved</t>
  </si>
  <si>
    <t xml:space="preserve">leg_tail_confirmed set; order creation unblocked</t>
  </si>
  <si>
    <t xml:space="preserve">AC-44</t>
  </si>
  <si>
    <t xml:space="preserve">Run cascade reprocess</t>
  </si>
  <si>
    <t xml:space="preserve">Chain</t>
  </si>
  <si>
    <t xml:space="preserve">Root cause resolved</t>
  </si>
  <si>
    <t xml:space="preserve">Staging, leg, plan and order retried in dependency order</t>
  </si>
  <si>
    <t xml:space="preserve">AC-45</t>
  </si>
  <si>
    <t xml:space="preserve">Maintain critical field set</t>
  </si>
  <si>
    <t xml:space="preserve">Config Admin role</t>
  </si>
  <si>
    <t xml:space="preserve">Field criticality and blocked actions updated</t>
  </si>
  <si>
    <t xml:space="preserve">AC-46</t>
  </si>
  <si>
    <t xml:space="preserve">Resolve carrier arrangement</t>
  </si>
  <si>
    <t xml:space="preserve">Per leg</t>
  </si>
  <si>
    <t xml:space="preserve">Operating and marketing carrier known</t>
  </si>
  <si>
    <t xml:space="preserve">fuel_processing_mode and flags stamped on the leg</t>
  </si>
  <si>
    <t xml:space="preserve">AC-47</t>
  </si>
  <si>
    <t xml:space="preserve">Maintain carrier arrangement</t>
  </si>
  <si>
    <t xml:space="preserve">Config Admin role and contract reference supplied</t>
  </si>
  <si>
    <t xml:space="preserve">New effective dated arrangement created</t>
  </si>
  <si>
    <t xml:space="preserve">AC-48</t>
  </si>
  <si>
    <t xml:space="preserve">Dispute unexpected ticket</t>
  </si>
  <si>
    <t xml:space="preserve">Ticket on a NONE mode leg</t>
  </si>
  <si>
    <t xml:space="preserve">Dispute raised with supplier; ticket flagged</t>
  </si>
  <si>
    <t xml:space="preserve">AC-49</t>
  </si>
  <si>
    <t xml:space="preserve">Accept and reclassify</t>
  </si>
  <si>
    <t xml:space="preserve">Arrangement was wrong, not the ticket</t>
  </si>
  <si>
    <t xml:space="preserve">Leg reprocessed under corrected arrangement</t>
  </si>
  <si>
    <t xml:space="preserve">AC-50</t>
  </si>
  <si>
    <t xml:space="preserve">Raise recharge</t>
  </si>
  <si>
    <t xml:space="preserve">Ticket on a RECHARGE mode leg and invoice posted</t>
  </si>
  <si>
    <t xml:space="preserve">Recharge document created for the counterparty</t>
  </si>
  <si>
    <t xml:space="preserve">AC-51</t>
  </si>
  <si>
    <t xml:space="preserve">Run divergence detection</t>
  </si>
  <si>
    <t xml:space="preserve">Per snapshot run</t>
  </si>
  <si>
    <t xml:space="preserve">run_mode SNAPSHOT or RECONCILIATION</t>
  </si>
  <si>
    <t xml:space="preserve">Divergences raised where snapshot disagrees with applied data</t>
  </si>
  <si>
    <t xml:space="preserve">AC-52</t>
  </si>
  <si>
    <t xml:space="preserve">Accept divergence</t>
  </si>
  <si>
    <t xml:space="preserve">Divergence investigated</t>
  </si>
  <si>
    <t xml:space="preserve">Marked reviewed with cause; correction already applied</t>
  </si>
  <si>
    <t xml:space="preserve">AC-53</t>
  </si>
  <si>
    <t xml:space="preserve">Escalate feed reliability</t>
  </si>
  <si>
    <t xml:space="preserve">Divergence rate above threshold</t>
  </si>
  <si>
    <t xml:space="preserve">Issue raised against the source interface with evidence</t>
  </si>
  <si>
    <t xml:space="preserve">IT Support</t>
  </si>
  <si>
    <t xml:space="preserve">AC-54</t>
  </si>
  <si>
    <t xml:space="preserve">Trigger reconciliation run</t>
  </si>
  <si>
    <t xml:space="preserve">IT Support role</t>
  </si>
  <si>
    <t xml:space="preserve">On demand full snapshot pull and divergence detection</t>
  </si>
  <si>
    <t xml:space="preserve">AC-55</t>
  </si>
  <si>
    <t xml:space="preserve">Validate counterparty invoice</t>
  </si>
  <si>
    <t xml:space="preserve">Mode RECHARGE_IN on the referenced legs</t>
  </si>
  <si>
    <t xml:space="preserve">Quantity and rate checked against the lease terms; exceptions raised</t>
  </si>
  <si>
    <t xml:space="preserve">AC-56</t>
  </si>
  <si>
    <t xml:space="preserve">View arrangement resolution</t>
  </si>
  <si>
    <t xml:space="preserve">Leg exists</t>
  </si>
  <si>
    <t xml:space="preserve">Candidate rows shown by rank with the winner and derived mode</t>
  </si>
  <si>
    <t xml:space="preserve">AC-57</t>
  </si>
  <si>
    <t xml:space="preserve">Re-resolve arrangement on critical change</t>
  </si>
  <si>
    <t xml:space="preserve">Critical field changed, notably registration</t>
  </si>
  <si>
    <t xml:space="preserve">Mode recomputed; a change after order send blocks and raises an exception</t>
  </si>
  <si>
    <t xml:space="preserve">AC-58</t>
  </si>
  <si>
    <t xml:space="preserve">Ingest dispatch plan feed</t>
  </si>
  <si>
    <t xml:space="preserve">Scheduled / push</t>
  </si>
  <si>
    <t xml:space="preserve">Plan staging rows created; leg resolved; version gap evaluated</t>
  </si>
  <si>
    <t xml:space="preserve">AC-59</t>
  </si>
  <si>
    <t xml:space="preserve">Auto retry held records</t>
  </si>
  <si>
    <t xml:space="preserve">Record in a HELD status</t>
  </si>
  <si>
    <t xml:space="preserve">Revalidated against current state; applies when the blocking condition clears</t>
  </si>
  <si>
    <t xml:space="preserve">AC-60</t>
  </si>
  <si>
    <t xml:space="preserve">Escalate aged held record</t>
  </si>
  <si>
    <t xml:space="preserve">Held beyond the configured window</t>
  </si>
  <si>
    <t xml:space="preserve">Raised as an actionable exception with the blocking reference</t>
  </si>
  <si>
    <t xml:space="preserve">AC-61</t>
  </si>
  <si>
    <t xml:space="preserve">Force apply held record</t>
  </si>
  <si>
    <t xml:space="preserve">Applied despite the blocking condition; override recorded</t>
  </si>
  <si>
    <t xml:space="preserve">AC-62</t>
  </si>
  <si>
    <t xml:space="preserve">Export coverage qualifier</t>
  </si>
  <si>
    <t xml:space="preserve">Variance report exported with GAPPED legs marked</t>
  </si>
  <si>
    <t xml:space="preserve">AC-63</t>
  </si>
  <si>
    <t xml:space="preserve">Resolve type from inbound code</t>
  </si>
  <si>
    <t xml:space="preserve">Alias exists</t>
  </si>
  <si>
    <t xml:space="preserve">aircraft_type_id resolved; unresolved codes queued</t>
  </si>
  <si>
    <t xml:space="preserve">AC-64</t>
  </si>
  <si>
    <t xml:space="preserve">Auto provision unknown type</t>
  </si>
  <si>
    <t xml:space="preserve">ALLOW_PROVISIONAL_TYPE enabled</t>
  </si>
  <si>
    <t xml:space="preserve">PROVISIONAL type row created and alias registered</t>
  </si>
  <si>
    <t xml:space="preserve">AC-65</t>
  </si>
  <si>
    <t xml:space="preserve">Map unresolved code</t>
  </si>
  <si>
    <t xml:space="preserve">Alias created against an existing type</t>
  </si>
  <si>
    <t xml:space="preserve">AC-66</t>
  </si>
  <si>
    <t xml:space="preserve">Confirm aircraft type</t>
  </si>
  <si>
    <t xml:space="preserve">Codes verified and defaults supplied</t>
  </si>
  <si>
    <t xml:space="preserve">Status CONFIRMED; tolerance resolution uses the type scope</t>
  </si>
  <si>
    <t xml:space="preserve">AC-67</t>
  </si>
  <si>
    <t xml:space="preserve">Assign config to tail</t>
  </si>
  <si>
    <t xml:space="preserve">Granularity BY_CONFIG</t>
  </si>
  <si>
    <t xml:space="preserve">config_id set on the aircraft; DOW resolves from config</t>
  </si>
  <si>
    <t xml:space="preserve">AC-68</t>
  </si>
  <si>
    <t xml:space="preserve">Ingest burn data</t>
  </si>
  <si>
    <t xml:space="preserve">ACARS or QAR feed available</t>
  </si>
  <si>
    <t xml:space="preserve">Burn rows created; primary selected by source priority</t>
  </si>
  <si>
    <t xml:space="preserve">AC-69</t>
  </si>
  <si>
    <t xml:space="preserve">Derive burn quantities</t>
  </si>
  <si>
    <t xml:space="preserve">Per row</t>
  </si>
  <si>
    <t xml:space="preserve">At least two gauge points present</t>
  </si>
  <si>
    <t xml:space="preserve">Block, trip and taxi burn computed; missing points yield null</t>
  </si>
  <si>
    <t xml:space="preserve">AC-70</t>
  </si>
  <si>
    <t xml:space="preserve">Derive APU burn</t>
  </si>
  <si>
    <t xml:space="preserve">Per usage row</t>
  </si>
  <si>
    <t xml:space="preserve">Minutes and rate known</t>
  </si>
  <si>
    <t xml:space="preserve">APU burn and avoidable burn computed</t>
  </si>
  <si>
    <t xml:space="preserve">AC-71</t>
  </si>
  <si>
    <t xml:space="preserve">Post ledger event</t>
  </si>
  <si>
    <t xml:space="preserve">Per event</t>
  </si>
  <si>
    <t xml:space="preserve">Uplift, defuel, jettison or burn recorded</t>
  </si>
  <si>
    <t xml:space="preserve">Ledger row appended; closure evaluated against the reported gauge</t>
  </si>
  <si>
    <t xml:space="preserve">AC-72</t>
  </si>
  <si>
    <t xml:space="preserve">Enter burn manually</t>
  </si>
  <si>
    <t xml:space="preserve">No automated feed for the leg</t>
  </si>
  <si>
    <t xml:space="preserve">Burn row created with source FQIS_MANUAL</t>
  </si>
  <si>
    <t xml:space="preserve">AC-73</t>
  </si>
  <si>
    <t xml:space="preserve">Investigate broken chain</t>
  </si>
  <si>
    <t xml:space="preserve">closure_status BROKEN_CHAIN</t>
  </si>
  <si>
    <t xml:space="preserve">Investigation recorded; resolved by adding the missing event or accepting with reason</t>
  </si>
  <si>
    <t xml:space="preserve">AC-74</t>
  </si>
  <si>
    <t xml:space="preserve">Request burn data</t>
  </si>
  <si>
    <t xml:space="preserve">Leg departed with no burn row</t>
  </si>
  <si>
    <t xml:space="preserve">Request raised against the source system or the station</t>
  </si>
  <si>
    <t xml:space="preserve">AC-75</t>
  </si>
  <si>
    <t xml:space="preserve">Update performance factor</t>
  </si>
  <si>
    <t xml:space="preserve">Observed drift beyond threshold with adequate sample</t>
  </si>
  <si>
    <t xml:space="preserve">Stored factor updated on the tail; effective from a stated date</t>
  </si>
  <si>
    <t xml:space="preserve">Engineering</t>
  </si>
  <si>
    <t xml:space="preserve">AC-76</t>
  </si>
  <si>
    <t xml:space="preserve">Drill to exception queue</t>
  </si>
  <si>
    <t xml:space="preserve">Opens the underlying worklist filtered to the selected metric</t>
  </si>
  <si>
    <t xml:space="preserve">AC-77</t>
  </si>
  <si>
    <t xml:space="preserve">Resolve posting determination</t>
  </si>
  <si>
    <t xml:space="preserve">Fuel event ready to post</t>
  </si>
  <si>
    <t xml:space="preserve">Movement type and cost object resolved and stamped on the event</t>
  </si>
  <si>
    <t xml:space="preserve">AC-78</t>
  </si>
  <si>
    <t xml:space="preserve">Post goods movement</t>
  </si>
  <si>
    <t xml:space="preserve">Determination complete and period open</t>
  </si>
  <si>
    <t xml:space="preserve">BAPI_GOODSMVT_CREATE called; material document returned or error retained</t>
  </si>
  <si>
    <t xml:space="preserve">AC-79</t>
  </si>
  <si>
    <t xml:space="preserve">Reprocess goods movement</t>
  </si>
  <si>
    <t xml:space="preserve">Posting failed and cause resolved</t>
  </si>
  <si>
    <t xml:space="preserve">Posting retried with the stamped determination</t>
  </si>
  <si>
    <t xml:space="preserve">AC-80</t>
  </si>
  <si>
    <t xml:space="preserve">Reverse and repost</t>
  </si>
  <si>
    <t xml:space="preserve">Revised burn data received after posting</t>
  </si>
  <si>
    <t xml:space="preserve">Reversal movement posted, then the revised figure</t>
  </si>
  <si>
    <t xml:space="preserve">AC-81</t>
  </si>
  <si>
    <t xml:space="preserve">Maintain movement type mapping</t>
  </si>
  <si>
    <t xml:space="preserve">Config Admin role and SAP movement type exists</t>
  </si>
  <si>
    <t xml:space="preserve">New effective dated mapping created</t>
  </si>
  <si>
    <t xml:space="preserve">AC-82</t>
  </si>
  <si>
    <t xml:space="preserve">Maintain cost object rule</t>
  </si>
  <si>
    <t xml:space="preserve">New effective dated rule created with scope and rank</t>
  </si>
  <si>
    <t xml:space="preserve">AC-83</t>
  </si>
  <si>
    <t xml:space="preserve">View determination trace</t>
  </si>
  <si>
    <t xml:space="preserve">Event posted or determined</t>
  </si>
  <si>
    <t xml:space="preserve">Candidate rules shown by rank with the winner and resolved values</t>
  </si>
  <si>
    <t xml:space="preserve">AC-84</t>
  </si>
  <si>
    <t xml:space="preserve">Evaluate leg completeness</t>
  </si>
  <si>
    <t xml:space="preserve">Leg departed or cancelled</t>
  </si>
  <si>
    <t xml:space="preserve">Expectation and status derived for plan, uplift, burn and posting</t>
  </si>
  <si>
    <t xml:space="preserve">AC-85</t>
  </si>
  <si>
    <t xml:space="preserve">Chase missing uplift</t>
  </si>
  <si>
    <t xml:space="preserve">uplift_status MISSING</t>
  </si>
  <si>
    <t xml:space="preserve">Request raised to the supplier or station with the leg reference</t>
  </si>
  <si>
    <t xml:space="preserve">AC-86</t>
  </si>
  <si>
    <t xml:space="preserve">Confirm no uplift</t>
  </si>
  <si>
    <t xml:space="preserve">Expectation EXPECTED but operationally none occurred</t>
  </si>
  <si>
    <t xml:space="preserve">Marked confirmed with reason; removed from the gap count</t>
  </si>
  <si>
    <t xml:space="preserve">AC-87</t>
  </si>
  <si>
    <t xml:space="preserve">Run tail stock reconciliation</t>
  </si>
  <si>
    <t xml:space="preserve">Scheduled / user</t>
  </si>
  <si>
    <t xml:space="preserve">Period defined and cutoff events resolvable</t>
  </si>
  <si>
    <t xml:space="preserve">Three way comparison produced per tail with timing and unexplained split</t>
  </si>
  <si>
    <t xml:space="preserve">AC-88</t>
  </si>
  <si>
    <t xml:space="preserve">Investigate unexplained difference</t>
  </si>
  <si>
    <t xml:space="preserve">Status UNEXPLAINED</t>
  </si>
  <si>
    <t xml:space="preserve">AC-89</t>
  </si>
  <si>
    <t xml:space="preserve">Export accrual basis</t>
  </si>
  <si>
    <t xml:space="preserve">Reconciliation run for the period</t>
  </si>
  <si>
    <t xml:space="preserve">Unposted uplift and burn quantities exported for the accrual entry</t>
  </si>
  <si>
    <t xml:space="preserve">AC-90</t>
  </si>
  <si>
    <t xml:space="preserve">Assess close readiness</t>
  </si>
  <si>
    <t xml:space="preserve">Period end approaching</t>
  </si>
  <si>
    <t xml:space="preserve">Blocking items listed with owner and quantity</t>
  </si>
  <si>
    <t xml:space="preserve">AC-91</t>
  </si>
  <si>
    <t xml:space="preserve">Ingest market quotations</t>
  </si>
  <si>
    <t xml:space="preserve">Quotes created or updated; restatements flagged</t>
  </si>
  <si>
    <t xml:space="preserve">AC-92</t>
  </si>
  <si>
    <t xml:space="preserve">Enter quotation manually</t>
  </si>
  <si>
    <t xml:space="preserve">Feed unavailable or no feed configured</t>
  </si>
  <si>
    <t xml:space="preserve">Quote created with source MANUAL</t>
  </si>
  <si>
    <t xml:space="preserve">AC-93</t>
  </si>
  <si>
    <t xml:space="preserve">Calculate price</t>
  </si>
  <si>
    <t xml:space="preserve">Per uplift</t>
  </si>
  <si>
    <t xml:space="preserve">Scheme resolved and quotes available</t>
  </si>
  <si>
    <t xml:space="preserve">Price computed or supplied; components and quotes stamped</t>
  </si>
  <si>
    <t xml:space="preserve">AC-94</t>
  </si>
  <si>
    <t xml:space="preserve">Finalise provisional price</t>
  </si>
  <si>
    <t xml:space="preserve">Averaging period closed and quotes complete</t>
  </si>
  <si>
    <t xml:space="preserve">Final price computed; difference raised for credit or debit note</t>
  </si>
  <si>
    <t xml:space="preserve">AC-95</t>
  </si>
  <si>
    <t xml:space="preserve">Reprice on restatement</t>
  </si>
  <si>
    <t xml:space="preserve">User / system</t>
  </si>
  <si>
    <t xml:space="preserve">Affected calculations repriced; differences reported</t>
  </si>
  <si>
    <t xml:space="preserve">AC-96</t>
  </si>
  <si>
    <t xml:space="preserve">Simulate price</t>
  </si>
  <si>
    <t xml:space="preserve">Price recomputed under an alternative scheme or station without saving</t>
  </si>
  <si>
    <t xml:space="preserve">AC-97</t>
  </si>
  <si>
    <t xml:space="preserve">Create fuel purchase order</t>
  </si>
  <si>
    <t xml:space="preserve">Price final or provisional and contract resolved</t>
  </si>
  <si>
    <t xml:space="preserve">PO created against the fuel value contract with tax code</t>
  </si>
  <si>
    <t xml:space="preserve">AC-98</t>
  </si>
  <si>
    <t xml:space="preserve">Create into-plane service order</t>
  </si>
  <si>
    <t xml:space="preserve">Split vendor model at the station</t>
  </si>
  <si>
    <t xml:space="preserve">Service PO created against the into-plane value contract</t>
  </si>
  <si>
    <t xml:space="preserve">AC-99</t>
  </si>
  <si>
    <t xml:space="preserve">Post goods receipt and service entry</t>
  </si>
  <si>
    <t xml:space="preserve">Per ticket</t>
  </si>
  <si>
    <t xml:space="preserve">Ticket or ePOD acknowledged</t>
  </si>
  <si>
    <t xml:space="preserve">GR posted on the fuel PO; SES created on the service PO</t>
  </si>
  <si>
    <t xml:space="preserve">AC-100</t>
  </si>
  <si>
    <t xml:space="preserve">Accept service entry sheet</t>
  </si>
  <si>
    <t xml:space="preserve">SES created and service confirmed</t>
  </si>
  <si>
    <t xml:space="preserve">SES accepted; goods receipt posted on the service PO</t>
  </si>
  <si>
    <t xml:space="preserve">AC-101</t>
  </si>
  <si>
    <t xml:space="preserve">Reverse document chain</t>
  </si>
  <si>
    <t xml:space="preserve">Ticket corrected after posting</t>
  </si>
  <si>
    <t xml:space="preserve">SES and GR reversed in dependency order, then reposted</t>
  </si>
  <si>
    <t xml:space="preserve">AC-102</t>
  </si>
  <si>
    <t xml:space="preserve">Add supplier role</t>
  </si>
  <si>
    <t xml:space="preserve">SAP vendor exists and Config Admin role</t>
  </si>
  <si>
    <t xml:space="preserve">Role created for the vendor at a station with validity</t>
  </si>
  <si>
    <t xml:space="preserve">AC-103</t>
  </si>
  <si>
    <t xml:space="preserve">Map provisional supplier</t>
  </si>
  <si>
    <t xml:space="preserve">SAP vendor created</t>
  </si>
  <si>
    <t xml:space="preserve">Status moves to MAPPED; PO creation and posting unblocked</t>
  </si>
  <si>
    <t xml:space="preserve">AC-104</t>
  </si>
  <si>
    <t xml:space="preserve">End supplier role</t>
  </si>
  <si>
    <t xml:space="preserve">No open orders against the role</t>
  </si>
  <si>
    <t xml:space="preserve">valid_to set; role no longer resolves for new events</t>
  </si>
  <si>
    <t xml:space="preserve">AC-105</t>
  </si>
  <si>
    <t xml:space="preserve">Maintain fuel specification</t>
  </si>
  <si>
    <t xml:space="preserve">Density limits and specification reference updated</t>
  </si>
  <si>
    <t xml:space="preserve">AC-106</t>
  </si>
  <si>
    <t xml:space="preserve">Open configuration area</t>
  </si>
  <si>
    <t xml:space="preserve">Navigates to the area with its own filter context</t>
  </si>
  <si>
    <t xml:space="preserve">AC-107</t>
  </si>
  <si>
    <t xml:space="preserve">Launch report</t>
  </si>
  <si>
    <t xml:space="preserve">Opens the report with default filters applied</t>
  </si>
  <si>
    <t xml:space="preserve">AC-108</t>
  </si>
  <si>
    <t xml:space="preserve">Schedule report</t>
  </si>
  <si>
    <t xml:space="preserve">Recurring run configured with delivery target</t>
  </si>
  <si>
    <t xml:space="preserve">AC-109</t>
  </si>
  <si>
    <t xml:space="preserve">Open claim window</t>
  </si>
  <si>
    <t xml:space="preserve">Per variance</t>
  </si>
  <si>
    <t xml:space="preserve">Reconciliation or match variance beyond tolerance</t>
  </si>
  <si>
    <t xml:space="preserve">Claim record created with deadlines derived from the contract</t>
  </si>
  <si>
    <t xml:space="preserve">AC-110</t>
  </si>
  <si>
    <t xml:space="preserve">Record notification at delivery</t>
  </si>
  <si>
    <t xml:space="preserve">Variance identified at the aircraft</t>
  </si>
  <si>
    <t xml:space="preserve">Notification timestamped; the written claim clock starts</t>
  </si>
  <si>
    <t xml:space="preserve">AC-111</t>
  </si>
  <si>
    <t xml:space="preserve">Raise written claim</t>
  </si>
  <si>
    <t xml:space="preserve">Within the claim window</t>
  </si>
  <si>
    <t xml:space="preserve">Claim submitted to the supplier; status RAISED, countdown stopped</t>
  </si>
  <si>
    <t xml:space="preserve">AC-112</t>
  </si>
  <si>
    <t xml:space="preserve">Write off expiring claim</t>
  </si>
  <si>
    <t xml:space="preserve">Decision not to pursue, with authorisation</t>
  </si>
  <si>
    <t xml:space="preserve">Closed as a write off with reason and approver</t>
  </si>
  <si>
    <t xml:space="preserve">AC-113</t>
  </si>
  <si>
    <t xml:space="preserve">Escalate approaching deadline</t>
  </si>
  <si>
    <t xml:space="preserve">Days remaining below the escalation threshold</t>
  </si>
  <si>
    <t xml:space="preserve">Notification raised to the claim owner and supervisor</t>
  </si>
  <si>
    <t xml:space="preserve">CRITICAL_FIELD_CONFIG  -  which inbound field changes force PENDING_UPDATE.  Configuration, not code</t>
  </si>
  <si>
    <t xml:space="preserve">config_id</t>
  </si>
  <si>
    <t xml:space="preserve">table_name</t>
  </si>
  <si>
    <t xml:space="preserve">field_name</t>
  </si>
  <si>
    <t xml:space="preserve">is_critical</t>
  </si>
  <si>
    <t xml:space="preserve">on_change_action</t>
  </si>
  <si>
    <t xml:space="preserve">requires_confirmation</t>
  </si>
  <si>
    <t xml:space="preserve">blocks_actions</t>
  </si>
  <si>
    <t xml:space="preserve">cascade_reprocess</t>
  </si>
  <si>
    <t xml:space="preserve">rationale</t>
  </si>
  <si>
    <t xml:space="preserve">CFC-01</t>
  </si>
  <si>
    <t xml:space="preserve">PENDING_UPDATE</t>
  </si>
  <si>
    <t xml:space="preserve">ORDER_CREATE, ORDER_SEND, INVOICE_POST</t>
  </si>
  <si>
    <t xml:space="preserve">FD_FUEL_PLAN, FUEL_ORDER</t>
  </si>
  <si>
    <t xml:space="preserve">Drives plan, order and ticket matching</t>
  </si>
  <si>
    <t xml:space="preserve">CFC-02</t>
  </si>
  <si>
    <t xml:space="preserve">aircraft_type</t>
  </si>
  <si>
    <t xml:space="preserve">ORDER_CREATE</t>
  </si>
  <si>
    <t xml:space="preserve">Sets performance factor, tank capacity and tolerance band</t>
  </si>
  <si>
    <t xml:space="preserve">CFC-03</t>
  </si>
  <si>
    <t xml:space="preserve">ORDER_CREATE, ORDER_SEND</t>
  </si>
  <si>
    <t xml:space="preserve">Determines supplier contract and conversion density</t>
  </si>
  <si>
    <t xml:space="preserve">CFC-04</t>
  </si>
  <si>
    <t xml:space="preserve">Changes trip fuel and tankering economics</t>
  </si>
  <si>
    <t xml:space="preserve">CFC-05</t>
  </si>
  <si>
    <t xml:space="preserve">ORDER_SEND</t>
  </si>
  <si>
    <t xml:space="preserve">Sets the fuelling window and order timing</t>
  </si>
  <si>
    <t xml:space="preserve">CFC-06</t>
  </si>
  <si>
    <t xml:space="preserve">PARTIAL_APPLY</t>
  </si>
  <si>
    <t xml:space="preserve">Informational for fuel purposes</t>
  </si>
  <si>
    <t xml:space="preserve">CFC-07</t>
  </si>
  <si>
    <t xml:space="preserve">FUEL_ORDER, FUEL_TICKET</t>
  </si>
  <si>
    <t xml:space="preserve">Drives freeze logic and cost allocation</t>
  </si>
  <si>
    <t xml:space="preserve">CFC-08</t>
  </si>
  <si>
    <t xml:space="preserve">Decides whether a fuel plan and order are expected at all</t>
  </si>
  <si>
    <t xml:space="preserve">CFC-09</t>
  </si>
  <si>
    <t xml:space="preserve">ORDER_CREATE, INVOICE_POST</t>
  </si>
  <si>
    <t xml:space="preserve">FUEL_ORDER, FUEL_INVOICE</t>
  </si>
  <si>
    <t xml:space="preserve">Determines which contract applies and who is invoiced</t>
  </si>
  <si>
    <t xml:space="preserve">CFC-10</t>
  </si>
  <si>
    <t xml:space="preserve">Reporting only</t>
  </si>
  <si>
    <t xml:space="preserve">CFC-11</t>
  </si>
  <si>
    <t xml:space="preserve">atd_utc</t>
  </si>
  <si>
    <t xml:space="preserve">Actuals; no forward dependency</t>
  </si>
  <si>
    <t xml:space="preserve">CFC-12</t>
  </si>
  <si>
    <t xml:space="preserve">ata_utc</t>
  </si>
  <si>
    <t xml:space="preserve">CFC-13</t>
  </si>
  <si>
    <t xml:space="preserve">High frequency; would flood the queue if critical</t>
  </si>
  <si>
    <t xml:space="preserve">IF_FLIGHT_OPERATIONS_STG  -  inbound staging.  change_type compares against the LATEST STAGING record, not the target, so reversals are not misread as no-ops</t>
  </si>
  <si>
    <t xml:space="preserve">stg_id</t>
  </si>
  <si>
    <t xml:space="preserve">if_run_id</t>
  </si>
  <si>
    <t xml:space="preserve">source_record_key</t>
  </si>
  <si>
    <t xml:space="preserve">source_change_utc</t>
  </si>
  <si>
    <t xml:space="preserve">operation</t>
  </si>
  <si>
    <t xml:space="preserve">resolved_business_key</t>
  </si>
  <si>
    <t xml:space="preserve">resolved_flight_leg_id</t>
  </si>
  <si>
    <t xml:space="preserve">m_registration</t>
  </si>
  <si>
    <t xml:space="preserve">m_departure_station</t>
  </si>
  <si>
    <t xml:space="preserve">m_std_utc</t>
  </si>
  <si>
    <t xml:space="preserve">m_service_type</t>
  </si>
  <si>
    <t xml:space="preserve">m_operating_carrier</t>
  </si>
  <si>
    <t xml:space="preserve">m_delay_code</t>
  </si>
  <si>
    <t xml:space="preserve">critical_field_changed</t>
  </si>
  <si>
    <t xml:space="preserve">payload_hash</t>
  </si>
  <si>
    <t xml:space="preserve">prior_latest_stg_id</t>
  </si>
  <si>
    <t xml:space="preserve">prior_latest_hash</t>
  </si>
  <si>
    <t xml:space="preserve">target_applied_hash</t>
  </si>
  <si>
    <t xml:space="preserve">change_type</t>
  </si>
  <si>
    <t xml:space="preserve">record_status</t>
  </si>
  <si>
    <t xml:space="preserve">is_latest_for_key</t>
  </si>
  <si>
    <t xml:space="preserve">superseded_by_stg_id</t>
  </si>
  <si>
    <t xml:space="preserve">first_error_code</t>
  </si>
  <si>
    <t xml:space="preserve">error_field</t>
  </si>
  <si>
    <t xml:space="preserve">attempt_count</t>
  </si>
  <si>
    <t xml:space="preserve">target_sync_status</t>
  </si>
  <si>
    <t xml:space="preserve">note</t>
  </si>
  <si>
    <t xml:space="preserve">STG-0001</t>
  </si>
  <si>
    <t xml:space="preserve">RUN-101</t>
  </si>
  <si>
    <t xml:space="preserve">OPS_SYS</t>
  </si>
  <si>
    <t xml:space="preserve">PR0132-14AUG-1</t>
  </si>
  <si>
    <t xml:space="preserve">2026-08-14T01:00Z</t>
  </si>
  <si>
    <t xml:space="preserve">2026-08-14T01:05Z</t>
  </si>
  <si>
    <t xml:space="preserve">UPDATE</t>
  </si>
  <si>
    <t xml:space="preserve">PR|0132|2026-08-14|1</t>
  </si>
  <si>
    <t xml:space="preserve">18:00</t>
  </si>
  <si>
    <t xml:space="preserve">H-A1</t>
  </si>
  <si>
    <t xml:space="preserve">APPLIED</t>
  </si>
  <si>
    <t xml:space="preserve">STG-0002</t>
  </si>
  <si>
    <t xml:space="preserve">Day 1 - tail in master, applies cleanly</t>
  </si>
  <si>
    <t xml:space="preserve">RUN-118</t>
  </si>
  <si>
    <t xml:space="preserve">2026-08-15T02:00Z</t>
  </si>
  <si>
    <t xml:space="preserve">2026-08-15T02:04Z</t>
  </si>
  <si>
    <t xml:space="preserve">H-A2</t>
  </si>
  <si>
    <t xml:space="preserve">SUPERSEDED_ERROR</t>
  </si>
  <si>
    <t xml:space="preserve">STG-0003</t>
  </si>
  <si>
    <t xml:space="preserve">AC_NOT_IN_MASTER</t>
  </si>
  <si>
    <t xml:space="preserve">Tail not in aircraft master</t>
  </si>
  <si>
    <t xml:space="preserve">RUN-127</t>
  </si>
  <si>
    <t xml:space="preserve">2026-08-15T09:00Z</t>
  </si>
  <si>
    <t xml:space="preserve">2026-08-15T09:03Z</t>
  </si>
  <si>
    <t xml:space="preserve">STG-0004</t>
  </si>
  <si>
    <t xml:space="preserve">Same payload resent - still errors, superseded by next</t>
  </si>
  <si>
    <t xml:space="preserve">RUN-141</t>
  </si>
  <si>
    <t xml:space="preserve">2026-08-16T02:00Z</t>
  </si>
  <si>
    <t xml:space="preserve">2026-08-16T02:06Z</t>
  </si>
  <si>
    <t xml:space="preserve">STALE</t>
  </si>
  <si>
    <t xml:space="preserve">The only row in the error worklist for this key</t>
  </si>
  <si>
    <t xml:space="preserve">STG-0005</t>
  </si>
  <si>
    <t xml:space="preserve">PR0126-14AUG-1</t>
  </si>
  <si>
    <t xml:space="preserve">PR|0126|2026-08-14|1</t>
  </si>
  <si>
    <t xml:space="preserve">06:00</t>
  </si>
  <si>
    <t xml:space="preserve">H-B1</t>
  </si>
  <si>
    <t xml:space="preserve">STG-0006</t>
  </si>
  <si>
    <t xml:space="preserve">Baseline apply</t>
  </si>
  <si>
    <t xml:space="preserve">2026-08-14T04:00Z</t>
  </si>
  <si>
    <t xml:space="preserve">2026-08-14T04:03Z</t>
  </si>
  <si>
    <t xml:space="preserve">IGNORED_NO_CHANGE</t>
  </si>
  <si>
    <t xml:space="preserve">Identical resend - never enters the worklist</t>
  </si>
  <si>
    <t xml:space="preserve">STG-0007</t>
  </si>
  <si>
    <t xml:space="preserve">RUN-150</t>
  </si>
  <si>
    <t xml:space="preserve">PR0152-18AUG-1</t>
  </si>
  <si>
    <t xml:space="preserve">2026-08-18T01:00Z</t>
  </si>
  <si>
    <t xml:space="preserve">2026-08-18T01:04Z</t>
  </si>
  <si>
    <t xml:space="preserve">PR|0152|2026-08-18|1</t>
  </si>
  <si>
    <t xml:space="preserve">H-C1</t>
  </si>
  <si>
    <t xml:space="preserve">STG-0008</t>
  </si>
  <si>
    <t xml:space="preserve">Applied - target now holds RP-C4128</t>
  </si>
  <si>
    <t xml:space="preserve">RUN-158</t>
  </si>
  <si>
    <t xml:space="preserve">2026-08-18T05:00Z</t>
  </si>
  <si>
    <t xml:space="preserve">2026-08-18T05:02Z</t>
  </si>
  <si>
    <t xml:space="preserve">RP-C4131</t>
  </si>
  <si>
    <t xml:space="preserve">H-C2</t>
  </si>
  <si>
    <t xml:space="preserve">STG-0009</t>
  </si>
  <si>
    <t xml:space="preserve">Tail change fails - leg goes PENDING_UPDATE</t>
  </si>
  <si>
    <t xml:space="preserve">RUN-166</t>
  </si>
  <si>
    <t xml:space="preserve">2026-08-18T07:00Z</t>
  </si>
  <si>
    <t xml:space="preserve">2026-08-18T07:01Z</t>
  </si>
  <si>
    <t xml:space="preserve">REVERSAL - matches target but not latest staging. Clears PENDING_UPDATE</t>
  </si>
  <si>
    <t xml:space="preserve">STG-0010</t>
  </si>
  <si>
    <t xml:space="preserve">RUN-170</t>
  </si>
  <si>
    <t xml:space="preserve">2026-08-14T00:30Z</t>
  </si>
  <si>
    <t xml:space="preserve">2026-08-18T09:00Z</t>
  </si>
  <si>
    <t xml:space="preserve">RP-C4106</t>
  </si>
  <si>
    <t xml:space="preserve">H-B0</t>
  </si>
  <si>
    <t xml:space="preserve">IGNORED_STALE</t>
  </si>
  <si>
    <t xml:space="preserve">source_change_utc older than last applied - ordered by source, not receipt</t>
  </si>
  <si>
    <t xml:space="preserve">STG-0011</t>
  </si>
  <si>
    <t xml:space="preserve">RUN-175</t>
  </si>
  <si>
    <t xml:space="preserve">PR0170-22AUG-1</t>
  </si>
  <si>
    <t xml:space="preserve">2026-08-22T01:00Z</t>
  </si>
  <si>
    <t xml:space="preserve">2026-08-22T01:03Z</t>
  </si>
  <si>
    <t xml:space="preserve">INSERT</t>
  </si>
  <si>
    <t xml:space="preserve">PR|0170|2026-08-22|1</t>
  </si>
  <si>
    <t xml:space="preserve">RP-C4142</t>
  </si>
  <si>
    <t xml:space="preserve">ZZZ</t>
  </si>
  <si>
    <t xml:space="preserve">H-D1</t>
  </si>
  <si>
    <t xml:space="preserve">STN_NOT_IN_MASTER</t>
  </si>
  <si>
    <t xml:space="preserve">Unknown station - critical field, whole record held</t>
  </si>
  <si>
    <t xml:space="preserve">STG-0012</t>
  </si>
  <si>
    <t xml:space="preserve">RUN-180</t>
  </si>
  <si>
    <t xml:space="preserve">2026-08-14T08:00Z</t>
  </si>
  <si>
    <t xml:space="preserve">2026-08-14T08:02Z</t>
  </si>
  <si>
    <t xml:space="preserve">H-B2</t>
  </si>
  <si>
    <t xml:space="preserve">APPLIED_PARTIAL</t>
  </si>
  <si>
    <t xml:space="preserve">Only delay_code changed - non critical, applies without gating</t>
  </si>
  <si>
    <t xml:space="preserve">STG-0013</t>
  </si>
  <si>
    <t xml:space="preserve">RUN-185</t>
  </si>
  <si>
    <t xml:space="preserve">PR0164-21AUG-1</t>
  </si>
  <si>
    <t xml:space="preserve">2026-08-21T01:00Z</t>
  </si>
  <si>
    <t xml:space="preserve">2026-08-21T01:04Z</t>
  </si>
  <si>
    <t xml:space="preserve">PR|0164|2026-08-21|1</t>
  </si>
  <si>
    <t xml:space="preserve">H-E1</t>
  </si>
  <si>
    <t xml:space="preserve">New tail auto provisioned - flight operations record applies, orders blocked</t>
  </si>
  <si>
    <t xml:space="preserve">STG-0014</t>
  </si>
  <si>
    <t xml:space="preserve">RUN-190</t>
  </si>
  <si>
    <t xml:space="preserve">5J0126-14AUG-1</t>
  </si>
  <si>
    <t xml:space="preserve">2026-08-23T01:00Z</t>
  </si>
  <si>
    <t xml:space="preserve">2026-08-23T01:05Z</t>
  </si>
  <si>
    <t xml:space="preserve">PR|0180|2026-08-23|1</t>
  </si>
  <si>
    <t xml:space="preserve">LEG-26081425</t>
  </si>
  <si>
    <t xml:space="preserve">RP-C4144</t>
  </si>
  <si>
    <t xml:space="preserve">5J</t>
  </si>
  <si>
    <t xml:space="preserve">H-F1</t>
  </si>
  <si>
    <t xml:space="preserve">CARRIER_NO_CONTRACT</t>
  </si>
  <si>
    <t xml:space="preserve">Codeshare - operating carrier differs from marketing carrier, no fuel contract</t>
  </si>
  <si>
    <t xml:space="preserve">STG-0015</t>
  </si>
  <si>
    <t xml:space="preserve">RUN-195</t>
  </si>
  <si>
    <t xml:space="preserve">PR9001-24AUG-1</t>
  </si>
  <si>
    <t xml:space="preserve">2026-08-24T01:00Z</t>
  </si>
  <si>
    <t xml:space="preserve">2026-08-24T01:03Z</t>
  </si>
  <si>
    <t xml:space="preserve">PR|9001|2026-08-24|1</t>
  </si>
  <si>
    <t xml:space="preserve">LEG-26081426</t>
  </si>
  <si>
    <t xml:space="preserve">RP-C4146</t>
  </si>
  <si>
    <t xml:space="preserve">09:00</t>
  </si>
  <si>
    <t xml:space="preserve">P</t>
  </si>
  <si>
    <t xml:space="preserve">H-G1</t>
  </si>
  <si>
    <t xml:space="preserve">Positioning flight - no payload, fuel plan still expected</t>
  </si>
  <si>
    <t xml:space="preserve">AIRCRAFT_MASTER  -  PROVISIONAL on auto creation, CONFIRMED by a person, COMPLETE when performance data is loaded</t>
  </si>
  <si>
    <t xml:space="preserve">source_of_creation</t>
  </si>
  <si>
    <t xml:space="preserve">created_from_stg_id</t>
  </si>
  <si>
    <t xml:space="preserve">first_seen_utc</t>
  </si>
  <si>
    <t xml:space="preserve">operator_code</t>
  </si>
  <si>
    <t xml:space="preserve">icao_type_code</t>
  </si>
  <si>
    <t xml:space="preserve">aircraft_sub_type</t>
  </si>
  <si>
    <t xml:space="preserve">msn</t>
  </si>
  <si>
    <t xml:space="preserve">fleet_code</t>
  </si>
  <si>
    <t xml:space="preserve">ownership_type</t>
  </si>
  <si>
    <t xml:space="preserve">dry_operating_weight</t>
  </si>
  <si>
    <t xml:space="preserve">max_takeoff_weight</t>
  </si>
  <si>
    <t xml:space="preserve">max_landing_weight</t>
  </si>
  <si>
    <t xml:space="preserve">max_zero_fuel_weight</t>
  </si>
  <si>
    <t xml:space="preserve">max_usable_fuel_kg</t>
  </si>
  <si>
    <t xml:space="preserve">performance_factor_pct</t>
  </si>
  <si>
    <t xml:space="preserve">apu_burn_rate_kg_hr</t>
  </si>
  <si>
    <t xml:space="preserve">fqis_accuracy_pct</t>
  </si>
  <si>
    <t xml:space="preserve">etops_capability</t>
  </si>
  <si>
    <t xml:space="preserve">defuel_capable</t>
  </si>
  <si>
    <t xml:space="preserve">jettison_capable</t>
  </si>
  <si>
    <t xml:space="preserve">confirmed_by</t>
  </si>
  <si>
    <t xml:space="preserve">confirmed_utc</t>
  </si>
  <si>
    <t xml:space="preserve">completed_by</t>
  </si>
  <si>
    <t xml:space="preserve">completed_utc</t>
  </si>
  <si>
    <t xml:space="preserve">completeness</t>
  </si>
  <si>
    <t xml:space="preserve">FLEET_FEED</t>
  </si>
  <si>
    <t xml:space="preserve">2024-03-01T00:00Z</t>
  </si>
  <si>
    <t xml:space="preserve">A21N</t>
  </si>
  <si>
    <t xml:space="preserve">A321-271NX</t>
  </si>
  <si>
    <t xml:space="preserve">10412</t>
  </si>
  <si>
    <t xml:space="preserve">NB-NEO</t>
  </si>
  <si>
    <t xml:space="preserve">OWNED</t>
  </si>
  <si>
    <t xml:space="preserve">2024-03-02T00:00Z</t>
  </si>
  <si>
    <t xml:space="preserve">2024-03-05T00:00Z</t>
  </si>
  <si>
    <t xml:space="preserve">2023-06-01T00:00Z</t>
  </si>
  <si>
    <t xml:space="preserve">A359</t>
  </si>
  <si>
    <t xml:space="preserve">A350-941</t>
  </si>
  <si>
    <t xml:space="preserve">0421</t>
  </si>
  <si>
    <t xml:space="preserve">WB-A350</t>
  </si>
  <si>
    <t xml:space="preserve">LEASED</t>
  </si>
  <si>
    <t xml:space="preserve">2023-06-03T00:00Z</t>
  </si>
  <si>
    <t xml:space="preserve">2023-06-10T00:00Z</t>
  </si>
  <si>
    <t xml:space="preserve">CONFIRMED</t>
  </si>
  <si>
    <t xml:space="preserve">AUTO_PROVISION</t>
  </si>
  <si>
    <t xml:space="preserve">10488</t>
  </si>
  <si>
    <t xml:space="preserve">PROVISIONAL</t>
  </si>
  <si>
    <t xml:space="preserve">CARRIER_ARRANGEMENT  -  buys_fuel and bears_cost are independent. Processing mode is DERIVED from the pair, not keyed. Most specific scope wins</t>
  </si>
  <si>
    <t xml:space="preserve">arrangement_id</t>
  </si>
  <si>
    <t xml:space="preserve">arrangement_type</t>
  </si>
  <si>
    <t xml:space="preserve">counterparty_carrier</t>
  </si>
  <si>
    <t xml:space="preserve">buys_fuel</t>
  </si>
  <si>
    <t xml:space="preserve">bears_cost</t>
  </si>
  <si>
    <t xml:space="preserve">create_order_flag</t>
  </si>
  <si>
    <t xml:space="preserve">send_order_flag</t>
  </si>
  <si>
    <t xml:space="preserve">expect_ticket_flag</t>
  </si>
  <si>
    <t xml:space="preserve">expect_supplier_invoice_flag</t>
  </si>
  <si>
    <t xml:space="preserve">expect_counterparty_invoice_flag</t>
  </si>
  <si>
    <t xml:space="preserve">raise_recharge_flag</t>
  </si>
  <si>
    <t xml:space="preserve">aircraft_master_required</t>
  </si>
  <si>
    <t xml:space="preserve">counterparty_party</t>
  </si>
  <si>
    <t xml:space="preserve">contract_ref</t>
  </si>
  <si>
    <t xml:space="preserve">OWN_METAL</t>
  </si>
  <si>
    <t xml:space="preserve">SELF</t>
  </si>
  <si>
    <t xml:space="preserve">Default. Everything else is an exception to this</t>
  </si>
  <si>
    <t xml:space="preserve">CAR-02</t>
  </si>
  <si>
    <t xml:space="preserve">CODESHARE_MARKETING</t>
  </si>
  <si>
    <t xml:space="preserve">CARRIER_PAIR</t>
  </si>
  <si>
    <t xml:space="preserve">5J|PR</t>
  </si>
  <si>
    <t xml:space="preserve">COUNTERPARTY</t>
  </si>
  <si>
    <t xml:space="preserve">NOT_APPLICABLE</t>
  </si>
  <si>
    <t xml:space="preserve">CS-5J-2026</t>
  </si>
  <si>
    <t xml:space="preserve">Partner operates and fuels. No fuel processing at all</t>
  </si>
  <si>
    <t xml:space="preserve">CAR-03</t>
  </si>
  <si>
    <t xml:space="preserve">CODESHARE_OPERATING</t>
  </si>
  <si>
    <t xml:space="preserve">PR|KE</t>
  </si>
  <si>
    <t xml:space="preserve">KE</t>
  </si>
  <si>
    <t xml:space="preserve">CS-KE-2026</t>
  </si>
  <si>
    <t xml:space="preserve">We operate under a partner code. Identical to own metal for fuel</t>
  </si>
  <si>
    <t xml:space="preserve">CAR-04</t>
  </si>
  <si>
    <t xml:space="preserve">WET_LEASE_IN</t>
  </si>
  <si>
    <t xml:space="preserve">REGISTRATION_PERIOD</t>
  </si>
  <si>
    <t xml:space="preserve">XX-ABC</t>
  </si>
  <si>
    <t xml:space="preserve">XX</t>
  </si>
  <si>
    <t xml:space="preserve">ACMI-XX-26</t>
  </si>
  <si>
    <t xml:space="preserve">2026-12-31</t>
  </si>
  <si>
    <t xml:space="preserve">Standard ACMI. We buy and bear fuel on a tail that never enters our fleet master</t>
  </si>
  <si>
    <t xml:space="preserve">CAR-05</t>
  </si>
  <si>
    <t xml:space="preserve">XX-DEF</t>
  </si>
  <si>
    <t xml:space="preserve">RECHARGE</t>
  </si>
  <si>
    <t xml:space="preserve">ACMI-XX-27</t>
  </si>
  <si>
    <t xml:space="preserve">We buy using our station contracts, lessor bears the cost. Recharge out</t>
  </si>
  <si>
    <t xml:space="preserve">CAR-06</t>
  </si>
  <si>
    <t xml:space="preserve">XX-GHI</t>
  </si>
  <si>
    <t xml:space="preserve">ACMI-XX-28</t>
  </si>
  <si>
    <t xml:space="preserve">Lessor buys, we bear the cost. No supplier ticket; cost arrives as a counterparty invoice</t>
  </si>
  <si>
    <t xml:space="preserve">CAR-07</t>
  </si>
  <si>
    <t xml:space="preserve">XX-JKL</t>
  </si>
  <si>
    <t xml:space="preserve">ACMI-XX-29</t>
  </si>
  <si>
    <t xml:space="preserve">Fuel inclusive wet lease. Bundled into the block hour rate. No fuel processing</t>
  </si>
  <si>
    <t xml:space="preserve">CAR-08</t>
  </si>
  <si>
    <t xml:space="preserve">WET_LEASE_OUT</t>
  </si>
  <si>
    <t xml:space="preserve">YY</t>
  </si>
  <si>
    <t xml:space="preserve">WL-YY-26</t>
  </si>
  <si>
    <t xml:space="preserve">2026-05-01</t>
  </si>
  <si>
    <t xml:space="preserve">2026-10-31</t>
  </si>
  <si>
    <t xml:space="preserve">Our metal out. We buy on our contracts and recharge the lessee</t>
  </si>
  <si>
    <t xml:space="preserve">CAR-09</t>
  </si>
  <si>
    <t xml:space="preserve">WL-YY-27</t>
  </si>
  <si>
    <t xml:space="preserve">Lessee buys and bears. We do no fuel processing on our own aircraft</t>
  </si>
  <si>
    <t xml:space="preserve">CAR-10</t>
  </si>
  <si>
    <t xml:space="preserve">DAMP_LEASE_IN</t>
  </si>
  <si>
    <t xml:space="preserve">XX-MNO</t>
  </si>
  <si>
    <t xml:space="preserve">DL-XX-26</t>
  </si>
  <si>
    <t xml:space="preserve">2026-11-30</t>
  </si>
  <si>
    <t xml:space="preserve">Aircraft and cockpit crew leased, cabin crew ours. Fuel treated as ACMI</t>
  </si>
  <si>
    <t xml:space="preserve">CAR-11</t>
  </si>
  <si>
    <t xml:space="preserve">DRY_LEASE_IN</t>
  </si>
  <si>
    <t xml:space="preserve">Deliberate non exception. Aircraft is on our AOC and register. Do NOT create an arrangement row</t>
  </si>
  <si>
    <t xml:space="preserve">CAR-12</t>
  </si>
  <si>
    <t xml:space="preserve">CHARTER</t>
  </si>
  <si>
    <t xml:space="preserve">FLIGHT_NUMBER_RANGE</t>
  </si>
  <si>
    <t xml:space="preserve">PR|8000-8999</t>
  </si>
  <si>
    <t xml:space="preserve">Fuel absorbed in the charter price</t>
  </si>
  <si>
    <t xml:space="preserve">CAR-13</t>
  </si>
  <si>
    <t xml:space="preserve">FLIGHT_NUMBER</t>
  </si>
  <si>
    <t xml:space="preserve">PR|8412</t>
  </si>
  <si>
    <t xml:space="preserve">CHARTERER</t>
  </si>
  <si>
    <t xml:space="preserve">CHT-8412</t>
  </si>
  <si>
    <t xml:space="preserve">2026-08-01</t>
  </si>
  <si>
    <t xml:space="preserve">2026-08-31</t>
  </si>
  <si>
    <t xml:space="preserve">Charter terms pass fuel to the customer at cost plus handling</t>
  </si>
  <si>
    <t xml:space="preserve">CAR-14</t>
  </si>
  <si>
    <t xml:space="preserve">CAPACITY_PURCHASE</t>
  </si>
  <si>
    <t xml:space="preserve">2P|PR</t>
  </si>
  <si>
    <t xml:space="preserve">2P</t>
  </si>
  <si>
    <t xml:space="preserve">CPA-2P-26</t>
  </si>
  <si>
    <t xml:space="preserve">Partner metal and crew, our flight number, fuel often ours. Contract dependent</t>
  </si>
  <si>
    <t xml:space="preserve">CAR-15</t>
  </si>
  <si>
    <t xml:space="preserve">SUBCHARTER</t>
  </si>
  <si>
    <t xml:space="preserve">SPECIFIC_LEG</t>
  </si>
  <si>
    <t xml:space="preserve">LEG-26081430</t>
  </si>
  <si>
    <t xml:space="preserve">ZZ</t>
  </si>
  <si>
    <t xml:space="preserve">SUB-0091</t>
  </si>
  <si>
    <t xml:space="preserve">2026-08-25</t>
  </si>
  <si>
    <t xml:space="preserve">One off ad hoc charter in. Leg level override; standing rows cannot cover this</t>
  </si>
  <si>
    <t xml:space="preserve">CAR-16</t>
  </si>
  <si>
    <t xml:space="preserve">CARRIER_PAIR_STATION</t>
  </si>
  <si>
    <t xml:space="preserve">PR|PR|CEB</t>
  </si>
  <si>
    <t xml:space="preserve">Station override: order created but not transmitted, no contract supplier at CEB</t>
  </si>
  <si>
    <t xml:space="preserve">SCOPE RESOLUTION  -  highest specificity_rank whose scope, counterparty and date window all match. Registration outranks flight number: if leased metal is flying, lease terms govern whatever the flight number</t>
  </si>
  <si>
    <t xml:space="preserve">scope_key format</t>
  </si>
  <si>
    <t xml:space="preserve">Used for</t>
  </si>
  <si>
    <t xml:space="preserve">Own metal default and dry lease</t>
  </si>
  <si>
    <t xml:space="preserve">operating|marketing</t>
  </si>
  <si>
    <t xml:space="preserve">Codeshare, capacity purchase</t>
  </si>
  <si>
    <t xml:space="preserve">operating|marketing|station</t>
  </si>
  <si>
    <t xml:space="preserve">Station specific overrides</t>
  </si>
  <si>
    <t xml:space="preserve">carrier|from-to</t>
  </si>
  <si>
    <t xml:space="preserve">Charter number blocks</t>
  </si>
  <si>
    <t xml:space="preserve">carrier|number</t>
  </si>
  <si>
    <t xml:space="preserve">Named charter series</t>
  </si>
  <si>
    <t xml:space="preserve">registration + valid_from/to</t>
  </si>
  <si>
    <t xml:space="preserve">Wet and damp lease in or out</t>
  </si>
  <si>
    <t xml:space="preserve">Subcharter and genuine one offs</t>
  </si>
  <si>
    <t xml:space="preserve">DERIVED PROCESSING MODE  -  buys_fuel determines whether an order and ticket exist. bears_cost determines allocation and recharge direction</t>
  </si>
  <si>
    <t xml:space="preserve">Order</t>
  </si>
  <si>
    <t xml:space="preserve">Ticket</t>
  </si>
  <si>
    <t xml:space="preserve">Supplier invoice</t>
  </si>
  <si>
    <t xml:space="preserve">Counterparty invoice</t>
  </si>
  <si>
    <t xml:space="preserve">Recharge document</t>
  </si>
  <si>
    <t xml:space="preserve">Yes</t>
  </si>
  <si>
    <t xml:space="preserve">No</t>
  </si>
  <si>
    <t xml:space="preserve">RECHARGE_OUT</t>
  </si>
  <si>
    <t xml:space="preserve">Outbound to counterparty</t>
  </si>
  <si>
    <t xml:space="preserve">RECHARGE_IN</t>
  </si>
  <si>
    <t xml:space="preserve">Inbound from counterparty</t>
  </si>
  <si>
    <t xml:space="preserve">MANDATORY IMPLEMENTATION CRITERIA  -  prerequisites, not design options.  A source unable to meet one of these is an impediment to escalate</t>
  </si>
  <si>
    <t xml:space="preserve">Criterion</t>
  </si>
  <si>
    <t xml:space="preserve">Area</t>
  </si>
  <si>
    <t xml:space="preserve">Requirement</t>
  </si>
  <si>
    <t xml:space="preserve">Rationale</t>
  </si>
  <si>
    <t xml:space="preserve">Workaround Exists</t>
  </si>
  <si>
    <t xml:space="preserve">Status</t>
  </si>
  <si>
    <t xml:space="preserve">MC-01</t>
  </si>
  <si>
    <t xml:space="preserve">Inbound interface</t>
  </si>
  <si>
    <t xml:space="preserve">Every inbound record carries a source change timestamp, distinct from receipt time</t>
  </si>
  <si>
    <t xml:space="preserve">Without a source side ordering token, out of order arrivals silently regress the target. Receipt time cannot substitute: queues reorder, retries replay, and a record received later may legitimately be older</t>
  </si>
  <si>
    <t xml:space="preserve">MANDATORY</t>
  </si>
  <si>
    <t xml:space="preserve">MC-01a</t>
  </si>
  <si>
    <t xml:space="preserve">In a snapshot run, each record carries that record's own last change time, not the snapshot generation time</t>
  </si>
  <si>
    <t xml:space="preserve">If every snapshot record is stamped with the run time, all snapshot records appear newer than all delta records. Stale detection fails and a stale snapshot overwrites fresher intraday data</t>
  </si>
  <si>
    <t xml:space="preserve">MC-02</t>
  </si>
  <si>
    <t xml:space="preserve">Every inbound record carries a stable source record key</t>
  </si>
  <si>
    <t xml:space="preserve">Identity must resolve independently of content validation, so a failing record still knows which leg it concerns</t>
  </si>
  <si>
    <t xml:space="preserve">MC-03</t>
  </si>
  <si>
    <t xml:space="preserve">The feed pattern is declared and does not change without notice</t>
  </si>
  <si>
    <t xml:space="preserve">Apply logic differs fundamentally between delta and snapshot</t>
  </si>
  <si>
    <t xml:space="preserve">MC-04</t>
  </si>
  <si>
    <t xml:space="preserve">Where a full snapshot is used, the rolling window is declared</t>
  </si>
  <si>
    <t xml:space="preserve">Absence outside a declared window cannot be interpreted as cancellation</t>
  </si>
  <si>
    <t xml:space="preserve">MC-05</t>
  </si>
  <si>
    <t xml:space="preserve">Cancellations are transmitted as explicit full records on both streams</t>
  </si>
  <si>
    <t xml:space="preserve">Removes absence inference entirely. The single change that most simplifies snapshot handling</t>
  </si>
  <si>
    <t xml:space="preserve">MC-06</t>
  </si>
  <si>
    <t xml:space="preserve">Delta stream records carry a sequence number permitting gap detection</t>
  </si>
  <si>
    <t xml:space="preserve">Delta failure is otherwise silent and permanent. Applies to the delta stream only; snapshot runs are self baselining</t>
  </si>
  <si>
    <t xml:space="preserve">MC-06a</t>
  </si>
  <si>
    <t xml:space="preserve">Critical field changes are transmitted as explicit full records, never inferred</t>
  </si>
  <si>
    <t xml:space="preserve">Ensures a gating change is never missed between snapshot runs</t>
  </si>
  <si>
    <t xml:space="preserve">MC-07</t>
  </si>
  <si>
    <t xml:space="preserve">All timestamps are UTC with an explicit offset</t>
  </si>
  <si>
    <t xml:space="preserve">Local time is ambiguous across DST boundaries</t>
  </si>
  <si>
    <t xml:space="preserve">MC-08</t>
  </si>
  <si>
    <t xml:space="preserve">Snapshot control</t>
  </si>
  <si>
    <t xml:space="preserve">Completeness check on every snapshot run before absences are evaluated</t>
  </si>
  <si>
    <t xml:space="preserve">Defence in depth. Relaxed to advisory because MC-05 makes cancellation explicit, so absence never implies cancellation</t>
  </si>
  <si>
    <t xml:space="preserve">MC-05 covers</t>
  </si>
  <si>
    <t xml:space="preserve">ADVISORY</t>
  </si>
  <si>
    <t xml:space="preserve">MC-09</t>
  </si>
  <si>
    <t xml:space="preserve">Absence inside the declared window raises a divergence exception, never an automatic cancellation</t>
  </si>
  <si>
    <t xml:space="preserve">Absence has too many benign explanations once cancellation is explicit</t>
  </si>
  <si>
    <t xml:space="preserve">MC-09a</t>
  </si>
  <si>
    <t xml:space="preserve">A snapshot value differing from the applied value with no delta to explain it raises a divergence exception</t>
  </si>
  <si>
    <t xml:space="preserve">A silently corrected drift teaches nothing. Divergence count is the health metric for the intraday feed</t>
  </si>
  <si>
    <t xml:space="preserve">MC-09b</t>
  </si>
  <si>
    <t xml:space="preserve">Processing order</t>
  </si>
  <si>
    <t xml:space="preserve">The staleness check runs before change type is acted on</t>
  </si>
  <si>
    <t xml:space="preserve">A snapshot generated before an unapplied delta matches the target and differs from the latest staging record, the exact signature of a reversal. Staleness must win</t>
  </si>
  <si>
    <t xml:space="preserve">MC-10</t>
  </si>
  <si>
    <t xml:space="preserve">Parameter framework</t>
  </si>
  <si>
    <t xml:space="preserve">Parameters resolve as of the transaction date, never the query date</t>
  </si>
  <si>
    <t xml:space="preserve">Otherwise historical exception reports rewrite themselves whenever a threshold is retuned</t>
  </si>
  <si>
    <t xml:space="preserve">MC-11</t>
  </si>
  <si>
    <t xml:space="preserve">Data integrity</t>
  </si>
  <si>
    <t xml:space="preserve">Derived totals are summed from children and never stored as keyed values</t>
  </si>
  <si>
    <t xml:space="preserve">A stored scalar is overwritten or dropped when a second child arrives</t>
  </si>
  <si>
    <t xml:space="preserve">MC-12</t>
  </si>
  <si>
    <t xml:space="preserve">A fuel ticket is accepted at ingestion even with no order, no plan and no leg</t>
  </si>
  <si>
    <t xml:space="preserve">Rejecting moves real billable fuel outside the system</t>
  </si>
  <si>
    <t xml:space="preserve">MC-13</t>
  </si>
  <si>
    <t xml:space="preserve">AI</t>
  </si>
  <si>
    <t xml:space="preserve">All AI features function as optional augmentation; every screen works fully with AI disabled</t>
  </si>
  <si>
    <t xml:space="preserve">A finance process must not depend on an external service being available</t>
  </si>
  <si>
    <t xml:space="preserve">MC-14</t>
  </si>
  <si>
    <t xml:space="preserve">AI credentials held by reference only, never as stored values</t>
  </si>
  <si>
    <t xml:space="preserve">Security baseline</t>
  </si>
  <si>
    <t xml:space="preserve">MC-15</t>
  </si>
  <si>
    <t xml:space="preserve">AI never triggers a posting or repost unattended</t>
  </si>
  <si>
    <t xml:space="preserve">Automated action against a finance system on AI output is an unacceptable risk class</t>
  </si>
  <si>
    <t xml:space="preserve">IF_FD_FUEL_PLAN_STG  -  dispatch sends the CURRENT plan only. Version gaps are flagged and applied, never held: the missing versions will never arrive</t>
  </si>
  <si>
    <t xml:space="preserve">m_ofp_reference</t>
  </si>
  <si>
    <t xml:space="preserve">m_plan_version</t>
  </si>
  <si>
    <t xml:space="preserve">m_block_fuel</t>
  </si>
  <si>
    <t xml:space="preserve">m_fuel_on_board</t>
  </si>
  <si>
    <t xml:space="preserve">m_change_reason</t>
  </si>
  <si>
    <t xml:space="preserve">prior_applied_version</t>
  </si>
  <si>
    <t xml:space="preserve">version_gap</t>
  </si>
  <si>
    <t xml:space="preserve">versions_skipped</t>
  </si>
  <si>
    <t xml:space="preserve">blocking_ref</t>
  </si>
  <si>
    <t xml:space="preserve">PSG-0001</t>
  </si>
  <si>
    <t xml:space="preserve">RUN-201</t>
  </si>
  <si>
    <t xml:space="preserve">PR126-14AUG-1-V1</t>
  </si>
  <si>
    <t xml:space="preserve">2026-08-14T02:16Z</t>
  </si>
  <si>
    <t xml:space="preserve">LEG-26081401|1</t>
  </si>
  <si>
    <t xml:space="preserve">P-A1</t>
  </si>
  <si>
    <t xml:space="preserve">First plan for the leg. No prior version, no gap possible</t>
  </si>
  <si>
    <t xml:space="preserve">PSG-0002</t>
  </si>
  <si>
    <t xml:space="preserve">RUN-205</t>
  </si>
  <si>
    <t xml:space="preserve">PR128-14AUG-1-V2</t>
  </si>
  <si>
    <t xml:space="preserve">2026-08-14T08:07Z</t>
  </si>
  <si>
    <t xml:space="preserve">LEG-26081402|2</t>
  </si>
  <si>
    <t xml:space="preserve">P-B2</t>
  </si>
  <si>
    <t xml:space="preserve">Consecutive version. Normal apply</t>
  </si>
  <si>
    <t xml:space="preserve">PSG-0003</t>
  </si>
  <si>
    <t xml:space="preserve">RUN-212</t>
  </si>
  <si>
    <t xml:space="preserve">PR130-14AUG-1-V5</t>
  </si>
  <si>
    <t xml:space="preserve">2026-08-14T13:24Z</t>
  </si>
  <si>
    <t xml:space="preserve">LEG-26081403|5</t>
  </si>
  <si>
    <t xml:space="preserve">PR130/14AUG/05</t>
  </si>
  <si>
    <t xml:space="preserve">P-C5</t>
  </si>
  <si>
    <t xml:space="preserve">APPLIED_WITH_GAP</t>
  </si>
  <si>
    <t xml:space="preserve">PLAN_VERSION_GAP</t>
  </si>
  <si>
    <t xml:space="preserve">Latest only feed. v3 and v4 never transmitted and never will be. Applied and flagged</t>
  </si>
  <si>
    <t xml:space="preserve">PSG-0004</t>
  </si>
  <si>
    <t xml:space="preserve">RUN-218</t>
  </si>
  <si>
    <t xml:space="preserve">IGNORED_DUPLICATE</t>
  </si>
  <si>
    <t xml:space="preserve">Same version resent. Already applied, no action</t>
  </si>
  <si>
    <t xml:space="preserve">PSG-0005</t>
  </si>
  <si>
    <t xml:space="preserve">RUN-222</t>
  </si>
  <si>
    <t xml:space="preserve">PR190-25AUG-1-V1</t>
  </si>
  <si>
    <t xml:space="preserve">2026-08-25T01:00Z</t>
  </si>
  <si>
    <t xml:space="preserve">2026-08-25T01:02Z</t>
  </si>
  <si>
    <t xml:space="preserve">LEG-26082501|1</t>
  </si>
  <si>
    <t xml:space="preserve">PR190/25AUG/01</t>
  </si>
  <si>
    <t xml:space="preserve">RP-C4150</t>
  </si>
  <si>
    <t xml:space="preserve">P-D1</t>
  </si>
  <si>
    <t xml:space="preserve">HELD_AWAITING_LEG</t>
  </si>
  <si>
    <t xml:space="preserve">LEG_NOT_FOUND</t>
  </si>
  <si>
    <t xml:space="preserve">Plan ahead of the flight operations feed. Not an error; resolves itself when the leg lands</t>
  </si>
  <si>
    <t xml:space="preserve">PSG-0006</t>
  </si>
  <si>
    <t xml:space="preserve">RUN-226</t>
  </si>
  <si>
    <t xml:space="preserve">PR132-14AUG-1-V2</t>
  </si>
  <si>
    <t xml:space="preserve">2026-08-15T02:30Z</t>
  </si>
  <si>
    <t xml:space="preserve">2026-08-15T02:32Z</t>
  </si>
  <si>
    <t xml:space="preserve">LEG-26081404|2</t>
  </si>
  <si>
    <t xml:space="preserve">P-E2</t>
  </si>
  <si>
    <t xml:space="preserve">HELD_STALE_LEG</t>
  </si>
  <si>
    <t xml:space="preserve">LEG_STALE_PENDING_TAIL</t>
  </si>
  <si>
    <t xml:space="preserve">Plan carries the new tail; the leg still holds the old one. Blocking staging record named</t>
  </si>
  <si>
    <t xml:space="preserve">PSG-0007</t>
  </si>
  <si>
    <t xml:space="preserve">RUN-230</t>
  </si>
  <si>
    <t xml:space="preserve">PR130-14AUG-1-V4</t>
  </si>
  <si>
    <t xml:space="preserve">2026-08-14T12:50Z</t>
  </si>
  <si>
    <t xml:space="preserve">2026-08-14T15:10Z</t>
  </si>
  <si>
    <t xml:space="preserve">LEG-26081403|4</t>
  </si>
  <si>
    <t xml:space="preserve">PR130/14AUG/04</t>
  </si>
  <si>
    <t xml:space="preserve">P-C4</t>
  </si>
  <si>
    <t xml:space="preserve">Lower version arriving after a higher one is applied. Never regress</t>
  </si>
  <si>
    <t xml:space="preserve">PSG-0008</t>
  </si>
  <si>
    <t xml:space="preserve">RUN-234</t>
  </si>
  <si>
    <t xml:space="preserve">PR152-18AUG-1-V1</t>
  </si>
  <si>
    <t xml:space="preserve">2026-08-18T02:16Z</t>
  </si>
  <si>
    <t xml:space="preserve">LEG-26081417|1</t>
  </si>
  <si>
    <t xml:space="preserve">P-F1</t>
  </si>
  <si>
    <t xml:space="preserve">BLOCK_FUEL_MISMATCH</t>
  </si>
  <si>
    <t xml:space="preserve">block_fuel does not equal the sum of components. Genuine validation failure</t>
  </si>
  <si>
    <t xml:space="preserve">PSG-0009</t>
  </si>
  <si>
    <t xml:space="preserve">RUN-240</t>
  </si>
  <si>
    <t xml:space="preserve">PR154-18AUG-1-V3</t>
  </si>
  <si>
    <t xml:space="preserve">2026-08-18T09:40Z</t>
  </si>
  <si>
    <t xml:space="preserve">2026-08-18T09:42Z</t>
  </si>
  <si>
    <t xml:space="preserve">LEG-26081418|3</t>
  </si>
  <si>
    <t xml:space="preserve">PR154/18AUG/03</t>
  </si>
  <si>
    <t xml:space="preserve">P-G3</t>
  </si>
  <si>
    <t xml:space="preserve">Uplift occurred while v2 was active. Ticket cannot bind to a version never received</t>
  </si>
  <si>
    <t xml:space="preserve">RECORD STATUS  -  HELD is not ERROR. Held records resolve themselves when the blocking condition clears and belong in a separate queue</t>
  </si>
  <si>
    <t xml:space="preserve">Actionable</t>
  </si>
  <si>
    <t xml:space="preserve">Queue</t>
  </si>
  <si>
    <t xml:space="preserve">Meaning</t>
  </si>
  <si>
    <t xml:space="preserve">Plan version inserted as a new row</t>
  </si>
  <si>
    <t xml:space="preserve">Health metric</t>
  </si>
  <si>
    <t xml:space="preserve">Applied, but one or more versions were never transmitted</t>
  </si>
  <si>
    <t xml:space="preserve">No, until aged</t>
  </si>
  <si>
    <t xml:space="preserve">Held queue</t>
  </si>
  <si>
    <t xml:space="preserve">Plan arrived before its flight leg. Retries automatically</t>
  </si>
  <si>
    <t xml:space="preserve">Leg has an unapplied critical change. Fix the leg first</t>
  </si>
  <si>
    <t xml:space="preserve">Error worklist</t>
  </si>
  <si>
    <t xml:space="preserve">Genuine validation failure in the record itself</t>
  </si>
  <si>
    <t xml:space="preserve">History</t>
  </si>
  <si>
    <t xml:space="preserve">Failed, but a newer record for the key exists</t>
  </si>
  <si>
    <t xml:space="preserve">This version is already applied</t>
  </si>
  <si>
    <t xml:space="preserve">Lower version arriving after a higher one is applied</t>
  </si>
  <si>
    <t xml:space="preserve">AIRCRAFT_TYPE_MASTER  -  the aircraft. AIRCRAFT_TYPE is a parameter scope level, so it is an FK, never free text on the tail</t>
  </si>
  <si>
    <t xml:space="preserve">iata_type_code</t>
  </si>
  <si>
    <t xml:space="preserve">manufacturer_type</t>
  </si>
  <si>
    <t xml:space="preserve">manufacturer</t>
  </si>
  <si>
    <t xml:space="preserve">family</t>
  </si>
  <si>
    <t xml:space="preserve">body_type</t>
  </si>
  <si>
    <t xml:space="preserve">engine_type</t>
  </si>
  <si>
    <t xml:space="preserve">default_max_usable_fuel_kg</t>
  </si>
  <si>
    <t xml:space="preserve">default_performance_factor_pct</t>
  </si>
  <si>
    <t xml:space="preserve">default_apu_burn_kg_hr</t>
  </si>
  <si>
    <t xml:space="preserve">default_fqis_accuracy_pct</t>
  </si>
  <si>
    <t xml:space="preserve">etops_certified_minutes</t>
  </si>
  <si>
    <t xml:space="preserve">apu_reporting_available</t>
  </si>
  <si>
    <t xml:space="preserve">apu_minutes_default_source</t>
  </si>
  <si>
    <t xml:space="preserve">ATM-001</t>
  </si>
  <si>
    <t xml:space="preserve">32Q</t>
  </si>
  <si>
    <t xml:space="preserve">Airbus</t>
  </si>
  <si>
    <t xml:space="preserve">NB</t>
  </si>
  <si>
    <t xml:space="preserve">A321NEO</t>
  </si>
  <si>
    <t xml:space="preserve">PW1133G</t>
  </si>
  <si>
    <t xml:space="preserve">ACARS_EVENT</t>
  </si>
  <si>
    <t xml:space="preserve">AMI includes an APU report. Automated capture available</t>
  </si>
  <si>
    <t xml:space="preserve">ATM-002</t>
  </si>
  <si>
    <t xml:space="preserve">A321-253NX</t>
  </si>
  <si>
    <t xml:space="preserve">LEAP-1A33</t>
  </si>
  <si>
    <t xml:space="preserve">Same ICAO code, different engine, different burn</t>
  </si>
  <si>
    <t xml:space="preserve">ATM-003</t>
  </si>
  <si>
    <t xml:space="preserve">A320-214</t>
  </si>
  <si>
    <t xml:space="preserve">A320CEO</t>
  </si>
  <si>
    <t xml:space="preserve">CFM56-5B4</t>
  </si>
  <si>
    <t xml:space="preserve">GROUND_TIME_EST</t>
  </si>
  <si>
    <t xml:space="preserve">2023-01-10T00:00Z</t>
  </si>
  <si>
    <t xml:space="preserve">Older fleet. AMI has no APU report. Estimation is the default, not the exception</t>
  </si>
  <si>
    <t xml:space="preserve">ATM-004</t>
  </si>
  <si>
    <t xml:space="preserve">359</t>
  </si>
  <si>
    <t xml:space="preserve">A350</t>
  </si>
  <si>
    <t xml:space="preserve">WB</t>
  </si>
  <si>
    <t xml:space="preserve">Trent XWB-84</t>
  </si>
  <si>
    <t xml:space="preserve">Jettison capable, ETOPS 180</t>
  </si>
  <si>
    <t xml:space="preserve">ATM-005</t>
  </si>
  <si>
    <t xml:space="preserve">UNKNOWN</t>
  </si>
  <si>
    <t xml:space="preserve">STG-0021</t>
  </si>
  <si>
    <t xml:space="preserve">Auto provisioned. APU capability unknown until confirmed</t>
  </si>
  <si>
    <t xml:space="preserve">AIRCRAFT_CONFIG_MASTER  -  how WE configured it. Hidden entirely when AIRCRAFT_CONFIG_GRANULARITY is NONE</t>
  </si>
  <si>
    <t xml:space="preserve">internal_config_code</t>
  </si>
  <si>
    <t xml:space="preserve">config_name</t>
  </si>
  <si>
    <t xml:space="preserve">seats_first</t>
  </si>
  <si>
    <t xml:space="preserve">seats_business</t>
  </si>
  <si>
    <t xml:space="preserve">seats_premium</t>
  </si>
  <si>
    <t xml:space="preserve">seats_economy</t>
  </si>
  <si>
    <t xml:space="preserve">total_seats</t>
  </si>
  <si>
    <t xml:space="preserve">galley_fit</t>
  </si>
  <si>
    <t xml:space="preserve">crew_complement</t>
  </si>
  <si>
    <t xml:space="preserve">cabin_layout_ref</t>
  </si>
  <si>
    <t xml:space="preserve">CFG-001</t>
  </si>
  <si>
    <t xml:space="preserve">321N-J</t>
  </si>
  <si>
    <t xml:space="preserve">A321neo domestic</t>
  </si>
  <si>
    <t xml:space="preserve">STD-DOM</t>
  </si>
  <si>
    <t xml:space="preserve">6</t>
  </si>
  <si>
    <t xml:space="preserve">LOPA-321N-D</t>
  </si>
  <si>
    <t xml:space="preserve">High density domestic fit</t>
  </si>
  <si>
    <t xml:space="preserve">CFG-002</t>
  </si>
  <si>
    <t xml:space="preserve">321N-I</t>
  </si>
  <si>
    <t xml:space="preserve">A321neo regional international</t>
  </si>
  <si>
    <t xml:space="preserve">FULL-INT</t>
  </si>
  <si>
    <t xml:space="preserve">7</t>
  </si>
  <si>
    <t xml:space="preserve">LOPA-321N-I</t>
  </si>
  <si>
    <t xml:space="preserve">Same type and same ICAO code, 1300 kg heavier DOW</t>
  </si>
  <si>
    <t xml:space="preserve">CFG-003</t>
  </si>
  <si>
    <t xml:space="preserve">320-J</t>
  </si>
  <si>
    <t xml:space="preserve">A320 domestic</t>
  </si>
  <si>
    <t xml:space="preserve">5</t>
  </si>
  <si>
    <t xml:space="preserve">LOPA-320-D</t>
  </si>
  <si>
    <t xml:space="preserve">CFG-004</t>
  </si>
  <si>
    <t xml:space="preserve">350-I</t>
  </si>
  <si>
    <t xml:space="preserve">A350 long haul</t>
  </si>
  <si>
    <t xml:space="preserve">FULL-LH</t>
  </si>
  <si>
    <t xml:space="preserve">12</t>
  </si>
  <si>
    <t xml:space="preserve">LOPA-350-LH</t>
  </si>
  <si>
    <t xml:space="preserve">AIRCRAFT_TYPE_ALIAS  -  inbound codes vary by airline and by feed. This is what removes per customer code changes</t>
  </si>
  <si>
    <t xml:space="preserve">alias_id</t>
  </si>
  <si>
    <t xml:space="preserve">code_scheme</t>
  </si>
  <si>
    <t xml:space="preserve">alias_code</t>
  </si>
  <si>
    <t xml:space="preserve">is_primary</t>
  </si>
  <si>
    <t xml:space="preserve">ALS-001</t>
  </si>
  <si>
    <t xml:space="preserve">IATA</t>
  </si>
  <si>
    <t xml:space="preserve">Schedule feed sends the IATA code</t>
  </si>
  <si>
    <t xml:space="preserve">ALS-002</t>
  </si>
  <si>
    <t xml:space="preserve">DISPATCH</t>
  </si>
  <si>
    <t xml:space="preserve">ICAO</t>
  </si>
  <si>
    <t xml:space="preserve">Dispatch sends ICAO</t>
  </si>
  <si>
    <t xml:space="preserve">ALS-003</t>
  </si>
  <si>
    <t xml:space="preserve">MANUFACTURER</t>
  </si>
  <si>
    <t xml:space="preserve">OFP header carries the exact variant</t>
  </si>
  <si>
    <t xml:space="preserve">ALS-004</t>
  </si>
  <si>
    <t xml:space="preserve">SAP</t>
  </si>
  <si>
    <t xml:space="preserve">INTERNAL</t>
  </si>
  <si>
    <t xml:space="preserve">SAP material or asset grouping</t>
  </si>
  <si>
    <t xml:space="preserve">ALS-005</t>
  </si>
  <si>
    <t xml:space="preserve">IATA code is AMBIGUOUS - shared with ATM-001. Never resolve on IATA alone</t>
  </si>
  <si>
    <t xml:space="preserve">ALS-006</t>
  </si>
  <si>
    <t xml:space="preserve">Only the manufacturer code separates the two engine variants</t>
  </si>
  <si>
    <t xml:space="preserve">ALS-007</t>
  </si>
  <si>
    <t xml:space="preserve">ALS-008</t>
  </si>
  <si>
    <t xml:space="preserve">ALS-009</t>
  </si>
  <si>
    <t xml:space="preserve">FREE_TEXT</t>
  </si>
  <si>
    <t xml:space="preserve">A320 CEO</t>
  </si>
  <si>
    <t xml:space="preserve">Legacy feed sends free text with a space</t>
  </si>
  <si>
    <t xml:space="preserve">PRODUCT CONFIGURABILITY  -  normalised where it protects correctness, flat looking wherever the user touches it</t>
  </si>
  <si>
    <t xml:space="preserve">Concern</t>
  </si>
  <si>
    <t xml:space="preserve">Mechanism</t>
  </si>
  <si>
    <t xml:space="preserve">Setup burden</t>
  </si>
  <si>
    <t xml:space="preserve">Auto provision unknown types as PROVISIONAL</t>
  </si>
  <si>
    <t xml:space="preserve">Nothing configured up front; rows appear and are enriched later</t>
  </si>
  <si>
    <t xml:space="preserve">Airlines without multiple cabin fits</t>
  </si>
  <si>
    <t xml:space="preserve">Parameter AIRCRAFT_CONFIG_GRANULARITY = NONE</t>
  </si>
  <si>
    <t xml:space="preserve">Config table invisible; DOW sits on the tail</t>
  </si>
  <si>
    <t xml:space="preserve">Airlines with multiple cabin fits</t>
  </si>
  <si>
    <t xml:space="preserve">Parameter AIRCRAFT_CONFIG_GRANULARITY = BY_CONFIG</t>
  </si>
  <si>
    <t xml:space="preserve">Full structure available</t>
  </si>
  <si>
    <t xml:space="preserve">Different inbound code schemes</t>
  </si>
  <si>
    <t xml:space="preserve">One customer sends 32Q, another A21N, another A321NEO. All resolve</t>
  </si>
  <si>
    <t xml:space="preserve">Different vocabularies on screen</t>
  </si>
  <si>
    <t xml:space="preserve">Parameter PRIMARY_TYPE_CODE_SCHEME</t>
  </si>
  <si>
    <t xml:space="preserve">Each customer sees their own code. UI and reporting only</t>
  </si>
  <si>
    <t xml:space="preserve">Type looks like an attribute</t>
  </si>
  <si>
    <t xml:space="preserve">Read through on the tail screen</t>
  </si>
  <si>
    <t xml:space="preserve">Four codes shown inline; storage stays normalised</t>
  </si>
  <si>
    <t xml:space="preserve">FUEL_BURN_ACTUAL  -  burn is DERIVED from four gauge points, never measured. One primary row per leg; lower priority sources retained</t>
  </si>
  <si>
    <t xml:space="preserve">burn_id</t>
  </si>
  <si>
    <t xml:space="preserve">burn_source</t>
  </si>
  <si>
    <t xml:space="preserve">source_priority</t>
  </si>
  <si>
    <t xml:space="preserve">fob_offblocks_kg</t>
  </si>
  <si>
    <t xml:space="preserve">fob_takeoff_kg</t>
  </si>
  <si>
    <t xml:space="preserve">fob_touchdown_kg</t>
  </si>
  <si>
    <t xml:space="preserve">fob_onblocks_kg</t>
  </si>
  <si>
    <t xml:space="preserve">block_burn_kg</t>
  </si>
  <si>
    <t xml:space="preserve">trip_burn_kg</t>
  </si>
  <si>
    <t xml:space="preserve">taxi_out_burn_kg</t>
  </si>
  <si>
    <t xml:space="preserve">taxi_in_burn_kg</t>
  </si>
  <si>
    <t xml:space="preserve">apu_burn_kg</t>
  </si>
  <si>
    <t xml:space="preserve">engine_burn_kg</t>
  </si>
  <si>
    <t xml:space="preserve">planned_trip_burn_kg</t>
  </si>
  <si>
    <t xml:space="preserve">burn_variance_kg</t>
  </si>
  <si>
    <t xml:space="preserve">burn_variance_pct</t>
  </si>
  <si>
    <t xml:space="preserve">burn_confidence</t>
  </si>
  <si>
    <t xml:space="preserve">data_completeness</t>
  </si>
  <si>
    <t xml:space="preserve">reported_utc</t>
  </si>
  <si>
    <t xml:space="preserve">BRN-0001</t>
  </si>
  <si>
    <t xml:space="preserve">ACARS</t>
  </si>
  <si>
    <t xml:space="preserve">2026-08-14T09:55Z</t>
  </si>
  <si>
    <t xml:space="preserve">Full four point capture from ACARS</t>
  </si>
  <si>
    <t xml:space="preserve">BRN-0002</t>
  </si>
  <si>
    <t xml:space="preserve">FQIS_MANUAL</t>
  </si>
  <si>
    <t xml:space="preserve">2026-08-14T10:10Z</t>
  </si>
  <si>
    <t xml:space="preserve">Crew reported. Retained as secondary, not primary</t>
  </si>
  <si>
    <t xml:space="preserve">BRN-0003</t>
  </si>
  <si>
    <t xml:space="preserve">2026-08-15T01:38Z</t>
  </si>
  <si>
    <t xml:space="preserve">Long haul, widebody</t>
  </si>
  <si>
    <t xml:space="preserve">BRN-0004</t>
  </si>
  <si>
    <t xml:space="preserve">2026-08-14T14:50Z</t>
  </si>
  <si>
    <t xml:space="preserve">Only block figures reported. Trip and taxi split not derivable</t>
  </si>
  <si>
    <t xml:space="preserve">BRN-0005</t>
  </si>
  <si>
    <t xml:space="preserve">DERIVED_CHAIN</t>
  </si>
  <si>
    <t xml:space="preserve">LOW</t>
  </si>
  <si>
    <t xml:space="preserve">2026-08-14T18:50Z</t>
  </si>
  <si>
    <t xml:space="preserve">No gauge reading. Derived from uplift chain across the rotation</t>
  </si>
  <si>
    <t xml:space="preserve">BRN-0006</t>
  </si>
  <si>
    <t xml:space="preserve">2026-08-16T14:50Z</t>
  </si>
  <si>
    <t xml:space="preserve">Nothing reported. Plan multiplied by historical factor. Excluded from variance statistics</t>
  </si>
  <si>
    <t xml:space="preserve">BRN-0007</t>
  </si>
  <si>
    <t xml:space="preserve">2026-08-15T15:10Z</t>
  </si>
  <si>
    <t xml:space="preserve">Air return with jettison. Burn excludes the jettisoned quantity</t>
  </si>
  <si>
    <t xml:space="preserve">DERIVATION  -  burn is the difference between gauge readings. APU burn is never metered; it is minutes multiplied by rate</t>
  </si>
  <si>
    <t xml:space="preserve">Quantity</t>
  </si>
  <si>
    <t xml:space="preserve">Formula</t>
  </si>
  <si>
    <t xml:space="preserve">Note</t>
  </si>
  <si>
    <t xml:space="preserve">Block burn</t>
  </si>
  <si>
    <t xml:space="preserve">FOB off-blocks minus FOB on-blocks</t>
  </si>
  <si>
    <t xml:space="preserve">Total consumed gate to gate. Includes APU</t>
  </si>
  <si>
    <t xml:space="preserve">Trip burn</t>
  </si>
  <si>
    <t xml:space="preserve">FOB takeoff minus FOB touchdown</t>
  </si>
  <si>
    <t xml:space="preserve">Compared against planned trip fuel</t>
  </si>
  <si>
    <t xml:space="preserve">Taxi out burn</t>
  </si>
  <si>
    <t xml:space="preserve">FOB off-blocks minus FOB takeoff</t>
  </si>
  <si>
    <t xml:space="preserve">Includes APU running before departure</t>
  </si>
  <si>
    <t xml:space="preserve">Taxi in burn</t>
  </si>
  <si>
    <t xml:space="preserve">FOB touchdown minus FOB on-blocks</t>
  </si>
  <si>
    <t xml:space="preserve">Includes APU after arrival</t>
  </si>
  <si>
    <t xml:space="preserve">APU burn</t>
  </si>
  <si>
    <t xml:space="preserve">Running minutes divided by 60, times burn rate</t>
  </si>
  <si>
    <t xml:space="preserve">Derived from APU_USAGE. No meter exists</t>
  </si>
  <si>
    <t xml:space="preserve">Engine burn</t>
  </si>
  <si>
    <t xml:space="preserve">Block burn minus APU burn</t>
  </si>
  <si>
    <t xml:space="preserve">The separation that fuel efficiency reporting needs</t>
  </si>
  <si>
    <t xml:space="preserve">APU_USAGE  -  ONE ROW PER CYCLE, not per phase. Full UTC timestamps so overnight cycles compute. APU fuel is never metered</t>
  </si>
  <si>
    <t xml:space="preserve">apu_cycle_id</t>
  </si>
  <si>
    <t xml:space="preserve">turn_id</t>
  </si>
  <si>
    <t xml:space="preserve">cycle_seq</t>
  </si>
  <si>
    <t xml:space="preserve">usage_phase</t>
  </si>
  <si>
    <t xml:space="preserve">apu_start_utc</t>
  </si>
  <si>
    <t xml:space="preserve">apu_stop_utc</t>
  </si>
  <si>
    <t xml:space="preserve">cycle_open_flag</t>
  </si>
  <si>
    <t xml:space="preserve">running_minutes_derived</t>
  </si>
  <si>
    <t xml:space="preserve">running_minutes_reported</t>
  </si>
  <si>
    <t xml:space="preserve">running_minutes</t>
  </si>
  <si>
    <t xml:space="preserve">minutes_source</t>
  </si>
  <si>
    <t xml:space="preserve">burn_rate_kg_hr</t>
  </si>
  <si>
    <t xml:space="preserve">stand_id</t>
  </si>
  <si>
    <t xml:space="preserve">stand_type</t>
  </si>
  <si>
    <t xml:space="preserve">gpu_available</t>
  </si>
  <si>
    <t xml:space="preserve">gpu_source</t>
  </si>
  <si>
    <t xml:space="preserve">gpu_used</t>
  </si>
  <si>
    <t xml:space="preserve">avoidable_minutes</t>
  </si>
  <si>
    <t xml:space="preserve">avoidable_burn_kg</t>
  </si>
  <si>
    <t xml:space="preserve">avoidable_confidence</t>
  </si>
  <si>
    <t xml:space="preserve">APU-1001</t>
  </si>
  <si>
    <t xml:space="preserve">TRN-4108-01</t>
  </si>
  <si>
    <t xml:space="preserve">POST_ARRIVAL</t>
  </si>
  <si>
    <t xml:space="preserve">HANDLER</t>
  </si>
  <si>
    <t xml:space="preserve">Prior leg arrival. GPU connected promptly</t>
  </si>
  <si>
    <t xml:space="preserve">APU-1002</t>
  </si>
  <si>
    <t xml:space="preserve">PRE_DEPARTURE</t>
  </si>
  <si>
    <t xml:space="preserve">First pre departure cycle. GPU available, unused</t>
  </si>
  <si>
    <t xml:space="preserve">APU-1003</t>
  </si>
  <si>
    <t xml:space="preserve">Second cycle same phase. One row per phase would have lost this</t>
  </si>
  <si>
    <t xml:space="preserve">APU-1004</t>
  </si>
  <si>
    <t xml:space="preserve">TRN-3505-01</t>
  </si>
  <si>
    <t xml:space="preserve">R41</t>
  </si>
  <si>
    <t xml:space="preserve">STAND_TYPE</t>
  </si>
  <si>
    <t xml:space="preserve">Remote stand. GPU absence inferred from stand type, not reported</t>
  </si>
  <si>
    <t xml:space="preserve">APU-1005</t>
  </si>
  <si>
    <t xml:space="preserve">TRN-4112-01</t>
  </si>
  <si>
    <t xml:space="preserve">No APU events and no GPU data. Avoidable is NULL, not zero</t>
  </si>
  <si>
    <t xml:space="preserve">APU-1006</t>
  </si>
  <si>
    <t xml:space="preserve">TRN-4110-01</t>
  </si>
  <si>
    <t xml:space="preserve">OVERNIGHT</t>
  </si>
  <si>
    <t xml:space="preserve">S08</t>
  </si>
  <si>
    <t xml:space="preserve">Crosses midnight. Bare times would have computed 87 minutes instead of 447</t>
  </si>
  <si>
    <t xml:space="preserve">APU-1007</t>
  </si>
  <si>
    <t xml:space="preserve">TRN-4122-01</t>
  </si>
  <si>
    <t xml:space="preserve">S15</t>
  </si>
  <si>
    <t xml:space="preserve">Open cycle, no stop event received. Capped and flagged, never computed</t>
  </si>
  <si>
    <t xml:space="preserve">APU-1008</t>
  </si>
  <si>
    <t xml:space="preserve">TRN-4128-01</t>
  </si>
  <si>
    <t xml:space="preserve">Stop before start. Clock skew or event reordering. Rejected, never negative</t>
  </si>
  <si>
    <t xml:space="preserve">GPU SOURCE HIERARCHY  -  null avoidable and zero avoidable mean OPPOSITE things. Zero means we know it was not avoidable; null means we do not know</t>
  </si>
  <si>
    <t xml:space="preserve">Confidence</t>
  </si>
  <si>
    <t xml:space="preserve">Avoidable computed?</t>
  </si>
  <si>
    <t xml:space="preserve">Reported by the ground handling system or turnaround record</t>
  </si>
  <si>
    <t xml:space="preserve">BILLING</t>
  </si>
  <si>
    <t xml:space="preserve">Inferred from a charged GPU service line</t>
  </si>
  <si>
    <t xml:space="preserve">Inferred from contact versus remote stand</t>
  </si>
  <si>
    <t xml:space="preserve">Yes, qualified</t>
  </si>
  <si>
    <t xml:space="preserve">STATION</t>
  </si>
  <si>
    <t xml:space="preserve">Station level infrastructure flag only</t>
  </si>
  <si>
    <t xml:space="preserve">Yes, heavily qualified</t>
  </si>
  <si>
    <t xml:space="preserve">No data at any level</t>
  </si>
  <si>
    <t xml:space="preserve">NOT_COMPUTED</t>
  </si>
  <si>
    <t xml:space="preserve">No. Report total APU minutes only</t>
  </si>
  <si>
    <t xml:space="preserve">MINUTES DERIVATION  -  derived from timestamps wherever they exist. Only the manual path is keyed</t>
  </si>
  <si>
    <t xml:space="preserve">Priority</t>
  </si>
  <si>
    <t xml:space="preserve">Derivation</t>
  </si>
  <si>
    <t xml:space="preserve">stop minus start, in minutes</t>
  </si>
  <si>
    <t xml:space="preserve">Per cycle. The only true capture source</t>
  </si>
  <si>
    <t xml:space="preserve">APU_METER</t>
  </si>
  <si>
    <t xml:space="preserve">Delta between cumulative hour readings</t>
  </si>
  <si>
    <t xml:space="preserve">Reconciliation only. 0.1 hr resolution, read at maintenance intervals, no phase detail</t>
  </si>
  <si>
    <t xml:space="preserve">Ground time multiplied by a station factor</t>
  </si>
  <si>
    <t xml:space="preserve">Estimate. Confidence low</t>
  </si>
  <si>
    <t xml:space="preserve">Keyed by a user</t>
  </si>
  <si>
    <t xml:space="preserve">Fallback only</t>
  </si>
  <si>
    <t xml:space="preserve">FUEL_LEDGER  -  fuel on a tail must chain across the rotation. This is the only check that sees the GAPS between events</t>
  </si>
  <si>
    <t xml:space="preserve">ledger_id</t>
  </si>
  <si>
    <t xml:space="preserve">sequence_no</t>
  </si>
  <si>
    <t xml:space="preserve">event_utc</t>
  </si>
  <si>
    <t xml:space="preserve">reference_id</t>
  </si>
  <si>
    <t xml:space="preserve">fob_computed_kg</t>
  </si>
  <si>
    <t xml:space="preserve">fob_reported_kg</t>
  </si>
  <si>
    <t xml:space="preserve">closure_variance_kg</t>
  </si>
  <si>
    <t xml:space="preserve">closure_status</t>
  </si>
  <si>
    <t xml:space="preserve">LDG-0001</t>
  </si>
  <si>
    <t xml:space="preserve">2026-08-14T02:00Z</t>
  </si>
  <si>
    <t xml:space="preserve">OPENING</t>
  </si>
  <si>
    <t xml:space="preserve">Opening balance for the rotation</t>
  </si>
  <si>
    <t xml:space="preserve">LDG-0002</t>
  </si>
  <si>
    <t xml:space="preserve">2026-08-14T03:40Z</t>
  </si>
  <si>
    <t xml:space="preserve">Uplift matches the gauge</t>
  </si>
  <si>
    <t xml:space="preserve">LDG-0003</t>
  </si>
  <si>
    <t xml:space="preserve">2026-08-14T09:52Z</t>
  </si>
  <si>
    <t xml:space="preserve">BURN</t>
  </si>
  <si>
    <t xml:space="preserve">Block burn including APU</t>
  </si>
  <si>
    <t xml:space="preserve">LDG-0004</t>
  </si>
  <si>
    <t xml:space="preserve">2026-08-14T15:05Z</t>
  </si>
  <si>
    <t xml:space="preserve">Uplift to the original tail after a swap. Leg unlinked but ledger still chains</t>
  </si>
  <si>
    <t xml:space="preserve">LDG-0005</t>
  </si>
  <si>
    <t xml:space="preserve">2026-08-15T07:00Z</t>
  </si>
  <si>
    <t xml:space="preserve">LDG-0006</t>
  </si>
  <si>
    <t xml:space="preserve">2026-08-15T09:20Z</t>
  </si>
  <si>
    <t xml:space="preserve">LDG-0007</t>
  </si>
  <si>
    <t xml:space="preserve">2026-08-15T12:10Z</t>
  </si>
  <si>
    <t xml:space="preserve">Ramp return. Negative quantity chains correctly</t>
  </si>
  <si>
    <t xml:space="preserve">LDG-0008</t>
  </si>
  <si>
    <t xml:space="preserve">2026-08-18T08:00Z</t>
  </si>
  <si>
    <t xml:space="preserve">LDG-0009</t>
  </si>
  <si>
    <t xml:space="preserve">2026-08-18T09:10Z</t>
  </si>
  <si>
    <t xml:space="preserve">BROKEN CHAIN: gauge shows 600 kg less than computed. Uncaptured event or bad reading</t>
  </si>
  <si>
    <t xml:space="preserve">LDG-0010</t>
  </si>
  <si>
    <t xml:space="preserve">2026-08-16T04:00Z</t>
  </si>
  <si>
    <t xml:space="preserve">LDG-0011</t>
  </si>
  <si>
    <t xml:space="preserve">2026-08-16T05:48Z</t>
  </si>
  <si>
    <t xml:space="preserve">Unmatched verbal top up still enters the ledger and closes</t>
  </si>
  <si>
    <t xml:space="preserve">CENTRAL FUEL DASHBOARD  -  band 1 is control, bands 2 and 3 are analytics. The analytics are meaningless until band 1 is green</t>
  </si>
  <si>
    <t xml:space="preserve">Panel</t>
  </si>
  <si>
    <t xml:space="preserve">Band</t>
  </si>
  <si>
    <t xml:space="preserve">Metric</t>
  </si>
  <si>
    <t xml:space="preserve">Definition</t>
  </si>
  <si>
    <t xml:space="preserve">Source</t>
  </si>
  <si>
    <t xml:space="preserve">Grain</t>
  </si>
  <si>
    <t xml:space="preserve">Target / threshold</t>
  </si>
  <si>
    <t xml:space="preserve">Drill to</t>
  </si>
  <si>
    <t xml:space="preserve">Audience</t>
  </si>
  <si>
    <t xml:space="preserve">Data completeness</t>
  </si>
  <si>
    <t xml:space="preserve">1 Control</t>
  </si>
  <si>
    <t xml:space="preserve">Legs with a plan</t>
  </si>
  <si>
    <t xml:space="preserve">Legs with at least one applied FD_FUEL_PLAN, over expected legs</t>
  </si>
  <si>
    <t xml:space="preserve">FD_FUEL_PLAN, FLIGHT_OPERATIONS</t>
  </si>
  <si>
    <t xml:space="preserve">Day, station, fleet</t>
  </si>
  <si>
    <t xml:space="preserve">99%</t>
  </si>
  <si>
    <t xml:space="preserve">Uplift captured</t>
  </si>
  <si>
    <t xml:space="preserve">Legs with at least one ticket, over legs where processing mode expects one</t>
  </si>
  <si>
    <t xml:space="preserve">FUEL_TICKET, CARRIER_ARRANGEMENT</t>
  </si>
  <si>
    <t xml:space="preserve">Day, station</t>
  </si>
  <si>
    <t xml:space="preserve">Burn captured</t>
  </si>
  <si>
    <t xml:space="preserve">Legs with a primary burn row, over departed legs</t>
  </si>
  <si>
    <t xml:space="preserve">Day, fleet, tail</t>
  </si>
  <si>
    <t xml:space="preserve">95%</t>
  </si>
  <si>
    <t xml:space="preserve">Tickets matched</t>
  </si>
  <si>
    <t xml:space="preserve">Tickets with match_status MATCHED, over all tickets</t>
  </si>
  <si>
    <t xml:space="preserve">Day, supplier</t>
  </si>
  <si>
    <t xml:space="preserve">98%</t>
  </si>
  <si>
    <t xml:space="preserve">Invoices posted</t>
  </si>
  <si>
    <t xml:space="preserve">Invoices in POSTED, over invoices approved</t>
  </si>
  <si>
    <t xml:space="preserve">Period, supplier</t>
  </si>
  <si>
    <t xml:space="preserve">100% at close</t>
  </si>
  <si>
    <t xml:space="preserve">Unposted value</t>
  </si>
  <si>
    <t xml:space="preserve">Sum of approved but unposted invoice value</t>
  </si>
  <si>
    <t xml:space="preserve">Zero at close</t>
  </si>
  <si>
    <t xml:space="preserve">Ledger closure</t>
  </si>
  <si>
    <t xml:space="preserve">Tails balanced</t>
  </si>
  <si>
    <t xml:space="preserve">Tails whose ledger chain closes within tolerance</t>
  </si>
  <si>
    <t xml:space="preserve">Day, tail</t>
  </si>
  <si>
    <t xml:space="preserve">Broken chains</t>
  </si>
  <si>
    <t xml:space="preserve">Ledger rows with closure_status BROKEN_CHAIN</t>
  </si>
  <si>
    <t xml:space="preserve">Tail, event</t>
  </si>
  <si>
    <t xml:space="preserve">Zero</t>
  </si>
  <si>
    <t xml:space="preserve">Unexplained fuel</t>
  </si>
  <si>
    <t xml:space="preserve">Absolute sum of closure variance beyond tolerance</t>
  </si>
  <si>
    <t xml:space="preserve">Period, tail</t>
  </si>
  <si>
    <t xml:space="preserve">Trend down</t>
  </si>
  <si>
    <t xml:space="preserve">Burn source mix</t>
  </si>
  <si>
    <t xml:space="preserve">Source distribution</t>
  </si>
  <si>
    <t xml:space="preserve">Share of primary burn rows by source</t>
  </si>
  <si>
    <t xml:space="preserve">Period, fleet</t>
  </si>
  <si>
    <t xml:space="preserve">ACARS above 90%</t>
  </si>
  <si>
    <t xml:space="preserve">Estimated share</t>
  </si>
  <si>
    <t xml:space="preserve">Share of legs running on ESTIMATED burn</t>
  </si>
  <si>
    <t xml:space="preserve">Below 5%</t>
  </si>
  <si>
    <t xml:space="preserve">2 Operational</t>
  </si>
  <si>
    <t xml:space="preserve">Total uplift</t>
  </si>
  <si>
    <t xml:space="preserve">Sum of ticket quantity where event_type UPLIFT</t>
  </si>
  <si>
    <t xml:space="preserve">Period, station, supplier</t>
  </si>
  <si>
    <t xml:space="preserve">n/a</t>
  </si>
  <si>
    <t xml:space="preserve">Sum of trip_burn_kg on primary rows</t>
  </si>
  <si>
    <t xml:space="preserve">Period, route, fleet</t>
  </si>
  <si>
    <t xml:space="preserve">Sum of block_burn_kg on primary rows</t>
  </si>
  <si>
    <t xml:space="preserve">Period, route</t>
  </si>
  <si>
    <t xml:space="preserve">Sum of derived APU burn</t>
  </si>
  <si>
    <t xml:space="preserve">Period, station, tail</t>
  </si>
  <si>
    <t xml:space="preserve">APU minutes per leg</t>
  </si>
  <si>
    <t xml:space="preserve">Mean APU running minutes per departure</t>
  </si>
  <si>
    <t xml:space="preserve">Station, fleet</t>
  </si>
  <si>
    <t xml:space="preserve">Below fleet target</t>
  </si>
  <si>
    <t xml:space="preserve">APU minutes where GPU or PCA was available and unused</t>
  </si>
  <si>
    <t xml:space="preserve">Station, stand</t>
  </si>
  <si>
    <t xml:space="preserve">Cost</t>
  </si>
  <si>
    <t xml:space="preserve">Fuel cost</t>
  </si>
  <si>
    <t xml:space="preserve">Sum of invoice line amounts, accrued where uninvoiced</t>
  </si>
  <si>
    <t xml:space="preserve">Cost per block hour</t>
  </si>
  <si>
    <t xml:space="preserve">Fuel cost over block hours flown</t>
  </si>
  <si>
    <t xml:space="preserve">Derived</t>
  </si>
  <si>
    <t xml:space="preserve">Period, fleet, route</t>
  </si>
  <si>
    <t xml:space="preserve">Trend</t>
  </si>
  <si>
    <t xml:space="preserve">Management</t>
  </si>
  <si>
    <t xml:space="preserve">Tankering saving</t>
  </si>
  <si>
    <t xml:space="preserve">Price differential benefit less carriage cost</t>
  </si>
  <si>
    <t xml:space="preserve">FD_FUEL_PLAN, invoice</t>
  </si>
  <si>
    <t xml:space="preserve">Positive</t>
  </si>
  <si>
    <t xml:space="preserve">Effective unit price</t>
  </si>
  <si>
    <t xml:space="preserve">Fuel cost over uplifted mass</t>
  </si>
  <si>
    <t xml:space="preserve">Station, supplier</t>
  </si>
  <si>
    <t xml:space="preserve">Against contract</t>
  </si>
  <si>
    <t xml:space="preserve">Variance</t>
  </si>
  <si>
    <t xml:space="preserve">3 Variance</t>
  </si>
  <si>
    <t xml:space="preserve">Plan vs actual burn</t>
  </si>
  <si>
    <t xml:space="preserve">Trip burn actual minus planned trip fuel</t>
  </si>
  <si>
    <t xml:space="preserve">Leg, route, tail</t>
  </si>
  <si>
    <t xml:space="preserve">Within band</t>
  </si>
  <si>
    <t xml:space="preserve">Contingency consumed</t>
  </si>
  <si>
    <t xml:space="preserve">Share of legs where actual exceeded plan by more than contingency</t>
  </si>
  <si>
    <t xml:space="preserve">Route, period</t>
  </si>
  <si>
    <t xml:space="preserve">Arrival fuel margin</t>
  </si>
  <si>
    <t xml:space="preserve">Landing fuel less final reserve</t>
  </si>
  <si>
    <t xml:space="preserve">Leg, route</t>
  </si>
  <si>
    <t xml:space="preserve">Always positive</t>
  </si>
  <si>
    <t xml:space="preserve">Safety, Ops</t>
  </si>
  <si>
    <t xml:space="preserve">Performance factor drift</t>
  </si>
  <si>
    <t xml:space="preserve">Rolling actual over planned burn by tail</t>
  </si>
  <si>
    <t xml:space="preserve">Tail, quarter</t>
  </si>
  <si>
    <t xml:space="preserve">Within 0.5% of stored</t>
  </si>
  <si>
    <t xml:space="preserve">Order fulfilment variance</t>
  </si>
  <si>
    <t xml:space="preserve">Delivered minus ordered quantity</t>
  </si>
  <si>
    <t xml:space="preserve">Supplier, station</t>
  </si>
  <si>
    <t xml:space="preserve">Within tolerance</t>
  </si>
  <si>
    <t xml:space="preserve">FOB reconciliation failures</t>
  </si>
  <si>
    <t xml:space="preserve">Tickets with recon_status FAIL</t>
  </si>
  <si>
    <t xml:space="preserve">Supplier, bowser</t>
  </si>
  <si>
    <t xml:space="preserve">Below 2%</t>
  </si>
  <si>
    <t xml:space="preserve">Rankings</t>
  </si>
  <si>
    <t xml:space="preserve">Top sectors by burn</t>
  </si>
  <si>
    <t xml:space="preserve">Routes ranked by total trip burn</t>
  </si>
  <si>
    <t xml:space="preserve">Top sectors by burn variance</t>
  </si>
  <si>
    <t xml:space="preserve">Routes ranked by mean deviation from plan</t>
  </si>
  <si>
    <t xml:space="preserve">Top sectors by fuel cost</t>
  </si>
  <si>
    <t xml:space="preserve">Routes ranked by cost</t>
  </si>
  <si>
    <t xml:space="preserve">Top stations by APU minutes</t>
  </si>
  <si>
    <t xml:space="preserve">Stations ranked by mean APU minutes per turn</t>
  </si>
  <si>
    <t xml:space="preserve">Station, period</t>
  </si>
  <si>
    <t xml:space="preserve">Close readiness</t>
  </si>
  <si>
    <t xml:space="preserve">Legs complete</t>
  </si>
  <si>
    <t xml:space="preserve">Legs with plan, uplift, burn and posting all present, over legs in scope</t>
  </si>
  <si>
    <t xml:space="preserve">Period, station, fleet, tail</t>
  </si>
  <si>
    <t xml:space="preserve">Uplift gaps</t>
  </si>
  <si>
    <t xml:space="preserve">Legs where uplift was expected and no ticket exists</t>
  </si>
  <si>
    <t xml:space="preserve">Burn gaps</t>
  </si>
  <si>
    <t xml:space="preserve">Departed legs with no burn record</t>
  </si>
  <si>
    <t xml:space="preserve">Period, fleet, tail</t>
  </si>
  <si>
    <t xml:space="preserve">Unposted quantity</t>
  </si>
  <si>
    <t xml:space="preserve">Uplift and burn captured but not posted to SAP</t>
  </si>
  <si>
    <t xml:space="preserve">Period, station</t>
  </si>
  <si>
    <t xml:space="preserve">Accrual basis</t>
  </si>
  <si>
    <t xml:space="preserve">Value of unposted uplift and burn at the cutoff</t>
  </si>
  <si>
    <t xml:space="preserve">Period, company code</t>
  </si>
  <si>
    <t xml:space="preserve">Quantified</t>
  </si>
  <si>
    <t xml:space="preserve">Tails reconciled</t>
  </si>
  <si>
    <t xml:space="preserve">Tails whose unexplained difference is within tolerance</t>
  </si>
  <si>
    <t xml:space="preserve">Absolute sum of unexplained difference across tails</t>
  </si>
  <si>
    <t xml:space="preserve">Tails excluded</t>
  </si>
  <si>
    <t xml:space="preserve">Tails with no gauge reading at the cutoff event</t>
  </si>
  <si>
    <t xml:space="preserve">Period</t>
  </si>
  <si>
    <t xml:space="preserve">Reported, not zero</t>
  </si>
  <si>
    <t xml:space="preserve">Claim exposure</t>
  </si>
  <si>
    <t xml:space="preserve">Claims expiring within 7 days</t>
  </si>
  <si>
    <t xml:space="preserve">Open claims with a deadline inside a week</t>
  </si>
  <si>
    <t xml:space="preserve">Zero unattended</t>
  </si>
  <si>
    <t xml:space="preserve">Value at risk</t>
  </si>
  <si>
    <t xml:space="preserve">Estimated value of claims approaching expiry</t>
  </si>
  <si>
    <t xml:space="preserve">Value lost to expiry</t>
  </si>
  <si>
    <t xml:space="preserve">Claims expired without being raised</t>
  </si>
  <si>
    <t xml:space="preserve">Period, supplier, station</t>
  </si>
  <si>
    <t xml:space="preserve">Top tails by performance drift</t>
  </si>
  <si>
    <t xml:space="preserve">Tails ranked by deviation from stored performance factor</t>
  </si>
  <si>
    <t xml:space="preserve">UI FLOORPLAN MAP  -  Fiori elements by default. Freestyle requires a documented reason, recorded in Notes</t>
  </si>
  <si>
    <t xml:space="preserve">Floorplan</t>
  </si>
  <si>
    <t xml:space="preserve">Fiori elements</t>
  </si>
  <si>
    <t xml:space="preserve">Key controls</t>
  </si>
  <si>
    <t xml:space="preserve">Mandatory filters</t>
  </si>
  <si>
    <t xml:space="preserve">Mass action</t>
  </si>
  <si>
    <t xml:space="preserve">Drills to</t>
  </si>
  <si>
    <t xml:space="preserve">Notes</t>
  </si>
  <si>
    <t xml:space="preserve">List Report</t>
  </si>
  <si>
    <t xml:space="preserve">SmartFilterBar, SmartTable, variants</t>
  </si>
  <si>
    <t xml:space="preserve">Date range, station, status</t>
  </si>
  <si>
    <t xml:space="preserve">ObjectPageLayout, facets for plan, order, ticket</t>
  </si>
  <si>
    <t xml:space="preserve">UI-04, UI-07, UI-10</t>
  </si>
  <si>
    <t xml:space="preserve">Sync status banner when PENDING_UPDATE</t>
  </si>
  <si>
    <t xml:space="preserve">SmartTable grouped by plan_group_id</t>
  </si>
  <si>
    <t xml:space="preserve">Leg, date range</t>
  </si>
  <si>
    <t xml:space="preserve">ObjectPageLayout, fuel stack section</t>
  </si>
  <si>
    <t xml:space="preserve">Freestyle</t>
  </si>
  <si>
    <t xml:space="preserve">Side by side diff, no standard floorplan</t>
  </si>
  <si>
    <t xml:space="preserve">Two versions</t>
  </si>
  <si>
    <t xml:space="preserve">Freestyle justified: comparison has no floorplan</t>
  </si>
  <si>
    <t xml:space="preserve">SmartFilterBar, SmartTable</t>
  </si>
  <si>
    <t xml:space="preserve">Date range, station, supplier, status</t>
  </si>
  <si>
    <t xml:space="preserve">ObjectPageLayout, ticket facet with rollup</t>
  </si>
  <si>
    <t xml:space="preserve">UI-10, UI-26</t>
  </si>
  <si>
    <t xml:space="preserve">Worklist</t>
  </si>
  <si>
    <t xml:space="preserve">Pre filtered, ageing column, bulk reason code</t>
  </si>
  <si>
    <t xml:space="preserve">Date range, station, supplier</t>
  </si>
  <si>
    <t xml:space="preserve">Default view is open exceptions only</t>
  </si>
  <si>
    <t xml:space="preserve">Date range, station, supplier, registration</t>
  </si>
  <si>
    <t xml:space="preserve">ObjectPageLayout, raw payload facet</t>
  </si>
  <si>
    <t xml:space="preserve">UI-26, UI-59</t>
  </si>
  <si>
    <t xml:space="preserve">Object Page create</t>
  </si>
  <si>
    <t xml:space="preserve">Draft handling, plausibility on entry</t>
  </si>
  <si>
    <t xml:space="preserve">Save and new for repeated entry</t>
  </si>
  <si>
    <t xml:space="preserve">Candidate leg suggestions, bulk match</t>
  </si>
  <si>
    <t xml:space="preserve">Date range, station, registration</t>
  </si>
  <si>
    <t xml:space="preserve">Variance and tolerance columns, bulk accept</t>
  </si>
  <si>
    <t xml:space="preserve">Date range, supplier, bowser</t>
  </si>
  <si>
    <t xml:space="preserve">Tolerance shown alongside variance</t>
  </si>
  <si>
    <t xml:space="preserve">Analytical List Page</t>
  </si>
  <si>
    <t xml:space="preserve">Chart plus table, shared filter</t>
  </si>
  <si>
    <t xml:space="preserve">Date range, station</t>
  </si>
  <si>
    <t xml:space="preserve">Period, supplier, status</t>
  </si>
  <si>
    <t xml:space="preserve">ObjectPageLayout, line item table facet</t>
  </si>
  <si>
    <t xml:space="preserve">UI-17, UI-23</t>
  </si>
  <si>
    <t xml:space="preserve">Derived total vs stated total in header</t>
  </si>
  <si>
    <t xml:space="preserve">Grouped by exception reason, bulk reject</t>
  </si>
  <si>
    <t xml:space="preserve">Footer approve and reject, blocking summary</t>
  </si>
  <si>
    <t xml:space="preserve">Ageing chart plus table</t>
  </si>
  <si>
    <t xml:space="preserve">Attempt count, last error, bulk reprocess</t>
  </si>
  <si>
    <t xml:space="preserve">Grouped by error category</t>
  </si>
  <si>
    <t xml:space="preserve">Date range, category, severity</t>
  </si>
  <si>
    <t xml:space="preserve">Retryable and non retryable separated</t>
  </si>
  <si>
    <t xml:space="preserve">Correlation id filter, technical detail</t>
  </si>
  <si>
    <t xml:space="preserve">Date range, severity, process, entity</t>
  </si>
  <si>
    <t xml:space="preserve">Grouped cards with accept and reject per group</t>
  </si>
  <si>
    <t xml:space="preserve">Selected error set</t>
  </si>
  <si>
    <t xml:space="preserve">Freestyle justified: grouped proposal layout</t>
  </si>
  <si>
    <t xml:space="preserve">List Report + Object Page</t>
  </si>
  <si>
    <t xml:space="preserve">Effective dating, where used facet</t>
  </si>
  <si>
    <t xml:space="preserve">Parameter code, scope, validity</t>
  </si>
  <si>
    <t xml:space="preserve">Config, not table maintenance</t>
  </si>
  <si>
    <t xml:space="preserve">Old vs new, change reason mandatory</t>
  </si>
  <si>
    <t xml:space="preserve">Object Page read only</t>
  </si>
  <si>
    <t xml:space="preserve">Resolution chain display</t>
  </si>
  <si>
    <t xml:space="preserve">Current vs proposed exception counts</t>
  </si>
  <si>
    <t xml:space="preserve">Date range, parameter, proposed value</t>
  </si>
  <si>
    <t xml:space="preserve">Secret fields masked, test connection action</t>
  </si>
  <si>
    <t xml:space="preserve">Setting group</t>
  </si>
  <si>
    <t xml:space="preserve">Call volume and cost against cap</t>
  </si>
  <si>
    <t xml:space="preserve">Chart plus table, coverage qualifier strip</t>
  </si>
  <si>
    <t xml:space="preserve">Period, route, fleet, station</t>
  </si>
  <si>
    <t xml:space="preserve">Counts by status per run</t>
  </si>
  <si>
    <t xml:space="preserve">Date range, source system, run mode</t>
  </si>
  <si>
    <t xml:space="preserve">Filtered to is_latest_for_key Y</t>
  </si>
  <si>
    <t xml:space="preserve">Date range, source, error code</t>
  </si>
  <si>
    <t xml:space="preserve">Superseded records excluded by default</t>
  </si>
  <si>
    <t xml:space="preserve">Raw payload and supersession chain facets</t>
  </si>
  <si>
    <t xml:space="preserve">Object Page edit</t>
  </si>
  <si>
    <t xml:space="preserve">Draft handling, corrected flag per field</t>
  </si>
  <si>
    <t xml:space="preserve">Correct in staging, never in target</t>
  </si>
  <si>
    <t xml:space="preserve">Ageing, blocking staging reference</t>
  </si>
  <si>
    <t xml:space="preserve">Date range, field, ageing</t>
  </si>
  <si>
    <t xml:space="preserve">Blocked actions and cascade display</t>
  </si>
  <si>
    <t xml:space="preserve">Table, criticality</t>
  </si>
  <si>
    <t xml:space="preserve">Completeness and ageing columns</t>
  </si>
  <si>
    <t xml:space="preserve">Status, fleet, ownership</t>
  </si>
  <si>
    <t xml:space="preserve">Lifecycle stage sections</t>
  </si>
  <si>
    <t xml:space="preserve">UI-39, UI-64</t>
  </si>
  <si>
    <t xml:space="preserve">Similar registration warning, source trace</t>
  </si>
  <si>
    <t xml:space="preserve">Old vs new tail, downstream impact</t>
  </si>
  <si>
    <t xml:space="preserve">Chart plus affected records</t>
  </si>
  <si>
    <t xml:space="preserve">Period, tail, status</t>
  </si>
  <si>
    <t xml:space="preserve">Chain preview with per step outcome</t>
  </si>
  <si>
    <t xml:space="preserve">Selected root record</t>
  </si>
  <si>
    <t xml:space="preserve">Freestyle justified: dependency chain view</t>
  </si>
  <si>
    <t xml:space="preserve">Derived mode display, scope rank</t>
  </si>
  <si>
    <t xml:space="preserve">Carrier, type, validity</t>
  </si>
  <si>
    <t xml:space="preserve">Resolved arrangement per leg</t>
  </si>
  <si>
    <t xml:space="preserve">Date range, carrier, mode</t>
  </si>
  <si>
    <t xml:space="preserve">Recharge party, amount, status</t>
  </si>
  <si>
    <t xml:space="preserve">Period, counterparty</t>
  </si>
  <si>
    <t xml:space="preserve">Arrangement context on each row</t>
  </si>
  <si>
    <t xml:space="preserve">Applied vs snapshot value per field</t>
  </si>
  <si>
    <t xml:space="preserve">Run, date range, field</t>
  </si>
  <si>
    <t xml:space="preserve">Cards per feed, each drilling to a queue</t>
  </si>
  <si>
    <t xml:space="preserve">Date range, source system</t>
  </si>
  <si>
    <t xml:space="preserve">Validation against lease terms</t>
  </si>
  <si>
    <t xml:space="preserve">Candidate rows by rank, winner marked</t>
  </si>
  <si>
    <t xml:space="preserve">Genuine errors only, held excluded</t>
  </si>
  <si>
    <t xml:space="preserve">Date range, error code</t>
  </si>
  <si>
    <t xml:space="preserve">Blocking reference, auto retry count, ageing</t>
  </si>
  <si>
    <t xml:space="preserve">Date range, held status</t>
  </si>
  <si>
    <t xml:space="preserve">Separate queue from genuine errors</t>
  </si>
  <si>
    <t xml:space="preserve">Versions skipped, tickets affected</t>
  </si>
  <si>
    <t xml:space="preserve">Four code schemes, defaults</t>
  </si>
  <si>
    <t xml:space="preserve">Status, manufacturer, body type</t>
  </si>
  <si>
    <t xml:space="preserve">Hidden when granularity is NONE</t>
  </si>
  <si>
    <t xml:space="preserve">Type, status</t>
  </si>
  <si>
    <t xml:space="preserve">Source system and scheme</t>
  </si>
  <si>
    <t xml:space="preserve">Source, scheme, type</t>
  </si>
  <si>
    <t xml:space="preserve">Occurrence count, affected records</t>
  </si>
  <si>
    <t xml:space="preserve">Date range, source</t>
  </si>
  <si>
    <t xml:space="preserve">Four gauge points, source and confidence markers</t>
  </si>
  <si>
    <t xml:space="preserve">Date range, route, fleet, source</t>
  </si>
  <si>
    <t xml:space="preserve">Confidence marker inline on every figure</t>
  </si>
  <si>
    <t xml:space="preserve">Chain sequence view per tail</t>
  </si>
  <si>
    <t xml:space="preserve">Date range, registration</t>
  </si>
  <si>
    <t xml:space="preserve">Freestyle justified: sequential chain display</t>
  </si>
  <si>
    <t xml:space="preserve">Avoidable minutes as the primary measure</t>
  </si>
  <si>
    <t xml:space="preserve">Period, station, stand, fleet</t>
  </si>
  <si>
    <t xml:space="preserve">Missing and estimated burn, ageing</t>
  </si>
  <si>
    <t xml:space="preserve">Date range, fleet, source</t>
  </si>
  <si>
    <t xml:space="preserve">Plausibility on entry, derived shown live</t>
  </si>
  <si>
    <t xml:space="preserve">Control cards above analytics cards</t>
  </si>
  <si>
    <t xml:space="preserve">Period, station, fleet, carrier</t>
  </si>
  <si>
    <t xml:space="preserve">Every card drills; none decorative</t>
  </si>
  <si>
    <t xml:space="preserve">Stored vs observed factor, sample size</t>
  </si>
  <si>
    <t xml:space="preserve">Quarter, fleet, tail</t>
  </si>
  <si>
    <t xml:space="preserve">Effective dating, scope rank display</t>
  </si>
  <si>
    <t xml:space="preserve">Event category, scope, validity</t>
  </si>
  <si>
    <t xml:space="preserve">Rank ordered list, object source display</t>
  </si>
  <si>
    <t xml:space="preserve">Event category, scope, object type, validity</t>
  </si>
  <si>
    <t xml:space="preserve">Candidate rules by rank, winner highlighted</t>
  </si>
  <si>
    <t xml:space="preserve">Bulk reprocess, error grouping</t>
  </si>
  <si>
    <t xml:space="preserve">Date range, category, status, error code</t>
  </si>
  <si>
    <t xml:space="preserve">Expectation and status columns, ageing</t>
  </si>
  <si>
    <t xml:space="preserve">Date range, station, fleet, status</t>
  </si>
  <si>
    <t xml:space="preserve">Excluded legs hidden by default</t>
  </si>
  <si>
    <t xml:space="preserve">Chart by gap type plus tail table</t>
  </si>
  <si>
    <t xml:space="preserve">Three balance columns, timing and unexplained split</t>
  </si>
  <si>
    <t xml:space="preserve">Period, fleet, tail, status</t>
  </si>
  <si>
    <t xml:space="preserve">Blocking cards with counts and values</t>
  </si>
  <si>
    <t xml:space="preserve">Every card drills to a worklist</t>
  </si>
  <si>
    <t xml:space="preserve">Restatement flag, original value retained</t>
  </si>
  <si>
    <t xml:space="preserve">Publication, assessment, date range</t>
  </si>
  <si>
    <t xml:space="preserve">Component facet, effective dating</t>
  </si>
  <si>
    <t xml:space="preserve">Source, publication, validity</t>
  </si>
  <si>
    <t xml:space="preserve">Object Page section</t>
  </si>
  <si>
    <t xml:space="preserve">Sequenced table within the scheme object page</t>
  </si>
  <si>
    <t xml:space="preserve">Not a standalone screen; a facet of UI-74</t>
  </si>
  <si>
    <t xml:space="preserve">Station and vendor keyed, effective dating</t>
  </si>
  <si>
    <t xml:space="preserve">Station, vendor, validity</t>
  </si>
  <si>
    <t xml:space="preserve">Rank ordered, condition columns</t>
  </si>
  <si>
    <t xml:space="preserve">Country, station, flight nature</t>
  </si>
  <si>
    <t xml:space="preserve">Component build up with quotes used</t>
  </si>
  <si>
    <t xml:space="preserve">Exposure column, expected final date</t>
  </si>
  <si>
    <t xml:space="preserve">Old and new price, difference, bulk reprice</t>
  </si>
  <si>
    <t xml:space="preserve">Trigger, date range, supplier</t>
  </si>
  <si>
    <t xml:space="preserve">Two document chains side by side</t>
  </si>
  <si>
    <t xml:space="preserve">SES status and ageing, bulk accept</t>
  </si>
  <si>
    <t xml:space="preserve">Date range, station, vendor, status</t>
  </si>
  <si>
    <t xml:space="preserve">Role and status columns, station filter</t>
  </si>
  <si>
    <t xml:space="preserve">Station, role, status</t>
  </si>
  <si>
    <t xml:space="preserve">Facets for roles, contracts, activity, performance</t>
  </si>
  <si>
    <t xml:space="preserve">Grade and specification columns</t>
  </si>
  <si>
    <t xml:space="preserve">Type, grade, status</t>
  </si>
  <si>
    <t xml:space="preserve">Specification section, station and scheme facets</t>
  </si>
  <si>
    <t xml:space="preserve">One card per configuration area</t>
  </si>
  <si>
    <t xml:space="preserve">All config screens</t>
  </si>
  <si>
    <t xml:space="preserve">Entry point for the whole configuration set</t>
  </si>
  <si>
    <t xml:space="preserve">Searchable catalogue with launch action</t>
  </si>
  <si>
    <t xml:space="preserve">Area, audience</t>
  </si>
  <si>
    <t xml:space="preserve">FS_MOVEMENT_TYPE_MAP  -  FuelSphere supplies the movement type; SAP derives the GL through standard OBYC account determination. Separate movement types are what make APU and engine burn hit different accounts</t>
  </si>
  <si>
    <t xml:space="preserve">map_id</t>
  </si>
  <si>
    <t xml:space="preserve">fuel_event_category</t>
  </si>
  <si>
    <t xml:space="preserve">movement_type</t>
  </si>
  <si>
    <t xml:space="preserve">reversal_movement_type</t>
  </si>
  <si>
    <t xml:space="preserve">acct_assign_category</t>
  </si>
  <si>
    <t xml:space="preserve">sap_account_modification</t>
  </si>
  <si>
    <t xml:space="preserve">expected_gl_account</t>
  </si>
  <si>
    <t xml:space="preserve">special_stock</t>
  </si>
  <si>
    <t xml:space="preserve">posting_granularity</t>
  </si>
  <si>
    <t xml:space="preserve">allow_estimated_posting</t>
  </si>
  <si>
    <t xml:space="preserve">MTM-01</t>
  </si>
  <si>
    <t xml:space="preserve">UPLIFT_RECEIPT</t>
  </si>
  <si>
    <t xml:space="preserve">101</t>
  </si>
  <si>
    <t xml:space="preserve">102</t>
  </si>
  <si>
    <t xml:space="preserve">Stock account</t>
  </si>
  <si>
    <t xml:space="preserve">PER_TICKET</t>
  </si>
  <si>
    <t xml:space="preserve">Goods receipt against the PO. Only under INVENTORY_BY_TAIL</t>
  </si>
  <si>
    <t xml:space="preserve">MTM-02</t>
  </si>
  <si>
    <t xml:space="preserve">ENGINE_BURN</t>
  </si>
  <si>
    <t xml:space="preserve">Z01</t>
  </si>
  <si>
    <t xml:space="preserve">Z02</t>
  </si>
  <si>
    <t xml:space="preserve">K</t>
  </si>
  <si>
    <t xml:space="preserve">ZEN</t>
  </si>
  <si>
    <t xml:space="preserve">Fuel expense - engine</t>
  </si>
  <si>
    <t xml:space="preserve">PER_LEG</t>
  </si>
  <si>
    <t xml:space="preserve">Copy of 201. Own account modification so OBYC GBB derives the engine expense account</t>
  </si>
  <si>
    <t xml:space="preserve">MTM-03</t>
  </si>
  <si>
    <t xml:space="preserve">APU_BURN</t>
  </si>
  <si>
    <t xml:space="preserve">Z03</t>
  </si>
  <si>
    <t xml:space="preserve">Z04</t>
  </si>
  <si>
    <t xml:space="preserve">ZAP</t>
  </si>
  <si>
    <t xml:space="preserve">Fuel expense - APU</t>
  </si>
  <si>
    <t xml:space="preserve">PER_TURN</t>
  </si>
  <si>
    <t xml:space="preserve">Separate movement type is what makes SAP derive a different GL. Estimated APU is postable</t>
  </si>
  <si>
    <t xml:space="preserve">MTM-04</t>
  </si>
  <si>
    <t xml:space="preserve">SERVICE_TYPE</t>
  </si>
  <si>
    <t xml:space="preserve">Z05</t>
  </si>
  <si>
    <t xml:space="preserve">Z06</t>
  </si>
  <si>
    <t xml:space="preserve">F</t>
  </si>
  <si>
    <t xml:space="preserve">ZAT</t>
  </si>
  <si>
    <t xml:space="preserve">Training fuel expense</t>
  </si>
  <si>
    <t xml:space="preserve">Training flights post APU to an internal order, not a cost centre</t>
  </si>
  <si>
    <t xml:space="preserve">MTM-05</t>
  </si>
  <si>
    <t xml:space="preserve">DEFUEL_RETURN</t>
  </si>
  <si>
    <t xml:space="preserve">Reverses the receipt. Physical fuel returns to stock</t>
  </si>
  <si>
    <t xml:space="preserve">MTM-06</t>
  </si>
  <si>
    <t xml:space="preserve">JETTISON_LOSS</t>
  </si>
  <si>
    <t xml:space="preserve">Z07</t>
  </si>
  <si>
    <t xml:space="preserve">Z08</t>
  </si>
  <si>
    <t xml:space="preserve">ZJT</t>
  </si>
  <si>
    <t xml:space="preserve">Fuel loss - jettison</t>
  </si>
  <si>
    <t xml:space="preserve">PER_EVENT</t>
  </si>
  <si>
    <t xml:space="preserve">Fuel lost, not consumed. Distinct account for audit and safety reporting</t>
  </si>
  <si>
    <t xml:space="preserve">MTM-07</t>
  </si>
  <si>
    <t xml:space="preserve">INVENTORY_DIFF</t>
  </si>
  <si>
    <t xml:space="preserve">Z09</t>
  </si>
  <si>
    <t xml:space="preserve">Z10</t>
  </si>
  <si>
    <t xml:space="preserve">ZDF</t>
  </si>
  <si>
    <t xml:space="preserve">Fuel variance</t>
  </si>
  <si>
    <t xml:space="preserve">PER_PERIOD</t>
  </si>
  <si>
    <t xml:space="preserve">Ledger closure variance at period end. Unexplained fuel</t>
  </si>
  <si>
    <t xml:space="preserve">MTM-08</t>
  </si>
  <si>
    <t xml:space="preserve">CARRIER</t>
  </si>
  <si>
    <t xml:space="preserve">Z11</t>
  </si>
  <si>
    <t xml:space="preserve">Z12</t>
  </si>
  <si>
    <t xml:space="preserve">ZEW</t>
  </si>
  <si>
    <t xml:space="preserve">Fuel expense - wet lease out</t>
  </si>
  <si>
    <t xml:space="preserve">Recharged legs post to a separate account pending recharge</t>
  </si>
  <si>
    <t xml:space="preserve">MTM-09</t>
  </si>
  <si>
    <t xml:space="preserve">TRANSFER_OUT</t>
  </si>
  <si>
    <t xml:space="preserve">311</t>
  </si>
  <si>
    <t xml:space="preserve">312</t>
  </si>
  <si>
    <t xml:space="preserve">Stock transfer</t>
  </si>
  <si>
    <t xml:space="preserve">Tail to tail transfer under split valuation</t>
  </si>
  <si>
    <t xml:space="preserve">MTM-10</t>
  </si>
  <si>
    <t xml:space="preserve">SAMPLE_DRAW</t>
  </si>
  <si>
    <t xml:space="preserve">Z13</t>
  </si>
  <si>
    <t xml:space="preserve">Z14</t>
  </si>
  <si>
    <t xml:space="preserve">ZSM</t>
  </si>
  <si>
    <t xml:space="preserve">Quality sampling</t>
  </si>
  <si>
    <t xml:space="preserve">Small quantities, quality cost centre</t>
  </si>
  <si>
    <t xml:space="preserve">ACCOUNT DERIVATION CHAIN  -  the division of responsibility. FuelSphere never determines a GL account</t>
  </si>
  <si>
    <t xml:space="preserve">Step</t>
  </si>
  <si>
    <t xml:space="preserve">Owner</t>
  </si>
  <si>
    <t xml:space="preserve">Result</t>
  </si>
  <si>
    <t xml:space="preserve">1</t>
  </si>
  <si>
    <t xml:space="preserve">FuelSphere</t>
  </si>
  <si>
    <t xml:space="preserve">FS_MOVEMENT_TYPE_MAP resolved by event category and scope</t>
  </si>
  <si>
    <t xml:space="preserve">Movement type, e.g. Z03 for APU burn</t>
  </si>
  <si>
    <t xml:space="preserve">2</t>
  </si>
  <si>
    <t xml:space="preserve">FS_COST_OBJECT_RULE resolved by scope</t>
  </si>
  <si>
    <t xml:space="preserve">Cost centre, internal order or WBS</t>
  </si>
  <si>
    <t xml:space="preserve">3</t>
  </si>
  <si>
    <t xml:space="preserve">BAPI_GOODSMVT_CREATE with movement type and account assignment</t>
  </si>
  <si>
    <t xml:space="preserve">Goods movement posted</t>
  </si>
  <si>
    <t xml:space="preserve">4</t>
  </si>
  <si>
    <t xml:space="preserve">SAP standard</t>
  </si>
  <si>
    <t xml:space="preserve">T156X derives the account modification from the movement type</t>
  </si>
  <si>
    <t xml:space="preserve">Account modification, e.g. ZAP</t>
  </si>
  <si>
    <t xml:space="preserve">OBYC transaction key GBB, account modification plus valuation class</t>
  </si>
  <si>
    <t xml:space="preserve">GL account determined</t>
  </si>
  <si>
    <t xml:space="preserve">FI document posted with cost object from the BAPI call</t>
  </si>
  <si>
    <t xml:space="preserve">Expense on the right account and cost object</t>
  </si>
  <si>
    <t xml:space="preserve">FS_COST_OBJECT_RULE  -  scope resolution, most specific wins. object_source LITERAL keys a value; FROM_STATION and FROM_AIRCRAFT read it from master data so no rule per station is needed</t>
  </si>
  <si>
    <t xml:space="preserve">rule_id</t>
  </si>
  <si>
    <t xml:space="preserve">carrier_code</t>
  </si>
  <si>
    <t xml:space="preserve">object_type</t>
  </si>
  <si>
    <t xml:space="preserve">object_source</t>
  </si>
  <si>
    <t xml:space="preserve">object_value</t>
  </si>
  <si>
    <t xml:space="preserve">company_code</t>
  </si>
  <si>
    <t xml:space="preserve">fallback_rule_id</t>
  </si>
  <si>
    <t xml:space="preserve">COR-01</t>
  </si>
  <si>
    <t xml:space="preserve">ANY</t>
  </si>
  <si>
    <t xml:space="preserve">COST_CENTER</t>
  </si>
  <si>
    <t xml:space="preserve">LITERAL</t>
  </si>
  <si>
    <t xml:space="preserve">CC-FUEL-GLOBAL</t>
  </si>
  <si>
    <t xml:space="preserve">1000</t>
  </si>
  <si>
    <t xml:space="preserve">Catch all. Every leg resolves to something</t>
  </si>
  <si>
    <t xml:space="preserve">COR-02</t>
  </si>
  <si>
    <t xml:space="preserve">EVENT_CATEGORY</t>
  </si>
  <si>
    <t xml:space="preserve">CC-FUEL-FLT</t>
  </si>
  <si>
    <t xml:space="preserve">Engine burn to the flight operations fuel cost centre</t>
  </si>
  <si>
    <t xml:space="preserve">COR-03</t>
  </si>
  <si>
    <t xml:space="preserve">CC-FUEL-APU</t>
  </si>
  <si>
    <t xml:space="preserve">APU burn separated at cost centre level as well as GL level</t>
  </si>
  <si>
    <t xml:space="preserve">COR-04</t>
  </si>
  <si>
    <t xml:space="preserve">FROM_STATION</t>
  </si>
  <si>
    <t xml:space="preserve">Station cost centre taken from station master, so no rule per station is needed</t>
  </si>
  <si>
    <t xml:space="preserve">COR-05</t>
  </si>
  <si>
    <t xml:space="preserve">CC-FUEL-PR</t>
  </si>
  <si>
    <t xml:space="preserve">COR-06</t>
  </si>
  <si>
    <t xml:space="preserve">CARRIER_STATION</t>
  </si>
  <si>
    <t xml:space="preserve">PR|CEB</t>
  </si>
  <si>
    <t xml:space="preserve">CC-FUEL-CEB</t>
  </si>
  <si>
    <t xml:space="preserve">COR-07</t>
  </si>
  <si>
    <t xml:space="preserve">CARRIER_STATION_CATEGORY</t>
  </si>
  <si>
    <t xml:space="preserve">PR|MNL|APU_BURN</t>
  </si>
  <si>
    <t xml:space="preserve">CC-APU-MNL</t>
  </si>
  <si>
    <t xml:space="preserve">Most specific: carrier plus station plus event category</t>
  </si>
  <si>
    <t xml:space="preserve">COR-08</t>
  </si>
  <si>
    <t xml:space="preserve">INTERNAL_ORDER</t>
  </si>
  <si>
    <t xml:space="preserve">IO-TRAINING-26</t>
  </si>
  <si>
    <t xml:space="preserve">Training flights to an internal order</t>
  </si>
  <si>
    <t xml:space="preserve">COR-09</t>
  </si>
  <si>
    <t xml:space="preserve">IO-FERRY-26</t>
  </si>
  <si>
    <t xml:space="preserve">Positioning and ferry flights</t>
  </si>
  <si>
    <t xml:space="preserve">COR-10</t>
  </si>
  <si>
    <t xml:space="preserve">ALLOCATION_BASIS</t>
  </si>
  <si>
    <t xml:space="preserve">FROM_AIRCRAFT</t>
  </si>
  <si>
    <t xml:space="preserve">Maintenance ferry and cancelled flights. Order taken from aircraft master</t>
  </si>
  <si>
    <t xml:space="preserve">COR-11</t>
  </si>
  <si>
    <t xml:space="preserve">WBS</t>
  </si>
  <si>
    <t xml:space="preserve">FROM_ARRANGEMENT</t>
  </si>
  <si>
    <t xml:space="preserve">Wet lease out. WBS taken from the carrier arrangement</t>
  </si>
  <si>
    <t xml:space="preserve">COR-12</t>
  </si>
  <si>
    <t xml:space="preserve">STATION_OVERHEAD</t>
  </si>
  <si>
    <t xml:space="preserve">Unallocatable tickets</t>
  </si>
  <si>
    <t xml:space="preserve">SCOPE RESOLUTION  -  highest specificity_rank whose scope, category and date window all match</t>
  </si>
  <si>
    <t xml:space="preserve">Rank</t>
  </si>
  <si>
    <t xml:space="preserve">Typical use</t>
  </si>
  <si>
    <t xml:space="preserve">asterisk</t>
  </si>
  <si>
    <t xml:space="preserve">Catch all. Must always exist</t>
  </si>
  <si>
    <t xml:space="preserve">ENGINE_BURN, APU_BURN</t>
  </si>
  <si>
    <t xml:space="preserve">Separate APU from engine at cost object level</t>
  </si>
  <si>
    <t xml:space="preserve">AIRCRAFT, RECHARGE, STATION_OVERHEAD</t>
  </si>
  <si>
    <t xml:space="preserve">Non revenue allocation</t>
  </si>
  <si>
    <t xml:space="preserve">carrier code</t>
  </si>
  <si>
    <t xml:space="preserve">Own metal versus partner</t>
  </si>
  <si>
    <t xml:space="preserve">J, F, C, P, K</t>
  </si>
  <si>
    <t xml:space="preserve">Training, ferry, charter</t>
  </si>
  <si>
    <t xml:space="preserve">station code</t>
  </si>
  <si>
    <t xml:space="preserve">Station level cost centres</t>
  </si>
  <si>
    <t xml:space="preserve">FLEET</t>
  </si>
  <si>
    <t xml:space="preserve">fleet code</t>
  </si>
  <si>
    <t xml:space="preserve">Fleet specific cost objects</t>
  </si>
  <si>
    <t xml:space="preserve">carrier + station</t>
  </si>
  <si>
    <t xml:space="preserve">Station override within a carrier</t>
  </si>
  <si>
    <t xml:space="preserve">carrier + station + category</t>
  </si>
  <si>
    <t xml:space="preserve">APU at one station for one carrier</t>
  </si>
  <si>
    <t xml:space="preserve">Manual override for a one off</t>
  </si>
  <si>
    <t xml:space="preserve">BAPI CALL STRUCTURE  -  what FuelSphere passes to BAPI_GOODSMVT_CREATE</t>
  </si>
  <si>
    <t xml:space="preserve">BAPI field</t>
  </si>
  <si>
    <t xml:space="preserve">Source in FuelSphere</t>
  </si>
  <si>
    <t xml:space="preserve">MATERIAL</t>
  </si>
  <si>
    <t xml:space="preserve">Fuel material from configuration</t>
  </si>
  <si>
    <t xml:space="preserve">One material per grade</t>
  </si>
  <si>
    <t xml:space="preserve">PLANT</t>
  </si>
  <si>
    <t xml:space="preserve">Derived from station via station master</t>
  </si>
  <si>
    <t xml:space="preserve">Dedicated or shared plant</t>
  </si>
  <si>
    <t xml:space="preserve">STGE_LOC</t>
  </si>
  <si>
    <t xml:space="preserve">Fuel storage location</t>
  </si>
  <si>
    <t xml:space="preserve">MOVE_TYPE</t>
  </si>
  <si>
    <t xml:space="preserve">This is what drives GL determination</t>
  </si>
  <si>
    <t xml:space="preserve">VAL_TYPE</t>
  </si>
  <si>
    <t xml:space="preserve">Registration</t>
  </si>
  <si>
    <t xml:space="preserve">Only under split valuation by tail</t>
  </si>
  <si>
    <t xml:space="preserve">ENTRY_QNT / ENTRY_UOM</t>
  </si>
  <si>
    <t xml:space="preserve">Event quantity and unit</t>
  </si>
  <si>
    <t xml:space="preserve">Mass, converted at the ticket</t>
  </si>
  <si>
    <t xml:space="preserve">COSTCENTER</t>
  </si>
  <si>
    <t xml:space="preserve">FS_COST_OBJECT_RULE where object_type is COST_CENTER</t>
  </si>
  <si>
    <t xml:space="preserve">Left blank for other object types</t>
  </si>
  <si>
    <t xml:space="preserve">ORDERID</t>
  </si>
  <si>
    <t xml:space="preserve">FS_COST_OBJECT_RULE where object_type is INTERNAL_ORDER</t>
  </si>
  <si>
    <t xml:space="preserve">WBS_ELEM</t>
  </si>
  <si>
    <t xml:space="preserve">FS_COST_OBJECT_RULE where object_type is WBS</t>
  </si>
  <si>
    <t xml:space="preserve">GL_ACCOUNT</t>
  </si>
  <si>
    <t xml:space="preserve">Never supplied</t>
  </si>
  <si>
    <t xml:space="preserve">SAP derives it. Supplying it would bypass account determination</t>
  </si>
  <si>
    <t xml:space="preserve">PSTNG_DATE</t>
  </si>
  <si>
    <t xml:space="preserve">Posting date rule</t>
  </si>
  <si>
    <t xml:space="preserve">May differ from flight date when burn arrives late</t>
  </si>
  <si>
    <t xml:space="preserve">REF_DOC_NO</t>
  </si>
  <si>
    <t xml:space="preserve">Leg or turn reference</t>
  </si>
  <si>
    <t xml:space="preserve">Traceability back to the fuel event</t>
  </si>
  <si>
    <t xml:space="preserve">FUEL_COMPLETENESS  -  per leg. Distinguishes MISSING from NOT_EXPECTED. Absence alone is not a gap; expectation comes from the plan and the processing mode</t>
  </si>
  <si>
    <t xml:space="preserve">flight_date</t>
  </si>
  <si>
    <t xml:space="preserve">route</t>
  </si>
  <si>
    <t xml:space="preserve">plan_received</t>
  </si>
  <si>
    <t xml:space="preserve">required_uplift_kg</t>
  </si>
  <si>
    <t xml:space="preserve">uplift_expectation</t>
  </si>
  <si>
    <t xml:space="preserve">uplifted_kg</t>
  </si>
  <si>
    <t xml:space="preserve">uplift_status</t>
  </si>
  <si>
    <t xml:space="preserve">departed_flag</t>
  </si>
  <si>
    <t xml:space="preserve">burn_kg</t>
  </si>
  <si>
    <t xml:space="preserve">burn_status</t>
  </si>
  <si>
    <t xml:space="preserve">gr_posted</t>
  </si>
  <si>
    <t xml:space="preserve">gi_engine_posted</t>
  </si>
  <si>
    <t xml:space="preserve">gi_apu_posted</t>
  </si>
  <si>
    <t xml:space="preserve">posting_status</t>
  </si>
  <si>
    <t xml:space="preserve">open_items</t>
  </si>
  <si>
    <t xml:space="preserve">completeness_status</t>
  </si>
  <si>
    <t xml:space="preserve">ageing_days</t>
  </si>
  <si>
    <t xml:space="preserve">MNL-SIN</t>
  </si>
  <si>
    <t xml:space="preserve">Complete. Nothing outstanding</t>
  </si>
  <si>
    <t xml:space="preserve">MNL-LAX</t>
  </si>
  <si>
    <t xml:space="preserve">Two tickets against one order. Both posted</t>
  </si>
  <si>
    <t xml:space="preserve">No uplift EXPECTED. Arrived with enough fuel, required_uplift is zero</t>
  </si>
  <si>
    <t xml:space="preserve">Uplift EXPECTED but no ticket. Genuine gap, chase the supplier</t>
  </si>
  <si>
    <t xml:space="preserve">Ticket captured but no burn data. Engine and APU postings blocked</t>
  </si>
  <si>
    <t xml:space="preserve">Burn estimated. APU postable, engine burn not. Engine GI held</t>
  </si>
  <si>
    <t xml:space="preserve">Cancelled after fuelling. Burn NOT_EXPECTED. Uplift allocated to aircraft</t>
  </si>
  <si>
    <t xml:space="preserve">2026-08-23</t>
  </si>
  <si>
    <t xml:space="preserve">Codeshare marketed only. Nothing expected at all. Excluded from exception reporting</t>
  </si>
  <si>
    <t xml:space="preserve">Diversion. Second uplift at CEB unmatched, GR not posted</t>
  </si>
  <si>
    <t xml:space="preserve">RP-C4148</t>
  </si>
  <si>
    <t xml:space="preserve">2026-08-24</t>
  </si>
  <si>
    <t xml:space="preserve">MNL-CEB</t>
  </si>
  <si>
    <t xml:space="preserve">No plan received. Uplift expectation INDETERMINATE, ticket exists anyway</t>
  </si>
  <si>
    <t xml:space="preserve">EXPECTATION LOGIC  -  the mechanism that answers 'was an uplift even planned'</t>
  </si>
  <si>
    <t xml:space="preserve">Condition</t>
  </si>
  <si>
    <t xml:space="preserve">Reasoning</t>
  </si>
  <si>
    <t xml:space="preserve">Processing mode is NONE</t>
  </si>
  <si>
    <t xml:space="preserve">NOT_EXPECTED</t>
  </si>
  <si>
    <t xml:space="preserve">Codeshare marketed only, or fuel inclusive lease. Excluded from exception reporting entirely</t>
  </si>
  <si>
    <t xml:space="preserve">No plan received</t>
  </si>
  <si>
    <t xml:space="preserve">INDETERMINATE</t>
  </si>
  <si>
    <t xml:space="preserve">Cannot say whether an uplift was planned. A ticket may still arrive and is accepted</t>
  </si>
  <si>
    <t xml:space="preserve">Active plan required_uplift is zero or negative</t>
  </si>
  <si>
    <t xml:space="preserve">Aircraft arrived with sufficient fuel. Absence of a ticket is correct, not a gap</t>
  </si>
  <si>
    <t xml:space="preserve">Active plan required_uplift is above zero</t>
  </si>
  <si>
    <t xml:space="preserve">EXPECTED</t>
  </si>
  <si>
    <t xml:space="preserve">A ticket should exist. Absence is a genuine gap to chase</t>
  </si>
  <si>
    <t xml:space="preserve">TAIL_STOCK_RECON  -  SAP stock vs FuelSphere ledger vs aircraft gauge, at each tail's LAST ON-BLOCKS before period end. A clock cutoff would guarantee a difference on every airborne tail</t>
  </si>
  <si>
    <t xml:space="preserve">period</t>
  </si>
  <si>
    <t xml:space="preserve">cutoff_basis</t>
  </si>
  <si>
    <t xml:space="preserve">cutoff_event_utc</t>
  </si>
  <si>
    <t xml:space="preserve">sap_valuation_type</t>
  </si>
  <si>
    <t xml:space="preserve">sap_stock_kg</t>
  </si>
  <si>
    <t xml:space="preserve">ledger_balance_kg</t>
  </si>
  <si>
    <t xml:space="preserve">reported_fob_kg</t>
  </si>
  <si>
    <t xml:space="preserve">unposted_uplift_kg</t>
  </si>
  <si>
    <t xml:space="preserve">unposted_burn_kg</t>
  </si>
  <si>
    <t xml:space="preserve">unposted_apu_kg</t>
  </si>
  <si>
    <t xml:space="preserve">sap_vs_ledger_kg</t>
  </si>
  <si>
    <t xml:space="preserve">ledger_vs_fob_kg</t>
  </si>
  <si>
    <t xml:space="preserve">sap_vs_fob_kg</t>
  </si>
  <si>
    <t xml:space="preserve">explained_by_timing_kg</t>
  </si>
  <si>
    <t xml:space="preserve">unexplained_kg</t>
  </si>
  <si>
    <t xml:space="preserve">unexplained_pct</t>
  </si>
  <si>
    <t xml:space="preserve">action</t>
  </si>
  <si>
    <t xml:space="preserve">2026-08</t>
  </si>
  <si>
    <t xml:space="preserve">LAST_ON_BLOCKS</t>
  </si>
  <si>
    <t xml:space="preserve">2026-08-31T21:14:00Z</t>
  </si>
  <si>
    <t xml:space="preserve">Clean. Difference is within gauge tolerance</t>
  </si>
  <si>
    <t xml:space="preserve">2026-08-31T19:42:00Z</t>
  </si>
  <si>
    <t xml:space="preserve">Post GR</t>
  </si>
  <si>
    <t xml:space="preserve">Uplift delivered but goods receipt not posted. Fully explained by timing</t>
  </si>
  <si>
    <t xml:space="preserve">2026-08-31T22:05:00Z</t>
  </si>
  <si>
    <t xml:space="preserve">Post GI</t>
  </si>
  <si>
    <t xml:space="preserve">Burn not posted. Explained, but the accrual is material</t>
  </si>
  <si>
    <t xml:space="preserve">2026-08-31T18:30:00Z</t>
  </si>
  <si>
    <t xml:space="preserve">Investigate</t>
  </si>
  <si>
    <t xml:space="preserve">600 kg unexplained. Uncaptured event or gauge fault. This is the real finding</t>
  </si>
  <si>
    <t xml:space="preserve">2026-08-31T16:20:00Z</t>
  </si>
  <si>
    <t xml:space="preserve">Widebody. Difference inside tolerance at this quantity</t>
  </si>
  <si>
    <t xml:space="preserve">AIRBORNE_AT_CUTOFF</t>
  </si>
  <si>
    <t xml:space="preserve">Defer</t>
  </si>
  <si>
    <t xml:space="preserve">Airborne at period end. No gauge reading exists. Excluded, not reported as a difference</t>
  </si>
  <si>
    <t xml:space="preserve">2026-08-31T20:11:00Z</t>
  </si>
  <si>
    <t xml:space="preserve">Provisional supplier. Ticket captured, PO blocked, nothing posted to SAP</t>
  </si>
  <si>
    <t xml:space="preserve">WHY EVENT BASED CUTOFF  -  the reconciliation is only interpretable if fuel is static at the measurement point</t>
  </si>
  <si>
    <t xml:space="preserve">Cutoff approach</t>
  </si>
  <si>
    <t xml:space="preserve">Problem</t>
  </si>
  <si>
    <t xml:space="preserve">Clock time, e.g. last day 23:59</t>
  </si>
  <si>
    <t xml:space="preserve">Aircraft are airborne. Fuel is being consumed, no gauge reading exists, burn is incomplete</t>
  </si>
  <si>
    <t xml:space="preserve">A difference on every airborne tail, structurally, every month</t>
  </si>
  <si>
    <t xml:space="preserve">Last on-blocks before period end</t>
  </si>
  <si>
    <t xml:space="preserve">Different clock time per tail, same accounting period</t>
  </si>
  <si>
    <t xml:space="preserve">Fuel is static and a gauge reading exists. The comparison means something</t>
  </si>
  <si>
    <t xml:space="preserve">Tail airborne through the whole cutoff window</t>
  </si>
  <si>
    <t xml:space="preserve">No on-blocks event in the period</t>
  </si>
  <si>
    <t xml:space="preserve">Excluded with a reason, never reported as a difference</t>
  </si>
  <si>
    <t xml:space="preserve">THREE WAY COMPARISON  -  each pair answers a different question</t>
  </si>
  <si>
    <t xml:space="preserve">Question</t>
  </si>
  <si>
    <t xml:space="preserve">A difference means</t>
  </si>
  <si>
    <t xml:space="preserve">SAP stock vs FuelSphere ledger</t>
  </si>
  <si>
    <t xml:space="preserve">Is everything posted?</t>
  </si>
  <si>
    <t xml:space="preserve">Posting lag. Explainable by unposted uplift and burn. A timing difference, not an error</t>
  </si>
  <si>
    <t xml:space="preserve">FuelSphere ledger vs gauge</t>
  </si>
  <si>
    <t xml:space="preserve">Did we capture every physical event?</t>
  </si>
  <si>
    <t xml:space="preserve">An uncaptured uplift, defuel or jettison, or a gauge fault. This is the real finding</t>
  </si>
  <si>
    <t xml:space="preserve">SAP stock vs gauge</t>
  </si>
  <si>
    <t xml:space="preserve">The net position finance sees</t>
  </si>
  <si>
    <t xml:space="preserve">The sum of both. Only useful once decomposed into the two above</t>
  </si>
  <si>
    <t xml:space="preserve">FS_PRICE_QUOTATION  -  market data. Publications and assessments are customer configured, not shipped. Both feed and manual entry supported; restatement triggers repricing</t>
  </si>
  <si>
    <t xml:space="preserve">quotation_id</t>
  </si>
  <si>
    <t xml:space="preserve">publication</t>
  </si>
  <si>
    <t xml:space="preserve">assessment_code</t>
  </si>
  <si>
    <t xml:space="preserve">region</t>
  </si>
  <si>
    <t xml:space="preserve">grade</t>
  </si>
  <si>
    <t xml:space="preserve">quote_date</t>
  </si>
  <si>
    <t xml:space="preserve">quote_high</t>
  </si>
  <si>
    <t xml:space="preserve">quote_low</t>
  </si>
  <si>
    <t xml:space="preserve">quote_mean</t>
  </si>
  <si>
    <t xml:space="preserve">quote_currency</t>
  </si>
  <si>
    <t xml:space="preserve">quote_uom</t>
  </si>
  <si>
    <t xml:space="preserve">source</t>
  </si>
  <si>
    <t xml:space="preserve">entry_method</t>
  </si>
  <si>
    <t xml:space="preserve">restated_flag</t>
  </si>
  <si>
    <t xml:space="preserve">original_mean</t>
  </si>
  <si>
    <t xml:space="preserve">restated_utc</t>
  </si>
  <si>
    <t xml:space="preserve">QT-0001</t>
  </si>
  <si>
    <t xml:space="preserve">PLATTS</t>
  </si>
  <si>
    <t xml:space="preserve">JET_KERO_FOB_SG</t>
  </si>
  <si>
    <t xml:space="preserve">ASIA</t>
  </si>
  <si>
    <t xml:space="preserve">2026-08-12</t>
  </si>
  <si>
    <t xml:space="preserve">MT</t>
  </si>
  <si>
    <t xml:space="preserve">FEED</t>
  </si>
  <si>
    <t xml:space="preserve">AUTO</t>
  </si>
  <si>
    <t xml:space="preserve">QT-0002</t>
  </si>
  <si>
    <t xml:space="preserve">2026-08-13</t>
  </si>
  <si>
    <t xml:space="preserve">QT-0003</t>
  </si>
  <si>
    <t xml:space="preserve">QT-0004</t>
  </si>
  <si>
    <t xml:space="preserve">KEYED</t>
  </si>
  <si>
    <t xml:space="preserve">Feed outage. Keyed from the published bulletin</t>
  </si>
  <si>
    <t xml:space="preserve">QT-0005</t>
  </si>
  <si>
    <t xml:space="preserve">NO_QUOTE</t>
  </si>
  <si>
    <t xml:space="preserve">Saturday. No assessment published</t>
  </si>
  <si>
    <t xml:space="preserve">QT-0006</t>
  </si>
  <si>
    <t xml:space="preserve">Sunday</t>
  </si>
  <si>
    <t xml:space="preserve">QT-0007</t>
  </si>
  <si>
    <t xml:space="preserve">2026-08-20T09:14Z</t>
  </si>
  <si>
    <t xml:space="preserve">RESTATED. Anything priced on this date must reprice</t>
  </si>
  <si>
    <t xml:space="preserve">QT-0008</t>
  </si>
  <si>
    <t xml:space="preserve">ARGUS</t>
  </si>
  <si>
    <t xml:space="preserve">JET_MOPAG</t>
  </si>
  <si>
    <t xml:space="preserve">ME</t>
  </si>
  <si>
    <t xml:space="preserve">Second publication for a different contract</t>
  </si>
  <si>
    <t xml:space="preserve">FS_PRICING_SCHEME  -  pricing_source decides which engine runs. NATIVE uses this definition; CPE delegates to the SAP formula; FIXED and POSTED bypass both</t>
  </si>
  <si>
    <t xml:space="preserve">scheme_id</t>
  </si>
  <si>
    <t xml:space="preserve">scheme_code</t>
  </si>
  <si>
    <t xml:space="preserve">pricing_source</t>
  </si>
  <si>
    <t xml:space="preserve">cpe_formula_ref</t>
  </si>
  <si>
    <t xml:space="preserve">quotation_basis</t>
  </si>
  <si>
    <t xml:space="preserve">averaging_rule</t>
  </si>
  <si>
    <t xml:space="preserve">averaging_days</t>
  </si>
  <si>
    <t xml:space="preserve">pricing_date_rule</t>
  </si>
  <si>
    <t xml:space="preserve">lag_days</t>
  </si>
  <si>
    <t xml:space="preserve">missing_quote_policy</t>
  </si>
  <si>
    <t xml:space="preserve">provisional_basis</t>
  </si>
  <si>
    <t xml:space="preserve">index_uom</t>
  </si>
  <si>
    <t xml:space="preserve">index_currency</t>
  </si>
  <si>
    <t xml:space="preserve">price_uom</t>
  </si>
  <si>
    <t xml:space="preserve">price_currency</t>
  </si>
  <si>
    <t xml:space="preserve">density_basis</t>
  </si>
  <si>
    <t xml:space="preserve">contractual_density</t>
  </si>
  <si>
    <t xml:space="preserve">rounding_decimals</t>
  </si>
  <si>
    <t xml:space="preserve">rounding_point</t>
  </si>
  <si>
    <t xml:space="preserve">PSC-01</t>
  </si>
  <si>
    <t xml:space="preserve">MNL-PPC-DAILY</t>
  </si>
  <si>
    <t xml:space="preserve">MNL fuel, daily Platts plus differential</t>
  </si>
  <si>
    <t xml:space="preserve">NATIVE</t>
  </si>
  <si>
    <t xml:space="preserve">MEAN</t>
  </si>
  <si>
    <t xml:space="preserve">DAILY</t>
  </si>
  <si>
    <t xml:space="preserve">UPLIFT_DATE</t>
  </si>
  <si>
    <t xml:space="preserve">PRIOR_AVAILABLE</t>
  </si>
  <si>
    <t xml:space="preserve">L</t>
  </si>
  <si>
    <t xml:space="preserve">DELIVERED</t>
  </si>
  <si>
    <t xml:space="preserve">UNIT_PRICE</t>
  </si>
  <si>
    <t xml:space="preserve">Prices on the day. No provisional stage</t>
  </si>
  <si>
    <t xml:space="preserve">PSC-02</t>
  </si>
  <si>
    <t xml:space="preserve">MNL-PPC-MAVG</t>
  </si>
  <si>
    <t xml:space="preserve">MNL fuel, calendar month average</t>
  </si>
  <si>
    <t xml:space="preserve">MONTH_AVG</t>
  </si>
  <si>
    <t xml:space="preserve">SKIP_NO_QUOTE</t>
  </si>
  <si>
    <t xml:space="preserve">PRIOR_MONTH_AVG</t>
  </si>
  <si>
    <t xml:space="preserve">CONTRACTUAL</t>
  </si>
  <si>
    <t xml:space="preserve">Cannot price until the month closes. Provisional then final</t>
  </si>
  <si>
    <t xml:space="preserve">PSC-03</t>
  </si>
  <si>
    <t xml:space="preserve">LAX-XOM-SEMI</t>
  </si>
  <si>
    <t xml:space="preserve">LAX fuel, semi monthly average with lag</t>
  </si>
  <si>
    <t xml:space="preserve">SEMI_MONTHLY</t>
  </si>
  <si>
    <t xml:space="preserve">DELIVERY_DATE</t>
  </si>
  <si>
    <t xml:space="preserve">LAST_KNOWN</t>
  </si>
  <si>
    <t xml:space="preserve">LINE</t>
  </si>
  <si>
    <t xml:space="preserve">Two day lag on the pricing date</t>
  </si>
  <si>
    <t xml:space="preserve">PSC-04</t>
  </si>
  <si>
    <t xml:space="preserve">DXB-ENOC-CPE</t>
  </si>
  <si>
    <t xml:space="preserve">DXB fuel, priced through SAP CPE</t>
  </si>
  <si>
    <t xml:space="preserve">CPE</t>
  </si>
  <si>
    <t xml:space="preserve">CPE_JET_DXB_01</t>
  </si>
  <si>
    <t xml:space="preserve">Customer has CPE configured. Native engine not used for this contract</t>
  </si>
  <si>
    <t xml:space="preserve">PSC-05</t>
  </si>
  <si>
    <t xml:space="preserve">CEB-SHL-POSTED</t>
  </si>
  <si>
    <t xml:space="preserve">CEB, posted price at an uncontracted station</t>
  </si>
  <si>
    <t xml:space="preserve">Ad hoc. Supplier posted rate on the day</t>
  </si>
  <si>
    <t xml:space="preserve">PSC-06</t>
  </si>
  <si>
    <t xml:space="preserve">MNL-PPC-FIXED</t>
  </si>
  <si>
    <t xml:space="preserve">MNL, fixed rate for a seasonal charter block</t>
  </si>
  <si>
    <t xml:space="preserve">FIXED</t>
  </si>
  <si>
    <t xml:space="preserve">2026-09-30</t>
  </si>
  <si>
    <t xml:space="preserve">Flat rate, no index</t>
  </si>
  <si>
    <t xml:space="preserve">PSC-07</t>
  </si>
  <si>
    <t xml:space="preserve">MNL-PPC-ROLL</t>
  </si>
  <si>
    <t xml:space="preserve">MNL, rolling five day average</t>
  </si>
  <si>
    <t xml:space="preserve">HIGH_LOW_AVG</t>
  </si>
  <si>
    <t xml:space="preserve">ROLLING_N</t>
  </si>
  <si>
    <t xml:space="preserve">Weekend gaps skipped, not carried forward</t>
  </si>
  <si>
    <t xml:space="preserve">FS_PRICE_COMPONENT  -  components are held separately, never folded into a unit price. vendor_role and po_type decide which PO each component lands on</t>
  </si>
  <si>
    <t xml:space="preserve">component_id</t>
  </si>
  <si>
    <t xml:space="preserve">sequence</t>
  </si>
  <si>
    <t xml:space="preserve">component_type</t>
  </si>
  <si>
    <t xml:space="preserve">calculation_basis</t>
  </si>
  <si>
    <t xml:space="preserve">value</t>
  </si>
  <si>
    <t xml:space="preserve">uom</t>
  </si>
  <si>
    <t xml:space="preserve">vendor_role</t>
  </si>
  <si>
    <t xml:space="preserve">in_po_price</t>
  </si>
  <si>
    <t xml:space="preserve">po_type</t>
  </si>
  <si>
    <t xml:space="preserve">PCM-01</t>
  </si>
  <si>
    <t xml:space="preserve">INDEX</t>
  </si>
  <si>
    <t xml:space="preserve">DERIVED</t>
  </si>
  <si>
    <t xml:space="preserve">FUEL_SUPPLIER</t>
  </si>
  <si>
    <t xml:space="preserve">FUEL_PO</t>
  </si>
  <si>
    <t xml:space="preserve">Index converted from USD per MT to USD per litre using density</t>
  </si>
  <si>
    <t xml:space="preserve">PCM-02</t>
  </si>
  <si>
    <t xml:space="preserve">DIFFERENTIAL</t>
  </si>
  <si>
    <t xml:space="preserve">PER_LITRE</t>
  </si>
  <si>
    <t xml:space="preserve">Contract differential</t>
  </si>
  <si>
    <t xml:space="preserve">PCM-03</t>
  </si>
  <si>
    <t xml:space="preserve">INTO_PLANE_FEE</t>
  </si>
  <si>
    <t xml:space="preserve">Same vendor does into-plane, so it is inside the fuel PO price</t>
  </si>
  <si>
    <t xml:space="preserve">PCM-04</t>
  </si>
  <si>
    <t xml:space="preserve">THROUGHPUT</t>
  </si>
  <si>
    <t xml:space="preserve">Hydrant throughput, billed by the fuel supplier here</t>
  </si>
  <si>
    <t xml:space="preserve">PCM-05</t>
  </si>
  <si>
    <t xml:space="preserve">PCM-06</t>
  </si>
  <si>
    <t xml:space="preserve">PCM-07</t>
  </si>
  <si>
    <t xml:space="preserve">PCM-08</t>
  </si>
  <si>
    <t xml:space="preserve">PCM-09</t>
  </si>
  <si>
    <t xml:space="preserve">INTO_PLANE</t>
  </si>
  <si>
    <t xml:space="preserve">SERVICE_PO</t>
  </si>
  <si>
    <t xml:space="preserve">Different vendor. Goes on the service PO, not the fuel PO</t>
  </si>
  <si>
    <t xml:space="preserve">PCM-10</t>
  </si>
  <si>
    <t xml:space="preserve">AIRPORT_LEVY</t>
  </si>
  <si>
    <t xml:space="preserve">PCM-11</t>
  </si>
  <si>
    <t xml:space="preserve">FIXED_PRICE</t>
  </si>
  <si>
    <t xml:space="preserve">Flat all in rate</t>
  </si>
  <si>
    <t xml:space="preserve">FS_INTO_PLANE_PRICE  -  per litre at station level. OPEN POINT: richer models (banded volume, per turn, aircraft size, out of hours) are not yet supported</t>
  </si>
  <si>
    <t xml:space="preserve">ip_price_id</t>
  </si>
  <si>
    <t xml:space="preserve">into_plane_vendor</t>
  </si>
  <si>
    <t xml:space="preserve">sap_vendor_id</t>
  </si>
  <si>
    <t xml:space="preserve">price_per_litre</t>
  </si>
  <si>
    <t xml:space="preserve">minimum_charge</t>
  </si>
  <si>
    <t xml:space="preserve">min_charge_basis</t>
  </si>
  <si>
    <t xml:space="preserve">service_material</t>
  </si>
  <si>
    <t xml:space="preserve">IPP-01</t>
  </si>
  <si>
    <t xml:space="preserve">V-100411</t>
  </si>
  <si>
    <t xml:space="preserve">PER_UPLIFT</t>
  </si>
  <si>
    <t xml:space="preserve">SRV-INTOPLANE</t>
  </si>
  <si>
    <t xml:space="preserve">Same vendor as fuel supply. Charged inside the fuel PO, not separately</t>
  </si>
  <si>
    <t xml:space="preserve">IPP-02</t>
  </si>
  <si>
    <t xml:space="preserve">XOM-IPA</t>
  </si>
  <si>
    <t xml:space="preserve">V-100512</t>
  </si>
  <si>
    <t xml:space="preserve">Separate vendor. Own service PO</t>
  </si>
  <si>
    <t xml:space="preserve">IPP-03</t>
  </si>
  <si>
    <t xml:space="preserve">V-100633</t>
  </si>
  <si>
    <t xml:space="preserve">Ad hoc station</t>
  </si>
  <si>
    <t xml:space="preserve">IPP-04</t>
  </si>
  <si>
    <t xml:space="preserve">SATS-IPA</t>
  </si>
  <si>
    <t xml:space="preserve">V-100744</t>
  </si>
  <si>
    <t xml:space="preserve">IPP-05</t>
  </si>
  <si>
    <t xml:space="preserve">DXB</t>
  </si>
  <si>
    <t xml:space="preserve">ENOC-IPA</t>
  </si>
  <si>
    <t xml:space="preserve">V-100855</t>
  </si>
  <si>
    <t xml:space="preserve">FS_TAX_CODE_RULE  -  FuelSphere determines the tax CODE; SAP calculates the amount. The code depends on flight nature, which only FuelSphere knows</t>
  </si>
  <si>
    <t xml:space="preserve">country</t>
  </si>
  <si>
    <t xml:space="preserve">tax_code</t>
  </si>
  <si>
    <t xml:space="preserve">tax_description</t>
  </si>
  <si>
    <t xml:space="preserve">exemption_basis</t>
  </si>
  <si>
    <t xml:space="preserve">certificate_ref</t>
  </si>
  <si>
    <t xml:space="preserve">TXR-01</t>
  </si>
  <si>
    <t xml:space="preserve">CONTRACT_DEFAULT</t>
  </si>
  <si>
    <t xml:space="preserve">V1</t>
  </si>
  <si>
    <t xml:space="preserve">Standard input VAT</t>
  </si>
  <si>
    <t xml:space="preserve">Fallback. Taken from the contract when no rule matches</t>
  </si>
  <si>
    <t xml:space="preserve">TXR-02</t>
  </si>
  <si>
    <t xml:space="preserve">COUNTRY_NATURE</t>
  </si>
  <si>
    <t xml:space="preserve">PH</t>
  </si>
  <si>
    <t xml:space="preserve">INTERNATIONAL</t>
  </si>
  <si>
    <t xml:space="preserve">V0</t>
  </si>
  <si>
    <t xml:space="preserve">Zero rated, international sector</t>
  </si>
  <si>
    <t xml:space="preserve">CHICAGO_CONVENTION</t>
  </si>
  <si>
    <t xml:space="preserve">EXC-PH-2026-114</t>
  </si>
  <si>
    <t xml:space="preserve">Excise and VAT exempt for international operations</t>
  </si>
  <si>
    <t xml:space="preserve">TXR-03</t>
  </si>
  <si>
    <t xml:space="preserve">DOMESTIC</t>
  </si>
  <si>
    <t xml:space="preserve">Domestic sectors are fully taxable</t>
  </si>
  <si>
    <t xml:space="preserve">TXR-04</t>
  </si>
  <si>
    <t xml:space="preserve">COUNTRY_NATURE_SERVICE</t>
  </si>
  <si>
    <t xml:space="preserve">Training flights lose the exemption. Not commercial air transport</t>
  </si>
  <si>
    <t xml:space="preserve">TXR-05</t>
  </si>
  <si>
    <t xml:space="preserve">Zero rated</t>
  </si>
  <si>
    <t xml:space="preserve">Positioning flights retain the exemption in this jurisdiction</t>
  </si>
  <si>
    <t xml:space="preserve">TXR-06</t>
  </si>
  <si>
    <t xml:space="preserve">US</t>
  </si>
  <si>
    <t xml:space="preserve">E0</t>
  </si>
  <si>
    <t xml:space="preserve">Federal excise exempt</t>
  </si>
  <si>
    <t xml:space="preserve">IRC_4041</t>
  </si>
  <si>
    <t xml:space="preserve">EXC-US-2026-882</t>
  </si>
  <si>
    <t xml:space="preserve">TXR-07</t>
  </si>
  <si>
    <t xml:space="preserve">E1</t>
  </si>
  <si>
    <t xml:space="preserve">Federal excise applies</t>
  </si>
  <si>
    <t xml:space="preserve">TXR-08</t>
  </si>
  <si>
    <t xml:space="preserve">V2</t>
  </si>
  <si>
    <t xml:space="preserve">Reduced rate, provincial</t>
  </si>
  <si>
    <t xml:space="preserve">Station level override above country</t>
  </si>
  <si>
    <t xml:space="preserve">FS_PRICE_CALCULATION  -  worked pricing per uplift. Index in USD per MT converts to USD per litre using density. Into-plane sits in the fuel PO or the service PO depending on the vendor</t>
  </si>
  <si>
    <t xml:space="preserve">calc_id</t>
  </si>
  <si>
    <t xml:space="preserve">price_status</t>
  </si>
  <si>
    <t xml:space="preserve">uplift_litres</t>
  </si>
  <si>
    <t xml:space="preserve">density_used</t>
  </si>
  <si>
    <t xml:space="preserve">index_quote_usd_mt</t>
  </si>
  <si>
    <t xml:space="preserve">index_usd_per_l</t>
  </si>
  <si>
    <t xml:space="preserve">differential_usd_l</t>
  </si>
  <si>
    <t xml:space="preserve">into_plane_usd_l</t>
  </si>
  <si>
    <t xml:space="preserve">other_fees_usd_l</t>
  </si>
  <si>
    <t xml:space="preserve">supplied_unit_price</t>
  </si>
  <si>
    <t xml:space="preserve">fuel_po_unit_price</t>
  </si>
  <si>
    <t xml:space="preserve">service_po_unit_price</t>
  </si>
  <si>
    <t xml:space="preserve">fuel_po_value</t>
  </si>
  <si>
    <t xml:space="preserve">service_po_value</t>
  </si>
  <si>
    <t xml:space="preserve">pricing_date</t>
  </si>
  <si>
    <t xml:space="preserve">quotes_used</t>
  </si>
  <si>
    <t xml:space="preserve">PRC-0001</t>
  </si>
  <si>
    <t xml:space="preserve">FINAL</t>
  </si>
  <si>
    <t xml:space="preserve">1 daily quote</t>
  </si>
  <si>
    <t xml:space="preserve">Same vendor into-plane. Everything in the fuel PO, no service PO</t>
  </si>
  <si>
    <t xml:space="preserve">PRC-0002</t>
  </si>
  <si>
    <t xml:space="preserve">Widebody uplift, same scheme</t>
  </si>
  <si>
    <t xml:space="preserve">PRC-0003</t>
  </si>
  <si>
    <t xml:space="preserve">Posted rate</t>
  </si>
  <si>
    <t xml:space="preserve">No index. Supplier posted price at an uncontracted station</t>
  </si>
  <si>
    <t xml:space="preserve">PRC-0004</t>
  </si>
  <si>
    <t xml:space="preserve">Prior month average</t>
  </si>
  <si>
    <t xml:space="preserve">Month average contract. Provisional until August closes</t>
  </si>
  <si>
    <t xml:space="preserve">PRC-0005</t>
  </si>
  <si>
    <t xml:space="preserve">August average, 20 quotes</t>
  </si>
  <si>
    <t xml:space="preserve">Repriced when the average published. Difference settled by debit note</t>
  </si>
  <si>
    <t xml:space="preserve">PRC-0006</t>
  </si>
  <si>
    <t xml:space="preserve">Semi monthly, 11 quotes</t>
  </si>
  <si>
    <t xml:space="preserve">Different into-plane vendor. Service PO carries the into-plane charge</t>
  </si>
  <si>
    <t xml:space="preserve">PRC-0007</t>
  </si>
  <si>
    <t xml:space="preserve">Fixed rate charter block. Domestic sector, standard VAT</t>
  </si>
  <si>
    <t xml:space="preserve">PRC-0008</t>
  </si>
  <si>
    <t xml:space="preserve">CPE resolved</t>
  </si>
  <si>
    <t xml:space="preserve">Priced by SAP CPE. FuelSphere records the result, does not compute it</t>
  </si>
  <si>
    <t xml:space="preserve">CALCULATION SEQUENCE  -  native engine. CPE, FIXED and POSTED skip steps 1 to 3</t>
  </si>
  <si>
    <t xml:space="preserve">Operation</t>
  </si>
  <si>
    <t xml:space="preserve">Resolve the pricing period from averaging_rule, pricing_date_rule and lag</t>
  </si>
  <si>
    <t xml:space="preserve">Month average cannot resolve until the month closes</t>
  </si>
  <si>
    <t xml:space="preserve">Select quotes for the period, applying missing_quote_policy</t>
  </si>
  <si>
    <t xml:space="preserve">Weekends and holidays have no assessment</t>
  </si>
  <si>
    <t xml:space="preserve">Average per quotation_basis to give the index in contract UoM</t>
  </si>
  <si>
    <t xml:space="preserve">Usually USD per metric tonne</t>
  </si>
  <si>
    <t xml:space="preserve">Convert to price UoM: USD per MT times density divided by 1000</t>
  </si>
  <si>
    <t xml:space="preserve">Density is contractual or delivered, per the scheme</t>
  </si>
  <si>
    <t xml:space="preserve">Add differential and any fee components flagged for the fuel PO</t>
  </si>
  <si>
    <t xml:space="preserve">Components remain individually visible</t>
  </si>
  <si>
    <t xml:space="preserve">Split components by vendor_role into fuel PO and service PO prices</t>
  </si>
  <si>
    <t xml:space="preserve">Same vendor means one PO; different vendors mean two</t>
  </si>
  <si>
    <t xml:space="preserve">Round per rounding_decimals at rounding_point</t>
  </si>
  <si>
    <t xml:space="preserve">Applied at unit price, line or invoice as the contract states</t>
  </si>
  <si>
    <t xml:space="preserve">8</t>
  </si>
  <si>
    <t xml:space="preserve">Determine the tax code from FS_TAX_CODE_RULE</t>
  </si>
  <si>
    <t xml:space="preserve">SAP calculates the amount from the code</t>
  </si>
  <si>
    <t xml:space="preserve">9</t>
  </si>
  <si>
    <t xml:space="preserve">Stamp every quote used and the scheme version onto the calculation</t>
  </si>
  <si>
    <t xml:space="preserve">So the price can be re-explained years later without recomputation</t>
  </si>
  <si>
    <t xml:space="preserve">FS_SAP_DOC_FLOW  -  one fuel ticket, one or two POs. Split vendor means the ePOD acknowledgement maps to both a goods receipt and a service entry sheet</t>
  </si>
  <si>
    <t xml:space="preserve">doc_flow_id</t>
  </si>
  <si>
    <t xml:space="preserve">vendor_model</t>
  </si>
  <si>
    <t xml:space="preserve">fuel_po_number</t>
  </si>
  <si>
    <t xml:space="preserve">fuel_po_item</t>
  </si>
  <si>
    <t xml:space="preserve">fuel_po_qty_l</t>
  </si>
  <si>
    <t xml:space="preserve">fuel_gr_document</t>
  </si>
  <si>
    <t xml:space="preserve">fuel_invoice</t>
  </si>
  <si>
    <t xml:space="preserve">fuel_status</t>
  </si>
  <si>
    <t xml:space="preserve">service_po_number</t>
  </si>
  <si>
    <t xml:space="preserve">service_po_item</t>
  </si>
  <si>
    <t xml:space="preserve">service_po_qty_l</t>
  </si>
  <si>
    <t xml:space="preserve">ses_number</t>
  </si>
  <si>
    <t xml:space="preserve">ses_status</t>
  </si>
  <si>
    <t xml:space="preserve">service_gr_document</t>
  </si>
  <si>
    <t xml:space="preserve">service_invoice</t>
  </si>
  <si>
    <t xml:space="preserve">service_status</t>
  </si>
  <si>
    <t xml:space="preserve">overall_status</t>
  </si>
  <si>
    <t xml:space="preserve">DF-0001</t>
  </si>
  <si>
    <t xml:space="preserve">SINGLE_VENDOR</t>
  </si>
  <si>
    <t xml:space="preserve">4500011201</t>
  </si>
  <si>
    <t xml:space="preserve">5000221101</t>
  </si>
  <si>
    <t xml:space="preserve">5105551201</t>
  </si>
  <si>
    <t xml:space="preserve">Same vendor. One PO, one GR, one invoice. No service PO exists</t>
  </si>
  <si>
    <t xml:space="preserve">DF-0002</t>
  </si>
  <si>
    <t xml:space="preserve">SPLIT_VENDOR</t>
  </si>
  <si>
    <t xml:space="preserve">4500011455</t>
  </si>
  <si>
    <t xml:space="preserve">5000221455</t>
  </si>
  <si>
    <t xml:space="preserve">5105551455</t>
  </si>
  <si>
    <t xml:space="preserve">4500011456</t>
  </si>
  <si>
    <t xml:space="preserve">1000044556</t>
  </si>
  <si>
    <t xml:space="preserve">5000221456</t>
  </si>
  <si>
    <t xml:space="preserve">5105551456</t>
  </si>
  <si>
    <t xml:space="preserve">Split vendor. Fuel PO plus service PO. Ticket maps to both GR and SES</t>
  </si>
  <si>
    <t xml:space="preserve">DF-0003</t>
  </si>
  <si>
    <t xml:space="preserve">4500011388</t>
  </si>
  <si>
    <t xml:space="preserve">5000221388</t>
  </si>
  <si>
    <t xml:space="preserve">Provisional pricing. GR posted, invoice awaited until the month average publishes</t>
  </si>
  <si>
    <t xml:space="preserve">DF-0004</t>
  </si>
  <si>
    <t xml:space="preserve">4500011502</t>
  </si>
  <si>
    <t xml:space="preserve">5000221502</t>
  </si>
  <si>
    <t xml:space="preserve">5105551502</t>
  </si>
  <si>
    <t xml:space="preserve">4500011503</t>
  </si>
  <si>
    <t xml:space="preserve">1000044601</t>
  </si>
  <si>
    <t xml:space="preserve">PENDING</t>
  </si>
  <si>
    <t xml:space="preserve">SES created but not accepted. Service side incomplete while fuel side is done</t>
  </si>
  <si>
    <t xml:space="preserve">DF-0005</t>
  </si>
  <si>
    <t xml:space="preserve">Verbal top up, no order. No PO exists yet. Ticket captured regardless</t>
  </si>
  <si>
    <t xml:space="preserve">DF-0006</t>
  </si>
  <si>
    <t xml:space="preserve">4500011610</t>
  </si>
  <si>
    <t xml:space="preserve">5000221610</t>
  </si>
  <si>
    <t xml:space="preserve">5105551610</t>
  </si>
  <si>
    <t xml:space="preserve">4500011611</t>
  </si>
  <si>
    <t xml:space="preserve">Fuel side complete, SES never created. Service side blocked</t>
  </si>
  <si>
    <t xml:space="preserve">DOCUMENT FLOW  -  the ticket is one physical event; SAP confirmation may be two documents</t>
  </si>
  <si>
    <t xml:space="preserve">Vendor model</t>
  </si>
  <si>
    <t xml:space="preserve">Fuel side</t>
  </si>
  <si>
    <t xml:space="preserve">Service side</t>
  </si>
  <si>
    <t xml:space="preserve">Triggered by</t>
  </si>
  <si>
    <t xml:space="preserve">Single vendor</t>
  </si>
  <si>
    <t xml:space="preserve">PO against fuel value contract, GR, invoice</t>
  </si>
  <si>
    <t xml:space="preserve">Not applicable. Into-plane is inside the fuel price</t>
  </si>
  <si>
    <t xml:space="preserve">Fuel ticket or ePOD</t>
  </si>
  <si>
    <t xml:space="preserve">Split vendor</t>
  </si>
  <si>
    <t xml:space="preserve">Service PO against into-plane value contract, SES, GR on acceptance, invoice</t>
  </si>
  <si>
    <t xml:space="preserve">One fuel ticket or ePOD maps to both</t>
  </si>
  <si>
    <t xml:space="preserve">No order</t>
  </si>
  <si>
    <t xml:space="preserve">None until matched</t>
  </si>
  <si>
    <t xml:space="preserve">Ticket captured anyway; PO raised later</t>
  </si>
  <si>
    <t xml:space="preserve">UI_LAYOUT_SPEC  -  region by region layout for the high traffic screens. Field order, control, behaviour and the actions available at each point</t>
  </si>
  <si>
    <t xml:space="preserve">Region</t>
  </si>
  <si>
    <t xml:space="preserve">Seq</t>
  </si>
  <si>
    <t xml:space="preserve">Element</t>
  </si>
  <si>
    <t xml:space="preserve">Fields / content</t>
  </si>
  <si>
    <t xml:space="preserve">Control</t>
  </si>
  <si>
    <t xml:space="preserve">Behaviour</t>
  </si>
  <si>
    <t xml:space="preserve">Actions available</t>
  </si>
  <si>
    <t xml:space="preserve">Flight Operations Worklist</t>
  </si>
  <si>
    <t xml:space="preserve">FILTER_BAR</t>
  </si>
  <si>
    <t xml:space="preserve">Primary filters</t>
  </si>
  <si>
    <t xml:space="preserve">sched_dep_date_utc (range, mandatory), departure_station, arrival_station, actual_registration, flight_status</t>
  </si>
  <si>
    <t xml:space="preserve">SmartFilterBar</t>
  </si>
  <si>
    <t xml:space="preserve">Date defaults to today plus 2 days. Collapses once a variant is applied</t>
  </si>
  <si>
    <t xml:space="preserve">Save variant, Clear all, Adapt filters</t>
  </si>
  <si>
    <t xml:space="preserve">Never loads unbounded</t>
  </si>
  <si>
    <t xml:space="preserve">Secondary filters</t>
  </si>
  <si>
    <t xml:space="preserve">operating_carrier, service_type, fuel_processing_mode, sync_status, ops_phase</t>
  </si>
  <si>
    <t xml:space="preserve">Adapt filters</t>
  </si>
  <si>
    <t xml:space="preserve">Hidden by default, addable by the user</t>
  </si>
  <si>
    <t xml:space="preserve">TABLE</t>
  </si>
  <si>
    <t xml:space="preserve">Columns</t>
  </si>
  <si>
    <t xml:space="preserve">flight_number, sched_dep_date_utc, route, std_utc, actual_registration, flight_status, ops_phase, sync_status, fuel_processing_mode, completeness_status</t>
  </si>
  <si>
    <t xml:space="preserve">SmartTable</t>
  </si>
  <si>
    <t xml:space="preserve">Sort by std_utc ascending. Growing threshold 50</t>
  </si>
  <si>
    <t xml:space="preserve">Personalise, Export, Group by station</t>
  </si>
  <si>
    <t xml:space="preserve">sync_status and completeness_status carry semantic state</t>
  </si>
  <si>
    <t xml:space="preserve">Row navigation</t>
  </si>
  <si>
    <t xml:space="preserve">Whole row navigates to UI-02</t>
  </si>
  <si>
    <t xml:space="preserve">Chevron is not the only target</t>
  </si>
  <si>
    <t xml:space="preserve">TOOLBAR</t>
  </si>
  <si>
    <t xml:space="preserve">Table actions</t>
  </si>
  <si>
    <t xml:space="preserve">Enabled on selection</t>
  </si>
  <si>
    <t xml:space="preserve">Export to spreadsheet, Assign</t>
  </si>
  <si>
    <t xml:space="preserve">EMPTY_STATE</t>
  </si>
  <si>
    <t xml:space="preserve">No results</t>
  </si>
  <si>
    <t xml:space="preserve">Distinguishes no data from filtered out</t>
  </si>
  <si>
    <t xml:space="preserve">IllustratedMessage</t>
  </si>
  <si>
    <t xml:space="preserve">Clear filters</t>
  </si>
  <si>
    <t xml:space="preserve">Flight Operations Detail</t>
  </si>
  <si>
    <t xml:space="preserve">HEADER</t>
  </si>
  <si>
    <t xml:space="preserve">Title</t>
  </si>
  <si>
    <t xml:space="preserve">flight_number + sched_dep_date_utc + route</t>
  </si>
  <si>
    <t xml:space="preserve">ObjectPageHeader</t>
  </si>
  <si>
    <t xml:space="preserve">Never the internal leg id alone</t>
  </si>
  <si>
    <t xml:space="preserve">Subtitle</t>
  </si>
  <si>
    <t xml:space="preserve">actual_registration, aircraft_type, operating_carrier</t>
  </si>
  <si>
    <t xml:space="preserve">flight_status, ops_phase, sync_status</t>
  </si>
  <si>
    <t xml:space="preserve">ObjectStatus</t>
  </si>
  <si>
    <t xml:space="preserve">Semantic state per the standard mapping</t>
  </si>
  <si>
    <t xml:space="preserve">KPI</t>
  </si>
  <si>
    <t xml:space="preserve">Key figures</t>
  </si>
  <si>
    <t xml:space="preserve">block_fuel (active plan), uplifted_kg, block_burn_kg, completeness_status</t>
  </si>
  <si>
    <t xml:space="preserve">HeaderFacet</t>
  </si>
  <si>
    <t xml:space="preserve">Each drills to its source</t>
  </si>
  <si>
    <t xml:space="preserve">BANNER</t>
  </si>
  <si>
    <t xml:space="preserve">Stale data warning</t>
  </si>
  <si>
    <t xml:space="preserve">pending_field_summary, blocking staging record</t>
  </si>
  <si>
    <t xml:space="preserve">MessageStrip</t>
  </si>
  <si>
    <t xml:space="preserve">Shown only when sync_status is PENDING_UPDATE or STALE</t>
  </si>
  <si>
    <t xml:space="preserve">Open blocking record</t>
  </si>
  <si>
    <t xml:space="preserve">Mandatory. A stale leg must announce itself</t>
  </si>
  <si>
    <t xml:space="preserve">SECTION</t>
  </si>
  <si>
    <t xml:space="preserve">Schedule and actuals</t>
  </si>
  <si>
    <t xml:space="preserve">std_utc, sta_utc, out_utc, off_utc, on_utc, in_utc, block_minutes, flight_minutes, taxi_out_minutes, taxi_in_minutes, delay_code, delay_minutes</t>
  </si>
  <si>
    <t xml:space="preserve">Form, two columns</t>
  </si>
  <si>
    <t xml:space="preserve">Derived minutes read only and visually distinct</t>
  </si>
  <si>
    <t xml:space="preserve">Aircraft and configuration</t>
  </si>
  <si>
    <t xml:space="preserve">aircraft_type_id, aircraft_config_id, planned_registration, actual_registration, tail_change_flag, provisional_tail_flag</t>
  </si>
  <si>
    <t xml:space="preserve">Form</t>
  </si>
  <si>
    <t xml:space="preserve">Confirm tail change</t>
  </si>
  <si>
    <t xml:space="preserve">Ground</t>
  </si>
  <si>
    <t xml:space="preserve">dep_stand, dep_stand_type, arr_stand, arr_stand_type, dep_runway, arr_runway</t>
  </si>
  <si>
    <t xml:space="preserve">Stand type feeds APU avoidability</t>
  </si>
  <si>
    <t xml:space="preserve">Payload and weight</t>
  </si>
  <si>
    <t xml:space="preserve">pax_booked, pax_actual, cargo_kg, mail_kg, actual_zfw_kg, actual_tow_kg, actual_lw_kg, loadsheet_ref</t>
  </si>
  <si>
    <t xml:space="preserve">Explains burn variance</t>
  </si>
  <si>
    <t xml:space="preserve">Fuel arrangement</t>
  </si>
  <si>
    <t xml:space="preserve">fuel_processing_mode, resolved_arrangement_id, cost_allocation_basis</t>
  </si>
  <si>
    <t xml:space="preserve">Read only</t>
  </si>
  <si>
    <t xml:space="preserve">View arrangement trace</t>
  </si>
  <si>
    <t xml:space="preserve">FACET</t>
  </si>
  <si>
    <t xml:space="preserve">Fuel plans</t>
  </si>
  <si>
    <t xml:space="preserve">plan_version, plan_status, block_fuel, required_uplift, change_reason</t>
  </si>
  <si>
    <t xml:space="preserve">Table</t>
  </si>
  <si>
    <t xml:space="preserve">Count in the facet title</t>
  </si>
  <si>
    <t xml:space="preserve">Open plan, Compare versions</t>
  </si>
  <si>
    <t xml:space="preserve">Orders</t>
  </si>
  <si>
    <t xml:space="preserve">order_number, ordered_qty, delivered_qty, fulfilment_check</t>
  </si>
  <si>
    <t xml:space="preserve">Open order</t>
  </si>
  <si>
    <t xml:space="preserve">Tickets</t>
  </si>
  <si>
    <t xml:space="preserve">supplier_ticket_no, quantity_kg, match_status, recon_status</t>
  </si>
  <si>
    <t xml:space="preserve">Open ticket</t>
  </si>
  <si>
    <t xml:space="preserve">burn_source, block_burn_kg, trip_burn_kg, apu_burn_kg, burn_variance_kg, burn_confidence</t>
  </si>
  <si>
    <t xml:space="preserve">Confidence marker inline</t>
  </si>
  <si>
    <t xml:space="preserve">Open burn detail</t>
  </si>
  <si>
    <t xml:space="preserve">Application log</t>
  </si>
  <si>
    <t xml:space="preserve">Errors and warnings for this leg</t>
  </si>
  <si>
    <t xml:space="preserve">Open log</t>
  </si>
  <si>
    <t xml:space="preserve">ofp_reference + plan_version</t>
  </si>
  <si>
    <t xml:space="preserve">flight_number, route, registration, source_system</t>
  </si>
  <si>
    <t xml:space="preserve">plan_status, change_reason, version_gap_flag</t>
  </si>
  <si>
    <t xml:space="preserve">Gap flag warns that intermediate versions were never received</t>
  </si>
  <si>
    <t xml:space="preserve">block_fuel, fuel_on_board, required_uplift</t>
  </si>
  <si>
    <t xml:space="preserve">Unit always shown</t>
  </si>
  <si>
    <t xml:space="preserve">Fuel stack</t>
  </si>
  <si>
    <t xml:space="preserve">trip_fuel, contingency_fuel, alternate_fuel, final_reserve_fuel, additional_fuel, taxi_fuel, extra_fuel, block_fuel</t>
  </si>
  <si>
    <t xml:space="preserve">Form with a stacked bar</t>
  </si>
  <si>
    <t xml:space="preserve">block_fuel derived and read only. Stack ordered as the regulation states</t>
  </si>
  <si>
    <t xml:space="preserve">extra and additional shown separately</t>
  </si>
  <si>
    <t xml:space="preserve">Uplift</t>
  </si>
  <si>
    <t xml:space="preserve">fuel_on_board, required_uplift, tankering_flag, extra_reason_code</t>
  </si>
  <si>
    <t xml:space="preserve">required_uplift derived</t>
  </si>
  <si>
    <t xml:space="preserve">Route and alternates</t>
  </si>
  <si>
    <t xml:space="preserve">alternate_1, alternate_2, est_zfw, cost_index</t>
  </si>
  <si>
    <t xml:space="preserve">source_system, ofp_reference, received_utc, raw_payload_ref</t>
  </si>
  <si>
    <t xml:space="preserve">View raw payload</t>
  </si>
  <si>
    <t xml:space="preserve">FOOTER</t>
  </si>
  <si>
    <t xml:space="preserve">Actions</t>
  </si>
  <si>
    <t xml:space="preserve">Compare with previous version, Create order</t>
  </si>
  <si>
    <t xml:space="preserve">order_number + order_version</t>
  </si>
  <si>
    <t xml:space="preserve">station, supplier, registration, flight_number</t>
  </si>
  <si>
    <t xml:space="preserve">order_status, fulfilment_check, freeze_flag</t>
  </si>
  <si>
    <t xml:space="preserve">ordered_qty, delivered_qty, variance_qty with tolerance_qty beneath</t>
  </si>
  <si>
    <t xml:space="preserve">Variance shows absolute and percentage together</t>
  </si>
  <si>
    <t xml:space="preserve">Tolerance shown alongside the variance</t>
  </si>
  <si>
    <t xml:space="preserve">order_type, ordered_qty, order_unit, sent_utc, freeze_flag, fd_fuel_plan_id</t>
  </si>
  <si>
    <t xml:space="preserve">Amend, Cancel</t>
  </si>
  <si>
    <t xml:space="preserve">Amend disabled when frozen, with the reason on hover</t>
  </si>
  <si>
    <t xml:space="preserve">Fulfilment</t>
  </si>
  <si>
    <t xml:space="preserve">delivered_qty, ticket_count, variance_qty, variance_pct, tolerance_qty, fulfilment_check, under_delivery_reason</t>
  </si>
  <si>
    <t xml:space="preserve">delivered_qty summed from tickets, read only</t>
  </si>
  <si>
    <t xml:space="preserve">Set under-delivery reason</t>
  </si>
  <si>
    <t xml:space="preserve">Reason mandatory when under delivered</t>
  </si>
  <si>
    <t xml:space="preserve">scheme_id, pricing_source, price_status, fuel_po_unit_price, service_po_unit_price, tax_code</t>
  </si>
  <si>
    <t xml:space="preserve">Open price trace</t>
  </si>
  <si>
    <t xml:space="preserve">supplier_ticket_no, uplift_sequence, quantity_kg, recon_status, match_status</t>
  </si>
  <si>
    <t xml:space="preserve">Sum row at the foot</t>
  </si>
  <si>
    <t xml:space="preserve">SAP documents</t>
  </si>
  <si>
    <t xml:space="preserve">fuel_po_number, fuel_gr_document, service_po_number, ses_number</t>
  </si>
  <si>
    <t xml:space="preserve">Open document flow</t>
  </si>
  <si>
    <t xml:space="preserve">Raise top-up order, Raise defuel order</t>
  </si>
  <si>
    <t xml:space="preserve">uplift_date (range, mandatory), station, supplier_code, registration, match_status, recon_status</t>
  </si>
  <si>
    <t xml:space="preserve">Date defaults to last 7 days</t>
  </si>
  <si>
    <t xml:space="preserve">Save variant, Clear all</t>
  </si>
  <si>
    <t xml:space="preserve">event_type, ticket_source, fuel_grade, bowser_id, provisional_supplier_flag</t>
  </si>
  <si>
    <t xml:space="preserve">DISPLAY_FILTER</t>
  </si>
  <si>
    <t xml:space="preserve">View switch</t>
  </si>
  <si>
    <t xml:space="preserve">All, Unmatched, Reconciliation failed, Unbilled</t>
  </si>
  <si>
    <t xml:space="preserve">SegmentedButton</t>
  </si>
  <si>
    <t xml:space="preserve">Narrows the loaded set without a new query</t>
  </si>
  <si>
    <t xml:space="preserve">Distinct from the selection filters above</t>
  </si>
  <si>
    <t xml:space="preserve">supplier_ticket_no, uplift_date, station, registration, event_type, quantity_litres, density_kg_per_l, quantity_kg, recon_variance_kg, recon_status, match_status</t>
  </si>
  <si>
    <t xml:space="preserve">Sort by uplift_date descending. Growing threshold 50</t>
  </si>
  <si>
    <t xml:space="preserve">Personalise, Export</t>
  </si>
  <si>
    <t xml:space="preserve">Density to four decimals. Negative quantities shown negative</t>
  </si>
  <si>
    <t xml:space="preserve">Mass actions</t>
  </si>
  <si>
    <t xml:space="preserve">Enabled on multi-select</t>
  </si>
  <si>
    <t xml:space="preserve">Match to leg, Accept variance, Raise dispute, Reprocess</t>
  </si>
  <si>
    <t xml:space="preserve">Create</t>
  </si>
  <si>
    <t xml:space="preserve">supplier_ticket_no + supplier_code + station</t>
  </si>
  <si>
    <t xml:space="preserve">registration, uplift_date, flight_number where matched</t>
  </si>
  <si>
    <t xml:space="preserve">event_type, match_status, recon_status, provisional_supplier_flag</t>
  </si>
  <si>
    <t xml:space="preserve">quantity_kg, fob_delta_kg, recon_variance_kg with tolerance beneath</t>
  </si>
  <si>
    <t xml:space="preserve">Delivery</t>
  </si>
  <si>
    <t xml:space="preserve">event_type, fuel_grade, saf_blend_pct, delivery_method, bowser_id, uplift_start_utc, uplift_end_utc, uplift_sequence, is_partial</t>
  </si>
  <si>
    <t xml:space="preserve">Measurement — supplier</t>
  </si>
  <si>
    <t xml:space="preserve">meter_start, meter_end, quantity_litres, density_kg_per_l, density_temp_c, batch_coa_ref, quantity_kg</t>
  </si>
  <si>
    <t xml:space="preserve">quantity_kg derived. Density four decimals</t>
  </si>
  <si>
    <t xml:space="preserve">This is the billing basis</t>
  </si>
  <si>
    <t xml:space="preserve">Measurement — aircraft</t>
  </si>
  <si>
    <t xml:space="preserve">fob_before_kg, fob_after_kg, fob_delta_kg</t>
  </si>
  <si>
    <t xml:space="preserve">Delta derived</t>
  </si>
  <si>
    <t xml:space="preserve">This is what the aircraft received</t>
  </si>
  <si>
    <t xml:space="preserve">recon_variance_kg, tolerance applied, recon_status, water_check_result</t>
  </si>
  <si>
    <t xml:space="preserve">Tolerance shown with its source parameter</t>
  </si>
  <si>
    <t xml:space="preserve">Accept variance, Raise dispute</t>
  </si>
  <si>
    <t xml:space="preserve">Applied parameter linked</t>
  </si>
  <si>
    <t xml:space="preserve">Links</t>
  </si>
  <si>
    <t xml:space="preserve">flight_leg_id, fuel_order_id, fd_fuel_plan_id, cost_allocation_basis</t>
  </si>
  <si>
    <t xml:space="preserve">Nullable fields shown as unmatched, not blank</t>
  </si>
  <si>
    <t xml:space="preserve">Match to leg, Match to order</t>
  </si>
  <si>
    <t xml:space="preserve">Provenance</t>
  </si>
  <si>
    <t xml:space="preserve">ticket_source, raw_payload_ref, fueller_id, receiver_signature_ref, created_by, created_utc</t>
  </si>
  <si>
    <t xml:space="preserve">Fuel PO and service PO chains</t>
  </si>
  <si>
    <t xml:space="preserve">scheme, price_status, unit prices, components</t>
  </si>
  <si>
    <t xml:space="preserve">Applied parameters</t>
  </si>
  <si>
    <t xml:space="preserve">Which tolerance applied and from which config row</t>
  </si>
  <si>
    <t xml:space="preserve">Open parameter</t>
  </si>
  <si>
    <t xml:space="preserve">Identify the ticket</t>
  </si>
  <si>
    <t xml:space="preserve">supplier_code, station, supplier_ticket_no, uplift_date</t>
  </si>
  <si>
    <t xml:space="preserve">Defaults from context where a leg is preselected</t>
  </si>
  <si>
    <t xml:space="preserve">Field order follows the paper document</t>
  </si>
  <si>
    <t xml:space="preserve">Aircraft and flight</t>
  </si>
  <si>
    <t xml:space="preserve">registration, flight_leg_id</t>
  </si>
  <si>
    <t xml:space="preserve">Form with value help</t>
  </si>
  <si>
    <t xml:space="preserve">Leg suggested from registration and time</t>
  </si>
  <si>
    <t xml:space="preserve">event_type, fuel_grade, bowser_id, uplift_start_utc, uplift_end_utc</t>
  </si>
  <si>
    <t xml:space="preserve">meter_start, meter_end, quantity_litres, density_kg_per_l, density_temp_c, quantity_kg</t>
  </si>
  <si>
    <t xml:space="preserve">Litres derived from meters; kg derived from litres and density. Both live</t>
  </si>
  <si>
    <t xml:space="preserve">Plausibility on entry, not on save</t>
  </si>
  <si>
    <t xml:space="preserve">Aircraft gauge</t>
  </si>
  <si>
    <t xml:space="preserve">fob_before_kg, fob_after_kg</t>
  </si>
  <si>
    <t xml:space="preserve">Optional. Variance shown live as entered</t>
  </si>
  <si>
    <t xml:space="preserve">VALIDATION</t>
  </si>
  <si>
    <t xml:space="preserve">Live checks</t>
  </si>
  <si>
    <t xml:space="preserve">Density outside grade range, quantity implausible for tank capacity, meter delta not equal to litres</t>
  </si>
  <si>
    <t xml:space="preserve">ValueState + MessagePopover</t>
  </si>
  <si>
    <t xml:space="preserve">Warn immediately on field exit</t>
  </si>
  <si>
    <t xml:space="preserve">Save, Save and new, Cancel</t>
  </si>
  <si>
    <t xml:space="preserve">Filters</t>
  </si>
  <si>
    <t xml:space="preserve">uplift_date (range, mandatory), station, supplier_code, bowser_id, recon_status</t>
  </si>
  <si>
    <t xml:space="preserve">Defaults to open failures in the last 30 days</t>
  </si>
  <si>
    <t xml:space="preserve">Save variant</t>
  </si>
  <si>
    <t xml:space="preserve">Failed, Not reconciled, All</t>
  </si>
  <si>
    <t xml:space="preserve">Defaults to Failed</t>
  </si>
  <si>
    <t xml:space="preserve">ticket_id, registration, station, quantity_kg (metered), fob_delta_kg (gauge), recon_variance_kg, variance_pct, tolerance_applied, recon_status, ageing_days</t>
  </si>
  <si>
    <t xml:space="preserve">Sort by absolute variance descending</t>
  </si>
  <si>
    <t xml:space="preserve">Export, Group by bowser</t>
  </si>
  <si>
    <t xml:space="preserve">Absolute and percentage together, tolerance alongside</t>
  </si>
  <si>
    <t xml:space="preserve">Accept with reason, Raise dispute, Reassign</t>
  </si>
  <si>
    <t xml:space="preserve">Reason mandatory on accept</t>
  </si>
  <si>
    <t xml:space="preserve">SIDE_PANEL</t>
  </si>
  <si>
    <t xml:space="preserve">Bowser summary</t>
  </si>
  <si>
    <t xml:space="preserve">Bowser, ticket count, total variance, bias percent</t>
  </si>
  <si>
    <t xml:space="preserve">Updates with the filter</t>
  </si>
  <si>
    <t xml:space="preserve">Open bias report</t>
  </si>
  <si>
    <t xml:space="preserve">Individually passing tickets can show collective bias</t>
  </si>
  <si>
    <t xml:space="preserve">Global filter</t>
  </si>
  <si>
    <t xml:space="preserve">Period (mandatory), station, fleet, operating_carrier</t>
  </si>
  <si>
    <t xml:space="preserve">Applies to every card</t>
  </si>
  <si>
    <t xml:space="preserve">CARD</t>
  </si>
  <si>
    <t xml:space="preserve">Band 1 — data completeness</t>
  </si>
  <si>
    <t xml:space="preserve">Legs with plan, uplift captured, burn captured, tickets matched, invoices posted, unposted value</t>
  </si>
  <si>
    <t xml:space="preserve">NumericContent, 6 tiles</t>
  </si>
  <si>
    <t xml:space="preserve">Each shows value against target with semantic state</t>
  </si>
  <si>
    <t xml:space="preserve">Drill to the underlying worklist</t>
  </si>
  <si>
    <t xml:space="preserve">Control band renders above analytics</t>
  </si>
  <si>
    <t xml:space="preserve">Band 1 — ledger closure</t>
  </si>
  <si>
    <t xml:space="preserve">Tails balanced, broken chains, unexplained fuel</t>
  </si>
  <si>
    <t xml:space="preserve">NumericContent, 3 tiles</t>
  </si>
  <si>
    <t xml:space="preserve">Drill to UI-59</t>
  </si>
  <si>
    <t xml:space="preserve">Band 1 — burn source mix</t>
  </si>
  <si>
    <t xml:space="preserve">ACARS, FQIS manual, derived, estimated shares</t>
  </si>
  <si>
    <t xml:space="preserve">DonutChart</t>
  </si>
  <si>
    <t xml:space="preserve">Drill to UI-58</t>
  </si>
  <si>
    <t xml:space="preserve">Coverage qualifier</t>
  </si>
  <si>
    <t xml:space="preserve">Coverage percentage where band 1 is below target</t>
  </si>
  <si>
    <t xml:space="preserve">Shown whenever any band 1 metric misses target</t>
  </si>
  <si>
    <t xml:space="preserve">Mandatory. Analytics below are qualified by it</t>
  </si>
  <si>
    <t xml:space="preserve">Band 2 — operational</t>
  </si>
  <si>
    <t xml:space="preserve">Total uplift, trip burn, block burn, APU burn, APU minutes per leg, avoidable APU minutes</t>
  </si>
  <si>
    <t xml:space="preserve">Drill to UI-58, UI-60</t>
  </si>
  <si>
    <t xml:space="preserve">Band 2 — cost</t>
  </si>
  <si>
    <t xml:space="preserve">Fuel cost, cost per block hour, tankering saving, effective unit price</t>
  </si>
  <si>
    <t xml:space="preserve">NumericContent, 4 tiles</t>
  </si>
  <si>
    <t xml:space="preserve">Drill to UI-16</t>
  </si>
  <si>
    <t xml:space="preserve">Band 3 — variance</t>
  </si>
  <si>
    <t xml:space="preserve">Plan versus actual burn, contingency consumed, arrival fuel margin, performance factor drift</t>
  </si>
  <si>
    <t xml:space="preserve">LineChart plus tiles</t>
  </si>
  <si>
    <t xml:space="preserve">Band 3 — rankings</t>
  </si>
  <si>
    <t xml:space="preserve">Top sectors by burn, by variance, by cost. Top stations by APU. Top tails by drift</t>
  </si>
  <si>
    <t xml:space="preserve">BarChart, 5 cards</t>
  </si>
  <si>
    <t xml:space="preserve">Top ten each</t>
  </si>
  <si>
    <t xml:space="preserve">Drill to the filtered list</t>
  </si>
  <si>
    <t xml:space="preserve">No card is decorative</t>
  </si>
  <si>
    <t xml:space="preserve">Period (mandatory), fleet, registration, recon_status</t>
  </si>
  <si>
    <t xml:space="preserve">Defaults to the current period</t>
  </si>
  <si>
    <t xml:space="preserve">Summary</t>
  </si>
  <si>
    <t xml:space="preserve">Tails reconciled, timing only, unexplained, excluded</t>
  </si>
  <si>
    <t xml:space="preserve">Filters the table on click</t>
  </si>
  <si>
    <t xml:space="preserve">registration, cutoff_basis, cutoff_event_utc, sap_stock_kg, ledger_balance_kg, reported_fob_kg, explained_by_timing_kg, unexplained_kg, unexplained_pct, recon_status, action</t>
  </si>
  <si>
    <t xml:space="preserve">Sort by absolute unexplained descending</t>
  </si>
  <si>
    <t xml:space="preserve">Export</t>
  </si>
  <si>
    <t xml:space="preserve">Three balances adjacent so the pairs read across</t>
  </si>
  <si>
    <t xml:space="preserve">Column grouping</t>
  </si>
  <si>
    <t xml:space="preserve">SAP, Ledger and Gauge grouped visually; timing and unexplained grouped separately</t>
  </si>
  <si>
    <t xml:space="preserve">Column group headers</t>
  </si>
  <si>
    <t xml:space="preserve">The decomposition is the point</t>
  </si>
  <si>
    <t xml:space="preserve">Investigate, Accept with reason, Export accrual basis</t>
  </si>
  <si>
    <t xml:space="preserve">Excluded tails</t>
  </si>
  <si>
    <t xml:space="preserve">Count of tails with no gauge reading at the cutoff</t>
  </si>
  <si>
    <t xml:space="preserve">Shown when any tail is excluded</t>
  </si>
  <si>
    <t xml:space="preserve">Show excluded</t>
  </si>
  <si>
    <t xml:space="preserve">Excluded is reported, never silently dropped</t>
  </si>
  <si>
    <t xml:space="preserve">Supplier name + sap_vendor_id</t>
  </si>
  <si>
    <t xml:space="preserve">Legal entity, country, company code</t>
  </si>
  <si>
    <t xml:space="preserve">supplier_record_status, blocked flag</t>
  </si>
  <si>
    <t xml:space="preserve">PROVISIONAL shown as a warning state</t>
  </si>
  <si>
    <t xml:space="preserve">Stations served, active contracts, uplift volume this period, open disputes</t>
  </si>
  <si>
    <t xml:space="preserve">sap_vendor_id, name, legal_entity, country, tax_registration_no, payment_terms, currency</t>
  </si>
  <si>
    <t xml:space="preserve">Read only, sourced from the SAP vendor master</t>
  </si>
  <si>
    <t xml:space="preserve">FuelSphere does not maintain the vendor master</t>
  </si>
  <si>
    <t xml:space="preserve">Provisional status</t>
  </si>
  <si>
    <t xml:space="preserve">provisional_authorised_by, provisional_expiry_date, station_commissioning_flag</t>
  </si>
  <si>
    <t xml:space="preserve">Shown only when PROVISIONAL</t>
  </si>
  <si>
    <t xml:space="preserve">Map to SAP vendor</t>
  </si>
  <si>
    <t xml:space="preserve">Time boxed; escalates on expiry</t>
  </si>
  <si>
    <t xml:space="preserve">Roles by station</t>
  </si>
  <si>
    <t xml:space="preserve">station, fuel_role, is_primary, contract_ref, valid_from, valid_to</t>
  </si>
  <si>
    <t xml:space="preserve">One row per station and role</t>
  </si>
  <si>
    <t xml:space="preserve">Add role, End role</t>
  </si>
  <si>
    <t xml:space="preserve">A vendor may hold several roles at one station</t>
  </si>
  <si>
    <t xml:space="preserve">Contracts and schemes</t>
  </si>
  <si>
    <t xml:space="preserve">contract_ref, scheme_id, pricing_source, validity</t>
  </si>
  <si>
    <t xml:space="preserve">Open scheme</t>
  </si>
  <si>
    <t xml:space="preserve">Recent tickets</t>
  </si>
  <si>
    <t xml:space="preserve">ticket, station, date, quantity, recon_status</t>
  </si>
  <si>
    <t xml:space="preserve">Last 30 days</t>
  </si>
  <si>
    <t xml:space="preserve">Invoices</t>
  </si>
  <si>
    <t xml:space="preserve">invoice_number, period, total, status, dispute_flag</t>
  </si>
  <si>
    <t xml:space="preserve">Open invoice</t>
  </si>
  <si>
    <t xml:space="preserve">Performance</t>
  </si>
  <si>
    <t xml:space="preserve">Delivery accuracy, invoice accuracy, dispute rate, average resolution days</t>
  </si>
  <si>
    <t xml:space="preserve">Roadmap capability</t>
  </si>
  <si>
    <t xml:space="preserve">Placeholder until scorecards are built</t>
  </si>
  <si>
    <t xml:space="preserve">sap_material + description</t>
  </si>
  <si>
    <t xml:space="preserve">material_type, fuel_grade</t>
  </si>
  <si>
    <t xml:space="preserve">status, valuation class</t>
  </si>
  <si>
    <t xml:space="preserve">sap_material, description, material_type, base_uom, valuation_class, split_valuation_flag</t>
  </si>
  <si>
    <t xml:space="preserve">Read only from the SAP material master</t>
  </si>
  <si>
    <t xml:space="preserve">Fuel specification</t>
  </si>
  <si>
    <t xml:space="preserve">fuel_grade, specification_ref, density_min, density_max, freeze_point_c, saf_capable</t>
  </si>
  <si>
    <t xml:space="preserve">Density limits feed the ticket plausibility check</t>
  </si>
  <si>
    <t xml:space="preserve">Stations supplying</t>
  </si>
  <si>
    <t xml:space="preserve">station, supplier, default flag</t>
  </si>
  <si>
    <t xml:space="preserve">Open station</t>
  </si>
  <si>
    <t xml:space="preserve">Pricing schemes</t>
  </si>
  <si>
    <t xml:space="preserve">scheme_id, publication, pricing_source, validity</t>
  </si>
  <si>
    <t xml:space="preserve">Stock by valuation type</t>
  </si>
  <si>
    <t xml:space="preserve">registration, stock quantity, value</t>
  </si>
  <si>
    <t xml:space="preserve">Only under inventory by tail</t>
  </si>
  <si>
    <t xml:space="preserve">Open stock reconciliation</t>
  </si>
  <si>
    <t xml:space="preserve">Tolerances and parameters</t>
  </si>
  <si>
    <t xml:space="preserve">Active entries, pending approvals, last changed</t>
  </si>
  <si>
    <t xml:space="preserve">Card with counts</t>
  </si>
  <si>
    <t xml:space="preserve">Open UI-24</t>
  </si>
  <si>
    <t xml:space="preserve">Schemes, components, into-plane rates, quotations</t>
  </si>
  <si>
    <t xml:space="preserve">Open UI-74</t>
  </si>
  <si>
    <t xml:space="preserve">Tax codes</t>
  </si>
  <si>
    <t xml:space="preserve">Rules by country, pending changes</t>
  </si>
  <si>
    <t xml:space="preserve">Open UI-77</t>
  </si>
  <si>
    <t xml:space="preserve">Posting determination</t>
  </si>
  <si>
    <t xml:space="preserve">Movement types, cost object rules</t>
  </si>
  <si>
    <t xml:space="preserve">Open UI-65, UI-66</t>
  </si>
  <si>
    <t xml:space="preserve">Carrier arrangements</t>
  </si>
  <si>
    <t xml:space="preserve">Active arrangements, expiring within 30 days</t>
  </si>
  <si>
    <t xml:space="preserve">Expiry warning state</t>
  </si>
  <si>
    <t xml:space="preserve">Open UI-43</t>
  </si>
  <si>
    <t xml:space="preserve">Lease periods expire; expiry needs visibility</t>
  </si>
  <si>
    <t xml:space="preserve">Interface configuration</t>
  </si>
  <si>
    <t xml:space="preserve">Critical fields, feed settings</t>
  </si>
  <si>
    <t xml:space="preserve">Open UI-36</t>
  </si>
  <si>
    <t xml:space="preserve">Aircraft types, aliases, materials, suppliers</t>
  </si>
  <si>
    <t xml:space="preserve">Provisional counts shown as warnings</t>
  </si>
  <si>
    <t xml:space="preserve">Open UI-54, UI-85, UI-83</t>
  </si>
  <si>
    <t xml:space="preserve">AI settings</t>
  </si>
  <si>
    <t xml:space="preserve">Feature state, usage against cap</t>
  </si>
  <si>
    <t xml:space="preserve">Card</t>
  </si>
  <si>
    <t xml:space="preserve">Open UI-28</t>
  </si>
  <si>
    <t xml:space="preserve">Recent changes</t>
  </si>
  <si>
    <t xml:space="preserve">Last 20 configuration changes across all areas</t>
  </si>
  <si>
    <t xml:space="preserve">Open the changed record</t>
  </si>
  <si>
    <t xml:space="preserve">Single audit view across configuration</t>
  </si>
  <si>
    <t xml:space="preserve">Report pattern (applies to all analytical screens)</t>
  </si>
  <si>
    <t xml:space="preserve">Mandatory period</t>
  </si>
  <si>
    <t xml:space="preserve">Period or date range</t>
  </si>
  <si>
    <t xml:space="preserve">Never unbounded</t>
  </si>
  <si>
    <t xml:space="preserve">Applies to every report</t>
  </si>
  <si>
    <t xml:space="preserve">Standard dimensions</t>
  </si>
  <si>
    <t xml:space="preserve">station, fleet, registration, route, supplier, operating_carrier</t>
  </si>
  <si>
    <t xml:space="preserve">Only those relevant to the report</t>
  </si>
  <si>
    <t xml:space="preserve">Data completeness behind the figures</t>
  </si>
  <si>
    <t xml:space="preserve">Shown whenever the underlying data is incomplete or estimated</t>
  </si>
  <si>
    <t xml:space="preserve">Mandatory on any report over burn or cost</t>
  </si>
  <si>
    <t xml:space="preserve">CHART</t>
  </si>
  <si>
    <t xml:space="preserve">Visualisation</t>
  </si>
  <si>
    <t xml:space="preserve">Report specific</t>
  </si>
  <si>
    <t xml:space="preserve">Chart</t>
  </si>
  <si>
    <t xml:space="preserve">Selecting a segment filters the table</t>
  </si>
  <si>
    <t xml:space="preserve">Switch chart type</t>
  </si>
  <si>
    <t xml:space="preserve">The records behind the chart, not a second aggregation</t>
  </si>
  <si>
    <t xml:space="preserve">Export to spreadsheet, Schedule, Share link</t>
  </si>
  <si>
    <t xml:space="preserve">Deep link addressable</t>
  </si>
  <si>
    <t xml:space="preserve">FUEL_CLAIM_WINDOW  -  a claim window is a contractual DEADLINE, not backlog ageing. After it expires the right to claim is waived. Windows resolve from the contract; the IATA model agreement default is 15 days short delivery, 30 days quality</t>
  </si>
  <si>
    <t xml:space="preserve">claim_id</t>
  </si>
  <si>
    <t xml:space="preserve">delivery_id</t>
  </si>
  <si>
    <t xml:space="preserve">claim_type</t>
  </si>
  <si>
    <t xml:space="preserve">delivery_date</t>
  </si>
  <si>
    <t xml:space="preserve">notification_days</t>
  </si>
  <si>
    <t xml:space="preserve">written_claim_days</t>
  </si>
  <si>
    <t xml:space="preserve">notified_at_delivery</t>
  </si>
  <si>
    <t xml:space="preserve">notify_deadline</t>
  </si>
  <si>
    <t xml:space="preserve">claim_deadline</t>
  </si>
  <si>
    <t xml:space="preserve">days_remaining</t>
  </si>
  <si>
    <t xml:space="preserve">claim_status</t>
  </si>
  <si>
    <t xml:space="preserve">claim_raised_date</t>
  </si>
  <si>
    <t xml:space="preserve">estimated_value</t>
  </si>
  <si>
    <t xml:space="preserve">urgency</t>
  </si>
  <si>
    <t xml:space="preserve">CLM-0001</t>
  </si>
  <si>
    <t xml:space="preserve">DLV-0018</t>
  </si>
  <si>
    <t xml:space="preserve">SHORT_DELIVERY</t>
  </si>
  <si>
    <t xml:space="preserve">FC-PPC-2026</t>
  </si>
  <si>
    <t xml:space="preserve">Notified at delivery. Written claim outstanding</t>
  </si>
  <si>
    <t xml:space="preserve">CLM-0002</t>
  </si>
  <si>
    <t xml:space="preserve">DLV-0019</t>
  </si>
  <si>
    <t xml:space="preserve">QUALITY</t>
  </si>
  <si>
    <t xml:space="preserve">Density disputed against batch certificate. Longer window applies</t>
  </si>
  <si>
    <t xml:space="preserve">CLM-0003</t>
  </si>
  <si>
    <t xml:space="preserve">DLV-0012</t>
  </si>
  <si>
    <t xml:space="preserve">AT_RISK</t>
  </si>
  <si>
    <t xml:space="preserve">Not notified at delivery. Right may already be impaired</t>
  </si>
  <si>
    <t xml:space="preserve">CLM-0004</t>
  </si>
  <si>
    <t xml:space="preserve">DLV-0024</t>
  </si>
  <si>
    <t xml:space="preserve">RAISED</t>
  </si>
  <si>
    <t xml:space="preserve">2026-08-27</t>
  </si>
  <si>
    <t xml:space="preserve">Written claim submitted inside the window</t>
  </si>
  <si>
    <t xml:space="preserve">CLM-0005</t>
  </si>
  <si>
    <t xml:space="preserve">DLV-0021</t>
  </si>
  <si>
    <t xml:space="preserve">EXPIRED</t>
  </si>
  <si>
    <t xml:space="preserve">No contract. Default window applied. Right waived</t>
  </si>
  <si>
    <t xml:space="preserve">CLM-0006</t>
  </si>
  <si>
    <t xml:space="preserve">DLV-0027</t>
  </si>
  <si>
    <t xml:space="preserve">XOM</t>
  </si>
  <si>
    <t xml:space="preserve">PRICING</t>
  </si>
  <si>
    <t xml:space="preserve">FC-XOM-2026</t>
  </si>
  <si>
    <t xml:space="preserve">Pricing dispute. Contract allows a longer window than the model agreement default</t>
  </si>
  <si>
    <t xml:space="preserve">WHY THIS IS NOT AGEING  -  an exception queue sorted by days open treats the oldest item as the most neglected. A claim window inverts that: the oldest item is the one about to become worthless</t>
  </si>
  <si>
    <t xml:space="preserve">Concept</t>
  </si>
  <si>
    <t xml:space="preserve">Ordinary exception</t>
  </si>
  <si>
    <t xml:space="preserve">What the clock measures</t>
  </si>
  <si>
    <t xml:space="preserve">How long we have neglected it</t>
  </si>
  <si>
    <t xml:space="preserve">How long the right survives</t>
  </si>
  <si>
    <t xml:space="preserve">Effect of expiry</t>
  </si>
  <si>
    <t xml:space="preserve">Embarrassment</t>
  </si>
  <si>
    <t xml:space="preserve">The claim is waived. The money is gone</t>
  </si>
  <si>
    <t xml:space="preserve">Sort order</t>
  </si>
  <si>
    <t xml:space="preserve">Oldest first</t>
  </si>
  <si>
    <t xml:space="preserve">Least time remaining first</t>
  </si>
  <si>
    <t xml:space="preserve">Escalation</t>
  </si>
  <si>
    <t xml:space="preserve">After a threshold is passed</t>
  </si>
  <si>
    <t xml:space="preserve">Before the deadline, never after</t>
  </si>
  <si>
    <t xml:space="preserve">Closing without action</t>
  </si>
  <si>
    <t xml:space="preserve">Acceptable</t>
  </si>
  <si>
    <t xml:space="preserve">A write off requiring authorisation</t>
  </si>
  <si>
    <t xml:space="preserve">WINDOW RESOLUTION  -  the model agreement is a starting point for negotiation, not a rule. Windows resolve from the contract</t>
  </si>
  <si>
    <t xml:space="preserve">Scope</t>
  </si>
  <si>
    <t xml:space="preserve">Contract</t>
  </si>
  <si>
    <t xml:space="preserve">Notification and claim windows on the supply contract</t>
  </si>
  <si>
    <t xml:space="preserve">Highest precedence. Negotiated per supplier</t>
  </si>
  <si>
    <t xml:space="preserve">Claim type</t>
  </si>
  <si>
    <t xml:space="preserve">Short delivery, quality, pricing, service each carry their own window</t>
  </si>
  <si>
    <t xml:space="preserve">Quality is typically longer than quantity</t>
  </si>
  <si>
    <t xml:space="preserve">Jurisdiction</t>
  </si>
  <si>
    <t xml:space="preserve">Some markets impose statutory minimums</t>
  </si>
  <si>
    <t xml:space="preserve">Cannot be contracted below</t>
  </si>
  <si>
    <t xml:space="preserve">Default</t>
  </si>
  <si>
    <t xml:space="preserve">IATA model agreement: 15 days short delivery, 30 days quality</t>
  </si>
  <si>
    <t xml:space="preserve">Applies where no contract window is configured, and at uncontracted stations</t>
  </si>
  <si>
    <t xml:space="preserve">IATA STANDARDS MAP  -  traceability from design elements to the industry standards they derive from or converge with. Sources: Fuel Transaction Standard v3.2.1, AIDX Operational Fuel Message, Fuel Code Directory v3.2.3, IATA Environmental Standard, AFSMA edition 5.1 July 2023</t>
  </si>
  <si>
    <t xml:space="preserve">Ref</t>
  </si>
  <si>
    <t xml:space="preserve">Design element</t>
  </si>
  <si>
    <t xml:space="preserve">IATA source</t>
  </si>
  <si>
    <t xml:space="preserve">Standard element / code list</t>
  </si>
  <si>
    <t xml:space="preserve">Values</t>
  </si>
  <si>
    <t xml:space="preserve">Relationship</t>
  </si>
  <si>
    <t xml:space="preserve">Design implication</t>
  </si>
  <si>
    <t xml:space="preserve">STD-01</t>
  </si>
  <si>
    <t xml:space="preserve">FS_PRICE_CALCULATION.price_status PROVISIONAL / FINAL</t>
  </si>
  <si>
    <t xml:space="preserve">Fuel Transaction Standard v3.2.1</t>
  </si>
  <si>
    <t xml:space="preserve">TicketStatus</t>
  </si>
  <si>
    <t xml:space="preserve">P, F</t>
  </si>
  <si>
    <t xml:space="preserve">CONVERGENT</t>
  </si>
  <si>
    <t xml:space="preserve">Provisional and final pricing is an industry concept, not a FuelSphere invention. Use P and F on the interface</t>
  </si>
  <si>
    <t xml:space="preserve">STD-02</t>
  </si>
  <si>
    <t xml:space="preserve">FS_PRICING_SCHEME.density_basis CONTRACTUAL / DELIVERED</t>
  </si>
  <si>
    <t xml:space="preserve">Fuel Transaction Standard</t>
  </si>
  <si>
    <t xml:space="preserve">DensityType</t>
  </si>
  <si>
    <t xml:space="preserve">MEA, STD</t>
  </si>
  <si>
    <t xml:space="preserve">Measured versus standard. Adopt MEA and STD as the code values</t>
  </si>
  <si>
    <t xml:space="preserve">STD-03</t>
  </si>
  <si>
    <t xml:space="preserve">FUEL_TICKET.delivery_method HYDRANT / BOWSER</t>
  </si>
  <si>
    <t xml:space="preserve">FuelingType</t>
  </si>
  <si>
    <t xml:space="preserve">HYD, REF</t>
  </si>
  <si>
    <t xml:space="preserve">Hydrant versus refueller vehicle. Adopt HYD and REF</t>
  </si>
  <si>
    <t xml:space="preserve">STD-04</t>
  </si>
  <si>
    <t xml:space="preserve">FUEL_TICKET.event_type UPLIFT / DEFUEL</t>
  </si>
  <si>
    <t xml:space="preserve">FuelOperationBase</t>
  </si>
  <si>
    <t xml:space="preserve">DF, F</t>
  </si>
  <si>
    <t xml:space="preserve">Defuelling is a first class operation in the standard, confirming it belongs in the event enum</t>
  </si>
  <si>
    <t xml:space="preserve">STD-05</t>
  </si>
  <si>
    <t xml:space="preserve">Tolerance as percentage or absolute floor</t>
  </si>
  <si>
    <t xml:space="preserve">TolerenceLevelType</t>
  </si>
  <si>
    <t xml:space="preserve">P, Q</t>
  </si>
  <si>
    <t xml:space="preserve">Percentage or quantity. The standard carries tolerance on the transaction itself, which the design did not anticipate</t>
  </si>
  <si>
    <t xml:space="preserve">STD-06</t>
  </si>
  <si>
    <t xml:space="preserve">FS_TAX_CODE_RULE keyed on flight nature</t>
  </si>
  <si>
    <t xml:space="preserve">VATApplicability</t>
  </si>
  <si>
    <t xml:space="preserve">NA, DOM, INT, ANY</t>
  </si>
  <si>
    <t xml:space="preserve">Strong validation. Tax applicability by domestic or international is an industry code list, not a local interpretation</t>
  </si>
  <si>
    <t xml:space="preserve">STD-07</t>
  </si>
  <si>
    <t xml:space="preserve">FLIGHT_OPERATIONS international flag for tax</t>
  </si>
  <si>
    <t xml:space="preserve">InternationalFlight</t>
  </si>
  <si>
    <t xml:space="preserve">boolean</t>
  </si>
  <si>
    <t xml:space="preserve">The flag travels on the ticket in the standard, so it must be resolvable at ticket level</t>
  </si>
  <si>
    <t xml:space="preserve">STD-08</t>
  </si>
  <si>
    <t xml:space="preserve">FUEL_DELIVERIES.fob_before / fob_after</t>
  </si>
  <si>
    <t xml:space="preserve">PrefuelTankQuantity / DepartureFuelQuantity</t>
  </si>
  <si>
    <t xml:space="preserve">quantities</t>
  </si>
  <si>
    <t xml:space="preserve">The two gauge readings are named in the standard. Adopt the naming</t>
  </si>
  <si>
    <t xml:space="preserve">STD-09</t>
  </si>
  <si>
    <t xml:space="preserve">Station mapped to SAP plant</t>
  </si>
  <si>
    <t xml:space="preserve">Plant, StorageLocation, ReceivingPlant, ReceivingStorageLocation</t>
  </si>
  <si>
    <t xml:space="preserve">codes</t>
  </si>
  <si>
    <t xml:space="preserve">Plant and storage location are in the industry message, supporting the SAP mapping decision</t>
  </si>
  <si>
    <t xml:space="preserve">STD-10</t>
  </si>
  <si>
    <t xml:space="preserve">FUEL_ORDER versioning, initial then amendment</t>
  </si>
  <si>
    <t xml:space="preserve">AIDX Operational Fuel Message</t>
  </si>
  <si>
    <t xml:space="preserve">FuelOrderStateType</t>
  </si>
  <si>
    <t xml:space="preserve">preliminary, final</t>
  </si>
  <si>
    <t xml:space="preserve">Order state is preliminary or final in the standard. Map amendments to preliminary and the freeze point to final</t>
  </si>
  <si>
    <t xml:space="preserve">STD-11</t>
  </si>
  <si>
    <t xml:space="preserve">Dispute at header or line level</t>
  </si>
  <si>
    <t xml:space="preserve">Fuel Code Directory v3.2.3</t>
  </si>
  <si>
    <t xml:space="preserve">DisputeLevel</t>
  </si>
  <si>
    <t xml:space="preserve">Header, LineItem, LineItemDetail</t>
  </si>
  <si>
    <t xml:space="preserve">Three dispute levels. The design assumed line level only</t>
  </si>
  <si>
    <t xml:space="preserve">STD-12</t>
  </si>
  <si>
    <t xml:space="preserve">Conditional price components</t>
  </si>
  <si>
    <t xml:space="preserve">Fuel Code Directory</t>
  </si>
  <si>
    <t xml:space="preserve">LogicalOperator</t>
  </si>
  <si>
    <t xml:space="preserve">EQ, LE, LT, GE, GT, NE, IN</t>
  </si>
  <si>
    <t xml:space="preserve">Matches the condition operators already present in the build. Adopt the code values</t>
  </si>
  <si>
    <t xml:space="preserve">STD-13</t>
  </si>
  <si>
    <t xml:space="preserve">Into-plane service levels</t>
  </si>
  <si>
    <t xml:space="preserve">AFSMA 5.1 Annex V and Fuel Code Directory</t>
  </si>
  <si>
    <t xml:space="preserve">ServiceLevel</t>
  </si>
  <si>
    <t xml:space="preserve">IT1, IT2, IT3, IT4</t>
  </si>
  <si>
    <t xml:space="preserve">Level 3 is Routine Fuelling with Distribution Required and Discrepancy Checking</t>
  </si>
  <si>
    <t xml:space="preserve">STD-14</t>
  </si>
  <si>
    <t xml:space="preserve">Supplier separate from into-plane agent</t>
  </si>
  <si>
    <t xml:space="preserve">SupplierOROwnerCode / IntoPlaneCode / BuyerCode / ReceiverCode</t>
  </si>
  <si>
    <t xml:space="preserve">code lists</t>
  </si>
  <si>
    <t xml:space="preserve">Four distinct parties on one transaction, validating the supplier role map and the split vendor PO model</t>
  </si>
  <si>
    <t xml:space="preserve">STD-15</t>
  </si>
  <si>
    <t xml:space="preserve">Ticket source manual or electronic</t>
  </si>
  <si>
    <t xml:space="preserve">TicketSource</t>
  </si>
  <si>
    <t xml:space="preserve">M, E</t>
  </si>
  <si>
    <t xml:space="preserve">Adopt M and E</t>
  </si>
  <si>
    <t xml:space="preserve">STD-20</t>
  </si>
  <si>
    <t xml:space="preserve">Order expressed as a quantity to uplift</t>
  </si>
  <si>
    <t xml:space="preserve">FuelOrderModeType</t>
  </si>
  <si>
    <t xml:space="preserve">uplift, onboard</t>
  </si>
  <si>
    <t xml:space="preserve">GAP</t>
  </si>
  <si>
    <t xml:space="preserve">An order may specify the uplift quantity OR the quantity to be on board at departure. Onboard mode is self correcting if arrival fuel differs. The design supports uplift mode only</t>
  </si>
  <si>
    <t xml:space="preserve">STD-21</t>
  </si>
  <si>
    <t xml:space="preserve">Uplift expectation derived from required_uplift</t>
  </si>
  <si>
    <t xml:space="preserve">ActivityTypeType</t>
  </si>
  <si>
    <t xml:space="preserve">Refuelling, Defuelling, Nofuelling</t>
  </si>
  <si>
    <t xml:space="preserve">Nofuelling is an explicit activity type. Better than inferring no expectation from a zero quantity</t>
  </si>
  <si>
    <t xml:space="preserve">STD-22</t>
  </si>
  <si>
    <t xml:space="preserve">Interrupted fuelling inferred from ticket gaps</t>
  </si>
  <si>
    <t xml:space="preserve">FlowInterruption, FlowInterruptionDateTime, FlowRestart, FlowRestartDateTime, Obstruction</t>
  </si>
  <si>
    <t xml:space="preserve">timestamps</t>
  </si>
  <si>
    <t xml:space="preserve">Interruption and restart are transmitted as data. The design infers them</t>
  </si>
  <si>
    <t xml:space="preserve">STD-23</t>
  </si>
  <si>
    <t xml:space="preserve">Multiple bowsers discovered from multiple tickets</t>
  </si>
  <si>
    <t xml:space="preserve">VehiclesOrderedQty, TruckOnStandby</t>
  </si>
  <si>
    <t xml:space="preserve">count, indicator</t>
  </si>
  <si>
    <t xml:space="preserve">Multi vehicle fuelling is known at order time, not discovered afterwards. Affects the refuelling event window rule, parked as F2</t>
  </si>
  <si>
    <t xml:space="preserve">STD-24</t>
  </si>
  <si>
    <t xml:space="preserve">Averaging rule with five options</t>
  </si>
  <si>
    <t xml:space="preserve">AveragingMethod</t>
  </si>
  <si>
    <t xml:space="preserve">WC, WT, SC, ST, MC, MT, DC, IR, NC, NT, FC, FT, XC, XT, QC, QT, M20C, M20T</t>
  </si>
  <si>
    <t xml:space="preserve">Eighteen methods, with a Calendar versus Trading day distinction the design lacks. Trading days exclude non publication days</t>
  </si>
  <si>
    <t xml:space="preserve">STD-25</t>
  </si>
  <si>
    <t xml:space="preserve">lag_days as an integer</t>
  </si>
  <si>
    <t xml:space="preserve">AveragingOffset</t>
  </si>
  <si>
    <t xml:space="preserve">N+0, N-1, N-2, N+1</t>
  </si>
  <si>
    <t xml:space="preserve">Offset relative to the pricing period, cleaner than a day count</t>
  </si>
  <si>
    <t xml:space="preserve">STD-26</t>
  </si>
  <si>
    <t xml:space="preserve">Publication as free text</t>
  </si>
  <si>
    <t xml:space="preserve">IndexProvider, IndexCode</t>
  </si>
  <si>
    <t xml:space="preserve">Platts, Argus, Opis, DDS, Other; 233 assessment codes</t>
  </si>
  <si>
    <t xml:space="preserve">Ready made master data. Adopt the code list rather than customer configured free text</t>
  </si>
  <si>
    <t xml:space="preserve">STD-27</t>
  </si>
  <si>
    <t xml:space="preserve">Tax code determination, single code</t>
  </si>
  <si>
    <t xml:space="preserve">TaxTypeBase, TaxCategoryBase</t>
  </si>
  <si>
    <t xml:space="preserve">29 tax types; L, H, S, Z</t>
  </si>
  <si>
    <t xml:space="preserve">Full fuel tax taxonomy including excise, CO2, environmental, customs, withholding. The design treats tax as one code</t>
  </si>
  <si>
    <t xml:space="preserve">STD-28</t>
  </si>
  <si>
    <t xml:space="preserve">Ticket amendment not modelled</t>
  </si>
  <si>
    <t xml:space="preserve">TicketType, TicketCancelOperator, PreviousTicketNumber, PreviousITPDate</t>
  </si>
  <si>
    <t xml:space="preserve">O, R, C, D; P, N</t>
  </si>
  <si>
    <t xml:space="preserve">Original, revision, cancellation and duplicate, with a pointer to the superseded ticket. The design has no ticket amendment lifecycle</t>
  </si>
  <si>
    <t xml:space="preserve">STD-29</t>
  </si>
  <si>
    <t xml:space="preserve">Quantity as a single figure</t>
  </si>
  <si>
    <t xml:space="preserve">QuantityType</t>
  </si>
  <si>
    <t xml:space="preserve">DL, IN</t>
  </si>
  <si>
    <t xml:space="preserve">Delivered versus invoiced quantity distinguished at code level</t>
  </si>
  <si>
    <t xml:space="preserve">STD-30</t>
  </si>
  <si>
    <t xml:space="preserve">Per tank quantities dismissed as unnecessary</t>
  </si>
  <si>
    <t xml:space="preserve">TankMeasurements: AircraftTankID, RequiredTankQuantity, PrefuelTankQuantity, TankQuantityDelivered</t>
  </si>
  <si>
    <t xml:space="preserve">repeating per tank</t>
  </si>
  <si>
    <t xml:space="preserve">Per tank distribution is real at service level IT3. An earlier design note said the manifold makes this irrelevant; that holds only below IT3</t>
  </si>
  <si>
    <t xml:space="preserve">STD-31</t>
  </si>
  <si>
    <t xml:space="preserve">Fuel grade as a short list</t>
  </si>
  <si>
    <t xml:space="preserve">ProductCode, ProductQualityStandard</t>
  </si>
  <si>
    <t xml:space="preserve">JETA1, JETA, JAA, JP4, JP5, JP8, TS1, A1BIO, SAF, NON, OTH; ASTM D1655, ASTM D7566, DefStan 91-091, EI/JIG 1530, EI 1533</t>
  </si>
  <si>
    <t xml:space="preserve">Grade and specification are separate code lists. Adopt both</t>
  </si>
  <si>
    <t xml:space="preserve">STD-32</t>
  </si>
  <si>
    <t xml:space="preserve">SAF blend percentage only</t>
  </si>
  <si>
    <t xml:space="preserve">Fuel Code Directory and Environmental Standard</t>
  </si>
  <si>
    <t xml:space="preserve">SAFCertificationScheme, SAFCertificationSchemeProvider, FeedstockType, FeedstockConversionProcess, EnvironmentalDocType</t>
  </si>
  <si>
    <t xml:space="preserve">ISCC, RSB, RED II; POS, POC, PTD, BOL; 9 conversion processes; 12 feedstock types</t>
  </si>
  <si>
    <t xml:space="preserve">SAF compliance needs certification, feedstock and document references, not a blend percentage. Bears on the emissions roadmap item</t>
  </si>
  <si>
    <t xml:space="preserve">STD-33</t>
  </si>
  <si>
    <t xml:space="preserve">Bulk movement not modelled</t>
  </si>
  <si>
    <t xml:space="preserve">BMTransaction, BMTransactionCode, MovementInformation</t>
  </si>
  <si>
    <t xml:space="preserve">26 movement codes</t>
  </si>
  <si>
    <t xml:space="preserve">The standard carries bulk movement alongside into plane transactions. Relevant only if airline operated storage is in scope</t>
  </si>
  <si>
    <t xml:space="preserve">STD-34</t>
  </si>
  <si>
    <t xml:space="preserve">Document types implicit</t>
  </si>
  <si>
    <t xml:space="preserve">Context</t>
  </si>
  <si>
    <t xml:space="preserve">File, Transmission, Invoice, Transaction, OperationalPlan, DeliveryRequest, DeliveryNotice</t>
  </si>
  <si>
    <t xml:space="preserve">Named document types for the whole cycle</t>
  </si>
  <si>
    <t xml:space="preserve">STD-35</t>
  </si>
  <si>
    <t xml:space="preserve">Message acknowledgement not modelled</t>
  </si>
  <si>
    <t xml:space="preserve">Fuel Code Directory and AIDX</t>
  </si>
  <si>
    <t xml:space="preserve">MessageStatus, Acknowledgement</t>
  </si>
  <si>
    <t xml:space="preserve">RC, PR, RD, ER</t>
  </si>
  <si>
    <t xml:space="preserve">Received, processed, read, error. The design has staging status but no acknowledgement back to the sender</t>
  </si>
  <si>
    <t xml:space="preserve">STD-36</t>
  </si>
  <si>
    <t xml:space="preserve">Payment terms as free text</t>
  </si>
  <si>
    <t xml:space="preserve">PaymentTermsDateBasis, PaymentType</t>
  </si>
  <si>
    <t xml:space="preserve">ID, FD, LD, MD; CA, CC, CO, CN</t>
  </si>
  <si>
    <t xml:space="preserve">Terms measured from invoice date, first day, last day or month end</t>
  </si>
  <si>
    <t xml:space="preserve">STD-37</t>
  </si>
  <si>
    <t xml:space="preserve">Transmission control totals absent</t>
  </si>
  <si>
    <t xml:space="preserve">FuelTransactionLineCount, FuelTransactionMessageCount, FuelTransactionTotalFuelQuantity</t>
  </si>
  <si>
    <t xml:space="preserve">counts and total</t>
  </si>
  <si>
    <t xml:space="preserve">Batch envelope carries control totals. The design validates records but not the transmission</t>
  </si>
  <si>
    <t xml:space="preserve">STD-40</t>
  </si>
  <si>
    <t xml:space="preserve">B2 delivery versus ticket, two entities or three</t>
  </si>
  <si>
    <t xml:space="preserve">AIDX FSM and Fuel Transaction Standard</t>
  </si>
  <si>
    <t xml:space="preserve">FuelSummary versus IPTLine</t>
  </si>
  <si>
    <t xml:space="preserve">two separate standards</t>
  </si>
  <si>
    <t xml:space="preserve">RESOLVES B2</t>
  </si>
  <si>
    <t xml:space="preserve">The industry separates them across two standards. AIDX FSM reflects a FUELLING EVENT and excludes commercial data. The Fuel Transaction is the commercial ticket. This validates FUEL_DELIVERIES as the event and FUEL_TICKETS as the settlement document</t>
  </si>
  <si>
    <t xml:space="preserve">STD-41</t>
  </si>
  <si>
    <t xml:space="preserve">F1 flight number on the supplier ticket feed</t>
  </si>
  <si>
    <t xml:space="preserve">AirlineFlightID, ScheduledFlightDate, FlightServiceType, FlightType</t>
  </si>
  <si>
    <t xml:space="preserve">present</t>
  </si>
  <si>
    <t xml:space="preserve">RESOLVES F1</t>
  </si>
  <si>
    <t xml:space="preserve">The ticket carries flight identity. Once an electronic feed is in use the comparison against the order resolved flight becomes available, as anticipated</t>
  </si>
  <si>
    <t xml:space="preserve">STD-42</t>
  </si>
  <si>
    <t xml:space="preserve">Claim windows as contractual deadlines</t>
  </si>
  <si>
    <t xml:space="preserve">AFSMA 5.1 Article 11</t>
  </si>
  <si>
    <t xml:space="preserve">Complaints, Claims</t>
  </si>
  <si>
    <t xml:space="preserve">15 days short delivery, 30 days quality</t>
  </si>
  <si>
    <t xml:space="preserve">SOURCE</t>
  </si>
  <si>
    <t xml:space="preserve">Origin of the claim window design. Notification at delivery plus a written claim within the window, after which the right is waived</t>
  </si>
  <si>
    <t xml:space="preserve">STD-43</t>
  </si>
  <si>
    <t xml:space="preserve">An ePOD signature is not acceptance of quantity</t>
  </si>
  <si>
    <t xml:space="preserve">Non waiver clause</t>
  </si>
  <si>
    <t xml:space="preserve">-</t>
  </si>
  <si>
    <t xml:space="preserve">No waiver of the right to claim is made or implied by a signature on the Delivery Note</t>
  </si>
  <si>
    <t xml:space="preserve">STD-44</t>
  </si>
  <si>
    <t xml:space="preserve">Seller measurement is prima facie evidence</t>
  </si>
  <si>
    <t xml:space="preserve">AFSMA 5.1 Article 6.1.C</t>
  </si>
  <si>
    <t xml:space="preserve">The meter is the presumptive quantity; the buyer may check instrument accuracy. The FQIS comparison is a challenge to it, not an equal measurement</t>
  </si>
  <si>
    <t xml:space="preserve">STD-45</t>
  </si>
  <si>
    <t xml:space="preserve">Delivery Note contents</t>
  </si>
  <si>
    <t xml:space="preserve">AFSMA 5.1 Definitions</t>
  </si>
  <si>
    <t xml:space="preserve">Delivery Note</t>
  </si>
  <si>
    <t xml:space="preserve">date, time, registration, flight number, aircraft type, product description, meter readings, quantity in kg, litres or gallons</t>
  </si>
  <si>
    <t xml:space="preserve">Meter readings are contractually expected on the ticket, and the unit is the seller's normal practice</t>
  </si>
  <si>
    <t xml:space="preserve">STD-46</t>
  </si>
  <si>
    <t xml:space="preserve">Defuel valuation</t>
  </si>
  <si>
    <t xml:space="preserve">AFSMA 5.1 Article 8</t>
  </si>
  <si>
    <t xml:space="preserve">Defuelling</t>
  </si>
  <si>
    <t xml:space="preserve">Defuelled fuel is disposed of or stored at buyer cost, and the parties agree its value. Where defuelling arises from seller fault it is at seller cost</t>
  </si>
  <si>
    <t xml:space="preserve">STD-47</t>
  </si>
  <si>
    <t xml:space="preserve">Unit conversion factors</t>
  </si>
  <si>
    <t xml:space="preserve">AFSMA 5.1 Article 5.2</t>
  </si>
  <si>
    <t xml:space="preserve">Conversion</t>
  </si>
  <si>
    <t xml:space="preserve">1 MT = 331 USG conventional; 342.2 to 361.9 USG SAF; 1 USG = 3.78541 L; 1 BBL = 42 USG</t>
  </si>
  <si>
    <t xml:space="preserve">Standard factors. SAF differs from conventional fuel and the actual value is agreed per contract</t>
  </si>
  <si>
    <t xml:space="preserve">STD-48</t>
  </si>
  <si>
    <t xml:space="preserve">Contract structure, master plus location</t>
  </si>
  <si>
    <t xml:space="preserve">AFSMA 5.1 Part I and Annex II</t>
  </si>
  <si>
    <t xml:space="preserve">Agreement and Location Agreement</t>
  </si>
  <si>
    <t xml:space="preserve">One agreement per supplier, one location agreement per station carrying quantity, price and term. The location agreement prevails on conflict. Validates contract scoping by station</t>
  </si>
  <si>
    <t xml:space="preserve">STD-49</t>
  </si>
  <si>
    <t xml:space="preserve">Supplier performance measurement</t>
  </si>
  <si>
    <t xml:space="preserve">AFSMA 5.1 Annex V</t>
  </si>
  <si>
    <t xml:space="preserve">Fuelling Delay, Fuelling Disruption</t>
  </si>
  <si>
    <t xml:space="preserve">Contractual definitions with compensation. Tail swaps, defuels, ad hoc and off schedule flights are excluded as unplanned activity. Bears on the supplier scorecard roadmap item</t>
  </si>
  <si>
    <t xml:space="preserve">STD-50</t>
  </si>
  <si>
    <t xml:space="preserve">Codeshare refuelling responsibility</t>
  </si>
  <si>
    <t xml:space="preserve">AFSMA 5.1 Article 13</t>
  </si>
  <si>
    <t xml:space="preserve">Codeshare Arrangements</t>
  </si>
  <si>
    <t xml:space="preserve">The operating flight prefix identifies the contracting parties. Supports resolving the carrier arrangement on the operating carrier</t>
  </si>
  <si>
    <t xml:space="preserve">STD-51</t>
  </si>
  <si>
    <t xml:space="preserve">FUEL_INVOICE to FUEL_INVOICE_LINE, two levels</t>
  </si>
  <si>
    <t xml:space="preserve">Fuel Invoice Standard v3.2.1</t>
  </si>
  <si>
    <t xml:space="preserve">InvoiceTransmission / Invoice / SubInvoice / Line / SubItem</t>
  </si>
  <si>
    <t xml:space="preserve">four business levels</t>
  </si>
  <si>
    <t xml:space="preserve">The standard has FOUR levels. SubInvoice is a logical grouping of lines, explicitly by ticket or by destination. Line is the invoice line. SubItem holds the components of a line. The design has two levels and cannot represent a ticket grouping above the line</t>
  </si>
  <si>
    <t xml:space="preserve">STD-52</t>
  </si>
  <si>
    <t xml:space="preserve">FUEL_INVOICE_LINE holds price components as fields</t>
  </si>
  <si>
    <t xml:space="preserve">Fuel Invoice Standard</t>
  </si>
  <si>
    <t xml:space="preserve">SubItemProduct with SubItemProductIDQualifier</t>
  </si>
  <si>
    <t xml:space="preserve">PRDT, FEE, OTHR</t>
  </si>
  <si>
    <t xml:space="preserve">Product, fee and other are separate SubItems under one line, each with its own rate, UOM, quantity and amount. This is where into-plane and throughput charges appear on the supplier invoice</t>
  </si>
  <si>
    <t xml:space="preserve">STD-53</t>
  </si>
  <si>
    <t xml:space="preserve">exchange_rate as a single field</t>
  </si>
  <si>
    <t xml:space="preserve">Fuel Invoice Standard and Fuel Transaction Standard</t>
  </si>
  <si>
    <t xml:space="preserve">CurrencyConversion: ConversionMechanism, CurrencyFrom with FactorFrom, CurrencyTo with FactorTo, ExchangeRate</t>
  </si>
  <si>
    <t xml:space="preserve">M, D</t>
  </si>
  <si>
    <t xml:space="preserve">Conversion carries a direction and multiplication factors for low value currencies. Formula: amount in CurrencyTo = (amount / FactorFrom) x (ExchangeRate x FactorTo) for multiply, divided for divide. A single rate field cannot represent this</t>
  </si>
  <si>
    <t xml:space="preserve">STD-54</t>
  </si>
  <si>
    <t xml:space="preserve">Currency conversion held once per invoice line</t>
  </si>
  <si>
    <t xml:space="preserve">InvoiceCurrencyConversion, SubInvoiceCurrencyConversion, SubItemCurrencyConversion, SubItemTaxCurrencyConversion, SubTaxCurrencyConversion</t>
  </si>
  <si>
    <t xml:space="preserve">five levels</t>
  </si>
  <si>
    <t xml:space="preserve">Conversion may differ at each level. Tax conversion is separate from item conversion</t>
  </si>
  <si>
    <t xml:space="preserve">STD-55</t>
  </si>
  <si>
    <t xml:space="preserve">One unit of measure per quantity</t>
  </si>
  <si>
    <t xml:space="preserve">SubItemPricingUOM with SubItemPricingUOMFactor, SubItemInvoiceUOM with SubItemInvoiceUOMFactor</t>
  </si>
  <si>
    <t xml:space="preserve">UOM plus factor</t>
  </si>
  <si>
    <t xml:space="preserve">Pricing UOM, invoice UOM and delivery UOM may all differ. A charge of 3.50 EUR per hectolitre on a litre delivery is representable two ways, both valid. The factor states how many units the rate applies to. The design assumes litres throughout</t>
  </si>
  <si>
    <t xml:space="preserve">STD-56</t>
  </si>
  <si>
    <t xml:space="preserve">quantity_litres as a single figure</t>
  </si>
  <si>
    <t xml:space="preserve">Fuel Invoice Standard and Fuel Code Directory</t>
  </si>
  <si>
    <t xml:space="preserve">SubItemQuantityFlag</t>
  </si>
  <si>
    <t xml:space="preserve">GR, NT</t>
  </si>
  <si>
    <t xml:space="preserve">Gross or net. Net is temperature corrected, gross is not. The design captures a temperature but never states which basis a quantity is on</t>
  </si>
  <si>
    <t xml:space="preserve">STD-57</t>
  </si>
  <si>
    <t xml:space="preserve">Rate as a per unit price</t>
  </si>
  <si>
    <t xml:space="preserve">SubItemPricingUnitRateType</t>
  </si>
  <si>
    <t xml:space="preserve">UR, FF, P</t>
  </si>
  <si>
    <t xml:space="preserve">Unit rate, flat fee or percentage. Matches the design calculation basis. A flat fee is modelled with quantity 1 and UOM EA</t>
  </si>
  <si>
    <t xml:space="preserve">STD-58</t>
  </si>
  <si>
    <t xml:space="preserve">Transmission validated record by record</t>
  </si>
  <si>
    <t xml:space="preserve">InvoiceTransmissionHeader, InvoiceTransmissionSummary</t>
  </si>
  <si>
    <t xml:space="preserve">counts and totals</t>
  </si>
  <si>
    <t xml:space="preserve">Header and summary bracket the transmission and enable validity checks on the whole document, not only its records</t>
  </si>
  <si>
    <t xml:space="preserve">STD-59</t>
  </si>
  <si>
    <t xml:space="preserve">SAF blend percentage on the ticket</t>
  </si>
  <si>
    <t xml:space="preserve">SAF invoicing guidance v2.1, December 2025</t>
  </si>
  <si>
    <t xml:space="preserve">Two methods: separate ProductID, or one ProductID with SubItemDescription</t>
  </si>
  <si>
    <t xml:space="preserve">JETA1 and SAF, or JETA1 with description</t>
  </si>
  <si>
    <t xml:space="preserve">Suppliers may invoice SAF as a separate product line or as a described component of one line. A consuming system must handle both. Six SAF fee codes were added in Fuel Code Directory 3.2.3</t>
  </si>
  <si>
    <t xml:space="preserve">STD-60</t>
  </si>
  <si>
    <t xml:space="preserve">Differential inside the fuel price</t>
  </si>
  <si>
    <t xml:space="preserve">SAF invoicing guidance</t>
  </si>
  <si>
    <t xml:space="preserve">ProductID DIF</t>
  </si>
  <si>
    <t xml:space="preserve">DIF</t>
  </si>
  <si>
    <t xml:space="preserve">The differential may be a separate SubItem rather than folded into the product price, described as SAF Mandate Differential or SAF Voluntary Differential</t>
  </si>
  <si>
    <t xml:space="preserve">STD-61</t>
  </si>
  <si>
    <t xml:space="preserve">Invoice standard basis</t>
  </si>
  <si>
    <t xml:space="preserve">Fuel Invoice Standard overview</t>
  </si>
  <si>
    <t xml:space="preserve">AVNET UN/EDIFACT INVOIC and ASC X12 810</t>
  </si>
  <si>
    <t xml:space="preserve">The XML standard exists because EDI usage was inconsistent between parties and suppliers modified transactions per customer. Expect the same variability from suppliers not on the XML standard</t>
  </si>
  <si>
    <t xml:space="preserve">SOURCES</t>
  </si>
  <si>
    <t xml:space="preserve">Standard</t>
  </si>
  <si>
    <t xml:space="preserve">Version</t>
  </si>
  <si>
    <t xml:space="preserve">Where obtained</t>
  </si>
  <si>
    <t xml:space="preserve">IATA Fuel Transaction Standard</t>
  </si>
  <si>
    <t xml:space="preserve">3.2.1</t>
  </si>
  <si>
    <t xml:space="preserve">Electronic fuel transaction for settlement. The industry ticket</t>
  </si>
  <si>
    <t xml:space="preserve">Fuel Data Standards, free on request</t>
  </si>
  <si>
    <t xml:space="preserve">IATA Fuel Code Directory</t>
  </si>
  <si>
    <t xml:space="preserve">3.2.3</t>
  </si>
  <si>
    <t xml:space="preserve">Code lists for the whole fuelling cycle</t>
  </si>
  <si>
    <t xml:space="preserve">Fuel Data Standards</t>
  </si>
  <si>
    <t xml:space="preserve">IATA Fuel Base Data Type Directory</t>
  </si>
  <si>
    <t xml:space="preserve">Base data types</t>
  </si>
  <si>
    <t xml:space="preserve">2019 addendum v0.1</t>
  </si>
  <si>
    <t xml:space="preserve">Fuel Order and Fuel Summary. Operational, excludes commercial data</t>
  </si>
  <si>
    <t xml:space="preserve">AIDX implementation guide, fuel addendum</t>
  </si>
  <si>
    <t xml:space="preserve">IATA Fuel Tender Standard</t>
  </si>
  <si>
    <t xml:space="preserve">Tender, bid and award</t>
  </si>
  <si>
    <t xml:space="preserve">IATA Environmental Standard</t>
  </si>
  <si>
    <t xml:space="preserve">3.3.0</t>
  </si>
  <si>
    <t xml:space="preserve">SAF certification, feedstock, environmental attributes</t>
  </si>
  <si>
    <t xml:space="preserve">Aviation Fuel Supply Model Agreement</t>
  </si>
  <si>
    <t xml:space="preserve">Edition 5.1, July 2023</t>
  </si>
  <si>
    <t xml:space="preserve">Model contract terms including claims, delivery, defuelling, service levels</t>
  </si>
  <si>
    <t xml:space="preserve">iata.org, free PDF</t>
  </si>
  <si>
    <t xml:space="preserve">IATA Fuel Invoice Standard</t>
  </si>
  <si>
    <t xml:space="preserve">3.2.1, December 2018</t>
  </si>
  <si>
    <t xml:space="preserve">Electronic fuel invoice. Four business levels, multi currency, tax</t>
  </si>
  <si>
    <t xml:space="preserve">2.1, December 2025</t>
  </si>
  <si>
    <t xml:space="preserve">How to invoice SAF costs under the current invoice standard</t>
  </si>
  <si>
    <t xml:space="preserve">Fuel Data Standards Group</t>
  </si>
  <si>
    <t xml:space="preserve">THE FOUR STANDARDS AND THE FUELLING CYCLE</t>
  </si>
  <si>
    <t xml:space="preserve">3.0.0, August 2007</t>
  </si>
  <si>
    <t xml:space="preserve">Narrative for the transaction schema. Based on JetA.com standards</t>
  </si>
  <si>
    <t xml:space="preserve">Stage</t>
  </si>
  <si>
    <t xml:space="preserve">Message</t>
  </si>
  <si>
    <t xml:space="preserve">FuelSphere equivalent</t>
  </si>
  <si>
    <t xml:space="preserve">Tender and award</t>
  </si>
  <si>
    <t xml:space="preserve">Tender / Bid</t>
  </si>
  <si>
    <t xml:space="preserve">Tender, bid, award, acceptance</t>
  </si>
  <si>
    <t xml:space="preserve">Out of scope by decision. Supplies requirement volumes only</t>
  </si>
  <si>
    <t xml:space="preserve">FOR preliminary at schedule, FOR preliminary at standby, FOR final</t>
  </si>
  <si>
    <t xml:space="preserve">FUEL_ORDER with versioning</t>
  </si>
  <si>
    <t xml:space="preserve">Fuelling</t>
  </si>
  <si>
    <t xml:space="preserve">FSM Fuel Summary, then acknowledgement</t>
  </si>
  <si>
    <t xml:space="preserve">FUEL_DELIVERIES, the refuelling event</t>
  </si>
  <si>
    <t xml:space="preserve">Settlement</t>
  </si>
  <si>
    <t xml:space="preserve">Fuel Transaction</t>
  </si>
  <si>
    <t xml:space="preserve">IPTransaction with IPTLine per ticket</t>
  </si>
  <si>
    <t xml:space="preserve">FUEL_TICKETS</t>
  </si>
  <si>
    <t xml:space="preserve">Billing</t>
  </si>
  <si>
    <t xml:space="preserve">Fuel Invoice v3.2.1</t>
  </si>
  <si>
    <t xml:space="preserve">InvoiceTransmission with Invoice, SubInvoice, Line and SubItem</t>
  </si>
  <si>
    <t xml:space="preserve">FUEL_INVOICE and FUEL_INVOICE_LINE. Two levels against the standard's four</t>
  </si>
</sst>
</file>

<file path=xl/styles.xml><?xml version="1.0" encoding="utf-8"?>
<styleSheet xmlns="http://schemas.openxmlformats.org/spreadsheetml/2006/main">
  <numFmts count="27">
    <numFmt numFmtId="164" formatCode="General"/>
    <numFmt numFmtId="165" formatCode="yyyy\-mm\-dd\ hh:mm"/>
    <numFmt numFmtId="166" formatCode="#,##0;\-;\-"/>
    <numFmt numFmtId="167" formatCode="#,##0"/>
    <numFmt numFmtId="168" formatCode="#,##0.0;\(#,##0.0\);\-"/>
    <numFmt numFmtId="169" formatCode="General"/>
    <numFmt numFmtId="170" formatCode="0.00%"/>
    <numFmt numFmtId="171" formatCode="0.0"/>
    <numFmt numFmtId="172" formatCode="0.0000"/>
    <numFmt numFmtId="173" formatCode="#,##0;\(#,##0\);\-"/>
    <numFmt numFmtId="174" formatCode="\$#,##0.00;&quot;($&quot;#,##0.00\);\-"/>
    <numFmt numFmtId="175" formatCode="#,##0.0"/>
    <numFmt numFmtId="176" formatCode="#,##0.0000"/>
    <numFmt numFmtId="177" formatCode="0.00000"/>
    <numFmt numFmtId="178" formatCode="#,##0.00000"/>
    <numFmt numFmtId="179" formatCode="#,##0;\-"/>
    <numFmt numFmtId="180" formatCode="0.0;\-"/>
    <numFmt numFmtId="181" formatCode="#,##0.0;\-;\-"/>
    <numFmt numFmtId="182" formatCode="#,##0.0000;\-;\-"/>
    <numFmt numFmtId="183" formatCode="0.0000;\-"/>
    <numFmt numFmtId="184" formatCode="0.00000;\-"/>
    <numFmt numFmtId="185" formatCode="#,##0.00"/>
    <numFmt numFmtId="186" formatCode="#,##0.00;\-;\-"/>
    <numFmt numFmtId="187" formatCode="0.00000;\-;\-"/>
    <numFmt numFmtId="188" formatCode="\$#,##0.00;\-;\-"/>
    <numFmt numFmtId="189" formatCode="yyyy\-mm\-dd"/>
    <numFmt numFmtId="190" formatCode="0;\-0"/>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name val="Arial"/>
      <family val="0"/>
      <charset val="1"/>
    </font>
    <font>
      <sz val="10"/>
      <name val="Arial"/>
      <family val="0"/>
      <charset val="1"/>
    </font>
    <font>
      <b val="true"/>
      <sz val="10"/>
      <color rgb="FFFFFFFF"/>
      <name val="Arial"/>
      <family val="0"/>
      <charset val="1"/>
    </font>
    <font>
      <b val="true"/>
      <sz val="10"/>
      <name val="Arial"/>
      <family val="0"/>
      <charset val="1"/>
    </font>
    <font>
      <b val="true"/>
      <sz val="13"/>
      <color rgb="FF1F3864"/>
      <name val="Arial"/>
      <family val="0"/>
      <charset val="1"/>
    </font>
    <font>
      <sz val="10"/>
      <color rgb="FF0000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7" fontId="10" fillId="0" borderId="1" xfId="0" applyFont="true" applyBorder="true" applyAlignment="true" applyProtection="false">
      <alignment horizontal="general" vertical="top" textRotation="0" wrapText="false" indent="0" shrinkToFit="false"/>
      <protection locked="true" hidden="false"/>
    </xf>
    <xf numFmtId="167" fontId="8" fillId="0" borderId="1" xfId="0" applyFont="true" applyBorder="true" applyAlignment="true" applyProtection="false">
      <alignment horizontal="general" vertical="top" textRotation="0" wrapText="false" indent="0" shrinkToFit="false"/>
      <protection locked="true" hidden="false"/>
    </xf>
    <xf numFmtId="167" fontId="10" fillId="3" borderId="1" xfId="0" applyFont="true" applyBorder="true" applyAlignment="true" applyProtection="false">
      <alignment horizontal="general" vertical="top" textRotation="0" wrapText="false" indent="0" shrinkToFit="false"/>
      <protection locked="true" hidden="false"/>
    </xf>
    <xf numFmtId="168" fontId="8" fillId="3" borderId="1" xfId="0" applyFont="true" applyBorder="true" applyAlignment="true" applyProtection="false">
      <alignment horizontal="general" vertical="top" textRotation="0" wrapText="false" indent="0" shrinkToFit="false"/>
      <protection locked="true" hidden="false"/>
    </xf>
    <xf numFmtId="169" fontId="8" fillId="0" borderId="1" xfId="0" applyFont="true" applyBorder="true" applyAlignment="true" applyProtection="false">
      <alignment horizontal="general" vertical="top" textRotation="0" wrapText="false" indent="0" shrinkToFit="false"/>
      <protection locked="true" hidden="false"/>
    </xf>
    <xf numFmtId="168" fontId="8" fillId="0" borderId="1" xfId="0" applyFont="true" applyBorder="true" applyAlignment="true" applyProtection="false">
      <alignment horizontal="general" vertical="top" textRotation="0" wrapText="false" indent="0" shrinkToFit="false"/>
      <protection locked="true" hidden="false"/>
    </xf>
    <xf numFmtId="170" fontId="8" fillId="0"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71" fontId="6" fillId="0" borderId="1" xfId="0" applyFont="true" applyBorder="true" applyAlignment="true" applyProtection="false">
      <alignment horizontal="general" vertical="top" textRotation="0" wrapText="false" indent="0" shrinkToFit="false"/>
      <protection locked="true" hidden="false"/>
    </xf>
    <xf numFmtId="168" fontId="10" fillId="0" borderId="1" xfId="0" applyFont="true" applyBorder="true" applyAlignment="true" applyProtection="false">
      <alignment horizontal="general" vertical="top" textRotation="0" wrapText="false" indent="0" shrinkToFit="false"/>
      <protection locked="true" hidden="false"/>
    </xf>
    <xf numFmtId="172" fontId="10" fillId="0" borderId="1" xfId="0" applyFont="true" applyBorder="true" applyAlignment="true" applyProtection="false">
      <alignment horizontal="general" vertical="top" textRotation="0" wrapText="false" indent="0" shrinkToFit="false"/>
      <protection locked="true" hidden="false"/>
    </xf>
    <xf numFmtId="168" fontId="6"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74" fontId="8" fillId="0" borderId="1" xfId="0" applyFont="true" applyBorder="true" applyAlignment="true" applyProtection="false">
      <alignment horizontal="general" vertical="top" textRotation="0" wrapText="false" indent="0" shrinkToFit="false"/>
      <protection locked="true" hidden="false"/>
    </xf>
    <xf numFmtId="174" fontId="10" fillId="0" borderId="1" xfId="0" applyFont="true" applyBorder="true" applyAlignment="true" applyProtection="false">
      <alignment horizontal="general" vertical="top" textRotation="0" wrapText="false" indent="0" shrinkToFit="false"/>
      <protection locked="true" hidden="false"/>
    </xf>
    <xf numFmtId="172" fontId="6" fillId="0" borderId="1" xfId="0" applyFont="true" applyBorder="true" applyAlignment="true" applyProtection="false">
      <alignment horizontal="general" vertical="top" textRotation="0" wrapText="false" indent="0" shrinkToFit="false"/>
      <protection locked="true" hidden="false"/>
    </xf>
    <xf numFmtId="172" fontId="8" fillId="0" borderId="1" xfId="0" applyFont="true" applyBorder="true" applyAlignment="true" applyProtection="false">
      <alignment horizontal="general" vertical="top" textRotation="0" wrapText="false" indent="0" shrinkToFit="false"/>
      <protection locked="true" hidden="false"/>
    </xf>
    <xf numFmtId="175" fontId="8" fillId="0" borderId="1" xfId="0" applyFont="true" applyBorder="true" applyAlignment="false" applyProtection="false">
      <alignment horizontal="general" vertical="bottom" textRotation="0" wrapText="false" indent="0" shrinkToFit="false"/>
      <protection locked="true" hidden="false"/>
    </xf>
    <xf numFmtId="172" fontId="10" fillId="3" borderId="1" xfId="0" applyFont="true" applyBorder="true" applyAlignment="true" applyProtection="false">
      <alignment horizontal="general" vertical="top" textRotation="0" wrapText="false" indent="0" shrinkToFit="false"/>
      <protection locked="true" hidden="false"/>
    </xf>
    <xf numFmtId="176" fontId="10" fillId="3" borderId="1" xfId="0" applyFont="true" applyBorder="true" applyAlignment="true" applyProtection="false">
      <alignment horizontal="general" vertical="top" textRotation="0" wrapText="false" indent="0" shrinkToFit="false"/>
      <protection locked="true" hidden="false"/>
    </xf>
    <xf numFmtId="177" fontId="10" fillId="3"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76" fontId="8" fillId="0" borderId="1" xfId="0" applyFont="true" applyBorder="true" applyAlignment="true" applyProtection="false">
      <alignment horizontal="general" vertical="top" textRotation="0" wrapText="false" indent="0" shrinkToFit="false"/>
      <protection locked="true" hidden="false"/>
    </xf>
    <xf numFmtId="177" fontId="8" fillId="0" borderId="1" xfId="0" applyFont="true" applyBorder="true" applyAlignment="true" applyProtection="false">
      <alignment horizontal="general" vertical="top" textRotation="0" wrapText="false" indent="0" shrinkToFit="false"/>
      <protection locked="true" hidden="false"/>
    </xf>
    <xf numFmtId="178" fontId="8" fillId="3" borderId="1" xfId="0" applyFont="true" applyBorder="true" applyAlignment="true" applyProtection="false">
      <alignment horizontal="general" vertical="top" textRotation="0" wrapText="false" indent="0" shrinkToFit="false"/>
      <protection locked="true" hidden="false"/>
    </xf>
    <xf numFmtId="179" fontId="10" fillId="0" borderId="1" xfId="0" applyFont="true" applyBorder="true" applyAlignment="true" applyProtection="false">
      <alignment horizontal="general" vertical="top" textRotation="0" wrapText="false" indent="0" shrinkToFit="false"/>
      <protection locked="true" hidden="false"/>
    </xf>
    <xf numFmtId="180" fontId="10"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9" fontId="10" fillId="3" borderId="1" xfId="0" applyFont="true" applyBorder="true" applyAlignment="true" applyProtection="false">
      <alignment horizontal="general" vertical="top" textRotation="0" wrapText="false" indent="0" shrinkToFit="false"/>
      <protection locked="true" hidden="false"/>
    </xf>
    <xf numFmtId="173" fontId="10" fillId="0" borderId="1" xfId="0" applyFont="true" applyBorder="true" applyAlignment="true" applyProtection="false">
      <alignment horizontal="general" vertical="top" textRotation="0" wrapText="false" indent="0" shrinkToFit="false"/>
      <protection locked="true" hidden="false"/>
    </xf>
    <xf numFmtId="173" fontId="8" fillId="0" borderId="1" xfId="0" applyFont="true" applyBorder="true" applyAlignment="true" applyProtection="false">
      <alignment horizontal="general" vertical="top" textRotation="0" wrapText="false" indent="0" shrinkToFit="false"/>
      <protection locked="true" hidden="false"/>
    </xf>
    <xf numFmtId="173" fontId="8" fillId="3" borderId="1" xfId="0" applyFont="true" applyBorder="true" applyAlignment="true" applyProtection="false">
      <alignment horizontal="general" vertical="top" textRotation="0" wrapText="false" indent="0" shrinkToFit="false"/>
      <protection locked="true" hidden="false"/>
    </xf>
    <xf numFmtId="181" fontId="8" fillId="0" borderId="1" xfId="0" applyFont="true" applyBorder="true" applyAlignment="true" applyProtection="false">
      <alignment horizontal="general" vertical="top" textRotation="0" wrapText="false" indent="0" shrinkToFit="false"/>
      <protection locked="true" hidden="false"/>
    </xf>
    <xf numFmtId="182" fontId="10" fillId="0" borderId="1" xfId="0" applyFont="true" applyBorder="true" applyAlignment="true" applyProtection="false">
      <alignment horizontal="general" vertical="top" textRotation="0" wrapText="false" indent="0" shrinkToFit="false"/>
      <protection locked="true" hidden="false"/>
    </xf>
    <xf numFmtId="182" fontId="8" fillId="3" borderId="1" xfId="0" applyFont="true" applyBorder="true" applyAlignment="true" applyProtection="false">
      <alignment horizontal="general" vertical="top" textRotation="0" wrapText="false" indent="0" shrinkToFit="false"/>
      <protection locked="true" hidden="false"/>
    </xf>
    <xf numFmtId="183" fontId="10" fillId="0" borderId="1" xfId="0" applyFont="true" applyBorder="true" applyAlignment="true" applyProtection="false">
      <alignment horizontal="general" vertical="top" textRotation="0" wrapText="false" indent="0" shrinkToFit="false"/>
      <protection locked="true" hidden="false"/>
    </xf>
    <xf numFmtId="184" fontId="10" fillId="0" borderId="1" xfId="0" applyFont="true" applyBorder="true" applyAlignment="true" applyProtection="false">
      <alignment horizontal="general" vertical="top" textRotation="0" wrapText="false" indent="0" shrinkToFit="false"/>
      <protection locked="true" hidden="false"/>
    </xf>
    <xf numFmtId="185" fontId="10" fillId="0" borderId="1" xfId="0" applyFont="true" applyBorder="true" applyAlignment="true" applyProtection="false">
      <alignment horizontal="general" vertical="top" textRotation="0" wrapText="false" indent="0" shrinkToFit="false"/>
      <protection locked="true" hidden="false"/>
    </xf>
    <xf numFmtId="186" fontId="10" fillId="0" borderId="1" xfId="0" applyFont="true" applyBorder="true" applyAlignment="true" applyProtection="false">
      <alignment horizontal="general" vertical="top" textRotation="0" wrapText="false" indent="0" shrinkToFit="false"/>
      <protection locked="true" hidden="false"/>
    </xf>
    <xf numFmtId="187" fontId="8" fillId="0" borderId="1" xfId="0" applyFont="true" applyBorder="true" applyAlignment="true" applyProtection="false">
      <alignment horizontal="general" vertical="top" textRotation="0" wrapText="false" indent="0" shrinkToFit="false"/>
      <protection locked="true" hidden="false"/>
    </xf>
    <xf numFmtId="187" fontId="10" fillId="0" borderId="1" xfId="0" applyFont="true" applyBorder="true" applyAlignment="true" applyProtection="false">
      <alignment horizontal="general" vertical="top" textRotation="0" wrapText="false" indent="0" shrinkToFit="false"/>
      <protection locked="true" hidden="false"/>
    </xf>
    <xf numFmtId="187" fontId="8" fillId="3" borderId="1" xfId="0" applyFont="true" applyBorder="true" applyAlignment="true" applyProtection="false">
      <alignment horizontal="general" vertical="top" textRotation="0" wrapText="false" indent="0" shrinkToFit="false"/>
      <protection locked="true" hidden="false"/>
    </xf>
    <xf numFmtId="188" fontId="8" fillId="0" borderId="1" xfId="0" applyFont="true" applyBorder="true" applyAlignment="true" applyProtection="false">
      <alignment horizontal="general" vertical="top" textRotation="0" wrapText="false" indent="0" shrinkToFit="false"/>
      <protection locked="true" hidden="false"/>
    </xf>
    <xf numFmtId="189" fontId="10" fillId="0" borderId="1" xfId="0" applyFont="true" applyBorder="true" applyAlignment="true" applyProtection="false">
      <alignment horizontal="general" vertical="top" textRotation="0" wrapText="false" indent="0" shrinkToFit="false"/>
      <protection locked="true" hidden="false"/>
    </xf>
    <xf numFmtId="189" fontId="8" fillId="0" borderId="1" xfId="0" applyFont="true" applyBorder="true" applyAlignment="true" applyProtection="false">
      <alignment horizontal="general" vertical="top" textRotation="0" wrapText="false" indent="0" shrinkToFit="false"/>
      <protection locked="true" hidden="false"/>
    </xf>
    <xf numFmtId="190" fontId="8" fillId="3" borderId="1" xfId="0" applyFont="true" applyBorder="true" applyAlignment="true" applyProtection="false">
      <alignment horizontal="general" vertical="top" textRotation="0" wrapText="false" indent="0" shrinkToFit="false"/>
      <protection locked="true" hidden="false"/>
    </xf>
    <xf numFmtId="181" fontId="10" fillId="0" borderId="1" xfId="0" applyFont="true" applyBorder="true" applyAlignment="true" applyProtection="false">
      <alignment horizontal="general" vertical="top" textRotation="0" wrapText="false" indent="0" shrinkToFit="false"/>
      <protection locked="true" hidden="false"/>
    </xf>
    <xf numFmtId="188" fontId="10"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5"/>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c r="B4" s="4"/>
    </row>
    <row r="5" customFormat="false" ht="15" hidden="false" customHeight="false" outlineLevel="0" collapsed="false">
      <c r="A5" s="5" t="s">
        <v>2</v>
      </c>
      <c r="B5" s="6" t="s">
        <v>3</v>
      </c>
    </row>
    <row r="6" customFormat="false" ht="15" hidden="false" customHeight="false" outlineLevel="0" collapsed="false">
      <c r="A6" s="3" t="s">
        <v>4</v>
      </c>
      <c r="B6" s="4" t="s">
        <v>5</v>
      </c>
    </row>
    <row r="7" customFormat="false" ht="15" hidden="false" customHeight="false" outlineLevel="0" collapsed="false">
      <c r="A7" s="7" t="s">
        <v>6</v>
      </c>
      <c r="B7" s="4" t="s">
        <v>7</v>
      </c>
    </row>
    <row r="8" customFormat="false" ht="15" hidden="false" customHeight="false" outlineLevel="0" collapsed="false">
      <c r="A8" s="3" t="s">
        <v>8</v>
      </c>
      <c r="B8" s="4" t="s">
        <v>9</v>
      </c>
    </row>
    <row r="9" customFormat="false" ht="15" hidden="false" customHeight="false" outlineLevel="0" collapsed="false">
      <c r="A9" s="3" t="s">
        <v>10</v>
      </c>
      <c r="B9" s="4" t="s">
        <v>11</v>
      </c>
    </row>
    <row r="10" customFormat="false" ht="15" hidden="false" customHeight="false" outlineLevel="0" collapsed="false">
      <c r="A10" s="3" t="s">
        <v>12</v>
      </c>
      <c r="B10" s="4" t="s">
        <v>13</v>
      </c>
    </row>
    <row r="11" customFormat="false" ht="15" hidden="false" customHeight="false" outlineLevel="0" collapsed="false">
      <c r="A11" s="3"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row r="14" customFormat="false" ht="15" hidden="false" customHeight="false" outlineLevel="0" collapsed="false">
      <c r="A14" s="3" t="s">
        <v>20</v>
      </c>
      <c r="B14" s="4" t="s">
        <v>21</v>
      </c>
    </row>
    <row r="15" customFormat="false" ht="15" hidden="false" customHeight="false" outlineLevel="0" collapsed="false">
      <c r="A15" s="7" t="s">
        <v>22</v>
      </c>
      <c r="B15" s="4" t="s">
        <v>23</v>
      </c>
    </row>
    <row r="16" customFormat="false" ht="15" hidden="false" customHeight="false" outlineLevel="0" collapsed="false">
      <c r="A16" s="7" t="s">
        <v>24</v>
      </c>
      <c r="B16" s="4" t="s">
        <v>25</v>
      </c>
    </row>
    <row r="17" customFormat="false" ht="15" hidden="false" customHeight="false" outlineLevel="0" collapsed="false">
      <c r="A17" s="7" t="s">
        <v>26</v>
      </c>
      <c r="B17" s="4" t="s">
        <v>27</v>
      </c>
    </row>
    <row r="18" customFormat="false" ht="15" hidden="false" customHeight="false" outlineLevel="0" collapsed="false">
      <c r="A18" s="7" t="s">
        <v>28</v>
      </c>
      <c r="B18" s="4" t="s">
        <v>29</v>
      </c>
    </row>
    <row r="19" customFormat="false" ht="15" hidden="false" customHeight="false" outlineLevel="0" collapsed="false">
      <c r="A19" s="7" t="s">
        <v>30</v>
      </c>
      <c r="B19" s="4" t="s">
        <v>31</v>
      </c>
    </row>
    <row r="20" customFormat="false" ht="15" hidden="false" customHeight="false" outlineLevel="0" collapsed="false">
      <c r="A20" s="3" t="s">
        <v>32</v>
      </c>
      <c r="B20" s="4" t="s">
        <v>33</v>
      </c>
    </row>
    <row r="21" customFormat="false" ht="15" hidden="false" customHeight="false" outlineLevel="0" collapsed="false">
      <c r="A21" s="3"/>
      <c r="B21" s="4"/>
    </row>
    <row r="22" customFormat="false" ht="15" hidden="false" customHeight="false" outlineLevel="0" collapsed="false">
      <c r="A22" s="5" t="s">
        <v>34</v>
      </c>
      <c r="B22" s="6" t="s">
        <v>35</v>
      </c>
    </row>
    <row r="23" customFormat="false" ht="15" hidden="false" customHeight="false" outlineLevel="0" collapsed="false">
      <c r="A23" s="3" t="s">
        <v>36</v>
      </c>
      <c r="B23" s="4" t="s">
        <v>37</v>
      </c>
    </row>
    <row r="24" customFormat="false" ht="15" hidden="false" customHeight="false" outlineLevel="0" collapsed="false">
      <c r="A24" s="3" t="s">
        <v>38</v>
      </c>
      <c r="B24" s="4" t="s">
        <v>39</v>
      </c>
    </row>
    <row r="25" customFormat="false" ht="15" hidden="false" customHeight="false" outlineLevel="0" collapsed="false">
      <c r="A25" s="3" t="s">
        <v>40</v>
      </c>
      <c r="B25" s="4" t="s">
        <v>41</v>
      </c>
    </row>
    <row r="26" customFormat="false" ht="15" hidden="false" customHeight="false" outlineLevel="0" collapsed="false">
      <c r="A26" s="3" t="s">
        <v>42</v>
      </c>
      <c r="B26" s="4" t="s">
        <v>43</v>
      </c>
    </row>
    <row r="27" customFormat="false" ht="15" hidden="false" customHeight="false" outlineLevel="0" collapsed="false">
      <c r="A27" s="3" t="s">
        <v>44</v>
      </c>
      <c r="B27" s="4" t="s">
        <v>45</v>
      </c>
    </row>
    <row r="28" customFormat="false" ht="15" hidden="false" customHeight="false" outlineLevel="0" collapsed="false">
      <c r="A28" s="3" t="s">
        <v>46</v>
      </c>
      <c r="B28" s="4" t="s">
        <v>47</v>
      </c>
    </row>
    <row r="29" customFormat="false" ht="15" hidden="false" customHeight="false" outlineLevel="0" collapsed="false">
      <c r="A29" s="3" t="s">
        <v>48</v>
      </c>
      <c r="B29" s="4" t="s">
        <v>49</v>
      </c>
    </row>
    <row r="30" customFormat="false" ht="15" hidden="false" customHeight="false" outlineLevel="0" collapsed="false">
      <c r="A30" s="3" t="s">
        <v>50</v>
      </c>
      <c r="B30" s="4" t="s">
        <v>51</v>
      </c>
    </row>
    <row r="31" customFormat="false" ht="15" hidden="false" customHeight="false" outlineLevel="0" collapsed="false">
      <c r="A31" s="3"/>
      <c r="B31" s="4"/>
    </row>
    <row r="32" customFormat="false" ht="15" hidden="false" customHeight="false" outlineLevel="0" collapsed="false">
      <c r="A32" s="5" t="s">
        <v>52</v>
      </c>
      <c r="B32" s="6" t="s">
        <v>53</v>
      </c>
    </row>
    <row r="33" customFormat="false" ht="15" hidden="false" customHeight="false" outlineLevel="0" collapsed="false">
      <c r="A33" s="7" t="s">
        <v>6</v>
      </c>
      <c r="B33" s="4" t="s">
        <v>54</v>
      </c>
    </row>
    <row r="34" customFormat="false" ht="15" hidden="false" customHeight="false" outlineLevel="0" collapsed="false">
      <c r="A34" s="3" t="s">
        <v>8</v>
      </c>
      <c r="B34" s="4" t="s">
        <v>55</v>
      </c>
    </row>
    <row r="35" customFormat="false" ht="15" hidden="false" customHeight="false" outlineLevel="0" collapsed="false">
      <c r="A35" s="3" t="s">
        <v>10</v>
      </c>
      <c r="B35" s="4" t="s">
        <v>56</v>
      </c>
    </row>
    <row r="36" customFormat="false" ht="15" hidden="false" customHeight="false" outlineLevel="0" collapsed="false">
      <c r="A36" s="3" t="s">
        <v>12</v>
      </c>
      <c r="B36" s="4" t="s">
        <v>57</v>
      </c>
    </row>
    <row r="37" customFormat="false" ht="15" hidden="false" customHeight="false" outlineLevel="0" collapsed="false">
      <c r="A37" s="3" t="s">
        <v>14</v>
      </c>
      <c r="B37" s="4" t="s">
        <v>58</v>
      </c>
    </row>
    <row r="38" customFormat="false" ht="15" hidden="false" customHeight="false" outlineLevel="0" collapsed="false">
      <c r="A38" s="3" t="s">
        <v>16</v>
      </c>
      <c r="B38" s="4" t="s">
        <v>59</v>
      </c>
    </row>
    <row r="39" customFormat="false" ht="15" hidden="false" customHeight="false" outlineLevel="0" collapsed="false">
      <c r="A39" s="3" t="s">
        <v>18</v>
      </c>
      <c r="B39" s="4" t="s">
        <v>60</v>
      </c>
    </row>
    <row r="40" customFormat="false" ht="15" hidden="false" customHeight="false" outlineLevel="0" collapsed="false">
      <c r="A40" s="3" t="s">
        <v>20</v>
      </c>
      <c r="B40" s="4" t="s">
        <v>61</v>
      </c>
    </row>
    <row r="41" customFormat="false" ht="15" hidden="false" customHeight="false" outlineLevel="0" collapsed="false">
      <c r="A41" s="7" t="s">
        <v>22</v>
      </c>
      <c r="B41" s="4" t="s">
        <v>62</v>
      </c>
    </row>
    <row r="42" customFormat="false" ht="15" hidden="false" customHeight="false" outlineLevel="0" collapsed="false">
      <c r="A42" s="7" t="s">
        <v>24</v>
      </c>
      <c r="B42" s="4" t="s">
        <v>63</v>
      </c>
    </row>
    <row r="43" customFormat="false" ht="15" hidden="false" customHeight="false" outlineLevel="0" collapsed="false">
      <c r="A43" s="7" t="s">
        <v>26</v>
      </c>
      <c r="B43" s="4" t="s">
        <v>64</v>
      </c>
    </row>
    <row r="44" customFormat="false" ht="15" hidden="false" customHeight="false" outlineLevel="0" collapsed="false">
      <c r="A44" s="3"/>
      <c r="B44" s="4"/>
    </row>
    <row r="45" customFormat="false" ht="15" hidden="false" customHeight="false" outlineLevel="0" collapsed="false">
      <c r="A45" s="7" t="s">
        <v>65</v>
      </c>
      <c r="B45" s="4" t="s">
        <v>35</v>
      </c>
    </row>
    <row r="46" customFormat="false" ht="15" hidden="false" customHeight="false" outlineLevel="0" collapsed="false">
      <c r="A46" s="7" t="s">
        <v>66</v>
      </c>
      <c r="B46" s="4" t="s">
        <v>67</v>
      </c>
    </row>
    <row r="47" customFormat="false" ht="15" hidden="false" customHeight="false" outlineLevel="0" collapsed="false">
      <c r="A47" s="7" t="s">
        <v>68</v>
      </c>
      <c r="B47" s="4" t="s">
        <v>69</v>
      </c>
    </row>
    <row r="48" customFormat="false" ht="15" hidden="false" customHeight="false" outlineLevel="0" collapsed="false">
      <c r="A48" s="7" t="s">
        <v>70</v>
      </c>
      <c r="B48" s="4" t="s">
        <v>71</v>
      </c>
    </row>
    <row r="49" customFormat="false" ht="15" hidden="false" customHeight="false" outlineLevel="0" collapsed="false">
      <c r="A49" s="7" t="s">
        <v>72</v>
      </c>
      <c r="B49" s="4" t="s">
        <v>73</v>
      </c>
    </row>
    <row r="50" customFormat="false" ht="15" hidden="false" customHeight="false" outlineLevel="0" collapsed="false">
      <c r="A50" s="7" t="s">
        <v>74</v>
      </c>
      <c r="B50" s="4" t="s">
        <v>75</v>
      </c>
    </row>
    <row r="51" customFormat="false" ht="15" hidden="false" customHeight="false" outlineLevel="0" collapsed="false">
      <c r="A51" s="7" t="s">
        <v>76</v>
      </c>
      <c r="B51" s="4" t="s">
        <v>77</v>
      </c>
    </row>
    <row r="52" customFormat="false" ht="15" hidden="false" customHeight="false" outlineLevel="0" collapsed="false">
      <c r="A52" s="7" t="s">
        <v>78</v>
      </c>
      <c r="B52" s="4" t="s">
        <v>79</v>
      </c>
    </row>
    <row r="53" customFormat="false" ht="15" hidden="false" customHeight="false" outlineLevel="0" collapsed="false">
      <c r="A53" s="7" t="s">
        <v>80</v>
      </c>
      <c r="B53" s="4"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5"/>
    <col collapsed="false" customWidth="true" hidden="false" outlineLevel="0" max="4" min="4" style="0" width="44"/>
    <col collapsed="false" customWidth="true" hidden="false" outlineLevel="0" max="5" min="5" style="0" width="60"/>
    <col collapsed="false" customWidth="true" hidden="false" outlineLevel="0" max="6" min="6" style="0" width="46"/>
  </cols>
  <sheetData>
    <row r="1" customFormat="false" ht="16.15" hidden="false" customHeight="false" outlineLevel="0" collapsed="false">
      <c r="A1" s="8" t="s">
        <v>82</v>
      </c>
    </row>
    <row r="2" customFormat="false" ht="30" hidden="false" customHeight="true" outlineLevel="0" collapsed="false">
      <c r="A2" s="9" t="s">
        <v>42</v>
      </c>
      <c r="B2" s="9" t="s">
        <v>83</v>
      </c>
      <c r="C2" s="9" t="s">
        <v>84</v>
      </c>
      <c r="D2" s="9" t="s">
        <v>85</v>
      </c>
      <c r="E2" s="9" t="s">
        <v>86</v>
      </c>
      <c r="F2" s="9" t="s">
        <v>87</v>
      </c>
    </row>
    <row r="3" customFormat="false" ht="45.75" hidden="false" customHeight="true" outlineLevel="0" collapsed="false">
      <c r="A3" s="10" t="s">
        <v>88</v>
      </c>
      <c r="B3" s="10" t="s">
        <v>89</v>
      </c>
      <c r="C3" s="10" t="s">
        <v>90</v>
      </c>
      <c r="D3" s="11" t="s">
        <v>91</v>
      </c>
      <c r="E3" s="11" t="s">
        <v>92</v>
      </c>
      <c r="F3" s="11" t="s">
        <v>93</v>
      </c>
    </row>
    <row r="4" customFormat="false" ht="45.75" hidden="false" customHeight="true" outlineLevel="0" collapsed="false">
      <c r="A4" s="10" t="s">
        <v>94</v>
      </c>
      <c r="B4" s="10" t="s">
        <v>95</v>
      </c>
      <c r="C4" s="10" t="s">
        <v>96</v>
      </c>
      <c r="D4" s="11" t="s">
        <v>97</v>
      </c>
      <c r="E4" s="11" t="s">
        <v>98</v>
      </c>
      <c r="F4" s="11" t="s">
        <v>99</v>
      </c>
    </row>
    <row r="5" customFormat="false" ht="45.75" hidden="false" customHeight="true" outlineLevel="0" collapsed="false">
      <c r="A5" s="10" t="s">
        <v>100</v>
      </c>
      <c r="B5" s="10" t="s">
        <v>101</v>
      </c>
      <c r="C5" s="10" t="s">
        <v>96</v>
      </c>
      <c r="D5" s="11" t="s">
        <v>102</v>
      </c>
      <c r="E5" s="11" t="s">
        <v>103</v>
      </c>
      <c r="F5" s="11" t="s">
        <v>104</v>
      </c>
    </row>
    <row r="6" customFormat="false" ht="45.75" hidden="false" customHeight="true" outlineLevel="0" collapsed="false">
      <c r="A6" s="10" t="s">
        <v>105</v>
      </c>
      <c r="B6" s="10" t="s">
        <v>106</v>
      </c>
      <c r="C6" s="10" t="s">
        <v>107</v>
      </c>
      <c r="D6" s="11" t="s">
        <v>108</v>
      </c>
      <c r="E6" s="11" t="s">
        <v>109</v>
      </c>
      <c r="F6" s="11" t="s">
        <v>110</v>
      </c>
    </row>
    <row r="7" customFormat="false" ht="45.75" hidden="false" customHeight="true" outlineLevel="0" collapsed="false">
      <c r="A7" s="10" t="s">
        <v>111</v>
      </c>
      <c r="B7" s="10" t="s">
        <v>112</v>
      </c>
      <c r="C7" s="10" t="s">
        <v>113</v>
      </c>
      <c r="D7" s="11" t="s">
        <v>114</v>
      </c>
      <c r="E7" s="11" t="s">
        <v>115</v>
      </c>
      <c r="F7" s="11" t="s">
        <v>116</v>
      </c>
    </row>
    <row r="8" customFormat="false" ht="45.75" hidden="false" customHeight="true" outlineLevel="0" collapsed="false">
      <c r="A8" s="10" t="s">
        <v>117</v>
      </c>
      <c r="B8" s="10" t="s">
        <v>118</v>
      </c>
      <c r="C8" s="10" t="s">
        <v>113</v>
      </c>
      <c r="D8" s="11" t="s">
        <v>119</v>
      </c>
      <c r="E8" s="11" t="s">
        <v>120</v>
      </c>
      <c r="F8" s="11" t="s">
        <v>121</v>
      </c>
    </row>
    <row r="9" customFormat="false" ht="45.75" hidden="false" customHeight="true" outlineLevel="0" collapsed="false">
      <c r="A9" s="10" t="s">
        <v>122</v>
      </c>
      <c r="B9" s="10" t="s">
        <v>123</v>
      </c>
      <c r="C9" s="10" t="s">
        <v>107</v>
      </c>
      <c r="D9" s="11" t="s">
        <v>124</v>
      </c>
      <c r="E9" s="11" t="s">
        <v>125</v>
      </c>
      <c r="F9" s="11" t="s">
        <v>126</v>
      </c>
    </row>
    <row r="10" customFormat="false" ht="45.75" hidden="false" customHeight="true" outlineLevel="0" collapsed="false">
      <c r="A10" s="10" t="s">
        <v>127</v>
      </c>
      <c r="B10" s="10" t="s">
        <v>128</v>
      </c>
      <c r="C10" s="10" t="s">
        <v>129</v>
      </c>
      <c r="D10" s="11" t="s">
        <v>130</v>
      </c>
      <c r="E10" s="11" t="s">
        <v>131</v>
      </c>
      <c r="F10" s="11" t="s">
        <v>132</v>
      </c>
    </row>
    <row r="11" customFormat="false" ht="45.75" hidden="false" customHeight="true" outlineLevel="0" collapsed="false">
      <c r="A11" s="10" t="s">
        <v>133</v>
      </c>
      <c r="B11" s="10" t="s">
        <v>134</v>
      </c>
      <c r="C11" s="10" t="s">
        <v>129</v>
      </c>
      <c r="D11" s="11" t="s">
        <v>135</v>
      </c>
      <c r="E11" s="11" t="s">
        <v>136</v>
      </c>
      <c r="F11" s="11" t="s">
        <v>137</v>
      </c>
    </row>
    <row r="12" customFormat="false" ht="45.75" hidden="false" customHeight="true" outlineLevel="0" collapsed="false">
      <c r="A12" s="10" t="s">
        <v>138</v>
      </c>
      <c r="B12" s="10" t="s">
        <v>139</v>
      </c>
      <c r="C12" s="10" t="s">
        <v>140</v>
      </c>
      <c r="D12" s="11" t="s">
        <v>141</v>
      </c>
      <c r="E12" s="11" t="s">
        <v>142</v>
      </c>
      <c r="F12" s="11" t="s">
        <v>143</v>
      </c>
    </row>
    <row r="13" customFormat="false" ht="45.75" hidden="false" customHeight="true" outlineLevel="0" collapsed="false">
      <c r="A13" s="10" t="s">
        <v>144</v>
      </c>
      <c r="B13" s="10" t="s">
        <v>145</v>
      </c>
      <c r="C13" s="10" t="s">
        <v>96</v>
      </c>
      <c r="D13" s="11" t="s">
        <v>146</v>
      </c>
      <c r="E13" s="11" t="s">
        <v>147</v>
      </c>
      <c r="F13" s="11" t="s">
        <v>148</v>
      </c>
    </row>
    <row r="14" customFormat="false" ht="45.75" hidden="false" customHeight="true" outlineLevel="0" collapsed="false">
      <c r="A14" s="10" t="s">
        <v>149</v>
      </c>
      <c r="B14" s="10" t="s">
        <v>150</v>
      </c>
      <c r="C14" s="10" t="s">
        <v>151</v>
      </c>
      <c r="D14" s="11" t="s">
        <v>152</v>
      </c>
      <c r="E14" s="11" t="s">
        <v>153</v>
      </c>
      <c r="F14" s="11" t="s">
        <v>154</v>
      </c>
    </row>
    <row r="15" customFormat="false" ht="45.75" hidden="false" customHeight="true" outlineLevel="0" collapsed="false">
      <c r="A15" s="10" t="s">
        <v>155</v>
      </c>
      <c r="B15" s="10" t="s">
        <v>156</v>
      </c>
      <c r="C15" s="10" t="s">
        <v>107</v>
      </c>
      <c r="D15" s="11" t="s">
        <v>157</v>
      </c>
      <c r="E15" s="11" t="s">
        <v>158</v>
      </c>
      <c r="F15" s="11" t="s">
        <v>159</v>
      </c>
    </row>
    <row r="16" customFormat="false" ht="45.75" hidden="false" customHeight="true" outlineLevel="0" collapsed="false">
      <c r="A16" s="10" t="s">
        <v>160</v>
      </c>
      <c r="B16" s="10" t="s">
        <v>161</v>
      </c>
      <c r="C16" s="10" t="s">
        <v>162</v>
      </c>
      <c r="D16" s="11" t="s">
        <v>163</v>
      </c>
      <c r="E16" s="11" t="s">
        <v>164</v>
      </c>
      <c r="F16" s="11" t="s">
        <v>165</v>
      </c>
    </row>
    <row r="17" customFormat="false" ht="45.75" hidden="false" customHeight="true" outlineLevel="0" collapsed="false">
      <c r="A17" s="10" t="s">
        <v>166</v>
      </c>
      <c r="B17" s="10" t="s">
        <v>167</v>
      </c>
      <c r="C17" s="10" t="s">
        <v>168</v>
      </c>
      <c r="D17" s="11" t="s">
        <v>169</v>
      </c>
      <c r="E17" s="11" t="s">
        <v>170</v>
      </c>
      <c r="F17" s="11" t="s">
        <v>171</v>
      </c>
    </row>
    <row r="18" customFormat="false" ht="45.75" hidden="false" customHeight="true" outlineLevel="0" collapsed="false">
      <c r="A18" s="10" t="s">
        <v>172</v>
      </c>
      <c r="B18" s="10" t="s">
        <v>173</v>
      </c>
      <c r="C18" s="10" t="s">
        <v>174</v>
      </c>
      <c r="D18" s="11" t="s">
        <v>175</v>
      </c>
      <c r="E18" s="11" t="s">
        <v>176</v>
      </c>
      <c r="F18" s="11" t="s">
        <v>177</v>
      </c>
    </row>
    <row r="19" customFormat="false" ht="45.75" hidden="false" customHeight="true" outlineLevel="0" collapsed="false">
      <c r="A19" s="10" t="s">
        <v>178</v>
      </c>
      <c r="B19" s="10" t="s">
        <v>179</v>
      </c>
      <c r="C19" s="10" t="s">
        <v>174</v>
      </c>
      <c r="D19" s="11" t="s">
        <v>180</v>
      </c>
      <c r="E19" s="11" t="s">
        <v>181</v>
      </c>
      <c r="F19" s="11" t="s">
        <v>182</v>
      </c>
    </row>
    <row r="20" customFormat="false" ht="45.75" hidden="false" customHeight="true" outlineLevel="0" collapsed="false">
      <c r="A20" s="10" t="s">
        <v>183</v>
      </c>
      <c r="B20" s="10" t="s">
        <v>184</v>
      </c>
      <c r="C20" s="10" t="s">
        <v>174</v>
      </c>
      <c r="D20" s="11" t="s">
        <v>185</v>
      </c>
      <c r="E20" s="11" t="s">
        <v>186</v>
      </c>
      <c r="F20" s="11" t="s">
        <v>187</v>
      </c>
    </row>
    <row r="21" customFormat="false" ht="45.75" hidden="false" customHeight="true" outlineLevel="0" collapsed="false">
      <c r="A21" s="10" t="s">
        <v>188</v>
      </c>
      <c r="B21" s="10" t="s">
        <v>189</v>
      </c>
      <c r="C21" s="10" t="s">
        <v>174</v>
      </c>
      <c r="D21" s="11" t="s">
        <v>190</v>
      </c>
      <c r="E21" s="11" t="s">
        <v>191</v>
      </c>
      <c r="F21" s="11" t="s">
        <v>192</v>
      </c>
    </row>
    <row r="22" customFormat="false" ht="45.75" hidden="false" customHeight="true" outlineLevel="0" collapsed="false">
      <c r="A22" s="10" t="s">
        <v>193</v>
      </c>
      <c r="B22" s="10" t="s">
        <v>194</v>
      </c>
      <c r="C22" s="10" t="s">
        <v>174</v>
      </c>
      <c r="D22" s="11" t="s">
        <v>195</v>
      </c>
      <c r="E22" s="11" t="s">
        <v>196</v>
      </c>
      <c r="F22" s="11" t="s">
        <v>197</v>
      </c>
    </row>
    <row r="23" customFormat="false" ht="45.75" hidden="false" customHeight="true" outlineLevel="0" collapsed="false">
      <c r="A23" s="10" t="s">
        <v>198</v>
      </c>
      <c r="B23" s="10" t="s">
        <v>199</v>
      </c>
      <c r="C23" s="10" t="s">
        <v>174</v>
      </c>
      <c r="D23" s="11" t="s">
        <v>200</v>
      </c>
      <c r="E23" s="11" t="s">
        <v>201</v>
      </c>
      <c r="F23" s="11" t="s">
        <v>202</v>
      </c>
    </row>
    <row r="24" customFormat="false" ht="45.75" hidden="false" customHeight="true" outlineLevel="0" collapsed="false">
      <c r="A24" s="10" t="s">
        <v>203</v>
      </c>
      <c r="B24" s="10" t="s">
        <v>204</v>
      </c>
      <c r="C24" s="10" t="s">
        <v>174</v>
      </c>
      <c r="D24" s="11" t="s">
        <v>205</v>
      </c>
      <c r="E24" s="11" t="s">
        <v>206</v>
      </c>
      <c r="F24" s="11" t="s">
        <v>207</v>
      </c>
    </row>
    <row r="25" customFormat="false" ht="45.75" hidden="false" customHeight="true" outlineLevel="0" collapsed="false">
      <c r="A25" s="10" t="s">
        <v>208</v>
      </c>
      <c r="B25" s="10" t="s">
        <v>209</v>
      </c>
      <c r="C25" s="10" t="s">
        <v>210</v>
      </c>
      <c r="D25" s="11" t="s">
        <v>211</v>
      </c>
      <c r="E25" s="11" t="s">
        <v>212</v>
      </c>
      <c r="F25" s="11" t="s">
        <v>213</v>
      </c>
    </row>
    <row r="26" customFormat="false" ht="45.75" hidden="false" customHeight="true" outlineLevel="0" collapsed="false">
      <c r="A26" s="10" t="s">
        <v>214</v>
      </c>
      <c r="B26" s="10" t="s">
        <v>215</v>
      </c>
      <c r="C26" s="10" t="s">
        <v>210</v>
      </c>
      <c r="D26" s="11" t="s">
        <v>216</v>
      </c>
      <c r="E26" s="11" t="s">
        <v>217</v>
      </c>
      <c r="F26" s="11" t="s">
        <v>218</v>
      </c>
    </row>
    <row r="27" customFormat="false" ht="45.75" hidden="false" customHeight="true" outlineLevel="0" collapsed="false">
      <c r="A27" s="10" t="s">
        <v>219</v>
      </c>
      <c r="B27" s="10" t="s">
        <v>220</v>
      </c>
      <c r="C27" s="10" t="s">
        <v>210</v>
      </c>
      <c r="D27" s="11" t="s">
        <v>221</v>
      </c>
      <c r="E27" s="11" t="s">
        <v>222</v>
      </c>
      <c r="F27" s="11" t="s">
        <v>223</v>
      </c>
    </row>
    <row r="28" customFormat="false" ht="45.75" hidden="false" customHeight="true" outlineLevel="0" collapsed="false">
      <c r="A28" s="10" t="s">
        <v>224</v>
      </c>
      <c r="B28" s="10" t="s">
        <v>225</v>
      </c>
      <c r="C28" s="10" t="s">
        <v>210</v>
      </c>
      <c r="D28" s="11" t="s">
        <v>226</v>
      </c>
      <c r="E28" s="11" t="s">
        <v>227</v>
      </c>
      <c r="F28" s="11" t="s">
        <v>228</v>
      </c>
    </row>
    <row r="29" customFormat="false" ht="45.75" hidden="false" customHeight="true" outlineLevel="0" collapsed="false">
      <c r="A29" s="10" t="s">
        <v>229</v>
      </c>
      <c r="B29" s="10" t="s">
        <v>230</v>
      </c>
      <c r="C29" s="10" t="s">
        <v>210</v>
      </c>
      <c r="D29" s="11" t="s">
        <v>231</v>
      </c>
      <c r="E29" s="11" t="s">
        <v>232</v>
      </c>
      <c r="F29" s="11" t="s">
        <v>233</v>
      </c>
    </row>
    <row r="30" customFormat="false" ht="45.75" hidden="false" customHeight="true" outlineLevel="0" collapsed="false">
      <c r="A30" s="10" t="s">
        <v>234</v>
      </c>
      <c r="B30" s="10" t="s">
        <v>235</v>
      </c>
      <c r="C30" s="10" t="s">
        <v>210</v>
      </c>
      <c r="D30" s="11" t="s">
        <v>236</v>
      </c>
      <c r="E30" s="11" t="s">
        <v>237</v>
      </c>
      <c r="F30" s="11" t="s">
        <v>238</v>
      </c>
    </row>
    <row r="31" customFormat="false" ht="45.75" hidden="false" customHeight="true" outlineLevel="0" collapsed="false">
      <c r="A31" s="10" t="s">
        <v>239</v>
      </c>
      <c r="B31" s="10" t="s">
        <v>240</v>
      </c>
      <c r="C31" s="10" t="s">
        <v>210</v>
      </c>
      <c r="D31" s="11" t="s">
        <v>241</v>
      </c>
      <c r="E31" s="11" t="s">
        <v>242</v>
      </c>
      <c r="F31" s="11" t="s">
        <v>243</v>
      </c>
    </row>
    <row r="32" customFormat="false" ht="45.75" hidden="false" customHeight="true" outlineLevel="0" collapsed="false">
      <c r="A32" s="10" t="s">
        <v>244</v>
      </c>
      <c r="B32" s="10" t="s">
        <v>245</v>
      </c>
      <c r="C32" s="10" t="s">
        <v>210</v>
      </c>
      <c r="D32" s="11" t="s">
        <v>246</v>
      </c>
      <c r="E32" s="11" t="s">
        <v>247</v>
      </c>
      <c r="F32" s="11" t="s">
        <v>248</v>
      </c>
    </row>
    <row r="33" customFormat="false" ht="45.75" hidden="false" customHeight="true" outlineLevel="0" collapsed="false">
      <c r="A33" s="10" t="s">
        <v>249</v>
      </c>
      <c r="B33" s="10" t="s">
        <v>250</v>
      </c>
      <c r="C33" s="10" t="s">
        <v>210</v>
      </c>
      <c r="D33" s="11" t="s">
        <v>251</v>
      </c>
      <c r="E33" s="11" t="s">
        <v>252</v>
      </c>
      <c r="F33" s="11" t="s">
        <v>253</v>
      </c>
    </row>
    <row r="34" customFormat="false" ht="45.75" hidden="false" customHeight="true" outlineLevel="0" collapsed="false">
      <c r="A34" s="10" t="s">
        <v>254</v>
      </c>
      <c r="B34" s="10" t="s">
        <v>255</v>
      </c>
      <c r="C34" s="10" t="s">
        <v>210</v>
      </c>
      <c r="D34" s="11" t="s">
        <v>256</v>
      </c>
      <c r="E34" s="11" t="s">
        <v>257</v>
      </c>
      <c r="F34" s="11" t="s">
        <v>258</v>
      </c>
    </row>
    <row r="35" customFormat="false" ht="45.75" hidden="false" customHeight="true" outlineLevel="0" collapsed="false">
      <c r="A35" s="10" t="s">
        <v>259</v>
      </c>
      <c r="B35" s="10" t="s">
        <v>260</v>
      </c>
      <c r="C35" s="10" t="s">
        <v>261</v>
      </c>
      <c r="D35" s="11" t="s">
        <v>262</v>
      </c>
      <c r="E35" s="11" t="s">
        <v>263</v>
      </c>
      <c r="F35" s="11" t="s">
        <v>264</v>
      </c>
    </row>
    <row r="36" customFormat="false" ht="45.75" hidden="false" customHeight="true" outlineLevel="0" collapsed="false">
      <c r="A36" s="10" t="s">
        <v>265</v>
      </c>
      <c r="B36" s="10" t="s">
        <v>266</v>
      </c>
      <c r="C36" s="10" t="s">
        <v>267</v>
      </c>
      <c r="D36" s="11" t="s">
        <v>268</v>
      </c>
      <c r="E36" s="11" t="s">
        <v>269</v>
      </c>
      <c r="F36" s="11" t="s">
        <v>270</v>
      </c>
    </row>
    <row r="37" customFormat="false" ht="45.75" hidden="false" customHeight="true" outlineLevel="0" collapsed="false">
      <c r="A37" s="10" t="s">
        <v>271</v>
      </c>
      <c r="B37" s="10" t="s">
        <v>272</v>
      </c>
      <c r="C37" s="10" t="s">
        <v>267</v>
      </c>
      <c r="D37" s="11" t="s">
        <v>273</v>
      </c>
      <c r="E37" s="11" t="s">
        <v>274</v>
      </c>
      <c r="F37" s="11" t="s">
        <v>275</v>
      </c>
    </row>
    <row r="38" customFormat="false" ht="45.75" hidden="false" customHeight="true" outlineLevel="0" collapsed="false">
      <c r="A38" s="10" t="s">
        <v>276</v>
      </c>
      <c r="B38" s="10" t="s">
        <v>277</v>
      </c>
      <c r="C38" s="10" t="s">
        <v>267</v>
      </c>
      <c r="D38" s="11" t="s">
        <v>278</v>
      </c>
      <c r="E38" s="11" t="s">
        <v>279</v>
      </c>
      <c r="F38" s="11" t="s">
        <v>280</v>
      </c>
    </row>
    <row r="39" customFormat="false" ht="45.75" hidden="false" customHeight="true" outlineLevel="0" collapsed="false">
      <c r="A39" s="10" t="s">
        <v>281</v>
      </c>
      <c r="B39" s="10" t="s">
        <v>282</v>
      </c>
      <c r="C39" s="10" t="s">
        <v>267</v>
      </c>
      <c r="D39" s="11" t="s">
        <v>283</v>
      </c>
      <c r="E39" s="11" t="s">
        <v>284</v>
      </c>
      <c r="F39" s="11" t="s">
        <v>285</v>
      </c>
    </row>
    <row r="40" customFormat="false" ht="45.75" hidden="false" customHeight="true" outlineLevel="0" collapsed="false">
      <c r="A40" s="10" t="s">
        <v>286</v>
      </c>
      <c r="B40" s="10" t="s">
        <v>287</v>
      </c>
      <c r="C40" s="10" t="s">
        <v>267</v>
      </c>
      <c r="D40" s="11" t="s">
        <v>288</v>
      </c>
      <c r="E40" s="11" t="s">
        <v>289</v>
      </c>
      <c r="F40" s="11" t="s">
        <v>290</v>
      </c>
    </row>
    <row r="41" customFormat="false" ht="45.75" hidden="false" customHeight="true" outlineLevel="0" collapsed="false">
      <c r="A41" s="10" t="s">
        <v>291</v>
      </c>
      <c r="B41" s="10" t="s">
        <v>292</v>
      </c>
      <c r="C41" s="10" t="s">
        <v>267</v>
      </c>
      <c r="D41" s="11" t="s">
        <v>293</v>
      </c>
      <c r="E41" s="11" t="s">
        <v>294</v>
      </c>
      <c r="F41" s="11" t="s">
        <v>295</v>
      </c>
    </row>
    <row r="42" customFormat="false" ht="45.75" hidden="false" customHeight="true" outlineLevel="0" collapsed="false">
      <c r="A42" s="10" t="s">
        <v>296</v>
      </c>
      <c r="B42" s="10" t="s">
        <v>297</v>
      </c>
      <c r="C42" s="10" t="s">
        <v>298</v>
      </c>
      <c r="D42" s="11" t="s">
        <v>299</v>
      </c>
      <c r="E42" s="11" t="s">
        <v>300</v>
      </c>
      <c r="F42" s="11" t="s">
        <v>301</v>
      </c>
    </row>
    <row r="43" customFormat="false" ht="45.75" hidden="false" customHeight="true" outlineLevel="0" collapsed="false">
      <c r="A43" s="10" t="s">
        <v>302</v>
      </c>
      <c r="B43" s="10" t="s">
        <v>303</v>
      </c>
      <c r="C43" s="10" t="s">
        <v>267</v>
      </c>
      <c r="D43" s="11" t="s">
        <v>304</v>
      </c>
      <c r="E43" s="11" t="s">
        <v>305</v>
      </c>
      <c r="F43" s="11" t="s">
        <v>306</v>
      </c>
    </row>
    <row r="44" customFormat="false" ht="45.75" hidden="false" customHeight="true" outlineLevel="0" collapsed="false">
      <c r="A44" s="10" t="s">
        <v>307</v>
      </c>
      <c r="B44" s="10" t="s">
        <v>308</v>
      </c>
      <c r="C44" s="10" t="s">
        <v>267</v>
      </c>
      <c r="D44" s="11" t="s">
        <v>309</v>
      </c>
      <c r="E44" s="11" t="s">
        <v>310</v>
      </c>
      <c r="F44" s="11" t="s">
        <v>311</v>
      </c>
    </row>
    <row r="45" customFormat="false" ht="45.75" hidden="false" customHeight="true" outlineLevel="0" collapsed="false">
      <c r="A45" s="10" t="s">
        <v>312</v>
      </c>
      <c r="B45" s="10" t="s">
        <v>313</v>
      </c>
      <c r="C45" s="10" t="s">
        <v>298</v>
      </c>
      <c r="D45" s="11" t="s">
        <v>314</v>
      </c>
      <c r="E45" s="11" t="s">
        <v>315</v>
      </c>
      <c r="F45" s="11" t="s">
        <v>316</v>
      </c>
    </row>
    <row r="46" customFormat="false" ht="45.75" hidden="false" customHeight="true" outlineLevel="0" collapsed="false">
      <c r="A46" s="10" t="s">
        <v>317</v>
      </c>
      <c r="B46" s="10" t="s">
        <v>318</v>
      </c>
      <c r="C46" s="10" t="s">
        <v>267</v>
      </c>
      <c r="D46" s="11" t="s">
        <v>319</v>
      </c>
      <c r="E46" s="11" t="s">
        <v>320</v>
      </c>
      <c r="F46" s="11" t="s">
        <v>321</v>
      </c>
    </row>
    <row r="47" customFormat="false" ht="45.75" hidden="false" customHeight="true" outlineLevel="0" collapsed="false">
      <c r="A47" s="10" t="s">
        <v>322</v>
      </c>
      <c r="B47" s="10" t="s">
        <v>323</v>
      </c>
      <c r="C47" s="10" t="s">
        <v>267</v>
      </c>
      <c r="D47" s="11" t="s">
        <v>324</v>
      </c>
      <c r="E47" s="11" t="s">
        <v>325</v>
      </c>
      <c r="F47" s="11" t="s">
        <v>326</v>
      </c>
    </row>
    <row r="48" customFormat="false" ht="45.75" hidden="false" customHeight="true" outlineLevel="0" collapsed="false">
      <c r="A48" s="10" t="s">
        <v>327</v>
      </c>
      <c r="B48" s="10" t="s">
        <v>328</v>
      </c>
      <c r="C48" s="10" t="s">
        <v>329</v>
      </c>
      <c r="D48" s="11" t="s">
        <v>330</v>
      </c>
      <c r="E48" s="11" t="s">
        <v>331</v>
      </c>
      <c r="F48" s="11" t="s">
        <v>332</v>
      </c>
    </row>
    <row r="49" customFormat="false" ht="45.75" hidden="false" customHeight="true" outlineLevel="0" collapsed="false">
      <c r="A49" s="10" t="s">
        <v>333</v>
      </c>
      <c r="B49" s="10" t="s">
        <v>334</v>
      </c>
      <c r="C49" s="10" t="s">
        <v>329</v>
      </c>
      <c r="D49" s="11" t="s">
        <v>335</v>
      </c>
      <c r="E49" s="11" t="s">
        <v>336</v>
      </c>
      <c r="F49" s="11" t="s">
        <v>337</v>
      </c>
    </row>
    <row r="50" customFormat="false" ht="45.75" hidden="false" customHeight="true" outlineLevel="0" collapsed="false">
      <c r="A50" s="10" t="s">
        <v>338</v>
      </c>
      <c r="B50" s="10" t="s">
        <v>339</v>
      </c>
      <c r="C50" s="10" t="s">
        <v>329</v>
      </c>
      <c r="D50" s="11" t="s">
        <v>340</v>
      </c>
      <c r="E50" s="11" t="s">
        <v>341</v>
      </c>
      <c r="F50" s="11" t="s">
        <v>342</v>
      </c>
    </row>
    <row r="51" customFormat="false" ht="45.75" hidden="false" customHeight="true" outlineLevel="0" collapsed="false">
      <c r="A51" s="10" t="s">
        <v>343</v>
      </c>
      <c r="B51" s="10" t="s">
        <v>344</v>
      </c>
      <c r="C51" s="10" t="s">
        <v>329</v>
      </c>
      <c r="D51" s="11" t="s">
        <v>345</v>
      </c>
      <c r="E51" s="11" t="s">
        <v>346</v>
      </c>
      <c r="F51" s="11" t="s">
        <v>347</v>
      </c>
    </row>
    <row r="52" customFormat="false" ht="45.75" hidden="false" customHeight="true" outlineLevel="0" collapsed="false">
      <c r="A52" s="10" t="s">
        <v>348</v>
      </c>
      <c r="B52" s="10" t="s">
        <v>349</v>
      </c>
      <c r="C52" s="10" t="s">
        <v>329</v>
      </c>
      <c r="D52" s="11" t="s">
        <v>350</v>
      </c>
      <c r="E52" s="11" t="s">
        <v>351</v>
      </c>
      <c r="F52" s="11" t="s">
        <v>352</v>
      </c>
    </row>
    <row r="53" customFormat="false" ht="45.75" hidden="false" customHeight="true" outlineLevel="0" collapsed="false">
      <c r="A53" s="10" t="s">
        <v>353</v>
      </c>
      <c r="B53" s="10" t="s">
        <v>354</v>
      </c>
      <c r="C53" s="10" t="s">
        <v>329</v>
      </c>
      <c r="D53" s="11" t="s">
        <v>355</v>
      </c>
      <c r="E53" s="11" t="s">
        <v>356</v>
      </c>
      <c r="F53" s="11" t="s">
        <v>357</v>
      </c>
    </row>
    <row r="54" customFormat="false" ht="45.75" hidden="false" customHeight="true" outlineLevel="0" collapsed="false">
      <c r="A54" s="10" t="s">
        <v>358</v>
      </c>
      <c r="B54" s="10" t="s">
        <v>359</v>
      </c>
      <c r="C54" s="10" t="s">
        <v>329</v>
      </c>
      <c r="D54" s="11" t="s">
        <v>360</v>
      </c>
      <c r="E54" s="11" t="s">
        <v>361</v>
      </c>
      <c r="F54" s="11" t="s">
        <v>362</v>
      </c>
    </row>
    <row r="55" customFormat="false" ht="45.75" hidden="false" customHeight="true" outlineLevel="0" collapsed="false">
      <c r="A55" s="10" t="s">
        <v>363</v>
      </c>
      <c r="B55" s="10" t="s">
        <v>364</v>
      </c>
      <c r="C55" s="10" t="s">
        <v>329</v>
      </c>
      <c r="D55" s="11" t="s">
        <v>365</v>
      </c>
      <c r="E55" s="11" t="s">
        <v>366</v>
      </c>
      <c r="F55" s="11" t="s">
        <v>367</v>
      </c>
    </row>
    <row r="56" customFormat="false" ht="45.75" hidden="false" customHeight="true" outlineLevel="0" collapsed="false">
      <c r="A56" s="10" t="s">
        <v>368</v>
      </c>
      <c r="B56" s="10" t="s">
        <v>369</v>
      </c>
      <c r="C56" s="10" t="s">
        <v>329</v>
      </c>
      <c r="D56" s="11" t="s">
        <v>370</v>
      </c>
      <c r="E56" s="11" t="s">
        <v>371</v>
      </c>
      <c r="F56" s="11" t="s">
        <v>372</v>
      </c>
    </row>
    <row r="57" customFormat="false" ht="45.75" hidden="false" customHeight="true" outlineLevel="0" collapsed="false">
      <c r="A57" s="10" t="s">
        <v>373</v>
      </c>
      <c r="B57" s="10" t="s">
        <v>374</v>
      </c>
      <c r="C57" s="10" t="s">
        <v>329</v>
      </c>
      <c r="D57" s="11" t="s">
        <v>375</v>
      </c>
      <c r="E57" s="11" t="s">
        <v>376</v>
      </c>
      <c r="F57" s="11" t="s">
        <v>377</v>
      </c>
    </row>
    <row r="58" customFormat="false" ht="45.75" hidden="false" customHeight="true" outlineLevel="0" collapsed="false">
      <c r="A58" s="10" t="s">
        <v>378</v>
      </c>
      <c r="B58" s="10" t="s">
        <v>379</v>
      </c>
      <c r="C58" s="10" t="s">
        <v>329</v>
      </c>
      <c r="D58" s="11" t="s">
        <v>380</v>
      </c>
      <c r="E58" s="11" t="s">
        <v>381</v>
      </c>
      <c r="F58" s="11" t="s">
        <v>382</v>
      </c>
    </row>
    <row r="59" customFormat="false" ht="45.75" hidden="false" customHeight="true" outlineLevel="0" collapsed="false">
      <c r="A59" s="10" t="s">
        <v>383</v>
      </c>
      <c r="B59" s="10" t="s">
        <v>384</v>
      </c>
      <c r="C59" s="10" t="s">
        <v>329</v>
      </c>
      <c r="D59" s="11" t="s">
        <v>385</v>
      </c>
      <c r="E59" s="11" t="s">
        <v>386</v>
      </c>
      <c r="F59" s="11" t="s">
        <v>387</v>
      </c>
    </row>
    <row r="60" customFormat="false" ht="45.75" hidden="false" customHeight="true" outlineLevel="0" collapsed="false">
      <c r="A60" s="10" t="s">
        <v>388</v>
      </c>
      <c r="B60" s="10" t="s">
        <v>389</v>
      </c>
      <c r="C60" s="10" t="s">
        <v>329</v>
      </c>
      <c r="D60" s="11" t="s">
        <v>390</v>
      </c>
      <c r="E60" s="11" t="s">
        <v>391</v>
      </c>
      <c r="F60" s="11" t="s">
        <v>392</v>
      </c>
    </row>
    <row r="61" customFormat="false" ht="45.75" hidden="false" customHeight="true" outlineLevel="0" collapsed="false">
      <c r="A61" s="10" t="s">
        <v>393</v>
      </c>
      <c r="B61" s="10" t="s">
        <v>394</v>
      </c>
      <c r="C61" s="10" t="s">
        <v>329</v>
      </c>
      <c r="D61" s="11" t="s">
        <v>395</v>
      </c>
      <c r="E61" s="11" t="s">
        <v>396</v>
      </c>
      <c r="F61" s="11" t="s">
        <v>397</v>
      </c>
    </row>
    <row r="62" customFormat="false" ht="45.75" hidden="false" customHeight="true" outlineLevel="0" collapsed="false">
      <c r="A62" s="10" t="s">
        <v>398</v>
      </c>
      <c r="B62" s="10" t="s">
        <v>399</v>
      </c>
      <c r="C62" s="10" t="s">
        <v>329</v>
      </c>
      <c r="D62" s="11" t="s">
        <v>400</v>
      </c>
      <c r="E62" s="11" t="s">
        <v>401</v>
      </c>
      <c r="F62" s="11" t="s">
        <v>402</v>
      </c>
    </row>
    <row r="63" customFormat="false" ht="45.75" hidden="false" customHeight="true" outlineLevel="0" collapsed="false">
      <c r="A63" s="10" t="s">
        <v>403</v>
      </c>
      <c r="B63" s="10" t="s">
        <v>404</v>
      </c>
      <c r="C63" s="10" t="s">
        <v>267</v>
      </c>
      <c r="D63" s="11" t="s">
        <v>405</v>
      </c>
      <c r="E63" s="11" t="s">
        <v>406</v>
      </c>
      <c r="F63" s="11" t="s">
        <v>407</v>
      </c>
    </row>
    <row r="64" customFormat="false" ht="45.75" hidden="false" customHeight="true" outlineLevel="0" collapsed="false">
      <c r="A64" s="10" t="s">
        <v>408</v>
      </c>
      <c r="B64" s="10" t="s">
        <v>409</v>
      </c>
      <c r="C64" s="10" t="s">
        <v>267</v>
      </c>
      <c r="D64" s="11" t="s">
        <v>410</v>
      </c>
      <c r="E64" s="11" t="s">
        <v>411</v>
      </c>
      <c r="F64" s="11" t="s">
        <v>412</v>
      </c>
    </row>
    <row r="65" customFormat="false" ht="45.75" hidden="false" customHeight="true" outlineLevel="0" collapsed="false">
      <c r="A65" s="10" t="s">
        <v>413</v>
      </c>
      <c r="B65" s="10" t="s">
        <v>414</v>
      </c>
      <c r="C65" s="10" t="s">
        <v>267</v>
      </c>
      <c r="D65" s="11" t="s">
        <v>415</v>
      </c>
      <c r="E65" s="11" t="s">
        <v>416</v>
      </c>
      <c r="F65" s="11" t="s">
        <v>417</v>
      </c>
    </row>
    <row r="66" customFormat="false" ht="45.75" hidden="false" customHeight="true" outlineLevel="0" collapsed="false">
      <c r="A66" s="10" t="s">
        <v>418</v>
      </c>
      <c r="B66" s="10" t="s">
        <v>419</v>
      </c>
      <c r="C66" s="10" t="s">
        <v>267</v>
      </c>
      <c r="D66" s="11" t="s">
        <v>420</v>
      </c>
      <c r="E66" s="11" t="s">
        <v>421</v>
      </c>
      <c r="F66" s="11" t="s">
        <v>422</v>
      </c>
    </row>
    <row r="67" customFormat="false" ht="45.75" hidden="false" customHeight="true" outlineLevel="0" collapsed="false">
      <c r="A67" s="10" t="s">
        <v>423</v>
      </c>
      <c r="B67" s="10" t="s">
        <v>424</v>
      </c>
      <c r="C67" s="10" t="s">
        <v>267</v>
      </c>
      <c r="D67" s="11" t="s">
        <v>425</v>
      </c>
      <c r="E67" s="11" t="s">
        <v>426</v>
      </c>
      <c r="F67" s="11" t="s">
        <v>427</v>
      </c>
    </row>
    <row r="68" customFormat="false" ht="45.75" hidden="false" customHeight="true" outlineLevel="0" collapsed="false">
      <c r="A68" s="10" t="s">
        <v>428</v>
      </c>
      <c r="B68" s="10" t="s">
        <v>429</v>
      </c>
      <c r="C68" s="10" t="s">
        <v>267</v>
      </c>
      <c r="D68" s="11" t="s">
        <v>430</v>
      </c>
      <c r="E68" s="11" t="s">
        <v>431</v>
      </c>
      <c r="F68" s="11" t="s">
        <v>432</v>
      </c>
    </row>
    <row r="69" customFormat="false" ht="45.75" hidden="false" customHeight="true" outlineLevel="0" collapsed="false">
      <c r="A69" s="10" t="s">
        <v>433</v>
      </c>
      <c r="B69" s="10" t="s">
        <v>434</v>
      </c>
      <c r="C69" s="10" t="s">
        <v>435</v>
      </c>
      <c r="D69" s="11" t="s">
        <v>436</v>
      </c>
      <c r="E69" s="11" t="s">
        <v>437</v>
      </c>
      <c r="F69" s="11" t="s">
        <v>438</v>
      </c>
    </row>
    <row r="70" customFormat="false" ht="45.75" hidden="false" customHeight="true" outlineLevel="0" collapsed="false">
      <c r="A70" s="10" t="s">
        <v>439</v>
      </c>
      <c r="B70" s="10" t="s">
        <v>440</v>
      </c>
      <c r="C70" s="10" t="s">
        <v>435</v>
      </c>
      <c r="D70" s="11" t="s">
        <v>441</v>
      </c>
      <c r="E70" s="11" t="s">
        <v>442</v>
      </c>
      <c r="F70" s="11" t="s">
        <v>443</v>
      </c>
    </row>
    <row r="71" customFormat="false" ht="45.75" hidden="false" customHeight="true" outlineLevel="0" collapsed="false">
      <c r="A71" s="10" t="s">
        <v>444</v>
      </c>
      <c r="B71" s="10" t="s">
        <v>445</v>
      </c>
      <c r="C71" s="10" t="s">
        <v>435</v>
      </c>
      <c r="D71" s="11" t="s">
        <v>446</v>
      </c>
      <c r="E71" s="11" t="s">
        <v>447</v>
      </c>
      <c r="F71" s="11" t="s">
        <v>448</v>
      </c>
    </row>
    <row r="72" customFormat="false" ht="45.75" hidden="false" customHeight="true" outlineLevel="0" collapsed="false">
      <c r="A72" s="10" t="s">
        <v>449</v>
      </c>
      <c r="B72" s="10" t="s">
        <v>450</v>
      </c>
      <c r="C72" s="10" t="s">
        <v>435</v>
      </c>
      <c r="D72" s="11" t="s">
        <v>451</v>
      </c>
      <c r="E72" s="11" t="s">
        <v>452</v>
      </c>
      <c r="F72" s="11" t="s">
        <v>453</v>
      </c>
    </row>
    <row r="73" customFormat="false" ht="45.75" hidden="false" customHeight="true" outlineLevel="0" collapsed="false">
      <c r="A73" s="10" t="s">
        <v>454</v>
      </c>
      <c r="B73" s="10" t="s">
        <v>455</v>
      </c>
      <c r="C73" s="10" t="s">
        <v>435</v>
      </c>
      <c r="D73" s="11" t="s">
        <v>456</v>
      </c>
      <c r="E73" s="11" t="s">
        <v>457</v>
      </c>
      <c r="F73" s="11" t="s">
        <v>458</v>
      </c>
    </row>
    <row r="74" customFormat="false" ht="45.75" hidden="false" customHeight="true" outlineLevel="0" collapsed="false">
      <c r="A74" s="10" t="s">
        <v>459</v>
      </c>
      <c r="B74" s="10" t="s">
        <v>460</v>
      </c>
      <c r="C74" s="10" t="s">
        <v>435</v>
      </c>
      <c r="D74" s="11" t="s">
        <v>461</v>
      </c>
      <c r="E74" s="11" t="s">
        <v>462</v>
      </c>
      <c r="F74" s="11" t="s">
        <v>463</v>
      </c>
    </row>
    <row r="75" customFormat="false" ht="45.75" hidden="false" customHeight="true" outlineLevel="0" collapsed="false">
      <c r="A75" s="10" t="s">
        <v>464</v>
      </c>
      <c r="B75" s="10" t="s">
        <v>465</v>
      </c>
      <c r="C75" s="10" t="s">
        <v>435</v>
      </c>
      <c r="D75" s="11" t="s">
        <v>466</v>
      </c>
      <c r="E75" s="11" t="s">
        <v>467</v>
      </c>
      <c r="F75" s="11" t="s">
        <v>468</v>
      </c>
    </row>
    <row r="76" customFormat="false" ht="45.75" hidden="false" customHeight="true" outlineLevel="0" collapsed="false">
      <c r="A76" s="10" t="s">
        <v>469</v>
      </c>
      <c r="B76" s="10" t="s">
        <v>470</v>
      </c>
      <c r="C76" s="10" t="s">
        <v>435</v>
      </c>
      <c r="D76" s="11" t="s">
        <v>471</v>
      </c>
      <c r="E76" s="11" t="s">
        <v>472</v>
      </c>
      <c r="F76" s="11" t="s">
        <v>473</v>
      </c>
    </row>
    <row r="77" customFormat="false" ht="45.75" hidden="false" customHeight="true" outlineLevel="0" collapsed="false">
      <c r="A77" s="10" t="s">
        <v>474</v>
      </c>
      <c r="B77" s="10" t="s">
        <v>475</v>
      </c>
      <c r="C77" s="10" t="s">
        <v>435</v>
      </c>
      <c r="D77" s="11" t="s">
        <v>476</v>
      </c>
      <c r="E77" s="11" t="s">
        <v>477</v>
      </c>
      <c r="F77" s="11" t="s">
        <v>478</v>
      </c>
    </row>
    <row r="78" customFormat="false" ht="45.75" hidden="false" customHeight="true" outlineLevel="0" collapsed="false">
      <c r="A78" s="10" t="s">
        <v>479</v>
      </c>
      <c r="B78" s="10" t="s">
        <v>480</v>
      </c>
      <c r="C78" s="10" t="s">
        <v>481</v>
      </c>
      <c r="D78" s="11" t="s">
        <v>482</v>
      </c>
      <c r="E78" s="11" t="s">
        <v>483</v>
      </c>
      <c r="F78" s="11" t="s">
        <v>484</v>
      </c>
    </row>
    <row r="79" customFormat="false" ht="45.75" hidden="false" customHeight="true" outlineLevel="0" collapsed="false">
      <c r="A79" s="10" t="s">
        <v>485</v>
      </c>
      <c r="B79" s="10" t="s">
        <v>486</v>
      </c>
      <c r="C79" s="10" t="s">
        <v>481</v>
      </c>
      <c r="D79" s="11" t="s">
        <v>487</v>
      </c>
      <c r="E79" s="11" t="s">
        <v>488</v>
      </c>
      <c r="F79" s="11" t="s">
        <v>489</v>
      </c>
    </row>
    <row r="80" customFormat="false" ht="45.75" hidden="false" customHeight="true" outlineLevel="0" collapsed="false">
      <c r="A80" s="10" t="s">
        <v>490</v>
      </c>
      <c r="B80" s="10" t="s">
        <v>491</v>
      </c>
      <c r="C80" s="10" t="s">
        <v>481</v>
      </c>
      <c r="D80" s="11" t="s">
        <v>492</v>
      </c>
      <c r="E80" s="11" t="s">
        <v>493</v>
      </c>
      <c r="F80" s="11" t="s">
        <v>494</v>
      </c>
    </row>
    <row r="81" customFormat="false" ht="45.75" hidden="false" customHeight="true" outlineLevel="0" collapsed="false">
      <c r="A81" s="10" t="s">
        <v>495</v>
      </c>
      <c r="B81" s="10" t="s">
        <v>496</v>
      </c>
      <c r="C81" s="10" t="s">
        <v>481</v>
      </c>
      <c r="D81" s="11" t="s">
        <v>497</v>
      </c>
      <c r="E81" s="11" t="s">
        <v>498</v>
      </c>
      <c r="F81" s="11" t="s">
        <v>499</v>
      </c>
    </row>
    <row r="82" customFormat="false" ht="45.75" hidden="false" customHeight="true" outlineLevel="0" collapsed="false">
      <c r="A82" s="10" t="s">
        <v>500</v>
      </c>
      <c r="B82" s="10" t="s">
        <v>501</v>
      </c>
      <c r="C82" s="10" t="s">
        <v>481</v>
      </c>
      <c r="D82" s="11" t="s">
        <v>502</v>
      </c>
      <c r="E82" s="11" t="s">
        <v>503</v>
      </c>
      <c r="F82" s="11" t="s">
        <v>504</v>
      </c>
    </row>
    <row r="83" customFormat="false" ht="45.75" hidden="false" customHeight="true" outlineLevel="0" collapsed="false">
      <c r="A83" s="10" t="s">
        <v>505</v>
      </c>
      <c r="B83" s="10" t="s">
        <v>506</v>
      </c>
      <c r="C83" s="10" t="s">
        <v>481</v>
      </c>
      <c r="D83" s="11" t="s">
        <v>507</v>
      </c>
      <c r="E83" s="11" t="s">
        <v>508</v>
      </c>
      <c r="F83" s="11" t="s">
        <v>509</v>
      </c>
    </row>
    <row r="84" customFormat="false" ht="45.75" hidden="false" customHeight="true" outlineLevel="0" collapsed="false">
      <c r="A84" s="10" t="s">
        <v>510</v>
      </c>
      <c r="B84" s="10" t="s">
        <v>511</v>
      </c>
      <c r="C84" s="10" t="s">
        <v>512</v>
      </c>
      <c r="D84" s="11" t="s">
        <v>513</v>
      </c>
      <c r="E84" s="11" t="s">
        <v>514</v>
      </c>
      <c r="F84" s="11" t="s">
        <v>515</v>
      </c>
    </row>
    <row r="85" customFormat="false" ht="45.75" hidden="false" customHeight="true" outlineLevel="0" collapsed="false">
      <c r="A85" s="10" t="s">
        <v>516</v>
      </c>
      <c r="B85" s="10" t="s">
        <v>517</v>
      </c>
      <c r="C85" s="10" t="s">
        <v>512</v>
      </c>
      <c r="D85" s="11" t="s">
        <v>518</v>
      </c>
      <c r="E85" s="11" t="s">
        <v>519</v>
      </c>
      <c r="F85" s="11" t="s">
        <v>520</v>
      </c>
    </row>
    <row r="86" customFormat="false" ht="45.75" hidden="false" customHeight="true" outlineLevel="0" collapsed="false">
      <c r="A86" s="10" t="s">
        <v>521</v>
      </c>
      <c r="B86" s="10" t="s">
        <v>522</v>
      </c>
      <c r="C86" s="10" t="s">
        <v>512</v>
      </c>
      <c r="D86" s="11" t="s">
        <v>523</v>
      </c>
      <c r="E86" s="11" t="s">
        <v>524</v>
      </c>
      <c r="F86" s="11" t="s">
        <v>525</v>
      </c>
    </row>
    <row r="87" customFormat="false" ht="45.75" hidden="false" customHeight="true" outlineLevel="0" collapsed="false">
      <c r="A87" s="10" t="s">
        <v>526</v>
      </c>
      <c r="B87" s="10" t="s">
        <v>527</v>
      </c>
      <c r="C87" s="10" t="s">
        <v>512</v>
      </c>
      <c r="D87" s="11" t="s">
        <v>528</v>
      </c>
      <c r="E87" s="11" t="s">
        <v>529</v>
      </c>
      <c r="F87" s="11" t="s">
        <v>530</v>
      </c>
    </row>
    <row r="88" customFormat="false" ht="45.75" hidden="false" customHeight="true" outlineLevel="0" collapsed="false">
      <c r="A88" s="10" t="s">
        <v>531</v>
      </c>
      <c r="B88" s="10" t="s">
        <v>532</v>
      </c>
      <c r="C88" s="10" t="s">
        <v>512</v>
      </c>
      <c r="D88" s="11" t="s">
        <v>533</v>
      </c>
      <c r="E88" s="11" t="s">
        <v>534</v>
      </c>
      <c r="F88" s="11" t="s">
        <v>535</v>
      </c>
    </row>
    <row r="89" customFormat="false" ht="45.75" hidden="false" customHeight="true" outlineLevel="0" collapsed="false">
      <c r="A89" s="10" t="s">
        <v>536</v>
      </c>
      <c r="B89" s="10" t="s">
        <v>537</v>
      </c>
      <c r="C89" s="10" t="s">
        <v>512</v>
      </c>
      <c r="D89" s="11" t="s">
        <v>538</v>
      </c>
      <c r="E89" s="11" t="s">
        <v>539</v>
      </c>
      <c r="F89" s="11" t="s">
        <v>540</v>
      </c>
    </row>
    <row r="90" customFormat="false" ht="45.75" hidden="false" customHeight="true" outlineLevel="0" collapsed="false">
      <c r="A90" s="10" t="s">
        <v>541</v>
      </c>
      <c r="B90" s="10" t="s">
        <v>542</v>
      </c>
      <c r="C90" s="10" t="s">
        <v>543</v>
      </c>
      <c r="D90" s="11" t="s">
        <v>544</v>
      </c>
      <c r="E90" s="11" t="s">
        <v>545</v>
      </c>
      <c r="F90" s="11" t="s">
        <v>546</v>
      </c>
    </row>
    <row r="91" customFormat="false" ht="45.75" hidden="false" customHeight="true" outlineLevel="0" collapsed="false">
      <c r="A91" s="10" t="s">
        <v>547</v>
      </c>
      <c r="B91" s="10" t="s">
        <v>548</v>
      </c>
      <c r="C91" s="10" t="s">
        <v>543</v>
      </c>
      <c r="D91" s="11" t="s">
        <v>549</v>
      </c>
      <c r="E91" s="11" t="s">
        <v>550</v>
      </c>
      <c r="F91" s="11" t="s">
        <v>551</v>
      </c>
    </row>
    <row r="92" customFormat="false" ht="45.75" hidden="false" customHeight="true" outlineLevel="0" collapsed="false">
      <c r="A92" s="10" t="s">
        <v>552</v>
      </c>
      <c r="B92" s="10" t="s">
        <v>553</v>
      </c>
      <c r="C92" s="10" t="s">
        <v>543</v>
      </c>
      <c r="D92" s="11" t="s">
        <v>554</v>
      </c>
      <c r="E92" s="11" t="s">
        <v>555</v>
      </c>
      <c r="F92" s="11" t="s">
        <v>556</v>
      </c>
    </row>
    <row r="93" customFormat="false" ht="45.75" hidden="false" customHeight="true" outlineLevel="0" collapsed="false">
      <c r="A93" s="10" t="s">
        <v>557</v>
      </c>
      <c r="B93" s="10" t="s">
        <v>558</v>
      </c>
      <c r="C93" s="10" t="s">
        <v>543</v>
      </c>
      <c r="D93" s="11" t="s">
        <v>559</v>
      </c>
      <c r="E93" s="11" t="s">
        <v>560</v>
      </c>
      <c r="F93" s="11" t="s">
        <v>561</v>
      </c>
    </row>
    <row r="94" customFormat="false" ht="45.75" hidden="false" customHeight="true" outlineLevel="0" collapsed="false">
      <c r="A94" s="10" t="s">
        <v>562</v>
      </c>
      <c r="B94" s="10" t="s">
        <v>563</v>
      </c>
      <c r="C94" s="10" t="s">
        <v>543</v>
      </c>
      <c r="D94" s="11" t="s">
        <v>564</v>
      </c>
      <c r="E94" s="11" t="s">
        <v>565</v>
      </c>
      <c r="F94" s="11" t="s">
        <v>566</v>
      </c>
    </row>
    <row r="95" customFormat="false" ht="45.75" hidden="false" customHeight="true" outlineLevel="0" collapsed="false">
      <c r="A95" s="10" t="s">
        <v>567</v>
      </c>
      <c r="B95" s="10" t="s">
        <v>568</v>
      </c>
      <c r="C95" s="10" t="s">
        <v>543</v>
      </c>
      <c r="D95" s="11" t="s">
        <v>569</v>
      </c>
      <c r="E95" s="11" t="s">
        <v>570</v>
      </c>
      <c r="F95" s="11" t="s">
        <v>571</v>
      </c>
    </row>
    <row r="96" customFormat="false" ht="45.75" hidden="false" customHeight="true" outlineLevel="0" collapsed="false">
      <c r="A96" s="10" t="s">
        <v>572</v>
      </c>
      <c r="B96" s="10" t="s">
        <v>573</v>
      </c>
      <c r="C96" s="10" t="s">
        <v>543</v>
      </c>
      <c r="D96" s="11" t="s">
        <v>574</v>
      </c>
      <c r="E96" s="11" t="s">
        <v>575</v>
      </c>
      <c r="F96" s="11" t="s">
        <v>576</v>
      </c>
    </row>
    <row r="97" customFormat="false" ht="45.75" hidden="false" customHeight="true" outlineLevel="0" collapsed="false">
      <c r="A97" s="10" t="s">
        <v>577</v>
      </c>
      <c r="B97" s="10" t="s">
        <v>578</v>
      </c>
      <c r="C97" s="10" t="s">
        <v>543</v>
      </c>
      <c r="D97" s="11" t="s">
        <v>579</v>
      </c>
      <c r="E97" s="11" t="s">
        <v>580</v>
      </c>
      <c r="F97" s="11" t="s">
        <v>581</v>
      </c>
    </row>
    <row r="98" customFormat="false" ht="45.75" hidden="false" customHeight="true" outlineLevel="0" collapsed="false">
      <c r="A98" s="10" t="s">
        <v>582</v>
      </c>
      <c r="B98" s="10" t="s">
        <v>583</v>
      </c>
      <c r="C98" s="10" t="s">
        <v>543</v>
      </c>
      <c r="D98" s="11" t="s">
        <v>584</v>
      </c>
      <c r="E98" s="11" t="s">
        <v>585</v>
      </c>
      <c r="F98" s="11" t="s">
        <v>586</v>
      </c>
    </row>
    <row r="99" customFormat="false" ht="45.75" hidden="false" customHeight="true" outlineLevel="0" collapsed="false">
      <c r="A99" s="10" t="s">
        <v>587</v>
      </c>
      <c r="B99" s="10" t="s">
        <v>588</v>
      </c>
      <c r="C99" s="10" t="s">
        <v>543</v>
      </c>
      <c r="D99" s="11" t="s">
        <v>589</v>
      </c>
      <c r="E99" s="11" t="s">
        <v>590</v>
      </c>
      <c r="F99" s="11" t="s">
        <v>591</v>
      </c>
    </row>
    <row r="100" customFormat="false" ht="45.75" hidden="false" customHeight="true" outlineLevel="0" collapsed="false">
      <c r="A100" s="10" t="s">
        <v>592</v>
      </c>
      <c r="B100" s="10" t="s">
        <v>593</v>
      </c>
      <c r="C100" s="10" t="s">
        <v>543</v>
      </c>
      <c r="D100" s="11" t="s">
        <v>594</v>
      </c>
      <c r="E100" s="11" t="s">
        <v>595</v>
      </c>
      <c r="F100" s="11" t="s">
        <v>596</v>
      </c>
    </row>
    <row r="101" customFormat="false" ht="45.75" hidden="false" customHeight="true" outlineLevel="0" collapsed="false">
      <c r="A101" s="10" t="s">
        <v>597</v>
      </c>
      <c r="B101" s="10" t="s">
        <v>598</v>
      </c>
      <c r="C101" s="10" t="s">
        <v>543</v>
      </c>
      <c r="D101" s="11" t="s">
        <v>599</v>
      </c>
      <c r="E101" s="11" t="s">
        <v>600</v>
      </c>
      <c r="F101" s="11" t="s">
        <v>601</v>
      </c>
    </row>
    <row r="102" customFormat="false" ht="45.75" hidden="false" customHeight="true" outlineLevel="0" collapsed="false">
      <c r="A102" s="10" t="s">
        <v>602</v>
      </c>
      <c r="B102" s="10" t="s">
        <v>603</v>
      </c>
      <c r="C102" s="10" t="s">
        <v>543</v>
      </c>
      <c r="D102" s="11" t="s">
        <v>604</v>
      </c>
      <c r="E102" s="11" t="s">
        <v>605</v>
      </c>
      <c r="F102" s="11" t="s">
        <v>606</v>
      </c>
    </row>
    <row r="103" customFormat="false" ht="45.75" hidden="false" customHeight="true" outlineLevel="0" collapsed="false">
      <c r="A103" s="10" t="s">
        <v>607</v>
      </c>
      <c r="B103" s="10" t="s">
        <v>608</v>
      </c>
      <c r="C103" s="10" t="s">
        <v>609</v>
      </c>
      <c r="D103" s="11" t="s">
        <v>610</v>
      </c>
      <c r="E103" s="11" t="s">
        <v>611</v>
      </c>
      <c r="F103" s="11" t="s">
        <v>612</v>
      </c>
    </row>
    <row r="104" customFormat="false" ht="45.75" hidden="false" customHeight="true" outlineLevel="0" collapsed="false">
      <c r="A104" s="10" t="s">
        <v>613</v>
      </c>
      <c r="B104" s="10" t="s">
        <v>614</v>
      </c>
      <c r="C104" s="10" t="s">
        <v>609</v>
      </c>
      <c r="D104" s="11" t="s">
        <v>615</v>
      </c>
      <c r="E104" s="11" t="s">
        <v>616</v>
      </c>
      <c r="F104" s="11" t="s">
        <v>617</v>
      </c>
    </row>
    <row r="105" customFormat="false" ht="45.75" hidden="false" customHeight="true" outlineLevel="0" collapsed="false">
      <c r="A105" s="10" t="s">
        <v>618</v>
      </c>
      <c r="B105" s="10" t="s">
        <v>619</v>
      </c>
      <c r="C105" s="10" t="s">
        <v>609</v>
      </c>
      <c r="D105" s="11" t="s">
        <v>620</v>
      </c>
      <c r="E105" s="11" t="s">
        <v>621</v>
      </c>
      <c r="F105" s="11" t="s">
        <v>622</v>
      </c>
    </row>
    <row r="106" customFormat="false" ht="45.75" hidden="false" customHeight="true" outlineLevel="0" collapsed="false">
      <c r="A106" s="10" t="s">
        <v>623</v>
      </c>
      <c r="B106" s="10" t="s">
        <v>624</v>
      </c>
      <c r="C106" s="10" t="s">
        <v>609</v>
      </c>
      <c r="D106" s="11" t="s">
        <v>625</v>
      </c>
      <c r="E106" s="11" t="s">
        <v>626</v>
      </c>
      <c r="F106" s="11" t="s">
        <v>627</v>
      </c>
    </row>
    <row r="107" customFormat="false" ht="45.75" hidden="false" customHeight="true" outlineLevel="0" collapsed="false">
      <c r="A107" s="10" t="s">
        <v>628</v>
      </c>
      <c r="B107" s="10" t="s">
        <v>629</v>
      </c>
      <c r="C107" s="10" t="s">
        <v>609</v>
      </c>
      <c r="D107" s="11" t="s">
        <v>630</v>
      </c>
      <c r="E107" s="11" t="s">
        <v>631</v>
      </c>
      <c r="F107" s="11" t="s">
        <v>632</v>
      </c>
    </row>
    <row r="108" customFormat="false" ht="45.75" hidden="false" customHeight="true" outlineLevel="0" collapsed="false">
      <c r="A108" s="10" t="s">
        <v>633</v>
      </c>
      <c r="B108" s="10" t="s">
        <v>634</v>
      </c>
      <c r="C108" s="10" t="s">
        <v>609</v>
      </c>
      <c r="D108" s="11" t="s">
        <v>635</v>
      </c>
      <c r="E108" s="11" t="s">
        <v>636</v>
      </c>
      <c r="F108" s="11" t="s">
        <v>637</v>
      </c>
    </row>
    <row r="109" customFormat="false" ht="45.75" hidden="false" customHeight="true" outlineLevel="0" collapsed="false">
      <c r="A109" s="10" t="s">
        <v>638</v>
      </c>
      <c r="B109" s="10" t="s">
        <v>639</v>
      </c>
      <c r="C109" s="10" t="s">
        <v>609</v>
      </c>
      <c r="D109" s="11" t="s">
        <v>640</v>
      </c>
      <c r="E109" s="11" t="s">
        <v>641</v>
      </c>
      <c r="F109" s="11" t="s">
        <v>642</v>
      </c>
    </row>
    <row r="110" customFormat="false" ht="45.75" hidden="false" customHeight="true" outlineLevel="0" collapsed="false">
      <c r="A110" s="10" t="s">
        <v>643</v>
      </c>
      <c r="B110" s="10" t="s">
        <v>644</v>
      </c>
      <c r="C110" s="10" t="s">
        <v>609</v>
      </c>
      <c r="D110" s="11" t="s">
        <v>645</v>
      </c>
      <c r="E110" s="11" t="s">
        <v>646</v>
      </c>
      <c r="F110" s="11" t="s">
        <v>647</v>
      </c>
    </row>
    <row r="111" customFormat="false" ht="45.75" hidden="false" customHeight="true" outlineLevel="0" collapsed="false">
      <c r="A111" s="10" t="s">
        <v>648</v>
      </c>
      <c r="B111" s="10" t="s">
        <v>649</v>
      </c>
      <c r="C111" s="10" t="s">
        <v>609</v>
      </c>
      <c r="D111" s="11" t="s">
        <v>650</v>
      </c>
      <c r="E111" s="11" t="s">
        <v>651</v>
      </c>
      <c r="F111" s="11" t="s">
        <v>652</v>
      </c>
    </row>
    <row r="112" customFormat="false" ht="45.75" hidden="false" customHeight="true" outlineLevel="0" collapsed="false">
      <c r="A112" s="10" t="s">
        <v>653</v>
      </c>
      <c r="B112" s="10" t="s">
        <v>654</v>
      </c>
      <c r="C112" s="10" t="s">
        <v>609</v>
      </c>
      <c r="D112" s="11" t="s">
        <v>655</v>
      </c>
      <c r="E112" s="11" t="s">
        <v>656</v>
      </c>
      <c r="F112" s="11" t="s">
        <v>657</v>
      </c>
    </row>
    <row r="113" customFormat="false" ht="45.75" hidden="false" customHeight="true" outlineLevel="0" collapsed="false">
      <c r="A113" s="10" t="s">
        <v>658</v>
      </c>
      <c r="B113" s="10" t="s">
        <v>659</v>
      </c>
      <c r="C113" s="10" t="s">
        <v>660</v>
      </c>
      <c r="D113" s="11" t="s">
        <v>661</v>
      </c>
      <c r="E113" s="11" t="s">
        <v>662</v>
      </c>
      <c r="F113" s="11" t="s">
        <v>663</v>
      </c>
    </row>
    <row r="114" customFormat="false" ht="45.75" hidden="false" customHeight="true" outlineLevel="0" collapsed="false">
      <c r="A114" s="10" t="s">
        <v>664</v>
      </c>
      <c r="B114" s="10" t="s">
        <v>665</v>
      </c>
      <c r="C114" s="10" t="s">
        <v>660</v>
      </c>
      <c r="D114" s="11" t="s">
        <v>666</v>
      </c>
      <c r="E114" s="11" t="s">
        <v>667</v>
      </c>
      <c r="F114" s="11" t="s">
        <v>668</v>
      </c>
    </row>
    <row r="115" customFormat="false" ht="45.75" hidden="false" customHeight="true" outlineLevel="0" collapsed="false">
      <c r="A115" s="10" t="s">
        <v>669</v>
      </c>
      <c r="B115" s="10" t="s">
        <v>670</v>
      </c>
      <c r="C115" s="10" t="s">
        <v>660</v>
      </c>
      <c r="D115" s="11" t="s">
        <v>671</v>
      </c>
      <c r="E115" s="11" t="s">
        <v>672</v>
      </c>
      <c r="F115" s="11" t="s">
        <v>673</v>
      </c>
    </row>
    <row r="116" customFormat="false" ht="45.75" hidden="false" customHeight="true" outlineLevel="0" collapsed="false">
      <c r="A116" s="10" t="s">
        <v>674</v>
      </c>
      <c r="B116" s="10" t="s">
        <v>675</v>
      </c>
      <c r="C116" s="10" t="s">
        <v>660</v>
      </c>
      <c r="D116" s="11" t="s">
        <v>676</v>
      </c>
      <c r="E116" s="11" t="s">
        <v>677</v>
      </c>
      <c r="F116" s="11" t="s">
        <v>678</v>
      </c>
    </row>
    <row r="117" customFormat="false" ht="45.75" hidden="false" customHeight="true" outlineLevel="0" collapsed="false">
      <c r="A117" s="10" t="s">
        <v>679</v>
      </c>
      <c r="B117" s="10" t="s">
        <v>680</v>
      </c>
      <c r="C117" s="10" t="s">
        <v>660</v>
      </c>
      <c r="D117" s="11" t="s">
        <v>681</v>
      </c>
      <c r="E117" s="11" t="s">
        <v>682</v>
      </c>
      <c r="F117" s="11" t="s">
        <v>683</v>
      </c>
    </row>
    <row r="118" customFormat="false" ht="45.75" hidden="false" customHeight="true" outlineLevel="0" collapsed="false">
      <c r="A118" s="10" t="s">
        <v>684</v>
      </c>
      <c r="B118" s="10" t="s">
        <v>685</v>
      </c>
      <c r="C118" s="10" t="s">
        <v>660</v>
      </c>
      <c r="D118" s="11" t="s">
        <v>686</v>
      </c>
      <c r="E118" s="11" t="s">
        <v>687</v>
      </c>
      <c r="F118" s="11" t="s">
        <v>688</v>
      </c>
    </row>
    <row r="119" customFormat="false" ht="45.75" hidden="false" customHeight="true" outlineLevel="0" collapsed="false">
      <c r="A119" s="10" t="s">
        <v>689</v>
      </c>
      <c r="B119" s="10" t="s">
        <v>690</v>
      </c>
      <c r="C119" s="10" t="s">
        <v>660</v>
      </c>
      <c r="D119" s="11" t="s">
        <v>691</v>
      </c>
      <c r="E119" s="11" t="s">
        <v>692</v>
      </c>
      <c r="F119" s="11" t="s">
        <v>693</v>
      </c>
    </row>
    <row r="120" customFormat="false" ht="45.75" hidden="false" customHeight="true" outlineLevel="0" collapsed="false">
      <c r="A120" s="10" t="s">
        <v>694</v>
      </c>
      <c r="B120" s="10" t="s">
        <v>695</v>
      </c>
      <c r="C120" s="10" t="s">
        <v>660</v>
      </c>
      <c r="D120" s="11" t="s">
        <v>696</v>
      </c>
      <c r="E120" s="11" t="s">
        <v>697</v>
      </c>
      <c r="F120" s="11" t="s">
        <v>698</v>
      </c>
    </row>
    <row r="121" customFormat="false" ht="45.75" hidden="false" customHeight="true" outlineLevel="0" collapsed="false">
      <c r="A121" s="10" t="s">
        <v>699</v>
      </c>
      <c r="B121" s="10" t="s">
        <v>700</v>
      </c>
      <c r="C121" s="10" t="s">
        <v>660</v>
      </c>
      <c r="D121" s="11" t="s">
        <v>701</v>
      </c>
      <c r="E121" s="11" t="s">
        <v>702</v>
      </c>
      <c r="F121" s="11" t="s">
        <v>703</v>
      </c>
    </row>
    <row r="122" customFormat="false" ht="45.75" hidden="false" customHeight="true" outlineLevel="0" collapsed="false">
      <c r="A122" s="10" t="s">
        <v>704</v>
      </c>
      <c r="B122" s="10" t="s">
        <v>705</v>
      </c>
      <c r="C122" s="10" t="s">
        <v>660</v>
      </c>
      <c r="D122" s="11" t="s">
        <v>706</v>
      </c>
      <c r="E122" s="11" t="s">
        <v>707</v>
      </c>
      <c r="F122" s="11" t="s">
        <v>708</v>
      </c>
    </row>
    <row r="123" customFormat="false" ht="45.75" hidden="false" customHeight="true" outlineLevel="0" collapsed="false">
      <c r="A123" s="10" t="s">
        <v>709</v>
      </c>
      <c r="B123" s="10" t="s">
        <v>710</v>
      </c>
      <c r="C123" s="10" t="s">
        <v>711</v>
      </c>
      <c r="D123" s="11" t="s">
        <v>712</v>
      </c>
      <c r="E123" s="11" t="s">
        <v>713</v>
      </c>
      <c r="F123" s="11" t="s">
        <v>714</v>
      </c>
    </row>
    <row r="124" customFormat="false" ht="45.75" hidden="false" customHeight="true" outlineLevel="0" collapsed="false">
      <c r="A124" s="10" t="s">
        <v>715</v>
      </c>
      <c r="B124" s="10" t="s">
        <v>716</v>
      </c>
      <c r="C124" s="10" t="s">
        <v>711</v>
      </c>
      <c r="D124" s="11" t="s">
        <v>717</v>
      </c>
      <c r="E124" s="11" t="s">
        <v>718</v>
      </c>
      <c r="F124" s="11" t="s">
        <v>719</v>
      </c>
    </row>
    <row r="125" customFormat="false" ht="45.75" hidden="false" customHeight="true" outlineLevel="0" collapsed="false">
      <c r="A125" s="10" t="s">
        <v>720</v>
      </c>
      <c r="B125" s="10" t="s">
        <v>721</v>
      </c>
      <c r="C125" s="10" t="s">
        <v>711</v>
      </c>
      <c r="D125" s="11" t="s">
        <v>722</v>
      </c>
      <c r="E125" s="11" t="s">
        <v>723</v>
      </c>
      <c r="F125" s="11" t="s">
        <v>724</v>
      </c>
    </row>
    <row r="126" customFormat="false" ht="45.75" hidden="false" customHeight="true" outlineLevel="0" collapsed="false">
      <c r="A126" s="10" t="s">
        <v>725</v>
      </c>
      <c r="B126" s="10" t="s">
        <v>726</v>
      </c>
      <c r="C126" s="10" t="s">
        <v>711</v>
      </c>
      <c r="D126" s="11" t="s">
        <v>727</v>
      </c>
      <c r="E126" s="11" t="s">
        <v>728</v>
      </c>
      <c r="F126" s="11" t="s">
        <v>729</v>
      </c>
    </row>
    <row r="127" customFormat="false" ht="45.75" hidden="false" customHeight="true" outlineLevel="0" collapsed="false">
      <c r="A127" s="10" t="s">
        <v>730</v>
      </c>
      <c r="B127" s="10" t="s">
        <v>731</v>
      </c>
      <c r="C127" s="10" t="s">
        <v>711</v>
      </c>
      <c r="D127" s="11" t="s">
        <v>732</v>
      </c>
      <c r="E127" s="11" t="s">
        <v>733</v>
      </c>
      <c r="F127" s="11" t="s">
        <v>734</v>
      </c>
    </row>
    <row r="128" customFormat="false" ht="45.75" hidden="false" customHeight="true" outlineLevel="0" collapsed="false">
      <c r="A128" s="10" t="s">
        <v>735</v>
      </c>
      <c r="B128" s="10" t="s">
        <v>736</v>
      </c>
      <c r="C128" s="10" t="s">
        <v>711</v>
      </c>
      <c r="D128" s="11" t="s">
        <v>737</v>
      </c>
      <c r="E128" s="11" t="s">
        <v>738</v>
      </c>
      <c r="F128" s="11" t="s">
        <v>739</v>
      </c>
    </row>
    <row r="129" customFormat="false" ht="45.75" hidden="false" customHeight="true" outlineLevel="0" collapsed="false">
      <c r="A129" s="10" t="s">
        <v>740</v>
      </c>
      <c r="B129" s="10" t="s">
        <v>741</v>
      </c>
      <c r="C129" s="10" t="s">
        <v>711</v>
      </c>
      <c r="D129" s="11" t="s">
        <v>742</v>
      </c>
      <c r="E129" s="11" t="s">
        <v>743</v>
      </c>
      <c r="F129" s="11" t="s">
        <v>744</v>
      </c>
    </row>
    <row r="130" customFormat="false" ht="45.75" hidden="false" customHeight="true" outlineLevel="0" collapsed="false">
      <c r="A130" s="10" t="s">
        <v>745</v>
      </c>
      <c r="B130" s="10" t="s">
        <v>746</v>
      </c>
      <c r="C130" s="10" t="s">
        <v>747</v>
      </c>
      <c r="D130" s="11" t="s">
        <v>748</v>
      </c>
      <c r="E130" s="11" t="s">
        <v>749</v>
      </c>
      <c r="F130" s="11" t="s">
        <v>750</v>
      </c>
    </row>
    <row r="131" customFormat="false" ht="45.75" hidden="false" customHeight="true" outlineLevel="0" collapsed="false">
      <c r="A131" s="10" t="s">
        <v>751</v>
      </c>
      <c r="B131" s="10" t="s">
        <v>752</v>
      </c>
      <c r="C131" s="10" t="s">
        <v>747</v>
      </c>
      <c r="D131" s="11" t="s">
        <v>753</v>
      </c>
      <c r="E131" s="11" t="s">
        <v>754</v>
      </c>
      <c r="F131" s="11" t="s">
        <v>755</v>
      </c>
    </row>
    <row r="132" customFormat="false" ht="45.75" hidden="false" customHeight="true" outlineLevel="0" collapsed="false">
      <c r="A132" s="10" t="s">
        <v>756</v>
      </c>
      <c r="B132" s="10" t="s">
        <v>757</v>
      </c>
      <c r="C132" s="10" t="s">
        <v>747</v>
      </c>
      <c r="D132" s="11" t="s">
        <v>758</v>
      </c>
      <c r="E132" s="11" t="s">
        <v>759</v>
      </c>
      <c r="F132" s="11" t="s">
        <v>760</v>
      </c>
    </row>
    <row r="133" customFormat="false" ht="45.75" hidden="false" customHeight="true" outlineLevel="0" collapsed="false">
      <c r="A133" s="10" t="s">
        <v>761</v>
      </c>
      <c r="B133" s="10" t="s">
        <v>762</v>
      </c>
      <c r="C133" s="10" t="s">
        <v>747</v>
      </c>
      <c r="D133" s="11" t="s">
        <v>763</v>
      </c>
      <c r="E133" s="11" t="s">
        <v>764</v>
      </c>
      <c r="F133" s="11" t="s">
        <v>765</v>
      </c>
    </row>
    <row r="134" customFormat="false" ht="45.75" hidden="false" customHeight="true" outlineLevel="0" collapsed="false">
      <c r="A134" s="10" t="s">
        <v>766</v>
      </c>
      <c r="B134" s="10" t="s">
        <v>767</v>
      </c>
      <c r="C134" s="10" t="s">
        <v>747</v>
      </c>
      <c r="D134" s="11" t="s">
        <v>768</v>
      </c>
      <c r="E134" s="11" t="s">
        <v>769</v>
      </c>
      <c r="F134" s="11" t="s">
        <v>770</v>
      </c>
    </row>
    <row r="135" customFormat="false" ht="45.75" hidden="false" customHeight="true" outlineLevel="0" collapsed="false">
      <c r="A135" s="10" t="s">
        <v>771</v>
      </c>
      <c r="B135" s="10" t="s">
        <v>772</v>
      </c>
      <c r="C135" s="10" t="s">
        <v>747</v>
      </c>
      <c r="D135" s="11" t="s">
        <v>773</v>
      </c>
      <c r="E135" s="11" t="s">
        <v>774</v>
      </c>
      <c r="F135" s="11" t="s">
        <v>775</v>
      </c>
    </row>
    <row r="136" customFormat="false" ht="45.75" hidden="false" customHeight="true" outlineLevel="0" collapsed="false">
      <c r="A136" s="10" t="s">
        <v>776</v>
      </c>
      <c r="B136" s="10" t="s">
        <v>777</v>
      </c>
      <c r="C136" s="10" t="s">
        <v>747</v>
      </c>
      <c r="D136" s="11" t="s">
        <v>778</v>
      </c>
      <c r="E136" s="11" t="s">
        <v>779</v>
      </c>
      <c r="F136" s="11" t="s">
        <v>780</v>
      </c>
    </row>
    <row r="137" customFormat="false" ht="45.75" hidden="false" customHeight="true" outlineLevel="0" collapsed="false">
      <c r="A137" s="10" t="s">
        <v>781</v>
      </c>
      <c r="B137" s="10" t="s">
        <v>782</v>
      </c>
      <c r="C137" s="10" t="s">
        <v>747</v>
      </c>
      <c r="D137" s="11" t="s">
        <v>783</v>
      </c>
      <c r="E137" s="11" t="s">
        <v>784</v>
      </c>
      <c r="F137" s="11" t="s">
        <v>785</v>
      </c>
    </row>
    <row r="138" customFormat="false" ht="45.75" hidden="false" customHeight="true" outlineLevel="0" collapsed="false">
      <c r="A138" s="10" t="s">
        <v>786</v>
      </c>
      <c r="B138" s="10" t="s">
        <v>787</v>
      </c>
      <c r="C138" s="10" t="s">
        <v>609</v>
      </c>
      <c r="D138" s="11" t="s">
        <v>788</v>
      </c>
      <c r="E138" s="11" t="s">
        <v>789</v>
      </c>
      <c r="F138" s="11" t="s">
        <v>790</v>
      </c>
    </row>
    <row r="139" customFormat="false" ht="45.75" hidden="false" customHeight="true" outlineLevel="0" collapsed="false">
      <c r="A139" s="10" t="s">
        <v>791</v>
      </c>
      <c r="B139" s="10" t="s">
        <v>792</v>
      </c>
      <c r="C139" s="10" t="s">
        <v>609</v>
      </c>
      <c r="D139" s="11" t="s">
        <v>793</v>
      </c>
      <c r="E139" s="11" t="s">
        <v>794</v>
      </c>
      <c r="F139" s="11" t="s">
        <v>795</v>
      </c>
    </row>
    <row r="140" customFormat="false" ht="45.75" hidden="false" customHeight="true" outlineLevel="0" collapsed="false">
      <c r="A140" s="10" t="s">
        <v>796</v>
      </c>
      <c r="B140" s="10" t="s">
        <v>797</v>
      </c>
      <c r="C140" s="10" t="s">
        <v>609</v>
      </c>
      <c r="D140" s="11" t="s">
        <v>798</v>
      </c>
      <c r="E140" s="11" t="s">
        <v>799</v>
      </c>
      <c r="F140" s="11" t="s">
        <v>800</v>
      </c>
    </row>
    <row r="141" customFormat="false" ht="45.75" hidden="false" customHeight="true" outlineLevel="0" collapsed="false">
      <c r="A141" s="10" t="s">
        <v>801</v>
      </c>
      <c r="B141" s="10" t="s">
        <v>802</v>
      </c>
      <c r="C141" s="10" t="s">
        <v>609</v>
      </c>
      <c r="D141" s="11" t="s">
        <v>803</v>
      </c>
      <c r="E141" s="11" t="s">
        <v>804</v>
      </c>
      <c r="F141" s="11" t="s">
        <v>805</v>
      </c>
    </row>
    <row r="142" customFormat="false" ht="45.75" hidden="false" customHeight="true" outlineLevel="0" collapsed="false">
      <c r="A142" s="10" t="s">
        <v>806</v>
      </c>
      <c r="B142" s="10" t="s">
        <v>807</v>
      </c>
      <c r="C142" s="10" t="s">
        <v>609</v>
      </c>
      <c r="D142" s="11" t="s">
        <v>808</v>
      </c>
      <c r="E142" s="11" t="s">
        <v>809</v>
      </c>
      <c r="F142" s="11" t="s">
        <v>810</v>
      </c>
    </row>
    <row r="143" customFormat="false" ht="45.75" hidden="false" customHeight="true" outlineLevel="0" collapsed="false">
      <c r="A143" s="10" t="s">
        <v>811</v>
      </c>
      <c r="B143" s="10" t="s">
        <v>812</v>
      </c>
      <c r="C143" s="10" t="s">
        <v>609</v>
      </c>
      <c r="D143" s="11" t="s">
        <v>813</v>
      </c>
      <c r="E143" s="11" t="s">
        <v>814</v>
      </c>
      <c r="F143" s="11" t="s">
        <v>815</v>
      </c>
    </row>
    <row r="144" customFormat="false" ht="45.75" hidden="false" customHeight="true" outlineLevel="0" collapsed="false">
      <c r="A144" s="10" t="s">
        <v>816</v>
      </c>
      <c r="B144" s="10" t="s">
        <v>817</v>
      </c>
      <c r="C144" s="10" t="s">
        <v>747</v>
      </c>
      <c r="D144" s="11" t="s">
        <v>818</v>
      </c>
      <c r="E144" s="11" t="s">
        <v>819</v>
      </c>
      <c r="F144" s="11" t="s">
        <v>820</v>
      </c>
    </row>
    <row r="145" customFormat="false" ht="45.75" hidden="false" customHeight="true" outlineLevel="0" collapsed="false">
      <c r="A145" s="10" t="s">
        <v>821</v>
      </c>
      <c r="B145" s="10" t="s">
        <v>822</v>
      </c>
      <c r="C145" s="10" t="s">
        <v>747</v>
      </c>
      <c r="D145" s="11" t="s">
        <v>823</v>
      </c>
      <c r="E145" s="11" t="s">
        <v>824</v>
      </c>
      <c r="F145" s="11" t="s">
        <v>825</v>
      </c>
    </row>
    <row r="146" customFormat="false" ht="45.75" hidden="false" customHeight="true" outlineLevel="0" collapsed="false">
      <c r="A146" s="10" t="s">
        <v>826</v>
      </c>
      <c r="B146" s="10" t="s">
        <v>827</v>
      </c>
      <c r="C146" s="10" t="s">
        <v>747</v>
      </c>
      <c r="D146" s="11" t="s">
        <v>828</v>
      </c>
      <c r="E146" s="11" t="s">
        <v>829</v>
      </c>
      <c r="F146" s="11" t="s">
        <v>830</v>
      </c>
    </row>
    <row r="147" customFormat="false" ht="45.75" hidden="false" customHeight="true" outlineLevel="0" collapsed="false">
      <c r="A147" s="10" t="s">
        <v>831</v>
      </c>
      <c r="B147" s="10" t="s">
        <v>832</v>
      </c>
      <c r="C147" s="10" t="s">
        <v>747</v>
      </c>
      <c r="D147" s="11" t="s">
        <v>833</v>
      </c>
      <c r="E147" s="11" t="s">
        <v>834</v>
      </c>
      <c r="F147" s="11" t="s">
        <v>835</v>
      </c>
    </row>
    <row r="148" customFormat="false" ht="45.75" hidden="false" customHeight="true" outlineLevel="0" collapsed="false">
      <c r="A148" s="10" t="s">
        <v>836</v>
      </c>
      <c r="B148" s="10" t="s">
        <v>837</v>
      </c>
      <c r="C148" s="10" t="s">
        <v>838</v>
      </c>
      <c r="D148" s="11" t="s">
        <v>839</v>
      </c>
      <c r="E148" s="11" t="s">
        <v>840</v>
      </c>
      <c r="F148" s="11" t="s">
        <v>841</v>
      </c>
    </row>
    <row r="149" customFormat="false" ht="45.75" hidden="false" customHeight="true" outlineLevel="0" collapsed="false">
      <c r="A149" s="10" t="s">
        <v>842</v>
      </c>
      <c r="B149" s="10" t="s">
        <v>843</v>
      </c>
      <c r="C149" s="10" t="s">
        <v>838</v>
      </c>
      <c r="D149" s="11" t="s">
        <v>844</v>
      </c>
      <c r="E149" s="11" t="s">
        <v>845</v>
      </c>
      <c r="F149" s="11" t="s">
        <v>846</v>
      </c>
    </row>
    <row r="150" customFormat="false" ht="45.75" hidden="false" customHeight="true" outlineLevel="0" collapsed="false">
      <c r="A150" s="10" t="s">
        <v>847</v>
      </c>
      <c r="B150" s="10" t="s">
        <v>848</v>
      </c>
      <c r="C150" s="10" t="s">
        <v>838</v>
      </c>
      <c r="D150" s="11" t="s">
        <v>849</v>
      </c>
      <c r="E150" s="11" t="s">
        <v>850</v>
      </c>
      <c r="F150" s="11" t="s">
        <v>851</v>
      </c>
    </row>
    <row r="151" customFormat="false" ht="45.75" hidden="false" customHeight="true" outlineLevel="0" collapsed="false">
      <c r="A151" s="10" t="s">
        <v>852</v>
      </c>
      <c r="B151" s="10" t="s">
        <v>853</v>
      </c>
      <c r="C151" s="10" t="s">
        <v>838</v>
      </c>
      <c r="D151" s="11" t="s">
        <v>854</v>
      </c>
      <c r="E151" s="11" t="s">
        <v>855</v>
      </c>
      <c r="F151" s="11" t="s">
        <v>856</v>
      </c>
    </row>
    <row r="152" customFormat="false" ht="45.75" hidden="false" customHeight="true" outlineLevel="0" collapsed="false">
      <c r="A152" s="10" t="s">
        <v>857</v>
      </c>
      <c r="B152" s="10" t="s">
        <v>858</v>
      </c>
      <c r="C152" s="10" t="s">
        <v>838</v>
      </c>
      <c r="D152" s="11" t="s">
        <v>859</v>
      </c>
      <c r="E152" s="11" t="s">
        <v>860</v>
      </c>
      <c r="F152" s="11" t="s">
        <v>861</v>
      </c>
    </row>
    <row r="153" customFormat="false" ht="45.75" hidden="false" customHeight="true" outlineLevel="0" collapsed="false">
      <c r="A153" s="10" t="s">
        <v>862</v>
      </c>
      <c r="B153" s="10" t="s">
        <v>863</v>
      </c>
      <c r="C153" s="10" t="s">
        <v>838</v>
      </c>
      <c r="D153" s="11" t="s">
        <v>864</v>
      </c>
      <c r="E153" s="11" t="s">
        <v>865</v>
      </c>
      <c r="F153" s="11" t="s">
        <v>866</v>
      </c>
    </row>
    <row r="154" customFormat="false" ht="45.75" hidden="false" customHeight="true" outlineLevel="0" collapsed="false">
      <c r="A154" s="10" t="s">
        <v>867</v>
      </c>
      <c r="B154" s="10" t="s">
        <v>868</v>
      </c>
      <c r="C154" s="10" t="s">
        <v>869</v>
      </c>
      <c r="D154" s="11" t="s">
        <v>870</v>
      </c>
      <c r="E154" s="11" t="s">
        <v>871</v>
      </c>
      <c r="F154" s="11" t="s">
        <v>872</v>
      </c>
    </row>
    <row r="155" customFormat="false" ht="45.75" hidden="false" customHeight="true" outlineLevel="0" collapsed="false">
      <c r="A155" s="10" t="s">
        <v>873</v>
      </c>
      <c r="B155" s="10" t="s">
        <v>874</v>
      </c>
      <c r="C155" s="10" t="s">
        <v>869</v>
      </c>
      <c r="D155" s="11" t="s">
        <v>875</v>
      </c>
      <c r="E155" s="11" t="s">
        <v>876</v>
      </c>
      <c r="F155" s="11" t="s">
        <v>877</v>
      </c>
    </row>
    <row r="156" customFormat="false" ht="45.75" hidden="false" customHeight="true" outlineLevel="0" collapsed="false">
      <c r="A156" s="10" t="s">
        <v>878</v>
      </c>
      <c r="B156" s="10" t="s">
        <v>879</v>
      </c>
      <c r="C156" s="10" t="s">
        <v>869</v>
      </c>
      <c r="D156" s="11" t="s">
        <v>880</v>
      </c>
      <c r="E156" s="11" t="s">
        <v>881</v>
      </c>
      <c r="F156" s="11" t="s">
        <v>882</v>
      </c>
    </row>
    <row r="157" customFormat="false" ht="45.75" hidden="false" customHeight="true" outlineLevel="0" collapsed="false">
      <c r="A157" s="10" t="s">
        <v>883</v>
      </c>
      <c r="B157" s="10" t="s">
        <v>884</v>
      </c>
      <c r="C157" s="10" t="s">
        <v>869</v>
      </c>
      <c r="D157" s="11" t="s">
        <v>885</v>
      </c>
      <c r="E157" s="11" t="s">
        <v>886</v>
      </c>
      <c r="F157" s="11" t="s">
        <v>887</v>
      </c>
    </row>
    <row r="158" customFormat="false" ht="45.75" hidden="false" customHeight="true" outlineLevel="0" collapsed="false">
      <c r="A158" s="10" t="s">
        <v>888</v>
      </c>
      <c r="B158" s="10" t="s">
        <v>889</v>
      </c>
      <c r="C158" s="10" t="s">
        <v>869</v>
      </c>
      <c r="D158" s="11" t="s">
        <v>890</v>
      </c>
      <c r="E158" s="11" t="s">
        <v>891</v>
      </c>
      <c r="F158" s="11" t="s">
        <v>892</v>
      </c>
    </row>
    <row r="159" customFormat="false" ht="45.75" hidden="false" customHeight="true" outlineLevel="0" collapsed="false">
      <c r="A159" s="10" t="s">
        <v>893</v>
      </c>
      <c r="B159" s="10" t="s">
        <v>894</v>
      </c>
      <c r="C159" s="10" t="s">
        <v>267</v>
      </c>
      <c r="D159" s="11" t="s">
        <v>895</v>
      </c>
      <c r="E159" s="11" t="s">
        <v>896</v>
      </c>
      <c r="F159" s="11" t="s">
        <v>897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8"/>
    <col collapsed="false" customWidth="true" hidden="false" outlineLevel="0" max="4" min="4" style="0" width="10"/>
    <col collapsed="false" customWidth="true" hidden="false" outlineLevel="0" max="5" min="5" style="0" width="13"/>
    <col collapsed="false" customWidth="true" hidden="false" outlineLevel="0" max="6" min="6" style="0" width="7"/>
    <col collapsed="false" customWidth="true" hidden="false" outlineLevel="0" max="8" min="7" style="0" width="11"/>
    <col collapsed="false" customWidth="true" hidden="false" outlineLevel="0" max="9" min="9" style="0" width="14"/>
    <col collapsed="false" customWidth="true" hidden="false" outlineLevel="0" max="10" min="10" style="0" width="8"/>
    <col collapsed="false" customWidth="true" hidden="false" outlineLevel="0" max="11" min="11" style="0" width="12"/>
    <col collapsed="false" customWidth="true" hidden="false" outlineLevel="0" max="13" min="12" style="0" width="11"/>
    <col collapsed="false" customWidth="true" hidden="false" outlineLevel="0" max="15" min="14" style="0" width="12"/>
    <col collapsed="false" customWidth="true" hidden="false" outlineLevel="0" max="16" min="16" style="0" width="11"/>
    <col collapsed="false" customWidth="true" hidden="false" outlineLevel="0" max="17" min="17" style="0" width="10"/>
    <col collapsed="false" customWidth="true" hidden="false" outlineLevel="0" max="19" min="18" style="0" width="21"/>
    <col collapsed="false" customWidth="true" hidden="false" outlineLevel="0" max="21" min="20" style="0" width="12"/>
    <col collapsed="false" customWidth="true" hidden="false" outlineLevel="0" max="25" min="22" style="0" width="21"/>
    <col collapsed="false" customWidth="true" hidden="false" outlineLevel="0" max="27" min="26" style="0" width="13"/>
    <col collapsed="false" customWidth="true" hidden="false" outlineLevel="0" max="28" min="28" style="0" width="15"/>
    <col collapsed="false" customWidth="true" hidden="false" outlineLevel="0" max="29" min="29" style="0" width="14"/>
    <col collapsed="false" customWidth="true" hidden="false" outlineLevel="0" max="30" min="30" style="0" width="13"/>
    <col collapsed="false" customWidth="true" hidden="false" outlineLevel="0" max="31" min="31" style="0" width="14"/>
    <col collapsed="false" customWidth="true" hidden="false" outlineLevel="0" max="33" min="32" style="0" width="13"/>
    <col collapsed="false" customWidth="true" hidden="false" outlineLevel="0" max="34" min="34" style="0" width="12"/>
    <col collapsed="false" customWidth="true" hidden="false" outlineLevel="0" max="35" min="35" style="0" width="10"/>
    <col collapsed="false" customWidth="true" hidden="false" outlineLevel="0" max="36" min="36" style="0" width="12"/>
    <col collapsed="false" customWidth="true" hidden="false" outlineLevel="0" max="37" min="37" style="0" width="10"/>
    <col collapsed="false" customWidth="true" hidden="false" outlineLevel="0" max="38" min="38" style="0" width="12"/>
    <col collapsed="false" customWidth="true" hidden="false" outlineLevel="0" max="40" min="39" style="0" width="10"/>
    <col collapsed="false" customWidth="true" hidden="false" outlineLevel="0" max="41" min="41" style="0" width="15"/>
    <col collapsed="false" customWidth="true" hidden="false" outlineLevel="0" max="42" min="42" style="0" width="13"/>
    <col collapsed="false" customWidth="true" hidden="false" outlineLevel="0" max="43" min="43" style="0" width="10"/>
    <col collapsed="false" customWidth="true" hidden="false" outlineLevel="0" max="44" min="44" style="0" width="12"/>
    <col collapsed="false" customWidth="true" hidden="false" outlineLevel="0" max="45" min="45" style="0" width="15"/>
    <col collapsed="false" customWidth="true" hidden="false" outlineLevel="0" max="46" min="46" style="0" width="12"/>
    <col collapsed="false" customWidth="true" hidden="false" outlineLevel="0" max="47" min="47" style="0" width="15"/>
    <col collapsed="false" customWidth="true" hidden="false" outlineLevel="0" max="48" min="48" style="0" width="9"/>
    <col collapsed="false" customWidth="true" hidden="false" outlineLevel="0" max="49" min="49" style="0" width="11"/>
    <col collapsed="false" customWidth="true" hidden="false" outlineLevel="0" max="50" min="50" style="0" width="14"/>
    <col collapsed="false" customWidth="true" hidden="false" outlineLevel="0" max="51" min="51" style="0" width="15"/>
    <col collapsed="false" customWidth="true" hidden="false" outlineLevel="0" max="54" min="52" style="0" width="10"/>
    <col collapsed="false" customWidth="true" hidden="false" outlineLevel="0" max="56" min="55" style="0" width="9"/>
    <col collapsed="false" customWidth="true" hidden="false" outlineLevel="0" max="58" min="57" style="0" width="13"/>
    <col collapsed="false" customWidth="true" hidden="false" outlineLevel="0" max="60" min="59" style="0" width="12"/>
    <col collapsed="false" customWidth="true" hidden="false" outlineLevel="0" max="61" min="61" style="0" width="16"/>
    <col collapsed="false" customWidth="true" hidden="false" outlineLevel="0" max="62" min="62" style="0" width="15"/>
    <col collapsed="false" customWidth="true" hidden="false" outlineLevel="0" max="64" min="63" style="0" width="13"/>
    <col collapsed="false" customWidth="true" hidden="false" outlineLevel="0" max="65" min="65" style="0" width="15"/>
    <col collapsed="false" customWidth="true" hidden="false" outlineLevel="0" max="66" min="66" style="0" width="10"/>
    <col collapsed="false" customWidth="true" hidden="false" outlineLevel="0" max="67" min="67" style="0" width="13"/>
    <col collapsed="false" customWidth="true" hidden="false" outlineLevel="0" max="69" min="68" style="0" width="16"/>
    <col collapsed="false" customWidth="true" hidden="false" outlineLevel="0" max="70" min="70" style="0" width="14"/>
    <col collapsed="false" customWidth="true" hidden="false" outlineLevel="0" max="72" min="71" style="0" width="15"/>
  </cols>
  <sheetData>
    <row r="1" customFormat="false" ht="16.15" hidden="false" customHeight="false" outlineLevel="0" collapsed="false">
      <c r="A1" s="8" t="s">
        <v>898</v>
      </c>
    </row>
    <row r="2" customFormat="false" ht="30" hidden="false" customHeight="true" outlineLevel="0" collapsed="false">
      <c r="A2" s="9" t="s">
        <v>42</v>
      </c>
      <c r="B2" s="9" t="s">
        <v>899</v>
      </c>
      <c r="C2" s="9" t="s">
        <v>900</v>
      </c>
      <c r="D2" s="9" t="s">
        <v>901</v>
      </c>
      <c r="E2" s="9" t="s">
        <v>902</v>
      </c>
      <c r="F2" s="9" t="s">
        <v>903</v>
      </c>
      <c r="G2" s="9" t="s">
        <v>904</v>
      </c>
      <c r="H2" s="9" t="s">
        <v>905</v>
      </c>
      <c r="I2" s="9" t="s">
        <v>906</v>
      </c>
      <c r="J2" s="9" t="s">
        <v>907</v>
      </c>
      <c r="K2" s="9" t="s">
        <v>908</v>
      </c>
      <c r="L2" s="9" t="s">
        <v>909</v>
      </c>
      <c r="M2" s="9" t="s">
        <v>910</v>
      </c>
      <c r="N2" s="9" t="s">
        <v>911</v>
      </c>
      <c r="O2" s="9" t="s">
        <v>912</v>
      </c>
      <c r="P2" s="9" t="s">
        <v>913</v>
      </c>
      <c r="Q2" s="9" t="s">
        <v>914</v>
      </c>
      <c r="R2" s="9" t="s">
        <v>915</v>
      </c>
      <c r="S2" s="9" t="s">
        <v>916</v>
      </c>
      <c r="T2" s="9" t="s">
        <v>917</v>
      </c>
      <c r="U2" s="9" t="s">
        <v>918</v>
      </c>
      <c r="V2" s="9" t="s">
        <v>919</v>
      </c>
      <c r="W2" s="9" t="s">
        <v>920</v>
      </c>
      <c r="X2" s="9" t="s">
        <v>921</v>
      </c>
      <c r="Y2" s="9" t="s">
        <v>922</v>
      </c>
      <c r="Z2" s="9" t="s">
        <v>923</v>
      </c>
      <c r="AA2" s="9" t="s">
        <v>924</v>
      </c>
      <c r="AB2" s="9" t="s">
        <v>925</v>
      </c>
      <c r="AC2" s="9" t="s">
        <v>926</v>
      </c>
      <c r="AD2" s="9" t="s">
        <v>927</v>
      </c>
      <c r="AE2" s="9" t="s">
        <v>928</v>
      </c>
      <c r="AF2" s="9" t="s">
        <v>929</v>
      </c>
      <c r="AG2" s="9" t="s">
        <v>930</v>
      </c>
      <c r="AH2" s="9" t="s">
        <v>931</v>
      </c>
      <c r="AI2" s="9" t="s">
        <v>932</v>
      </c>
      <c r="AJ2" s="9" t="s">
        <v>933</v>
      </c>
      <c r="AK2" s="9" t="s">
        <v>934</v>
      </c>
      <c r="AL2" s="9" t="s">
        <v>935</v>
      </c>
      <c r="AM2" s="9" t="s">
        <v>936</v>
      </c>
      <c r="AN2" s="9" t="s">
        <v>937</v>
      </c>
      <c r="AO2" s="9" t="s">
        <v>938</v>
      </c>
      <c r="AP2" s="9" t="s">
        <v>939</v>
      </c>
      <c r="AQ2" s="9" t="s">
        <v>940</v>
      </c>
      <c r="AR2" s="9" t="s">
        <v>941</v>
      </c>
      <c r="AS2" s="9" t="s">
        <v>942</v>
      </c>
      <c r="AT2" s="9" t="s">
        <v>943</v>
      </c>
      <c r="AU2" s="9" t="s">
        <v>944</v>
      </c>
      <c r="AV2" s="9" t="s">
        <v>945</v>
      </c>
      <c r="AW2" s="9" t="s">
        <v>946</v>
      </c>
      <c r="AX2" s="9" t="s">
        <v>947</v>
      </c>
      <c r="AY2" s="9" t="s">
        <v>948</v>
      </c>
      <c r="AZ2" s="9" t="s">
        <v>949</v>
      </c>
      <c r="BA2" s="9" t="s">
        <v>950</v>
      </c>
      <c r="BB2" s="9" t="s">
        <v>951</v>
      </c>
      <c r="BC2" s="9" t="s">
        <v>952</v>
      </c>
      <c r="BD2" s="9" t="s">
        <v>953</v>
      </c>
      <c r="BE2" s="9" t="s">
        <v>954</v>
      </c>
      <c r="BF2" s="9" t="s">
        <v>955</v>
      </c>
      <c r="BG2" s="9" t="s">
        <v>956</v>
      </c>
      <c r="BH2" s="9" t="s">
        <v>957</v>
      </c>
      <c r="BI2" s="9" t="s">
        <v>958</v>
      </c>
      <c r="BJ2" s="9" t="s">
        <v>959</v>
      </c>
      <c r="BK2" s="9" t="s">
        <v>960</v>
      </c>
      <c r="BL2" s="9" t="s">
        <v>961</v>
      </c>
      <c r="BM2" s="9" t="s">
        <v>962</v>
      </c>
      <c r="BN2" s="9" t="s">
        <v>963</v>
      </c>
      <c r="BO2" s="9" t="s">
        <v>964</v>
      </c>
      <c r="BP2" s="9" t="s">
        <v>965</v>
      </c>
      <c r="BQ2" s="9" t="s">
        <v>966</v>
      </c>
      <c r="BR2" s="9" t="s">
        <v>967</v>
      </c>
      <c r="BS2" s="9" t="s">
        <v>968</v>
      </c>
      <c r="BT2" s="9" t="s">
        <v>969</v>
      </c>
    </row>
    <row r="3" customFormat="false" ht="15" hidden="false" customHeight="false" outlineLevel="0" collapsed="false">
      <c r="A3" s="12" t="s">
        <v>88</v>
      </c>
      <c r="B3" s="12" t="s">
        <v>970</v>
      </c>
      <c r="C3" s="12" t="s">
        <v>971</v>
      </c>
      <c r="D3" s="12" t="s">
        <v>972</v>
      </c>
      <c r="E3" s="12" t="s">
        <v>973</v>
      </c>
      <c r="F3" s="12" t="n">
        <v>1</v>
      </c>
      <c r="G3" s="12" t="s">
        <v>971</v>
      </c>
      <c r="H3" s="12" t="s">
        <v>971</v>
      </c>
      <c r="I3" s="12"/>
      <c r="J3" s="12" t="s">
        <v>974</v>
      </c>
      <c r="K3" s="12" t="s">
        <v>975</v>
      </c>
      <c r="L3" s="12" t="s">
        <v>976</v>
      </c>
      <c r="M3" s="12" t="s">
        <v>977</v>
      </c>
      <c r="N3" s="12" t="s">
        <v>976</v>
      </c>
      <c r="O3" s="12" t="s">
        <v>977</v>
      </c>
      <c r="P3" s="12" t="n">
        <v>1</v>
      </c>
      <c r="Q3" s="12" t="s">
        <v>978</v>
      </c>
      <c r="R3" s="13" t="n">
        <v>46248.25</v>
      </c>
      <c r="S3" s="13" t="n">
        <v>46248.4097222222</v>
      </c>
      <c r="T3" s="12"/>
      <c r="U3" s="12"/>
      <c r="V3" s="13" t="n">
        <v>46248.2527777778</v>
      </c>
      <c r="W3" s="13" t="n">
        <v>46248.2631944444</v>
      </c>
      <c r="X3" s="13" t="n">
        <v>46248.4013888889</v>
      </c>
      <c r="Y3" s="13" t="n">
        <v>46248.4111111111</v>
      </c>
      <c r="Z3" s="14" t="n">
        <f aca="false">IF(OR(V3="",Y3=""),"",ROUND((Y3-V3)*1440,0))</f>
        <v>228</v>
      </c>
      <c r="AA3" s="14" t="n">
        <f aca="false">IF(OR(W3="",X3=""),"",ROUND((X3-W3)*1440,0))</f>
        <v>199</v>
      </c>
      <c r="AB3" s="14" t="n">
        <f aca="false">IF(OR(V3="",W3=""),"",ROUND((W3-V3)*1440,0))</f>
        <v>15</v>
      </c>
      <c r="AC3" s="14" t="n">
        <f aca="false">IF(OR(X3="",Y3=""),"",ROUND((Y3-X3)*1440,0))</f>
        <v>14</v>
      </c>
      <c r="AD3" s="12" t="s">
        <v>979</v>
      </c>
      <c r="AE3" s="12"/>
      <c r="AF3" s="12" t="s">
        <v>980</v>
      </c>
      <c r="AG3" s="12" t="s">
        <v>980</v>
      </c>
      <c r="AH3" s="12" t="s">
        <v>978</v>
      </c>
      <c r="AI3" s="12" t="s">
        <v>981</v>
      </c>
      <c r="AJ3" s="12" t="s">
        <v>982</v>
      </c>
      <c r="AK3" s="12" t="s">
        <v>983</v>
      </c>
      <c r="AL3" s="12" t="s">
        <v>982</v>
      </c>
      <c r="AM3" s="12"/>
      <c r="AN3" s="12"/>
      <c r="AO3" s="15" t="s">
        <v>984</v>
      </c>
      <c r="AP3" s="15" t="s">
        <v>985</v>
      </c>
      <c r="AQ3" s="12"/>
      <c r="AR3" s="12"/>
      <c r="AS3" s="12"/>
      <c r="AT3" s="15" t="s">
        <v>986</v>
      </c>
      <c r="AU3" s="12"/>
      <c r="AV3" s="12"/>
      <c r="AW3" s="14" t="n">
        <f aca="false">IF(OR(V3="",R3=""),"",ROUND((V3-R3)*1440,0))</f>
        <v>4</v>
      </c>
      <c r="AX3" s="12"/>
      <c r="AY3" s="12"/>
      <c r="AZ3" s="16" t="n">
        <v>168</v>
      </c>
      <c r="BA3" s="16" t="n">
        <v>161</v>
      </c>
      <c r="BB3" s="16" t="n">
        <v>4200</v>
      </c>
      <c r="BC3" s="16" t="n">
        <v>0</v>
      </c>
      <c r="BD3" s="16" t="n">
        <v>0</v>
      </c>
      <c r="BE3" s="16" t="n">
        <v>68400</v>
      </c>
      <c r="BF3" s="16" t="n">
        <v>79651</v>
      </c>
      <c r="BG3" s="16" t="n">
        <v>71231</v>
      </c>
      <c r="BH3" s="12" t="s">
        <v>987</v>
      </c>
      <c r="BI3" s="12" t="s">
        <v>988</v>
      </c>
      <c r="BJ3" s="12" t="s">
        <v>988</v>
      </c>
      <c r="BK3" s="12" t="s">
        <v>989</v>
      </c>
      <c r="BL3" s="12" t="s">
        <v>989</v>
      </c>
      <c r="BM3" s="12" t="s">
        <v>990</v>
      </c>
      <c r="BN3" s="12" t="s">
        <v>978</v>
      </c>
      <c r="BO3" s="12" t="s">
        <v>990</v>
      </c>
      <c r="BP3" s="12" t="s">
        <v>991</v>
      </c>
      <c r="BQ3" s="12" t="s">
        <v>992</v>
      </c>
      <c r="BR3" s="12" t="s">
        <v>978</v>
      </c>
      <c r="BS3" s="15" t="s">
        <v>990</v>
      </c>
      <c r="BT3" s="15" t="s">
        <v>993</v>
      </c>
    </row>
    <row r="4" customFormat="false" ht="15" hidden="false" customHeight="false" outlineLevel="0" collapsed="false">
      <c r="A4" s="12" t="s">
        <v>94</v>
      </c>
      <c r="B4" s="12" t="s">
        <v>994</v>
      </c>
      <c r="C4" s="12" t="s">
        <v>971</v>
      </c>
      <c r="D4" s="12" t="s">
        <v>995</v>
      </c>
      <c r="E4" s="12" t="s">
        <v>973</v>
      </c>
      <c r="F4" s="12" t="n">
        <v>1</v>
      </c>
      <c r="G4" s="12" t="s">
        <v>971</v>
      </c>
      <c r="H4" s="12" t="s">
        <v>971</v>
      </c>
      <c r="I4" s="12"/>
      <c r="J4" s="12" t="s">
        <v>974</v>
      </c>
      <c r="K4" s="12" t="s">
        <v>975</v>
      </c>
      <c r="L4" s="12" t="s">
        <v>976</v>
      </c>
      <c r="M4" s="12" t="s">
        <v>977</v>
      </c>
      <c r="N4" s="12" t="s">
        <v>976</v>
      </c>
      <c r="O4" s="12" t="s">
        <v>977</v>
      </c>
      <c r="P4" s="12" t="n">
        <v>1</v>
      </c>
      <c r="Q4" s="12" t="s">
        <v>978</v>
      </c>
      <c r="R4" s="13" t="n">
        <v>46248.4583333333</v>
      </c>
      <c r="S4" s="13" t="n">
        <v>46248.6180555556</v>
      </c>
      <c r="T4" s="12"/>
      <c r="U4" s="12"/>
      <c r="V4" s="13" t="n">
        <v>46248.4666666667</v>
      </c>
      <c r="W4" s="13" t="n">
        <v>46248.4784722222</v>
      </c>
      <c r="X4" s="13" t="n">
        <v>46248.6118055556</v>
      </c>
      <c r="Y4" s="13" t="n">
        <v>46248.6215277778</v>
      </c>
      <c r="Z4" s="14" t="n">
        <f aca="false">IF(OR(V4="",Y4=""),"",ROUND((Y4-V4)*1440,0))</f>
        <v>223</v>
      </c>
      <c r="AA4" s="14" t="n">
        <f aca="false">IF(OR(W4="",X4=""),"",ROUND((X4-W4)*1440,0))</f>
        <v>192</v>
      </c>
      <c r="AB4" s="14" t="n">
        <f aca="false">IF(OR(V4="",W4=""),"",ROUND((W4-V4)*1440,0))</f>
        <v>17</v>
      </c>
      <c r="AC4" s="14" t="n">
        <f aca="false">IF(OR(X4="",Y4=""),"",ROUND((Y4-X4)*1440,0))</f>
        <v>14</v>
      </c>
      <c r="AD4" s="12" t="s">
        <v>979</v>
      </c>
      <c r="AE4" s="12"/>
      <c r="AF4" s="12" t="s">
        <v>996</v>
      </c>
      <c r="AG4" s="12" t="s">
        <v>996</v>
      </c>
      <c r="AH4" s="12" t="s">
        <v>978</v>
      </c>
      <c r="AI4" s="12" t="s">
        <v>997</v>
      </c>
      <c r="AJ4" s="12" t="s">
        <v>982</v>
      </c>
      <c r="AK4" s="12" t="s">
        <v>998</v>
      </c>
      <c r="AL4" s="12" t="s">
        <v>982</v>
      </c>
      <c r="AM4" s="12"/>
      <c r="AN4" s="12"/>
      <c r="AO4" s="15" t="s">
        <v>984</v>
      </c>
      <c r="AP4" s="15" t="s">
        <v>985</v>
      </c>
      <c r="AQ4" s="12"/>
      <c r="AR4" s="12"/>
      <c r="AS4" s="12"/>
      <c r="AT4" s="15" t="s">
        <v>986</v>
      </c>
      <c r="AU4" s="12"/>
      <c r="AV4" s="12"/>
      <c r="AW4" s="14" t="n">
        <f aca="false">IF(OR(V4="",R4=""),"",ROUND((V4-R4)*1440,0))</f>
        <v>12</v>
      </c>
      <c r="AX4" s="12"/>
      <c r="AY4" s="12"/>
      <c r="AZ4" s="16" t="n">
        <v>180</v>
      </c>
      <c r="BA4" s="16" t="n">
        <v>177</v>
      </c>
      <c r="BB4" s="16" t="n">
        <v>5100</v>
      </c>
      <c r="BC4" s="16" t="n">
        <v>0</v>
      </c>
      <c r="BD4" s="16" t="n">
        <v>0</v>
      </c>
      <c r="BE4" s="16" t="n">
        <v>71200</v>
      </c>
      <c r="BF4" s="16" t="n">
        <v>82735</v>
      </c>
      <c r="BG4" s="16" t="n">
        <v>74045</v>
      </c>
      <c r="BH4" s="12" t="s">
        <v>999</v>
      </c>
      <c r="BI4" s="12" t="s">
        <v>988</v>
      </c>
      <c r="BJ4" s="12" t="s">
        <v>1000</v>
      </c>
      <c r="BK4" s="12" t="s">
        <v>989</v>
      </c>
      <c r="BL4" s="12" t="s">
        <v>989</v>
      </c>
      <c r="BM4" s="12" t="s">
        <v>990</v>
      </c>
      <c r="BN4" s="12" t="s">
        <v>978</v>
      </c>
      <c r="BO4" s="12" t="s">
        <v>990</v>
      </c>
      <c r="BP4" s="12" t="s">
        <v>991</v>
      </c>
      <c r="BQ4" s="12" t="s">
        <v>992</v>
      </c>
      <c r="BR4" s="12" t="s">
        <v>978</v>
      </c>
      <c r="BS4" s="15" t="s">
        <v>990</v>
      </c>
      <c r="BT4" s="15" t="s">
        <v>1001</v>
      </c>
    </row>
    <row r="5" customFormat="false" ht="15" hidden="false" customHeight="false" outlineLevel="0" collapsed="false">
      <c r="A5" s="12" t="s">
        <v>100</v>
      </c>
      <c r="B5" s="12" t="s">
        <v>1002</v>
      </c>
      <c r="C5" s="12" t="s">
        <v>971</v>
      </c>
      <c r="D5" s="12" t="s">
        <v>1003</v>
      </c>
      <c r="E5" s="12" t="s">
        <v>973</v>
      </c>
      <c r="F5" s="12" t="n">
        <v>1</v>
      </c>
      <c r="G5" s="12" t="s">
        <v>971</v>
      </c>
      <c r="H5" s="12" t="s">
        <v>971</v>
      </c>
      <c r="I5" s="12"/>
      <c r="J5" s="12" t="s">
        <v>974</v>
      </c>
      <c r="K5" s="12" t="s">
        <v>975</v>
      </c>
      <c r="L5" s="12" t="s">
        <v>976</v>
      </c>
      <c r="M5" s="12" t="s">
        <v>977</v>
      </c>
      <c r="N5" s="12" t="s">
        <v>976</v>
      </c>
      <c r="O5" s="12" t="s">
        <v>977</v>
      </c>
      <c r="P5" s="12" t="n">
        <v>1</v>
      </c>
      <c r="Q5" s="12" t="s">
        <v>978</v>
      </c>
      <c r="R5" s="13" t="n">
        <v>46248.625</v>
      </c>
      <c r="S5" s="13" t="n">
        <v>46248.7847222222</v>
      </c>
      <c r="T5" s="12"/>
      <c r="U5" s="12"/>
      <c r="V5" s="13" t="n">
        <v>46248.6534722222</v>
      </c>
      <c r="W5" s="13" t="n">
        <v>46248.6652777778</v>
      </c>
      <c r="X5" s="13" t="n">
        <v>46248.8</v>
      </c>
      <c r="Y5" s="13" t="n">
        <v>46248.8097222222</v>
      </c>
      <c r="Z5" s="14" t="n">
        <f aca="false">IF(OR(V5="",Y5=""),"",ROUND((Y5-V5)*1440,0))</f>
        <v>225</v>
      </c>
      <c r="AA5" s="14" t="n">
        <f aca="false">IF(OR(W5="",X5=""),"",ROUND((X5-W5)*1440,0))</f>
        <v>194</v>
      </c>
      <c r="AB5" s="14" t="n">
        <f aca="false">IF(OR(V5="",W5=""),"",ROUND((W5-V5)*1440,0))</f>
        <v>17</v>
      </c>
      <c r="AC5" s="14" t="n">
        <f aca="false">IF(OR(X5="",Y5=""),"",ROUND((Y5-X5)*1440,0))</f>
        <v>14</v>
      </c>
      <c r="AD5" s="12" t="s">
        <v>979</v>
      </c>
      <c r="AE5" s="12"/>
      <c r="AF5" s="12" t="s">
        <v>1004</v>
      </c>
      <c r="AG5" s="12" t="s">
        <v>1004</v>
      </c>
      <c r="AH5" s="12" t="s">
        <v>978</v>
      </c>
      <c r="AI5" s="12" t="s">
        <v>1005</v>
      </c>
      <c r="AJ5" s="12" t="s">
        <v>982</v>
      </c>
      <c r="AK5" s="12" t="s">
        <v>1006</v>
      </c>
      <c r="AL5" s="12" t="s">
        <v>982</v>
      </c>
      <c r="AM5" s="12"/>
      <c r="AN5" s="12"/>
      <c r="AO5" s="15" t="s">
        <v>984</v>
      </c>
      <c r="AP5" s="15" t="s">
        <v>985</v>
      </c>
      <c r="AQ5" s="12"/>
      <c r="AR5" s="12"/>
      <c r="AS5" s="12"/>
      <c r="AT5" s="15" t="s">
        <v>986</v>
      </c>
      <c r="AU5" s="12"/>
      <c r="AV5" s="12" t="s">
        <v>1007</v>
      </c>
      <c r="AW5" s="14" t="n">
        <f aca="false">IF(OR(V5="",R5=""),"",ROUND((V5-R5)*1440,0))</f>
        <v>41</v>
      </c>
      <c r="AX5" s="12"/>
      <c r="AY5" s="12"/>
      <c r="AZ5" s="16" t="n">
        <v>172</v>
      </c>
      <c r="BA5" s="16" t="n">
        <v>170</v>
      </c>
      <c r="BB5" s="16" t="n">
        <v>4600</v>
      </c>
      <c r="BC5" s="16" t="n">
        <v>0</v>
      </c>
      <c r="BD5" s="16" t="n">
        <v>0</v>
      </c>
      <c r="BE5" s="16" t="n">
        <v>69100</v>
      </c>
      <c r="BF5" s="16" t="n">
        <v>81387</v>
      </c>
      <c r="BG5" s="16" t="n">
        <v>71987</v>
      </c>
      <c r="BH5" s="12" t="s">
        <v>1008</v>
      </c>
      <c r="BI5" s="12" t="s">
        <v>988</v>
      </c>
      <c r="BJ5" s="12" t="s">
        <v>1009</v>
      </c>
      <c r="BK5" s="12" t="s">
        <v>989</v>
      </c>
      <c r="BL5" s="12" t="s">
        <v>989</v>
      </c>
      <c r="BM5" s="12" t="s">
        <v>978</v>
      </c>
      <c r="BN5" s="12" t="s">
        <v>978</v>
      </c>
      <c r="BO5" s="12" t="s">
        <v>990</v>
      </c>
      <c r="BP5" s="12" t="s">
        <v>991</v>
      </c>
      <c r="BQ5" s="12" t="s">
        <v>992</v>
      </c>
      <c r="BR5" s="12" t="s">
        <v>978</v>
      </c>
      <c r="BS5" s="15" t="s">
        <v>990</v>
      </c>
      <c r="BT5" s="15" t="s">
        <v>1001</v>
      </c>
    </row>
    <row r="6" customFormat="false" ht="15" hidden="false" customHeight="false" outlineLevel="0" collapsed="false">
      <c r="A6" s="12" t="s">
        <v>105</v>
      </c>
      <c r="B6" s="12" t="s">
        <v>1010</v>
      </c>
      <c r="C6" s="12" t="s">
        <v>971</v>
      </c>
      <c r="D6" s="12" t="s">
        <v>1011</v>
      </c>
      <c r="E6" s="12" t="s">
        <v>973</v>
      </c>
      <c r="F6" s="12" t="n">
        <v>1</v>
      </c>
      <c r="G6" s="12" t="s">
        <v>971</v>
      </c>
      <c r="H6" s="12" t="s">
        <v>971</v>
      </c>
      <c r="I6" s="12"/>
      <c r="J6" s="12" t="s">
        <v>974</v>
      </c>
      <c r="K6" s="12" t="s">
        <v>975</v>
      </c>
      <c r="L6" s="12" t="s">
        <v>976</v>
      </c>
      <c r="M6" s="12" t="s">
        <v>977</v>
      </c>
      <c r="N6" s="12" t="s">
        <v>976</v>
      </c>
      <c r="O6" s="12" t="s">
        <v>977</v>
      </c>
      <c r="P6" s="12" t="n">
        <v>1</v>
      </c>
      <c r="Q6" s="12" t="s">
        <v>978</v>
      </c>
      <c r="R6" s="13" t="n">
        <v>46248.75</v>
      </c>
      <c r="S6" s="13" t="n">
        <v>46248.9097222222</v>
      </c>
      <c r="T6" s="12"/>
      <c r="U6" s="12"/>
      <c r="V6" s="13" t="n">
        <v>46248.7881944445</v>
      </c>
      <c r="W6" s="13" t="n">
        <v>46248.7993055556</v>
      </c>
      <c r="X6" s="13" t="n">
        <v>46248.9368055556</v>
      </c>
      <c r="Y6" s="13" t="n">
        <v>46248.9472222222</v>
      </c>
      <c r="Z6" s="14" t="n">
        <f aca="false">IF(OR(V6="",Y6=""),"",ROUND((Y6-V6)*1440,0))</f>
        <v>229</v>
      </c>
      <c r="AA6" s="14" t="n">
        <f aca="false">IF(OR(W6="",X6=""),"",ROUND((X6-W6)*1440,0))</f>
        <v>198</v>
      </c>
      <c r="AB6" s="14" t="n">
        <f aca="false">IF(OR(V6="",W6=""),"",ROUND((W6-V6)*1440,0))</f>
        <v>16</v>
      </c>
      <c r="AC6" s="14" t="n">
        <f aca="false">IF(OR(X6="",Y6=""),"",ROUND((Y6-X6)*1440,0))</f>
        <v>15</v>
      </c>
      <c r="AD6" s="12" t="s">
        <v>979</v>
      </c>
      <c r="AE6" s="12"/>
      <c r="AF6" s="12" t="s">
        <v>980</v>
      </c>
      <c r="AG6" s="12" t="s">
        <v>1012</v>
      </c>
      <c r="AH6" s="12" t="s">
        <v>990</v>
      </c>
      <c r="AI6" s="12" t="s">
        <v>1013</v>
      </c>
      <c r="AJ6" s="12" t="s">
        <v>982</v>
      </c>
      <c r="AK6" s="12" t="s">
        <v>1014</v>
      </c>
      <c r="AL6" s="12" t="s">
        <v>982</v>
      </c>
      <c r="AM6" s="12"/>
      <c r="AN6" s="12"/>
      <c r="AO6" s="15" t="s">
        <v>984</v>
      </c>
      <c r="AP6" s="15" t="s">
        <v>985</v>
      </c>
      <c r="AQ6" s="12"/>
      <c r="AR6" s="12" t="s">
        <v>1015</v>
      </c>
      <c r="AS6" s="12"/>
      <c r="AT6" s="15" t="s">
        <v>986</v>
      </c>
      <c r="AU6" s="12"/>
      <c r="AV6" s="12" t="s">
        <v>1016</v>
      </c>
      <c r="AW6" s="14" t="n">
        <f aca="false">IF(OR(V6="",R6=""),"",ROUND((V6-R6)*1440,0))</f>
        <v>55</v>
      </c>
      <c r="AX6" s="12"/>
      <c r="AY6" s="12"/>
      <c r="AZ6" s="16" t="n">
        <v>166</v>
      </c>
      <c r="BA6" s="16" t="n">
        <v>158</v>
      </c>
      <c r="BB6" s="16" t="n">
        <v>3900</v>
      </c>
      <c r="BC6" s="16" t="n">
        <v>0</v>
      </c>
      <c r="BD6" s="16" t="n">
        <v>0</v>
      </c>
      <c r="BE6" s="16" t="n">
        <v>67800</v>
      </c>
      <c r="BF6" s="16" t="n">
        <v>79446</v>
      </c>
      <c r="BG6" s="16" t="n">
        <v>70936</v>
      </c>
      <c r="BH6" s="12" t="s">
        <v>1017</v>
      </c>
      <c r="BI6" s="12" t="s">
        <v>988</v>
      </c>
      <c r="BJ6" s="12" t="s">
        <v>988</v>
      </c>
      <c r="BK6" s="12" t="s">
        <v>989</v>
      </c>
      <c r="BL6" s="12" t="s">
        <v>989</v>
      </c>
      <c r="BM6" s="12" t="s">
        <v>990</v>
      </c>
      <c r="BN6" s="12" t="s">
        <v>978</v>
      </c>
      <c r="BO6" s="12" t="s">
        <v>990</v>
      </c>
      <c r="BP6" s="12" t="s">
        <v>991</v>
      </c>
      <c r="BQ6" s="12" t="s">
        <v>992</v>
      </c>
      <c r="BR6" s="12" t="s">
        <v>978</v>
      </c>
      <c r="BS6" s="15" t="s">
        <v>990</v>
      </c>
      <c r="BT6" s="15" t="s">
        <v>993</v>
      </c>
    </row>
    <row r="7" customFormat="false" ht="15" hidden="false" customHeight="false" outlineLevel="0" collapsed="false">
      <c r="A7" s="12" t="s">
        <v>111</v>
      </c>
      <c r="B7" s="12" t="s">
        <v>1018</v>
      </c>
      <c r="C7" s="12" t="s">
        <v>971</v>
      </c>
      <c r="D7" s="12" t="s">
        <v>1019</v>
      </c>
      <c r="E7" s="12" t="s">
        <v>973</v>
      </c>
      <c r="F7" s="12" t="n">
        <v>1</v>
      </c>
      <c r="G7" s="12" t="s">
        <v>971</v>
      </c>
      <c r="H7" s="12" t="s">
        <v>971</v>
      </c>
      <c r="I7" s="12" t="s">
        <v>1020</v>
      </c>
      <c r="J7" s="12" t="s">
        <v>974</v>
      </c>
      <c r="K7" s="12" t="s">
        <v>975</v>
      </c>
      <c r="L7" s="12" t="s">
        <v>976</v>
      </c>
      <c r="M7" s="12" t="s">
        <v>1021</v>
      </c>
      <c r="N7" s="12" t="s">
        <v>976</v>
      </c>
      <c r="O7" s="12" t="s">
        <v>1021</v>
      </c>
      <c r="P7" s="12" t="n">
        <v>1</v>
      </c>
      <c r="Q7" s="12" t="s">
        <v>978</v>
      </c>
      <c r="R7" s="13" t="n">
        <v>46248.5555555556</v>
      </c>
      <c r="S7" s="13" t="n">
        <v>46249.0451388889</v>
      </c>
      <c r="T7" s="12"/>
      <c r="U7" s="12"/>
      <c r="V7" s="13" t="n">
        <v>46248.5597222222</v>
      </c>
      <c r="W7" s="13" t="n">
        <v>46248.5722222222</v>
      </c>
      <c r="X7" s="13" t="n">
        <v>46249.0354166667</v>
      </c>
      <c r="Y7" s="13" t="n">
        <v>46249.0451388889</v>
      </c>
      <c r="Z7" s="14" t="n">
        <f aca="false">IF(OR(V7="",Y7=""),"",ROUND((Y7-V7)*1440,0))</f>
        <v>699</v>
      </c>
      <c r="AA7" s="14" t="n">
        <f aca="false">IF(OR(W7="",X7=""),"",ROUND((X7-W7)*1440,0))</f>
        <v>667</v>
      </c>
      <c r="AB7" s="14" t="n">
        <f aca="false">IF(OR(V7="",W7=""),"",ROUND((W7-V7)*1440,0))</f>
        <v>18</v>
      </c>
      <c r="AC7" s="14" t="n">
        <f aca="false">IF(OR(X7="",Y7=""),"",ROUND((Y7-X7)*1440,0))</f>
        <v>14</v>
      </c>
      <c r="AD7" s="12" t="s">
        <v>1022</v>
      </c>
      <c r="AE7" s="12"/>
      <c r="AF7" s="12" t="s">
        <v>1023</v>
      </c>
      <c r="AG7" s="12" t="s">
        <v>1023</v>
      </c>
      <c r="AH7" s="12" t="s">
        <v>978</v>
      </c>
      <c r="AI7" s="12" t="s">
        <v>1024</v>
      </c>
      <c r="AJ7" s="12" t="s">
        <v>982</v>
      </c>
      <c r="AK7" s="12" t="s">
        <v>1025</v>
      </c>
      <c r="AL7" s="12" t="s">
        <v>982</v>
      </c>
      <c r="AM7" s="12"/>
      <c r="AN7" s="12"/>
      <c r="AO7" s="15" t="s">
        <v>984</v>
      </c>
      <c r="AP7" s="15" t="s">
        <v>985</v>
      </c>
      <c r="AQ7" s="12"/>
      <c r="AR7" s="12"/>
      <c r="AS7" s="12"/>
      <c r="AT7" s="15" t="s">
        <v>986</v>
      </c>
      <c r="AU7" s="12"/>
      <c r="AV7" s="12"/>
      <c r="AW7" s="14" t="n">
        <f aca="false">IF(OR(V7="",R7=""),"",ROUND((V7-R7)*1440,0))</f>
        <v>6</v>
      </c>
      <c r="AX7" s="12"/>
      <c r="AY7" s="12"/>
      <c r="AZ7" s="16" t="n">
        <v>289</v>
      </c>
      <c r="BA7" s="16" t="n">
        <v>281</v>
      </c>
      <c r="BB7" s="16" t="n">
        <v>18400</v>
      </c>
      <c r="BC7" s="16" t="n">
        <v>0</v>
      </c>
      <c r="BD7" s="16" t="n">
        <v>0</v>
      </c>
      <c r="BE7" s="16" t="n">
        <v>178300</v>
      </c>
      <c r="BF7" s="16" t="n">
        <v>283692</v>
      </c>
      <c r="BG7" s="16" t="n">
        <v>187292</v>
      </c>
      <c r="BH7" s="12" t="s">
        <v>1026</v>
      </c>
      <c r="BI7" s="12" t="s">
        <v>1027</v>
      </c>
      <c r="BJ7" s="12" t="s">
        <v>1028</v>
      </c>
      <c r="BK7" s="12" t="s">
        <v>1029</v>
      </c>
      <c r="BL7" s="12" t="s">
        <v>1029</v>
      </c>
      <c r="BM7" s="12" t="s">
        <v>990</v>
      </c>
      <c r="BN7" s="12" t="s">
        <v>978</v>
      </c>
      <c r="BO7" s="12" t="s">
        <v>990</v>
      </c>
      <c r="BP7" s="12" t="s">
        <v>991</v>
      </c>
      <c r="BQ7" s="12" t="s">
        <v>992</v>
      </c>
      <c r="BR7" s="12" t="s">
        <v>978</v>
      </c>
      <c r="BS7" s="15" t="s">
        <v>990</v>
      </c>
      <c r="BT7" s="15" t="s">
        <v>993</v>
      </c>
    </row>
    <row r="8" customFormat="false" ht="15" hidden="false" customHeight="false" outlineLevel="0" collapsed="false">
      <c r="A8" s="12" t="s">
        <v>117</v>
      </c>
      <c r="B8" s="12" t="s">
        <v>1030</v>
      </c>
      <c r="C8" s="12" t="s">
        <v>971</v>
      </c>
      <c r="D8" s="12" t="s">
        <v>1031</v>
      </c>
      <c r="E8" s="12" t="s">
        <v>1032</v>
      </c>
      <c r="F8" s="12" t="n">
        <v>1</v>
      </c>
      <c r="G8" s="12" t="s">
        <v>971</v>
      </c>
      <c r="H8" s="12" t="s">
        <v>971</v>
      </c>
      <c r="I8" s="12"/>
      <c r="J8" s="12" t="s">
        <v>974</v>
      </c>
      <c r="K8" s="12" t="s">
        <v>975</v>
      </c>
      <c r="L8" s="12" t="s">
        <v>976</v>
      </c>
      <c r="M8" s="12" t="s">
        <v>1021</v>
      </c>
      <c r="N8" s="12" t="s">
        <v>976</v>
      </c>
      <c r="O8" s="12" t="s">
        <v>1021</v>
      </c>
      <c r="P8" s="12" t="n">
        <v>1</v>
      </c>
      <c r="Q8" s="12" t="s">
        <v>978</v>
      </c>
      <c r="R8" s="13" t="n">
        <v>46249.5555555556</v>
      </c>
      <c r="S8" s="13" t="n">
        <v>46250.0451388889</v>
      </c>
      <c r="T8" s="12"/>
      <c r="U8" s="12"/>
      <c r="V8" s="13" t="n">
        <v>46249.5819444444</v>
      </c>
      <c r="W8" s="13" t="n">
        <v>46249.5944444445</v>
      </c>
      <c r="X8" s="13" t="n">
        <v>46250.0569444444</v>
      </c>
      <c r="Y8" s="13" t="n">
        <v>46250.0666666667</v>
      </c>
      <c r="Z8" s="14" t="n">
        <f aca="false">IF(OR(V8="",Y8=""),"",ROUND((Y8-V8)*1440,0))</f>
        <v>698</v>
      </c>
      <c r="AA8" s="14" t="n">
        <f aca="false">IF(OR(W8="",X8=""),"",ROUND((X8-W8)*1440,0))</f>
        <v>666</v>
      </c>
      <c r="AB8" s="14" t="n">
        <f aca="false">IF(OR(V8="",W8=""),"",ROUND((W8-V8)*1440,0))</f>
        <v>18</v>
      </c>
      <c r="AC8" s="14" t="n">
        <f aca="false">IF(OR(X8="",Y8=""),"",ROUND((Y8-X8)*1440,0))</f>
        <v>14</v>
      </c>
      <c r="AD8" s="12" t="s">
        <v>1022</v>
      </c>
      <c r="AE8" s="12"/>
      <c r="AF8" s="12" t="s">
        <v>1033</v>
      </c>
      <c r="AG8" s="12" t="s">
        <v>1033</v>
      </c>
      <c r="AH8" s="12" t="s">
        <v>978</v>
      </c>
      <c r="AI8" s="12" t="s">
        <v>1024</v>
      </c>
      <c r="AJ8" s="12" t="s">
        <v>982</v>
      </c>
      <c r="AK8" s="12" t="s">
        <v>1025</v>
      </c>
      <c r="AL8" s="12" t="s">
        <v>982</v>
      </c>
      <c r="AM8" s="12"/>
      <c r="AN8" s="12"/>
      <c r="AO8" s="15" t="s">
        <v>984</v>
      </c>
      <c r="AP8" s="15" t="s">
        <v>985</v>
      </c>
      <c r="AQ8" s="12"/>
      <c r="AR8" s="12"/>
      <c r="AS8" s="12"/>
      <c r="AT8" s="15" t="s">
        <v>986</v>
      </c>
      <c r="AU8" s="12"/>
      <c r="AV8" s="12" t="s">
        <v>1034</v>
      </c>
      <c r="AW8" s="14" t="n">
        <f aca="false">IF(OR(V8="",R8=""),"",ROUND((V8-R8)*1440,0))</f>
        <v>38</v>
      </c>
      <c r="AX8" s="12"/>
      <c r="AY8" s="12"/>
      <c r="AZ8" s="16" t="n">
        <v>291</v>
      </c>
      <c r="BA8" s="16" t="n">
        <v>288</v>
      </c>
      <c r="BB8" s="16" t="n">
        <v>19100</v>
      </c>
      <c r="BC8" s="16" t="n">
        <v>0</v>
      </c>
      <c r="BD8" s="16" t="n">
        <v>0</v>
      </c>
      <c r="BE8" s="16" t="n">
        <v>179000</v>
      </c>
      <c r="BF8" s="16" t="n">
        <v>287142</v>
      </c>
      <c r="BG8" s="16" t="n">
        <v>187942</v>
      </c>
      <c r="BH8" s="12" t="s">
        <v>1035</v>
      </c>
      <c r="BI8" s="12" t="s">
        <v>1027</v>
      </c>
      <c r="BJ8" s="12" t="s">
        <v>1027</v>
      </c>
      <c r="BK8" s="12" t="s">
        <v>1029</v>
      </c>
      <c r="BL8" s="12" t="s">
        <v>1029</v>
      </c>
      <c r="BM8" s="12" t="s">
        <v>990</v>
      </c>
      <c r="BN8" s="12" t="s">
        <v>978</v>
      </c>
      <c r="BO8" s="12" t="s">
        <v>990</v>
      </c>
      <c r="BP8" s="12" t="s">
        <v>991</v>
      </c>
      <c r="BQ8" s="12" t="s">
        <v>992</v>
      </c>
      <c r="BR8" s="12" t="s">
        <v>978</v>
      </c>
      <c r="BS8" s="15" t="s">
        <v>990</v>
      </c>
      <c r="BT8" s="15" t="s">
        <v>993</v>
      </c>
    </row>
    <row r="9" customFormat="false" ht="15" hidden="false" customHeight="false" outlineLevel="0" collapsed="false">
      <c r="A9" s="12" t="s">
        <v>122</v>
      </c>
      <c r="B9" s="12" t="s">
        <v>1036</v>
      </c>
      <c r="C9" s="12" t="s">
        <v>971</v>
      </c>
      <c r="D9" s="12" t="s">
        <v>1037</v>
      </c>
      <c r="E9" s="12" t="s">
        <v>1032</v>
      </c>
      <c r="F9" s="12" t="n">
        <v>1</v>
      </c>
      <c r="G9" s="12" t="s">
        <v>971</v>
      </c>
      <c r="H9" s="12" t="s">
        <v>971</v>
      </c>
      <c r="I9" s="12"/>
      <c r="J9" s="12" t="s">
        <v>974</v>
      </c>
      <c r="K9" s="12" t="s">
        <v>975</v>
      </c>
      <c r="L9" s="12" t="s">
        <v>976</v>
      </c>
      <c r="M9" s="12" t="s">
        <v>977</v>
      </c>
      <c r="N9" s="12" t="s">
        <v>976</v>
      </c>
      <c r="O9" s="12" t="s">
        <v>977</v>
      </c>
      <c r="P9" s="12" t="n">
        <v>1</v>
      </c>
      <c r="Q9" s="12" t="s">
        <v>978</v>
      </c>
      <c r="R9" s="13" t="n">
        <v>46249.25</v>
      </c>
      <c r="S9" s="13" t="n">
        <v>46249.4097222222</v>
      </c>
      <c r="T9" s="12"/>
      <c r="U9" s="12"/>
      <c r="V9" s="13"/>
      <c r="W9" s="13"/>
      <c r="X9" s="13"/>
      <c r="Y9" s="13"/>
      <c r="Z9" s="14" t="str">
        <f aca="false">IF(OR(V9="",Y9=""),"",ROUND((Y9-V9)*1440,0))</f>
        <v/>
      </c>
      <c r="AA9" s="14" t="str">
        <f aca="false">IF(OR(W9="",X9=""),"",ROUND((X9-W9)*1440,0))</f>
        <v/>
      </c>
      <c r="AB9" s="14" t="str">
        <f aca="false">IF(OR(V9="",W9=""),"",ROUND((W9-V9)*1440,0))</f>
        <v/>
      </c>
      <c r="AC9" s="14" t="str">
        <f aca="false">IF(OR(X9="",Y9=""),"",ROUND((Y9-X9)*1440,0))</f>
        <v/>
      </c>
      <c r="AD9" s="12" t="s">
        <v>979</v>
      </c>
      <c r="AE9" s="12"/>
      <c r="AF9" s="12" t="s">
        <v>1038</v>
      </c>
      <c r="AG9" s="12" t="s">
        <v>1038</v>
      </c>
      <c r="AH9" s="12" t="s">
        <v>978</v>
      </c>
      <c r="AI9" s="12" t="s">
        <v>1039</v>
      </c>
      <c r="AJ9" s="12" t="s">
        <v>982</v>
      </c>
      <c r="AK9" s="12"/>
      <c r="AL9" s="12"/>
      <c r="AM9" s="12"/>
      <c r="AN9" s="12"/>
      <c r="AO9" s="15" t="s">
        <v>1040</v>
      </c>
      <c r="AP9" s="15" t="s">
        <v>1041</v>
      </c>
      <c r="AQ9" s="12"/>
      <c r="AR9" s="12" t="s">
        <v>1042</v>
      </c>
      <c r="AS9" s="12"/>
      <c r="AT9" s="15" t="s">
        <v>986</v>
      </c>
      <c r="AU9" s="12"/>
      <c r="AV9" s="12" t="s">
        <v>1016</v>
      </c>
      <c r="AW9" s="14" t="str">
        <f aca="false">IF(OR(V9="",R9=""),"",ROUND((V9-R9)*1440,0))</f>
        <v/>
      </c>
      <c r="AX9" s="12"/>
      <c r="AY9" s="12" t="s">
        <v>1042</v>
      </c>
      <c r="AZ9" s="16" t="n">
        <v>165</v>
      </c>
      <c r="BA9" s="16" t="n">
        <v>0</v>
      </c>
      <c r="BB9" s="16" t="n">
        <v>0</v>
      </c>
      <c r="BC9" s="16" t="n">
        <v>0</v>
      </c>
      <c r="BD9" s="16" t="n">
        <v>0</v>
      </c>
      <c r="BE9" s="16"/>
      <c r="BF9" s="16"/>
      <c r="BG9" s="16"/>
      <c r="BH9" s="12" t="s">
        <v>1043</v>
      </c>
      <c r="BI9" s="12" t="s">
        <v>988</v>
      </c>
      <c r="BJ9" s="12"/>
      <c r="BK9" s="12" t="s">
        <v>989</v>
      </c>
      <c r="BL9" s="12"/>
      <c r="BM9" s="12" t="s">
        <v>978</v>
      </c>
      <c r="BN9" s="12" t="s">
        <v>978</v>
      </c>
      <c r="BO9" s="12" t="s">
        <v>990</v>
      </c>
      <c r="BP9" s="12" t="s">
        <v>991</v>
      </c>
      <c r="BQ9" s="12" t="s">
        <v>992</v>
      </c>
      <c r="BR9" s="12" t="s">
        <v>978</v>
      </c>
      <c r="BS9" s="15" t="s">
        <v>978</v>
      </c>
      <c r="BT9" s="15" t="s">
        <v>1044</v>
      </c>
    </row>
    <row r="10" customFormat="false" ht="15" hidden="false" customHeight="false" outlineLevel="0" collapsed="false">
      <c r="A10" s="12" t="s">
        <v>127</v>
      </c>
      <c r="B10" s="12" t="s">
        <v>1045</v>
      </c>
      <c r="C10" s="12" t="s">
        <v>971</v>
      </c>
      <c r="D10" s="12" t="s">
        <v>1046</v>
      </c>
      <c r="E10" s="12" t="s">
        <v>1032</v>
      </c>
      <c r="F10" s="12" t="n">
        <v>1</v>
      </c>
      <c r="G10" s="12" t="s">
        <v>971</v>
      </c>
      <c r="H10" s="12" t="s">
        <v>971</v>
      </c>
      <c r="I10" s="12"/>
      <c r="J10" s="12" t="s">
        <v>974</v>
      </c>
      <c r="K10" s="12" t="s">
        <v>975</v>
      </c>
      <c r="L10" s="12" t="s">
        <v>976</v>
      </c>
      <c r="M10" s="12" t="s">
        <v>977</v>
      </c>
      <c r="N10" s="12" t="s">
        <v>976</v>
      </c>
      <c r="O10" s="12" t="s">
        <v>977</v>
      </c>
      <c r="P10" s="12" t="n">
        <v>1</v>
      </c>
      <c r="Q10" s="12" t="s">
        <v>978</v>
      </c>
      <c r="R10" s="13" t="n">
        <v>46249.4583333333</v>
      </c>
      <c r="S10" s="13" t="n">
        <v>46249.6180555556</v>
      </c>
      <c r="T10" s="12"/>
      <c r="U10" s="12"/>
      <c r="V10" s="13" t="n">
        <v>46249.4638888889</v>
      </c>
      <c r="W10" s="13"/>
      <c r="X10" s="13"/>
      <c r="Y10" s="13" t="n">
        <v>46249.4944444444</v>
      </c>
      <c r="Z10" s="14" t="n">
        <f aca="false">IF(OR(V10="",Y10=""),"",ROUND((Y10-V10)*1440,0))</f>
        <v>44</v>
      </c>
      <c r="AA10" s="14" t="str">
        <f aca="false">IF(OR(W10="",X10=""),"",ROUND((X10-W10)*1440,0))</f>
        <v/>
      </c>
      <c r="AB10" s="14" t="str">
        <f aca="false">IF(OR(V10="",W10=""),"",ROUND((W10-V10)*1440,0))</f>
        <v/>
      </c>
      <c r="AC10" s="14" t="str">
        <f aca="false">IF(OR(X10="",Y10=""),"",ROUND((Y10-X10)*1440,0))</f>
        <v/>
      </c>
      <c r="AD10" s="12" t="s">
        <v>979</v>
      </c>
      <c r="AE10" s="12"/>
      <c r="AF10" s="12" t="s">
        <v>1047</v>
      </c>
      <c r="AG10" s="12" t="s">
        <v>1047</v>
      </c>
      <c r="AH10" s="12" t="s">
        <v>978</v>
      </c>
      <c r="AI10" s="12" t="s">
        <v>1048</v>
      </c>
      <c r="AJ10" s="12" t="s">
        <v>982</v>
      </c>
      <c r="AK10" s="12" t="s">
        <v>1048</v>
      </c>
      <c r="AL10" s="12" t="s">
        <v>982</v>
      </c>
      <c r="AM10" s="12"/>
      <c r="AN10" s="12"/>
      <c r="AO10" s="15" t="s">
        <v>1049</v>
      </c>
      <c r="AP10" s="15" t="s">
        <v>985</v>
      </c>
      <c r="AQ10" s="12" t="s">
        <v>1050</v>
      </c>
      <c r="AR10" s="12" t="s">
        <v>1042</v>
      </c>
      <c r="AS10" s="12"/>
      <c r="AT10" s="15" t="s">
        <v>986</v>
      </c>
      <c r="AU10" s="12"/>
      <c r="AV10" s="12" t="s">
        <v>1016</v>
      </c>
      <c r="AW10" s="14" t="n">
        <f aca="false">IF(OR(V10="",R10=""),"",ROUND((V10-R10)*1440,0))</f>
        <v>8</v>
      </c>
      <c r="AX10" s="12"/>
      <c r="AY10" s="12"/>
      <c r="AZ10" s="16" t="n">
        <v>174</v>
      </c>
      <c r="BA10" s="16" t="n">
        <v>171</v>
      </c>
      <c r="BB10" s="16" t="n">
        <v>4400</v>
      </c>
      <c r="BC10" s="16" t="n">
        <v>0</v>
      </c>
      <c r="BD10" s="16" t="n">
        <v>0</v>
      </c>
      <c r="BE10" s="16" t="n">
        <v>70200</v>
      </c>
      <c r="BF10" s="16" t="n">
        <v>81451</v>
      </c>
      <c r="BG10" s="16"/>
      <c r="BH10" s="12" t="s">
        <v>1051</v>
      </c>
      <c r="BI10" s="12" t="s">
        <v>988</v>
      </c>
      <c r="BJ10" s="12"/>
      <c r="BK10" s="12" t="s">
        <v>989</v>
      </c>
      <c r="BL10" s="12"/>
      <c r="BM10" s="12" t="s">
        <v>978</v>
      </c>
      <c r="BN10" s="12" t="s">
        <v>978</v>
      </c>
      <c r="BO10" s="12" t="s">
        <v>990</v>
      </c>
      <c r="BP10" s="12" t="s">
        <v>991</v>
      </c>
      <c r="BQ10" s="12" t="s">
        <v>992</v>
      </c>
      <c r="BR10" s="12" t="s">
        <v>978</v>
      </c>
      <c r="BS10" s="15" t="s">
        <v>990</v>
      </c>
      <c r="BT10" s="15" t="s">
        <v>1001</v>
      </c>
    </row>
    <row r="11" customFormat="false" ht="15" hidden="false" customHeight="false" outlineLevel="0" collapsed="false">
      <c r="A11" s="12" t="s">
        <v>133</v>
      </c>
      <c r="B11" s="12" t="s">
        <v>1052</v>
      </c>
      <c r="C11" s="12" t="s">
        <v>971</v>
      </c>
      <c r="D11" s="12" t="s">
        <v>1053</v>
      </c>
      <c r="E11" s="12" t="s">
        <v>1032</v>
      </c>
      <c r="F11" s="12" t="n">
        <v>1</v>
      </c>
      <c r="G11" s="12" t="s">
        <v>971</v>
      </c>
      <c r="H11" s="12" t="s">
        <v>971</v>
      </c>
      <c r="I11" s="12"/>
      <c r="J11" s="12" t="s">
        <v>974</v>
      </c>
      <c r="K11" s="12" t="s">
        <v>975</v>
      </c>
      <c r="L11" s="12" t="s">
        <v>976</v>
      </c>
      <c r="M11" s="12" t="s">
        <v>1021</v>
      </c>
      <c r="N11" s="12" t="s">
        <v>976</v>
      </c>
      <c r="O11" s="12" t="s">
        <v>1021</v>
      </c>
      <c r="P11" s="12" t="n">
        <v>1</v>
      </c>
      <c r="Q11" s="12" t="s">
        <v>978</v>
      </c>
      <c r="R11" s="13" t="n">
        <v>46249.5555555556</v>
      </c>
      <c r="S11" s="13" t="n">
        <v>46250.0451388889</v>
      </c>
      <c r="T11" s="12"/>
      <c r="U11" s="12"/>
      <c r="V11" s="13" t="n">
        <v>46249.5583333333</v>
      </c>
      <c r="W11" s="13" t="n">
        <v>46249.5701388889</v>
      </c>
      <c r="X11" s="13" t="n">
        <v>46249.6055555556</v>
      </c>
      <c r="Y11" s="13" t="n">
        <v>46249.6159722222</v>
      </c>
      <c r="Z11" s="14" t="n">
        <f aca="false">IF(OR(V11="",Y11=""),"",ROUND((Y11-V11)*1440,0))</f>
        <v>83</v>
      </c>
      <c r="AA11" s="14" t="n">
        <f aca="false">IF(OR(W11="",X11=""),"",ROUND((X11-W11)*1440,0))</f>
        <v>51</v>
      </c>
      <c r="AB11" s="14" t="n">
        <f aca="false">IF(OR(V11="",W11=""),"",ROUND((W11-V11)*1440,0))</f>
        <v>17</v>
      </c>
      <c r="AC11" s="14" t="n">
        <f aca="false">IF(OR(X11="",Y11=""),"",ROUND((Y11-X11)*1440,0))</f>
        <v>15</v>
      </c>
      <c r="AD11" s="12" t="s">
        <v>1022</v>
      </c>
      <c r="AE11" s="12"/>
      <c r="AF11" s="12" t="s">
        <v>1054</v>
      </c>
      <c r="AG11" s="12" t="s">
        <v>1054</v>
      </c>
      <c r="AH11" s="12" t="s">
        <v>978</v>
      </c>
      <c r="AI11" s="12" t="s">
        <v>1055</v>
      </c>
      <c r="AJ11" s="12" t="s">
        <v>982</v>
      </c>
      <c r="AK11" s="12" t="s">
        <v>1055</v>
      </c>
      <c r="AL11" s="12" t="s">
        <v>982</v>
      </c>
      <c r="AM11" s="12"/>
      <c r="AN11" s="12"/>
      <c r="AO11" s="15" t="s">
        <v>1056</v>
      </c>
      <c r="AP11" s="15" t="s">
        <v>985</v>
      </c>
      <c r="AQ11" s="12" t="s">
        <v>1057</v>
      </c>
      <c r="AR11" s="12" t="s">
        <v>1058</v>
      </c>
      <c r="AS11" s="12"/>
      <c r="AT11" s="15" t="s">
        <v>986</v>
      </c>
      <c r="AU11" s="12"/>
      <c r="AV11" s="12" t="s">
        <v>1059</v>
      </c>
      <c r="AW11" s="14" t="n">
        <f aca="false">IF(OR(V11="",R11=""),"",ROUND((V11-R11)*1440,0))</f>
        <v>4</v>
      </c>
      <c r="AX11" s="12"/>
      <c r="AY11" s="12"/>
      <c r="AZ11" s="16" t="n">
        <v>286</v>
      </c>
      <c r="BA11" s="16" t="n">
        <v>279</v>
      </c>
      <c r="BB11" s="16" t="n">
        <v>17800</v>
      </c>
      <c r="BC11" s="16" t="n">
        <v>0</v>
      </c>
      <c r="BD11" s="16" t="n">
        <v>0</v>
      </c>
      <c r="BE11" s="16" t="n">
        <v>177600</v>
      </c>
      <c r="BF11" s="16" t="n">
        <v>283592</v>
      </c>
      <c r="BG11" s="16" t="n">
        <v>207000</v>
      </c>
      <c r="BH11" s="12" t="s">
        <v>1060</v>
      </c>
      <c r="BI11" s="12" t="s">
        <v>1027</v>
      </c>
      <c r="BJ11" s="12" t="s">
        <v>1061</v>
      </c>
      <c r="BK11" s="12" t="s">
        <v>1029</v>
      </c>
      <c r="BL11" s="12" t="s">
        <v>1062</v>
      </c>
      <c r="BM11" s="12" t="s">
        <v>990</v>
      </c>
      <c r="BN11" s="12" t="s">
        <v>978</v>
      </c>
      <c r="BO11" s="12" t="s">
        <v>990</v>
      </c>
      <c r="BP11" s="12" t="s">
        <v>991</v>
      </c>
      <c r="BQ11" s="12" t="s">
        <v>992</v>
      </c>
      <c r="BR11" s="12" t="s">
        <v>978</v>
      </c>
      <c r="BS11" s="15" t="s">
        <v>990</v>
      </c>
      <c r="BT11" s="15" t="s">
        <v>993</v>
      </c>
    </row>
    <row r="12" customFormat="false" ht="15" hidden="false" customHeight="false" outlineLevel="0" collapsed="false">
      <c r="A12" s="12" t="s">
        <v>138</v>
      </c>
      <c r="B12" s="12" t="s">
        <v>1063</v>
      </c>
      <c r="C12" s="12" t="s">
        <v>971</v>
      </c>
      <c r="D12" s="12" t="s">
        <v>1064</v>
      </c>
      <c r="E12" s="12" t="s">
        <v>1065</v>
      </c>
      <c r="F12" s="12" t="n">
        <v>1</v>
      </c>
      <c r="G12" s="12" t="s">
        <v>971</v>
      </c>
      <c r="H12" s="12" t="s">
        <v>971</v>
      </c>
      <c r="I12" s="12"/>
      <c r="J12" s="12" t="s">
        <v>974</v>
      </c>
      <c r="K12" s="12" t="s">
        <v>975</v>
      </c>
      <c r="L12" s="12" t="s">
        <v>976</v>
      </c>
      <c r="M12" s="12" t="s">
        <v>977</v>
      </c>
      <c r="N12" s="12" t="s">
        <v>976</v>
      </c>
      <c r="O12" s="12" t="s">
        <v>977</v>
      </c>
      <c r="P12" s="12" t="n">
        <v>1</v>
      </c>
      <c r="Q12" s="12" t="s">
        <v>978</v>
      </c>
      <c r="R12" s="13" t="n">
        <v>46250.25</v>
      </c>
      <c r="S12" s="13" t="n">
        <v>46250.4097222222</v>
      </c>
      <c r="T12" s="12"/>
      <c r="U12" s="12"/>
      <c r="V12" s="13" t="n">
        <v>46250.2625</v>
      </c>
      <c r="W12" s="13" t="n">
        <v>46250.2743055556</v>
      </c>
      <c r="X12" s="13" t="n">
        <v>46250.4111111111</v>
      </c>
      <c r="Y12" s="13" t="n">
        <v>46250.4215277778</v>
      </c>
      <c r="Z12" s="14" t="n">
        <f aca="false">IF(OR(V12="",Y12=""),"",ROUND((Y12-V12)*1440,0))</f>
        <v>229</v>
      </c>
      <c r="AA12" s="14" t="n">
        <f aca="false">IF(OR(W12="",X12=""),"",ROUND((X12-W12)*1440,0))</f>
        <v>197</v>
      </c>
      <c r="AB12" s="14" t="n">
        <f aca="false">IF(OR(V12="",W12=""),"",ROUND((W12-V12)*1440,0))</f>
        <v>17</v>
      </c>
      <c r="AC12" s="14" t="n">
        <f aca="false">IF(OR(X12="",Y12=""),"",ROUND((Y12-X12)*1440,0))</f>
        <v>15</v>
      </c>
      <c r="AD12" s="12" t="s">
        <v>979</v>
      </c>
      <c r="AE12" s="12"/>
      <c r="AF12" s="12" t="s">
        <v>1066</v>
      </c>
      <c r="AG12" s="12" t="s">
        <v>1066</v>
      </c>
      <c r="AH12" s="12" t="s">
        <v>978</v>
      </c>
      <c r="AI12" s="12" t="s">
        <v>981</v>
      </c>
      <c r="AJ12" s="12" t="s">
        <v>982</v>
      </c>
      <c r="AK12" s="12" t="s">
        <v>983</v>
      </c>
      <c r="AL12" s="12" t="s">
        <v>982</v>
      </c>
      <c r="AM12" s="12"/>
      <c r="AN12" s="12"/>
      <c r="AO12" s="15" t="s">
        <v>984</v>
      </c>
      <c r="AP12" s="15" t="s">
        <v>985</v>
      </c>
      <c r="AQ12" s="12"/>
      <c r="AR12" s="12"/>
      <c r="AS12" s="12"/>
      <c r="AT12" s="15" t="s">
        <v>986</v>
      </c>
      <c r="AU12" s="12"/>
      <c r="AV12" s="12"/>
      <c r="AW12" s="14" t="n">
        <f aca="false">IF(OR(V12="",R12=""),"",ROUND((V12-R12)*1440,0))</f>
        <v>18</v>
      </c>
      <c r="AX12" s="12"/>
      <c r="AY12" s="12"/>
      <c r="AZ12" s="16" t="n">
        <v>169</v>
      </c>
      <c r="BA12" s="16" t="n">
        <v>164</v>
      </c>
      <c r="BB12" s="16" t="n">
        <v>4300</v>
      </c>
      <c r="BC12" s="16" t="n">
        <v>0</v>
      </c>
      <c r="BD12" s="16" t="n">
        <v>0</v>
      </c>
      <c r="BE12" s="16" t="n">
        <v>68600</v>
      </c>
      <c r="BF12" s="16" t="n">
        <v>80486</v>
      </c>
      <c r="BG12" s="16" t="n">
        <v>71286</v>
      </c>
      <c r="BH12" s="12" t="s">
        <v>1067</v>
      </c>
      <c r="BI12" s="12" t="s">
        <v>988</v>
      </c>
      <c r="BJ12" s="12" t="s">
        <v>988</v>
      </c>
      <c r="BK12" s="12" t="s">
        <v>989</v>
      </c>
      <c r="BL12" s="12" t="s">
        <v>989</v>
      </c>
      <c r="BM12" s="12" t="s">
        <v>990</v>
      </c>
      <c r="BN12" s="12" t="s">
        <v>978</v>
      </c>
      <c r="BO12" s="12" t="s">
        <v>990</v>
      </c>
      <c r="BP12" s="12" t="s">
        <v>991</v>
      </c>
      <c r="BQ12" s="12" t="s">
        <v>992</v>
      </c>
      <c r="BR12" s="12" t="s">
        <v>978</v>
      </c>
      <c r="BS12" s="15" t="s">
        <v>978</v>
      </c>
      <c r="BT12" s="15" t="s">
        <v>1001</v>
      </c>
    </row>
    <row r="13" customFormat="false" ht="15" hidden="false" customHeight="false" outlineLevel="0" collapsed="false">
      <c r="A13" s="12" t="s">
        <v>144</v>
      </c>
      <c r="B13" s="12" t="s">
        <v>1068</v>
      </c>
      <c r="C13" s="12" t="s">
        <v>971</v>
      </c>
      <c r="D13" s="12" t="s">
        <v>1069</v>
      </c>
      <c r="E13" s="12" t="s">
        <v>1065</v>
      </c>
      <c r="F13" s="12" t="n">
        <v>1</v>
      </c>
      <c r="G13" s="12" t="s">
        <v>971</v>
      </c>
      <c r="H13" s="12" t="s">
        <v>971</v>
      </c>
      <c r="I13" s="12"/>
      <c r="J13" s="12" t="s">
        <v>974</v>
      </c>
      <c r="K13" s="12" t="s">
        <v>975</v>
      </c>
      <c r="L13" s="12" t="s">
        <v>976</v>
      </c>
      <c r="M13" s="12" t="s">
        <v>977</v>
      </c>
      <c r="N13" s="12" t="s">
        <v>976</v>
      </c>
      <c r="O13" s="12" t="s">
        <v>977</v>
      </c>
      <c r="P13" s="12" t="n">
        <v>1</v>
      </c>
      <c r="Q13" s="12" t="s">
        <v>978</v>
      </c>
      <c r="R13" s="13" t="n">
        <v>46250.4583333333</v>
      </c>
      <c r="S13" s="13" t="n">
        <v>46250.6180555556</v>
      </c>
      <c r="T13" s="12"/>
      <c r="U13" s="12"/>
      <c r="V13" s="13" t="n">
        <v>46250.4604166667</v>
      </c>
      <c r="W13" s="13" t="n">
        <v>46250.4722222222</v>
      </c>
      <c r="X13" s="13" t="n">
        <v>46250.6097222222</v>
      </c>
      <c r="Y13" s="13" t="n">
        <v>46250.6194444444</v>
      </c>
      <c r="Z13" s="14" t="n">
        <f aca="false">IF(OR(V13="",Y13=""),"",ROUND((Y13-V13)*1440,0))</f>
        <v>229</v>
      </c>
      <c r="AA13" s="14" t="n">
        <f aca="false">IF(OR(W13="",X13=""),"",ROUND((X13-W13)*1440,0))</f>
        <v>198</v>
      </c>
      <c r="AB13" s="14" t="n">
        <f aca="false">IF(OR(V13="",W13=""),"",ROUND((W13-V13)*1440,0))</f>
        <v>17</v>
      </c>
      <c r="AC13" s="14" t="n">
        <f aca="false">IF(OR(X13="",Y13=""),"",ROUND((Y13-X13)*1440,0))</f>
        <v>14</v>
      </c>
      <c r="AD13" s="12" t="s">
        <v>979</v>
      </c>
      <c r="AE13" s="12"/>
      <c r="AF13" s="12" t="s">
        <v>1070</v>
      </c>
      <c r="AG13" s="12" t="s">
        <v>1070</v>
      </c>
      <c r="AH13" s="12" t="s">
        <v>978</v>
      </c>
      <c r="AI13" s="12" t="s">
        <v>997</v>
      </c>
      <c r="AJ13" s="12" t="s">
        <v>982</v>
      </c>
      <c r="AK13" s="12" t="s">
        <v>998</v>
      </c>
      <c r="AL13" s="12" t="s">
        <v>982</v>
      </c>
      <c r="AM13" s="12"/>
      <c r="AN13" s="12"/>
      <c r="AO13" s="15" t="s">
        <v>984</v>
      </c>
      <c r="AP13" s="15" t="s">
        <v>985</v>
      </c>
      <c r="AQ13" s="12"/>
      <c r="AR13" s="12"/>
      <c r="AS13" s="12"/>
      <c r="AT13" s="15" t="s">
        <v>986</v>
      </c>
      <c r="AU13" s="12"/>
      <c r="AV13" s="12"/>
      <c r="AW13" s="14" t="n">
        <f aca="false">IF(OR(V13="",R13=""),"",ROUND((V13-R13)*1440,0))</f>
        <v>3</v>
      </c>
      <c r="AX13" s="12"/>
      <c r="AY13" s="12"/>
      <c r="AZ13" s="16" t="n">
        <v>171</v>
      </c>
      <c r="BA13" s="16" t="n">
        <v>168</v>
      </c>
      <c r="BB13" s="16" t="n">
        <v>4500</v>
      </c>
      <c r="BC13" s="16" t="n">
        <v>0</v>
      </c>
      <c r="BD13" s="16" t="n">
        <v>0</v>
      </c>
      <c r="BE13" s="16" t="n">
        <v>68900</v>
      </c>
      <c r="BF13" s="16" t="n">
        <v>81051</v>
      </c>
      <c r="BG13" s="16" t="n">
        <v>71551</v>
      </c>
      <c r="BH13" s="12" t="s">
        <v>1071</v>
      </c>
      <c r="BI13" s="12" t="s">
        <v>988</v>
      </c>
      <c r="BJ13" s="12" t="s">
        <v>988</v>
      </c>
      <c r="BK13" s="12" t="s">
        <v>989</v>
      </c>
      <c r="BL13" s="12" t="s">
        <v>989</v>
      </c>
      <c r="BM13" s="12" t="s">
        <v>990</v>
      </c>
      <c r="BN13" s="12" t="s">
        <v>978</v>
      </c>
      <c r="BO13" s="12" t="s">
        <v>990</v>
      </c>
      <c r="BP13" s="12" t="s">
        <v>991</v>
      </c>
      <c r="BQ13" s="12" t="s">
        <v>992</v>
      </c>
      <c r="BR13" s="12" t="s">
        <v>978</v>
      </c>
      <c r="BS13" s="15" t="s">
        <v>990</v>
      </c>
      <c r="BT13" s="15" t="s">
        <v>1072</v>
      </c>
    </row>
    <row r="14" customFormat="false" ht="15" hidden="false" customHeight="false" outlineLevel="0" collapsed="false">
      <c r="A14" s="12" t="s">
        <v>149</v>
      </c>
      <c r="B14" s="12" t="s">
        <v>1073</v>
      </c>
      <c r="C14" s="12" t="s">
        <v>971</v>
      </c>
      <c r="D14" s="12" t="s">
        <v>1074</v>
      </c>
      <c r="E14" s="12" t="s">
        <v>1065</v>
      </c>
      <c r="F14" s="12" t="n">
        <v>1</v>
      </c>
      <c r="G14" s="12" t="s">
        <v>971</v>
      </c>
      <c r="H14" s="12" t="s">
        <v>971</v>
      </c>
      <c r="I14" s="12"/>
      <c r="J14" s="12" t="s">
        <v>974</v>
      </c>
      <c r="K14" s="12" t="s">
        <v>975</v>
      </c>
      <c r="L14" s="12" t="s">
        <v>976</v>
      </c>
      <c r="M14" s="12" t="s">
        <v>977</v>
      </c>
      <c r="N14" s="12" t="s">
        <v>976</v>
      </c>
      <c r="O14" s="12" t="s">
        <v>977</v>
      </c>
      <c r="P14" s="12" t="n">
        <v>1</v>
      </c>
      <c r="Q14" s="12" t="s">
        <v>978</v>
      </c>
      <c r="R14" s="13" t="n">
        <v>46250.625</v>
      </c>
      <c r="S14" s="13" t="n">
        <v>46250.7847222222</v>
      </c>
      <c r="T14" s="12"/>
      <c r="U14" s="12"/>
      <c r="V14" s="13" t="n">
        <v>46250.6284722222</v>
      </c>
      <c r="W14" s="13" t="n">
        <v>46250.6402777778</v>
      </c>
      <c r="X14" s="13" t="n">
        <v>46250.7784722222</v>
      </c>
      <c r="Y14" s="13" t="n">
        <v>46250.7881944445</v>
      </c>
      <c r="Z14" s="14" t="n">
        <f aca="false">IF(OR(V14="",Y14=""),"",ROUND((Y14-V14)*1440,0))</f>
        <v>230</v>
      </c>
      <c r="AA14" s="14" t="n">
        <f aca="false">IF(OR(W14="",X14=""),"",ROUND((X14-W14)*1440,0))</f>
        <v>199</v>
      </c>
      <c r="AB14" s="14" t="n">
        <f aca="false">IF(OR(V14="",W14=""),"",ROUND((W14-V14)*1440,0))</f>
        <v>17</v>
      </c>
      <c r="AC14" s="14" t="n">
        <f aca="false">IF(OR(X14="",Y14=""),"",ROUND((Y14-X14)*1440,0))</f>
        <v>14</v>
      </c>
      <c r="AD14" s="12" t="s">
        <v>979</v>
      </c>
      <c r="AE14" s="12"/>
      <c r="AF14" s="12" t="s">
        <v>1075</v>
      </c>
      <c r="AG14" s="12" t="s">
        <v>1075</v>
      </c>
      <c r="AH14" s="12" t="s">
        <v>978</v>
      </c>
      <c r="AI14" s="12" t="s">
        <v>1005</v>
      </c>
      <c r="AJ14" s="12" t="s">
        <v>982</v>
      </c>
      <c r="AK14" s="12" t="s">
        <v>1006</v>
      </c>
      <c r="AL14" s="12" t="s">
        <v>982</v>
      </c>
      <c r="AM14" s="12"/>
      <c r="AN14" s="12"/>
      <c r="AO14" s="15" t="s">
        <v>984</v>
      </c>
      <c r="AP14" s="15" t="s">
        <v>985</v>
      </c>
      <c r="AQ14" s="12"/>
      <c r="AR14" s="12"/>
      <c r="AS14" s="12"/>
      <c r="AT14" s="15" t="s">
        <v>986</v>
      </c>
      <c r="AU14" s="12"/>
      <c r="AV14" s="12"/>
      <c r="AW14" s="14" t="n">
        <f aca="false">IF(OR(V14="",R14=""),"",ROUND((V14-R14)*1440,0))</f>
        <v>5</v>
      </c>
      <c r="AX14" s="12"/>
      <c r="AY14" s="12"/>
      <c r="AZ14" s="16" t="n">
        <v>176</v>
      </c>
      <c r="BA14" s="16" t="n">
        <v>173</v>
      </c>
      <c r="BB14" s="16" t="n">
        <v>4800</v>
      </c>
      <c r="BC14" s="16" t="n">
        <v>0</v>
      </c>
      <c r="BD14" s="16" t="n">
        <v>0</v>
      </c>
      <c r="BE14" s="16" t="n">
        <v>69800</v>
      </c>
      <c r="BF14" s="16" t="n">
        <v>81190</v>
      </c>
      <c r="BG14" s="16" t="n">
        <v>71690</v>
      </c>
      <c r="BH14" s="12" t="s">
        <v>1076</v>
      </c>
      <c r="BI14" s="12" t="s">
        <v>988</v>
      </c>
      <c r="BJ14" s="12" t="s">
        <v>988</v>
      </c>
      <c r="BK14" s="12" t="s">
        <v>989</v>
      </c>
      <c r="BL14" s="12" t="s">
        <v>989</v>
      </c>
      <c r="BM14" s="12" t="s">
        <v>990</v>
      </c>
      <c r="BN14" s="12" t="s">
        <v>978</v>
      </c>
      <c r="BO14" s="12" t="s">
        <v>990</v>
      </c>
      <c r="BP14" s="12" t="s">
        <v>991</v>
      </c>
      <c r="BQ14" s="12" t="s">
        <v>992</v>
      </c>
      <c r="BR14" s="12" t="s">
        <v>978</v>
      </c>
      <c r="BS14" s="15" t="s">
        <v>990</v>
      </c>
      <c r="BT14" s="15" t="s">
        <v>993</v>
      </c>
    </row>
    <row r="15" customFormat="false" ht="15" hidden="false" customHeight="false" outlineLevel="0" collapsed="false">
      <c r="A15" s="12" t="s">
        <v>155</v>
      </c>
      <c r="B15" s="12" t="s">
        <v>1077</v>
      </c>
      <c r="C15" s="12" t="s">
        <v>971</v>
      </c>
      <c r="D15" s="12" t="s">
        <v>1078</v>
      </c>
      <c r="E15" s="12" t="s">
        <v>1065</v>
      </c>
      <c r="F15" s="12" t="n">
        <v>1</v>
      </c>
      <c r="G15" s="12" t="s">
        <v>971</v>
      </c>
      <c r="H15" s="12" t="s">
        <v>971</v>
      </c>
      <c r="I15" s="12"/>
      <c r="J15" s="12" t="s">
        <v>974</v>
      </c>
      <c r="K15" s="12" t="s">
        <v>975</v>
      </c>
      <c r="L15" s="12" t="s">
        <v>976</v>
      </c>
      <c r="M15" s="12" t="s">
        <v>1021</v>
      </c>
      <c r="N15" s="12" t="s">
        <v>976</v>
      </c>
      <c r="O15" s="12" t="s">
        <v>1021</v>
      </c>
      <c r="P15" s="12" t="n">
        <v>1</v>
      </c>
      <c r="Q15" s="12" t="s">
        <v>978</v>
      </c>
      <c r="R15" s="13" t="n">
        <v>46250.5555555556</v>
      </c>
      <c r="S15" s="13" t="n">
        <v>46251.0451388889</v>
      </c>
      <c r="T15" s="12"/>
      <c r="U15" s="12"/>
      <c r="V15" s="13" t="n">
        <v>46250.5625</v>
      </c>
      <c r="W15" s="13" t="n">
        <v>46250.575</v>
      </c>
      <c r="X15" s="13" t="n">
        <v>46250.8222222222</v>
      </c>
      <c r="Y15" s="13" t="n">
        <v>46250.8319444444</v>
      </c>
      <c r="Z15" s="14" t="n">
        <f aca="false">IF(OR(V15="",Y15=""),"",ROUND((Y15-V15)*1440,0))</f>
        <v>388</v>
      </c>
      <c r="AA15" s="14" t="n">
        <f aca="false">IF(OR(W15="",X15=""),"",ROUND((X15-W15)*1440,0))</f>
        <v>356</v>
      </c>
      <c r="AB15" s="14" t="n">
        <f aca="false">IF(OR(V15="",W15=""),"",ROUND((W15-V15)*1440,0))</f>
        <v>18</v>
      </c>
      <c r="AC15" s="14" t="n">
        <f aca="false">IF(OR(X15="",Y15=""),"",ROUND((Y15-X15)*1440,0))</f>
        <v>14</v>
      </c>
      <c r="AD15" s="12" t="s">
        <v>1022</v>
      </c>
      <c r="AE15" s="12"/>
      <c r="AF15" s="12" t="s">
        <v>1079</v>
      </c>
      <c r="AG15" s="12" t="s">
        <v>1079</v>
      </c>
      <c r="AH15" s="12" t="s">
        <v>978</v>
      </c>
      <c r="AI15" s="12" t="s">
        <v>1024</v>
      </c>
      <c r="AJ15" s="12" t="s">
        <v>982</v>
      </c>
      <c r="AK15" s="12" t="s">
        <v>1080</v>
      </c>
      <c r="AL15" s="12" t="s">
        <v>1081</v>
      </c>
      <c r="AM15" s="12"/>
      <c r="AN15" s="12"/>
      <c r="AO15" s="15" t="s">
        <v>1082</v>
      </c>
      <c r="AP15" s="15" t="s">
        <v>985</v>
      </c>
      <c r="AQ15" s="12"/>
      <c r="AR15" s="12" t="s">
        <v>1083</v>
      </c>
      <c r="AS15" s="12"/>
      <c r="AT15" s="15" t="s">
        <v>986</v>
      </c>
      <c r="AU15" s="12"/>
      <c r="AV15" s="12" t="s">
        <v>1084</v>
      </c>
      <c r="AW15" s="14" t="n">
        <f aca="false">IF(OR(V15="",R15=""),"",ROUND((V15-R15)*1440,0))</f>
        <v>10</v>
      </c>
      <c r="AX15" s="12" t="s">
        <v>1085</v>
      </c>
      <c r="AY15" s="12"/>
      <c r="AZ15" s="16" t="n">
        <v>284</v>
      </c>
      <c r="BA15" s="16" t="n">
        <v>277</v>
      </c>
      <c r="BB15" s="16" t="n">
        <v>17200</v>
      </c>
      <c r="BC15" s="16" t="n">
        <v>0</v>
      </c>
      <c r="BD15" s="16" t="n">
        <v>0</v>
      </c>
      <c r="BE15" s="16" t="n">
        <v>176800</v>
      </c>
      <c r="BF15" s="16" t="n">
        <v>282192</v>
      </c>
      <c r="BG15" s="16"/>
      <c r="BH15" s="12" t="s">
        <v>1086</v>
      </c>
      <c r="BI15" s="12" t="s">
        <v>1027</v>
      </c>
      <c r="BJ15" s="12" t="s">
        <v>1087</v>
      </c>
      <c r="BK15" s="12" t="s">
        <v>1029</v>
      </c>
      <c r="BL15" s="12" t="s">
        <v>1088</v>
      </c>
      <c r="BM15" s="12" t="s">
        <v>990</v>
      </c>
      <c r="BN15" s="12" t="s">
        <v>978</v>
      </c>
      <c r="BO15" s="12" t="s">
        <v>990</v>
      </c>
      <c r="BP15" s="12" t="s">
        <v>991</v>
      </c>
      <c r="BQ15" s="12" t="s">
        <v>992</v>
      </c>
      <c r="BR15" s="12" t="s">
        <v>978</v>
      </c>
      <c r="BS15" s="15" t="s">
        <v>978</v>
      </c>
      <c r="BT15" s="15" t="s">
        <v>1044</v>
      </c>
    </row>
    <row r="16" customFormat="false" ht="15" hidden="false" customHeight="false" outlineLevel="0" collapsed="false">
      <c r="A16" s="12" t="s">
        <v>160</v>
      </c>
      <c r="B16" s="12" t="s">
        <v>1089</v>
      </c>
      <c r="C16" s="12" t="s">
        <v>971</v>
      </c>
      <c r="D16" s="12" t="s">
        <v>1090</v>
      </c>
      <c r="E16" s="12" t="s">
        <v>1091</v>
      </c>
      <c r="F16" s="12" t="n">
        <v>1</v>
      </c>
      <c r="G16" s="12" t="s">
        <v>971</v>
      </c>
      <c r="H16" s="12" t="s">
        <v>971</v>
      </c>
      <c r="I16" s="12"/>
      <c r="J16" s="12" t="s">
        <v>974</v>
      </c>
      <c r="K16" s="12" t="s">
        <v>975</v>
      </c>
      <c r="L16" s="12" t="s">
        <v>976</v>
      </c>
      <c r="M16" s="12" t="s">
        <v>977</v>
      </c>
      <c r="N16" s="12" t="s">
        <v>976</v>
      </c>
      <c r="O16" s="12" t="s">
        <v>977</v>
      </c>
      <c r="P16" s="12" t="n">
        <v>1</v>
      </c>
      <c r="Q16" s="12" t="s">
        <v>978</v>
      </c>
      <c r="R16" s="13" t="n">
        <v>46251.25</v>
      </c>
      <c r="S16" s="13" t="n">
        <v>46251.4097222222</v>
      </c>
      <c r="T16" s="12"/>
      <c r="U16" s="12"/>
      <c r="V16" s="13" t="n">
        <v>46251.2513888889</v>
      </c>
      <c r="W16" s="13" t="n">
        <v>46251.2631944444</v>
      </c>
      <c r="X16" s="13" t="n">
        <v>46251.4</v>
      </c>
      <c r="Y16" s="13" t="n">
        <v>46251.4097222222</v>
      </c>
      <c r="Z16" s="14" t="n">
        <f aca="false">IF(OR(V16="",Y16=""),"",ROUND((Y16-V16)*1440,0))</f>
        <v>228</v>
      </c>
      <c r="AA16" s="14" t="n">
        <f aca="false">IF(OR(W16="",X16=""),"",ROUND((X16-W16)*1440,0))</f>
        <v>197</v>
      </c>
      <c r="AB16" s="14" t="n">
        <f aca="false">IF(OR(V16="",W16=""),"",ROUND((W16-V16)*1440,0))</f>
        <v>17</v>
      </c>
      <c r="AC16" s="14" t="n">
        <f aca="false">IF(OR(X16="",Y16=""),"",ROUND((Y16-X16)*1440,0))</f>
        <v>14</v>
      </c>
      <c r="AD16" s="12" t="s">
        <v>979</v>
      </c>
      <c r="AE16" s="12"/>
      <c r="AF16" s="12" t="s">
        <v>1092</v>
      </c>
      <c r="AG16" s="12" t="s">
        <v>1092</v>
      </c>
      <c r="AH16" s="12" t="s">
        <v>978</v>
      </c>
      <c r="AI16" s="12" t="s">
        <v>981</v>
      </c>
      <c r="AJ16" s="12" t="s">
        <v>982</v>
      </c>
      <c r="AK16" s="12" t="s">
        <v>983</v>
      </c>
      <c r="AL16" s="12" t="s">
        <v>982</v>
      </c>
      <c r="AM16" s="12"/>
      <c r="AN16" s="12"/>
      <c r="AO16" s="15" t="s">
        <v>984</v>
      </c>
      <c r="AP16" s="15" t="s">
        <v>985</v>
      </c>
      <c r="AQ16" s="12"/>
      <c r="AR16" s="12"/>
      <c r="AS16" s="12"/>
      <c r="AT16" s="15" t="s">
        <v>986</v>
      </c>
      <c r="AU16" s="12"/>
      <c r="AV16" s="12"/>
      <c r="AW16" s="14" t="n">
        <f aca="false">IF(OR(V16="",R16=""),"",ROUND((V16-R16)*1440,0))</f>
        <v>2</v>
      </c>
      <c r="AX16" s="12"/>
      <c r="AY16" s="12"/>
      <c r="AZ16" s="16" t="n">
        <v>170</v>
      </c>
      <c r="BA16" s="16" t="n">
        <v>167</v>
      </c>
      <c r="BB16" s="16" t="n">
        <v>4400</v>
      </c>
      <c r="BC16" s="16" t="n">
        <v>0</v>
      </c>
      <c r="BD16" s="16" t="n">
        <v>0</v>
      </c>
      <c r="BE16" s="16" t="n">
        <v>68700</v>
      </c>
      <c r="BF16" s="16" t="n">
        <v>83151</v>
      </c>
      <c r="BG16" s="16" t="n">
        <v>71451</v>
      </c>
      <c r="BH16" s="12" t="s">
        <v>1093</v>
      </c>
      <c r="BI16" s="12" t="s">
        <v>988</v>
      </c>
      <c r="BJ16" s="12" t="s">
        <v>988</v>
      </c>
      <c r="BK16" s="12" t="s">
        <v>989</v>
      </c>
      <c r="BL16" s="12" t="s">
        <v>989</v>
      </c>
      <c r="BM16" s="12" t="s">
        <v>990</v>
      </c>
      <c r="BN16" s="12" t="s">
        <v>978</v>
      </c>
      <c r="BO16" s="12" t="s">
        <v>990</v>
      </c>
      <c r="BP16" s="12" t="s">
        <v>991</v>
      </c>
      <c r="BQ16" s="12" t="s">
        <v>992</v>
      </c>
      <c r="BR16" s="12" t="s">
        <v>978</v>
      </c>
      <c r="BS16" s="15" t="s">
        <v>990</v>
      </c>
      <c r="BT16" s="15" t="s">
        <v>993</v>
      </c>
    </row>
    <row r="17" customFormat="false" ht="15" hidden="false" customHeight="false" outlineLevel="0" collapsed="false">
      <c r="A17" s="12" t="s">
        <v>166</v>
      </c>
      <c r="B17" s="12" t="s">
        <v>1094</v>
      </c>
      <c r="C17" s="12" t="s">
        <v>971</v>
      </c>
      <c r="D17" s="12" t="s">
        <v>1095</v>
      </c>
      <c r="E17" s="12" t="s">
        <v>1091</v>
      </c>
      <c r="F17" s="12" t="n">
        <v>1</v>
      </c>
      <c r="G17" s="12" t="s">
        <v>971</v>
      </c>
      <c r="H17" s="12" t="s">
        <v>971</v>
      </c>
      <c r="I17" s="12"/>
      <c r="J17" s="12" t="s">
        <v>974</v>
      </c>
      <c r="K17" s="12" t="s">
        <v>975</v>
      </c>
      <c r="L17" s="12" t="s">
        <v>976</v>
      </c>
      <c r="M17" s="12" t="s">
        <v>1085</v>
      </c>
      <c r="N17" s="12" t="s">
        <v>976</v>
      </c>
      <c r="O17" s="12" t="s">
        <v>1085</v>
      </c>
      <c r="P17" s="12" t="n">
        <v>1</v>
      </c>
      <c r="Q17" s="12" t="s">
        <v>978</v>
      </c>
      <c r="R17" s="13" t="n">
        <v>46251.2916666667</v>
      </c>
      <c r="S17" s="13" t="n">
        <v>46251.3541666667</v>
      </c>
      <c r="T17" s="12"/>
      <c r="U17" s="12"/>
      <c r="V17" s="13" t="n">
        <v>46251.2944444444</v>
      </c>
      <c r="W17" s="13" t="n">
        <v>46251.3048611111</v>
      </c>
      <c r="X17" s="13" t="n">
        <v>46251.3458333333</v>
      </c>
      <c r="Y17" s="13" t="n">
        <v>46251.3541666667</v>
      </c>
      <c r="Z17" s="14" t="n">
        <f aca="false">IF(OR(V17="",Y17=""),"",ROUND((Y17-V17)*1440,0))</f>
        <v>86</v>
      </c>
      <c r="AA17" s="14" t="n">
        <f aca="false">IF(OR(W17="",X17=""),"",ROUND((X17-W17)*1440,0))</f>
        <v>59</v>
      </c>
      <c r="AB17" s="14" t="n">
        <f aca="false">IF(OR(V17="",W17=""),"",ROUND((W17-V17)*1440,0))</f>
        <v>15</v>
      </c>
      <c r="AC17" s="14" t="n">
        <f aca="false">IF(OR(X17="",Y17=""),"",ROUND((Y17-X17)*1440,0))</f>
        <v>12</v>
      </c>
      <c r="AD17" s="12" t="s">
        <v>1096</v>
      </c>
      <c r="AE17" s="12"/>
      <c r="AF17" s="12" t="s">
        <v>1097</v>
      </c>
      <c r="AG17" s="12" t="s">
        <v>1097</v>
      </c>
      <c r="AH17" s="12" t="s">
        <v>978</v>
      </c>
      <c r="AI17" s="12" t="s">
        <v>1098</v>
      </c>
      <c r="AJ17" s="12" t="s">
        <v>982</v>
      </c>
      <c r="AK17" s="12" t="s">
        <v>1099</v>
      </c>
      <c r="AL17" s="12" t="s">
        <v>1081</v>
      </c>
      <c r="AM17" s="12"/>
      <c r="AN17" s="12"/>
      <c r="AO17" s="15" t="s">
        <v>984</v>
      </c>
      <c r="AP17" s="15" t="s">
        <v>985</v>
      </c>
      <c r="AQ17" s="12"/>
      <c r="AR17" s="12"/>
      <c r="AS17" s="12"/>
      <c r="AT17" s="15" t="s">
        <v>986</v>
      </c>
      <c r="AU17" s="12"/>
      <c r="AV17" s="12"/>
      <c r="AW17" s="14" t="n">
        <f aca="false">IF(OR(V17="",R17=""),"",ROUND((V17-R17)*1440,0))</f>
        <v>4</v>
      </c>
      <c r="AX17" s="12"/>
      <c r="AY17" s="12"/>
      <c r="AZ17" s="16" t="n">
        <v>156</v>
      </c>
      <c r="BA17" s="16" t="n">
        <v>151</v>
      </c>
      <c r="BB17" s="16" t="n">
        <v>2100</v>
      </c>
      <c r="BC17" s="16" t="n">
        <v>0</v>
      </c>
      <c r="BD17" s="16" t="n">
        <v>0</v>
      </c>
      <c r="BE17" s="16" t="n">
        <v>55400</v>
      </c>
      <c r="BF17" s="16" t="n">
        <v>60745</v>
      </c>
      <c r="BG17" s="16" t="n">
        <v>57345</v>
      </c>
      <c r="BH17" s="12" t="s">
        <v>1100</v>
      </c>
      <c r="BI17" s="12" t="s">
        <v>1009</v>
      </c>
      <c r="BJ17" s="12" t="s">
        <v>1009</v>
      </c>
      <c r="BK17" s="12" t="s">
        <v>1101</v>
      </c>
      <c r="BL17" s="12" t="s">
        <v>1101</v>
      </c>
      <c r="BM17" s="12" t="s">
        <v>990</v>
      </c>
      <c r="BN17" s="12" t="s">
        <v>978</v>
      </c>
      <c r="BO17" s="12" t="s">
        <v>990</v>
      </c>
      <c r="BP17" s="12" t="s">
        <v>991</v>
      </c>
      <c r="BQ17" s="12" t="s">
        <v>992</v>
      </c>
      <c r="BR17" s="12" t="s">
        <v>978</v>
      </c>
      <c r="BS17" s="15" t="s">
        <v>990</v>
      </c>
      <c r="BT17" s="15" t="s">
        <v>993</v>
      </c>
    </row>
    <row r="18" customFormat="false" ht="15" hidden="false" customHeight="false" outlineLevel="0" collapsed="false">
      <c r="A18" s="12" t="s">
        <v>166</v>
      </c>
      <c r="B18" s="12" t="s">
        <v>1102</v>
      </c>
      <c r="C18" s="12" t="s">
        <v>971</v>
      </c>
      <c r="D18" s="12" t="s">
        <v>1095</v>
      </c>
      <c r="E18" s="12" t="s">
        <v>1091</v>
      </c>
      <c r="F18" s="12" t="n">
        <v>2</v>
      </c>
      <c r="G18" s="12" t="s">
        <v>971</v>
      </c>
      <c r="H18" s="12" t="s">
        <v>971</v>
      </c>
      <c r="I18" s="12"/>
      <c r="J18" s="12" t="s">
        <v>974</v>
      </c>
      <c r="K18" s="12" t="s">
        <v>975</v>
      </c>
      <c r="L18" s="12" t="s">
        <v>976</v>
      </c>
      <c r="M18" s="12" t="s">
        <v>1085</v>
      </c>
      <c r="N18" s="12" t="s">
        <v>976</v>
      </c>
      <c r="O18" s="12" t="s">
        <v>1085</v>
      </c>
      <c r="P18" s="12" t="n">
        <v>1</v>
      </c>
      <c r="Q18" s="12" t="s">
        <v>978</v>
      </c>
      <c r="R18" s="13" t="n">
        <v>46251.6666666667</v>
      </c>
      <c r="S18" s="13" t="n">
        <v>46251.7291666667</v>
      </c>
      <c r="T18" s="12"/>
      <c r="U18" s="12"/>
      <c r="V18" s="13" t="n">
        <v>46251.6743055556</v>
      </c>
      <c r="W18" s="13" t="n">
        <v>46251.6847222222</v>
      </c>
      <c r="X18" s="13" t="n">
        <v>46251.725</v>
      </c>
      <c r="Y18" s="13" t="n">
        <v>46251.7333333333</v>
      </c>
      <c r="Z18" s="14" t="n">
        <f aca="false">IF(OR(V18="",Y18=""),"",ROUND((Y18-V18)*1440,0))</f>
        <v>85</v>
      </c>
      <c r="AA18" s="14" t="n">
        <f aca="false">IF(OR(W18="",X18=""),"",ROUND((X18-W18)*1440,0))</f>
        <v>58</v>
      </c>
      <c r="AB18" s="14" t="n">
        <f aca="false">IF(OR(V18="",W18=""),"",ROUND((W18-V18)*1440,0))</f>
        <v>15</v>
      </c>
      <c r="AC18" s="14" t="n">
        <f aca="false">IF(OR(X18="",Y18=""),"",ROUND((Y18-X18)*1440,0))</f>
        <v>12</v>
      </c>
      <c r="AD18" s="12" t="s">
        <v>1096</v>
      </c>
      <c r="AE18" s="12"/>
      <c r="AF18" s="12" t="s">
        <v>1097</v>
      </c>
      <c r="AG18" s="12" t="s">
        <v>1097</v>
      </c>
      <c r="AH18" s="12" t="s">
        <v>978</v>
      </c>
      <c r="AI18" s="12" t="s">
        <v>1098</v>
      </c>
      <c r="AJ18" s="12" t="s">
        <v>982</v>
      </c>
      <c r="AK18" s="12" t="s">
        <v>1099</v>
      </c>
      <c r="AL18" s="12" t="s">
        <v>1081</v>
      </c>
      <c r="AM18" s="12"/>
      <c r="AN18" s="12"/>
      <c r="AO18" s="15" t="s">
        <v>984</v>
      </c>
      <c r="AP18" s="15" t="s">
        <v>985</v>
      </c>
      <c r="AQ18" s="12"/>
      <c r="AR18" s="12"/>
      <c r="AS18" s="12"/>
      <c r="AT18" s="15" t="s">
        <v>986</v>
      </c>
      <c r="AU18" s="12"/>
      <c r="AV18" s="12"/>
      <c r="AW18" s="14" t="n">
        <f aca="false">IF(OR(V18="",R18=""),"",ROUND((V18-R18)*1440,0))</f>
        <v>11</v>
      </c>
      <c r="AX18" s="12"/>
      <c r="AY18" s="12"/>
      <c r="AZ18" s="16" t="n">
        <v>158</v>
      </c>
      <c r="BA18" s="16" t="n">
        <v>154</v>
      </c>
      <c r="BB18" s="16" t="n">
        <v>2300</v>
      </c>
      <c r="BC18" s="16" t="n">
        <v>0</v>
      </c>
      <c r="BD18" s="16" t="n">
        <v>0</v>
      </c>
      <c r="BE18" s="16" t="n">
        <v>55800</v>
      </c>
      <c r="BF18" s="16" t="n">
        <v>60995</v>
      </c>
      <c r="BG18" s="16" t="n">
        <v>57595</v>
      </c>
      <c r="BH18" s="12" t="s">
        <v>1103</v>
      </c>
      <c r="BI18" s="12" t="s">
        <v>1009</v>
      </c>
      <c r="BJ18" s="12" t="s">
        <v>1009</v>
      </c>
      <c r="BK18" s="12" t="s">
        <v>1101</v>
      </c>
      <c r="BL18" s="12" t="s">
        <v>1101</v>
      </c>
      <c r="BM18" s="12" t="s">
        <v>990</v>
      </c>
      <c r="BN18" s="12" t="s">
        <v>978</v>
      </c>
      <c r="BO18" s="12" t="s">
        <v>990</v>
      </c>
      <c r="BP18" s="12" t="s">
        <v>991</v>
      </c>
      <c r="BQ18" s="12" t="s">
        <v>992</v>
      </c>
      <c r="BR18" s="12" t="s">
        <v>978</v>
      </c>
      <c r="BS18" s="15" t="s">
        <v>990</v>
      </c>
      <c r="BT18" s="15" t="s">
        <v>993</v>
      </c>
    </row>
    <row r="19" customFormat="false" ht="15" hidden="false" customHeight="false" outlineLevel="0" collapsed="false">
      <c r="A19" s="12" t="s">
        <v>172</v>
      </c>
      <c r="B19" s="12" t="s">
        <v>1104</v>
      </c>
      <c r="C19" s="12" t="s">
        <v>971</v>
      </c>
      <c r="D19" s="12" t="s">
        <v>1105</v>
      </c>
      <c r="E19" s="12" t="s">
        <v>1106</v>
      </c>
      <c r="F19" s="12" t="n">
        <v>1</v>
      </c>
      <c r="G19" s="12" t="s">
        <v>971</v>
      </c>
      <c r="H19" s="12" t="s">
        <v>971</v>
      </c>
      <c r="I19" s="12"/>
      <c r="J19" s="12" t="s">
        <v>974</v>
      </c>
      <c r="K19" s="12" t="s">
        <v>975</v>
      </c>
      <c r="L19" s="12" t="s">
        <v>976</v>
      </c>
      <c r="M19" s="12" t="s">
        <v>977</v>
      </c>
      <c r="N19" s="12" t="s">
        <v>976</v>
      </c>
      <c r="O19" s="12" t="s">
        <v>977</v>
      </c>
      <c r="P19" s="12" t="n">
        <v>1</v>
      </c>
      <c r="Q19" s="12" t="s">
        <v>978</v>
      </c>
      <c r="R19" s="13" t="n">
        <v>46252.25</v>
      </c>
      <c r="S19" s="13" t="n">
        <v>46252.4097222222</v>
      </c>
      <c r="T19" s="12"/>
      <c r="U19" s="12"/>
      <c r="V19" s="13" t="n">
        <v>46252.2520833333</v>
      </c>
      <c r="W19" s="13" t="n">
        <v>46252.2638888889</v>
      </c>
      <c r="X19" s="13" t="n">
        <v>46252.4013888889</v>
      </c>
      <c r="Y19" s="13" t="n">
        <v>46252.4111111111</v>
      </c>
      <c r="Z19" s="14" t="n">
        <f aca="false">IF(OR(V19="",Y19=""),"",ROUND((Y19-V19)*1440,0))</f>
        <v>229</v>
      </c>
      <c r="AA19" s="14" t="n">
        <f aca="false">IF(OR(W19="",X19=""),"",ROUND((X19-W19)*1440,0))</f>
        <v>198</v>
      </c>
      <c r="AB19" s="14" t="n">
        <f aca="false">IF(OR(V19="",W19=""),"",ROUND((W19-V19)*1440,0))</f>
        <v>17</v>
      </c>
      <c r="AC19" s="14" t="n">
        <f aca="false">IF(OR(X19="",Y19=""),"",ROUND((Y19-X19)*1440,0))</f>
        <v>14</v>
      </c>
      <c r="AD19" s="12" t="s">
        <v>979</v>
      </c>
      <c r="AE19" s="12"/>
      <c r="AF19" s="12" t="s">
        <v>1107</v>
      </c>
      <c r="AG19" s="12" t="s">
        <v>1107</v>
      </c>
      <c r="AH19" s="12" t="s">
        <v>978</v>
      </c>
      <c r="AI19" s="12" t="s">
        <v>981</v>
      </c>
      <c r="AJ19" s="12" t="s">
        <v>982</v>
      </c>
      <c r="AK19" s="12" t="s">
        <v>983</v>
      </c>
      <c r="AL19" s="12" t="s">
        <v>982</v>
      </c>
      <c r="AM19" s="12"/>
      <c r="AN19" s="12"/>
      <c r="AO19" s="15" t="s">
        <v>984</v>
      </c>
      <c r="AP19" s="15" t="s">
        <v>985</v>
      </c>
      <c r="AQ19" s="12"/>
      <c r="AR19" s="12"/>
      <c r="AS19" s="12"/>
      <c r="AT19" s="15" t="s">
        <v>986</v>
      </c>
      <c r="AU19" s="12"/>
      <c r="AV19" s="12"/>
      <c r="AW19" s="14" t="n">
        <f aca="false">IF(OR(V19="",R19=""),"",ROUND((V19-R19)*1440,0))</f>
        <v>3</v>
      </c>
      <c r="AX19" s="12"/>
      <c r="AY19" s="12"/>
      <c r="AZ19" s="16" t="n">
        <v>167</v>
      </c>
      <c r="BA19" s="16" t="n">
        <v>163</v>
      </c>
      <c r="BB19" s="16" t="n">
        <v>4200</v>
      </c>
      <c r="BC19" s="16" t="n">
        <v>0</v>
      </c>
      <c r="BD19" s="16" t="n">
        <v>0</v>
      </c>
      <c r="BE19" s="16" t="n">
        <v>68300</v>
      </c>
      <c r="BF19" s="16" t="n">
        <v>79551</v>
      </c>
      <c r="BG19" s="16" t="n">
        <v>71131</v>
      </c>
      <c r="BH19" s="12" t="s">
        <v>1108</v>
      </c>
      <c r="BI19" s="12" t="s">
        <v>988</v>
      </c>
      <c r="BJ19" s="12" t="s">
        <v>988</v>
      </c>
      <c r="BK19" s="12" t="s">
        <v>989</v>
      </c>
      <c r="BL19" s="12" t="s">
        <v>989</v>
      </c>
      <c r="BM19" s="12" t="s">
        <v>990</v>
      </c>
      <c r="BN19" s="12" t="s">
        <v>978</v>
      </c>
      <c r="BO19" s="12" t="s">
        <v>990</v>
      </c>
      <c r="BP19" s="12" t="s">
        <v>991</v>
      </c>
      <c r="BQ19" s="12" t="s">
        <v>992</v>
      </c>
      <c r="BR19" s="12" t="s">
        <v>978</v>
      </c>
      <c r="BS19" s="15" t="s">
        <v>990</v>
      </c>
      <c r="BT19" s="15" t="s">
        <v>993</v>
      </c>
    </row>
    <row r="20" customFormat="false" ht="15" hidden="false" customHeight="false" outlineLevel="0" collapsed="false">
      <c r="A20" s="12" t="s">
        <v>178</v>
      </c>
      <c r="B20" s="12" t="s">
        <v>1109</v>
      </c>
      <c r="C20" s="12" t="s">
        <v>971</v>
      </c>
      <c r="D20" s="12" t="s">
        <v>1110</v>
      </c>
      <c r="E20" s="12" t="s">
        <v>1106</v>
      </c>
      <c r="F20" s="12" t="n">
        <v>1</v>
      </c>
      <c r="G20" s="12" t="s">
        <v>971</v>
      </c>
      <c r="H20" s="12" t="s">
        <v>971</v>
      </c>
      <c r="I20" s="12"/>
      <c r="J20" s="12" t="s">
        <v>974</v>
      </c>
      <c r="K20" s="12" t="s">
        <v>975</v>
      </c>
      <c r="L20" s="12" t="s">
        <v>976</v>
      </c>
      <c r="M20" s="12" t="s">
        <v>977</v>
      </c>
      <c r="N20" s="12" t="s">
        <v>976</v>
      </c>
      <c r="O20" s="12" t="s">
        <v>977</v>
      </c>
      <c r="P20" s="12" t="n">
        <v>1</v>
      </c>
      <c r="Q20" s="12" t="s">
        <v>978</v>
      </c>
      <c r="R20" s="13" t="n">
        <v>46252.4583333333</v>
      </c>
      <c r="S20" s="13" t="n">
        <v>46252.6180555556</v>
      </c>
      <c r="T20" s="12"/>
      <c r="U20" s="12"/>
      <c r="V20" s="13" t="n">
        <v>46252.4763888889</v>
      </c>
      <c r="W20" s="13" t="n">
        <v>46252.4881944444</v>
      </c>
      <c r="X20" s="13" t="n">
        <v>46252.6256944445</v>
      </c>
      <c r="Y20" s="13" t="n">
        <v>46252.6354166667</v>
      </c>
      <c r="Z20" s="14" t="n">
        <f aca="false">IF(OR(V20="",Y20=""),"",ROUND((Y20-V20)*1440,0))</f>
        <v>229</v>
      </c>
      <c r="AA20" s="14" t="n">
        <f aca="false">IF(OR(W20="",X20=""),"",ROUND((X20-W20)*1440,0))</f>
        <v>198</v>
      </c>
      <c r="AB20" s="14" t="n">
        <f aca="false">IF(OR(V20="",W20=""),"",ROUND((W20-V20)*1440,0))</f>
        <v>17</v>
      </c>
      <c r="AC20" s="14" t="n">
        <f aca="false">IF(OR(X20="",Y20=""),"",ROUND((Y20-X20)*1440,0))</f>
        <v>14</v>
      </c>
      <c r="AD20" s="12" t="s">
        <v>979</v>
      </c>
      <c r="AE20" s="12"/>
      <c r="AF20" s="12" t="s">
        <v>1111</v>
      </c>
      <c r="AG20" s="12" t="s">
        <v>1111</v>
      </c>
      <c r="AH20" s="12" t="s">
        <v>978</v>
      </c>
      <c r="AI20" s="12" t="s">
        <v>997</v>
      </c>
      <c r="AJ20" s="12" t="s">
        <v>982</v>
      </c>
      <c r="AK20" s="12" t="s">
        <v>998</v>
      </c>
      <c r="AL20" s="12" t="s">
        <v>982</v>
      </c>
      <c r="AM20" s="12"/>
      <c r="AN20" s="12"/>
      <c r="AO20" s="15" t="s">
        <v>984</v>
      </c>
      <c r="AP20" s="15" t="s">
        <v>985</v>
      </c>
      <c r="AQ20" s="12"/>
      <c r="AR20" s="12"/>
      <c r="AS20" s="12"/>
      <c r="AT20" s="15" t="s">
        <v>986</v>
      </c>
      <c r="AU20" s="12"/>
      <c r="AV20" s="12"/>
      <c r="AW20" s="14" t="n">
        <f aca="false">IF(OR(V20="",R20=""),"",ROUND((V20-R20)*1440,0))</f>
        <v>26</v>
      </c>
      <c r="AX20" s="12"/>
      <c r="AY20" s="12"/>
      <c r="AZ20" s="16" t="n">
        <v>173</v>
      </c>
      <c r="BA20" s="16" t="n">
        <v>169</v>
      </c>
      <c r="BB20" s="16" t="n">
        <v>4600</v>
      </c>
      <c r="BC20" s="16" t="n">
        <v>0</v>
      </c>
      <c r="BD20" s="16" t="n">
        <v>0</v>
      </c>
      <c r="BE20" s="16" t="n">
        <v>69000</v>
      </c>
      <c r="BF20" s="16" t="n">
        <v>80251</v>
      </c>
      <c r="BG20" s="16" t="n">
        <v>71131</v>
      </c>
      <c r="BH20" s="12" t="s">
        <v>1112</v>
      </c>
      <c r="BI20" s="12" t="s">
        <v>988</v>
      </c>
      <c r="BJ20" s="12" t="s">
        <v>988</v>
      </c>
      <c r="BK20" s="12" t="s">
        <v>989</v>
      </c>
      <c r="BL20" s="12" t="s">
        <v>989</v>
      </c>
      <c r="BM20" s="12" t="s">
        <v>990</v>
      </c>
      <c r="BN20" s="12" t="s">
        <v>978</v>
      </c>
      <c r="BO20" s="12" t="s">
        <v>990</v>
      </c>
      <c r="BP20" s="12" t="s">
        <v>991</v>
      </c>
      <c r="BQ20" s="12" t="s">
        <v>992</v>
      </c>
      <c r="BR20" s="12" t="s">
        <v>978</v>
      </c>
      <c r="BS20" s="15" t="s">
        <v>978</v>
      </c>
      <c r="BT20" s="15" t="s">
        <v>993</v>
      </c>
    </row>
    <row r="21" customFormat="false" ht="15" hidden="false" customHeight="false" outlineLevel="0" collapsed="false">
      <c r="A21" s="12" t="s">
        <v>183</v>
      </c>
      <c r="B21" s="12" t="s">
        <v>1113</v>
      </c>
      <c r="C21" s="12" t="s">
        <v>971</v>
      </c>
      <c r="D21" s="12" t="s">
        <v>1114</v>
      </c>
      <c r="E21" s="12" t="s">
        <v>1106</v>
      </c>
      <c r="F21" s="12" t="n">
        <v>1</v>
      </c>
      <c r="G21" s="12" t="s">
        <v>971</v>
      </c>
      <c r="H21" s="12" t="s">
        <v>971</v>
      </c>
      <c r="I21" s="12"/>
      <c r="J21" s="12" t="s">
        <v>974</v>
      </c>
      <c r="K21" s="12" t="s">
        <v>975</v>
      </c>
      <c r="L21" s="12" t="s">
        <v>976</v>
      </c>
      <c r="M21" s="12" t="s">
        <v>977</v>
      </c>
      <c r="N21" s="12" t="s">
        <v>976</v>
      </c>
      <c r="O21" s="12" t="s">
        <v>977</v>
      </c>
      <c r="P21" s="12" t="n">
        <v>1</v>
      </c>
      <c r="Q21" s="12" t="s">
        <v>978</v>
      </c>
      <c r="R21" s="13" t="n">
        <v>46252.625</v>
      </c>
      <c r="S21" s="13" t="n">
        <v>46252.7847222222</v>
      </c>
      <c r="T21" s="12"/>
      <c r="U21" s="12"/>
      <c r="V21" s="13" t="n">
        <v>46252.6277777778</v>
      </c>
      <c r="W21" s="13" t="n">
        <v>46252.6395833333</v>
      </c>
      <c r="X21" s="13" t="n">
        <v>46252.7805555556</v>
      </c>
      <c r="Y21" s="13" t="n">
        <v>46252.7902777778</v>
      </c>
      <c r="Z21" s="14" t="n">
        <f aca="false">IF(OR(V21="",Y21=""),"",ROUND((Y21-V21)*1440,0))</f>
        <v>234</v>
      </c>
      <c r="AA21" s="14" t="n">
        <f aca="false">IF(OR(W21="",X21=""),"",ROUND((X21-W21)*1440,0))</f>
        <v>203</v>
      </c>
      <c r="AB21" s="14" t="n">
        <f aca="false">IF(OR(V21="",W21=""),"",ROUND((W21-V21)*1440,0))</f>
        <v>17</v>
      </c>
      <c r="AC21" s="14" t="n">
        <f aca="false">IF(OR(X21="",Y21=""),"",ROUND((Y21-X21)*1440,0))</f>
        <v>14</v>
      </c>
      <c r="AD21" s="12" t="s">
        <v>979</v>
      </c>
      <c r="AE21" s="12"/>
      <c r="AF21" s="12" t="s">
        <v>1115</v>
      </c>
      <c r="AG21" s="12" t="s">
        <v>1115</v>
      </c>
      <c r="AH21" s="12" t="s">
        <v>978</v>
      </c>
      <c r="AI21" s="12" t="s">
        <v>1005</v>
      </c>
      <c r="AJ21" s="12" t="s">
        <v>982</v>
      </c>
      <c r="AK21" s="12" t="s">
        <v>1006</v>
      </c>
      <c r="AL21" s="12" t="s">
        <v>982</v>
      </c>
      <c r="AM21" s="12"/>
      <c r="AN21" s="12"/>
      <c r="AO21" s="15" t="s">
        <v>984</v>
      </c>
      <c r="AP21" s="15" t="s">
        <v>985</v>
      </c>
      <c r="AQ21" s="12"/>
      <c r="AR21" s="12"/>
      <c r="AS21" s="12"/>
      <c r="AT21" s="15" t="s">
        <v>986</v>
      </c>
      <c r="AU21" s="12"/>
      <c r="AV21" s="12"/>
      <c r="AW21" s="14" t="n">
        <f aca="false">IF(OR(V21="",R21=""),"",ROUND((V21-R21)*1440,0))</f>
        <v>4</v>
      </c>
      <c r="AX21" s="12"/>
      <c r="AY21" s="12"/>
      <c r="AZ21" s="16" t="n">
        <v>178</v>
      </c>
      <c r="BA21" s="16" t="n">
        <v>175</v>
      </c>
      <c r="BB21" s="16" t="n">
        <v>4900</v>
      </c>
      <c r="BC21" s="16" t="n">
        <v>0</v>
      </c>
      <c r="BD21" s="16" t="n">
        <v>0</v>
      </c>
      <c r="BE21" s="16" t="n">
        <v>70100</v>
      </c>
      <c r="BF21" s="16" t="n">
        <v>81719</v>
      </c>
      <c r="BG21" s="16" t="n">
        <v>71819</v>
      </c>
      <c r="BH21" s="12" t="s">
        <v>1116</v>
      </c>
      <c r="BI21" s="12" t="s">
        <v>988</v>
      </c>
      <c r="BJ21" s="12" t="s">
        <v>988</v>
      </c>
      <c r="BK21" s="12" t="s">
        <v>989</v>
      </c>
      <c r="BL21" s="12" t="s">
        <v>989</v>
      </c>
      <c r="BM21" s="12" t="s">
        <v>990</v>
      </c>
      <c r="BN21" s="12" t="s">
        <v>978</v>
      </c>
      <c r="BO21" s="12" t="s">
        <v>990</v>
      </c>
      <c r="BP21" s="12" t="s">
        <v>991</v>
      </c>
      <c r="BQ21" s="12" t="s">
        <v>992</v>
      </c>
      <c r="BR21" s="12" t="s">
        <v>978</v>
      </c>
      <c r="BS21" s="15" t="s">
        <v>978</v>
      </c>
      <c r="BT21" s="15" t="s">
        <v>993</v>
      </c>
    </row>
    <row r="22" customFormat="false" ht="15" hidden="false" customHeight="false" outlineLevel="0" collapsed="false">
      <c r="A22" s="12" t="s">
        <v>188</v>
      </c>
      <c r="B22" s="12" t="s">
        <v>1117</v>
      </c>
      <c r="C22" s="12" t="s">
        <v>971</v>
      </c>
      <c r="D22" s="12" t="s">
        <v>1118</v>
      </c>
      <c r="E22" s="12" t="s">
        <v>1119</v>
      </c>
      <c r="F22" s="12" t="n">
        <v>1</v>
      </c>
      <c r="G22" s="12" t="s">
        <v>971</v>
      </c>
      <c r="H22" s="12" t="s">
        <v>971</v>
      </c>
      <c r="I22" s="12"/>
      <c r="J22" s="12" t="s">
        <v>974</v>
      </c>
      <c r="K22" s="12" t="s">
        <v>975</v>
      </c>
      <c r="L22" s="12" t="s">
        <v>976</v>
      </c>
      <c r="M22" s="12" t="s">
        <v>977</v>
      </c>
      <c r="N22" s="12" t="s">
        <v>976</v>
      </c>
      <c r="O22" s="12" t="s">
        <v>977</v>
      </c>
      <c r="P22" s="12" t="n">
        <v>1</v>
      </c>
      <c r="Q22" s="12" t="s">
        <v>978</v>
      </c>
      <c r="R22" s="13" t="n">
        <v>46253.25</v>
      </c>
      <c r="S22" s="13" t="n">
        <v>46253.4097222222</v>
      </c>
      <c r="T22" s="12"/>
      <c r="U22" s="12"/>
      <c r="V22" s="13" t="n">
        <v>46253.25625</v>
      </c>
      <c r="W22" s="13" t="n">
        <v>46253.2680555556</v>
      </c>
      <c r="X22" s="13" t="n">
        <v>46253.4055555556</v>
      </c>
      <c r="Y22" s="13" t="n">
        <v>46253.4152777778</v>
      </c>
      <c r="Z22" s="14" t="n">
        <f aca="false">IF(OR(V22="",Y22=""),"",ROUND((Y22-V22)*1440,0))</f>
        <v>229</v>
      </c>
      <c r="AA22" s="14" t="n">
        <f aca="false">IF(OR(W22="",X22=""),"",ROUND((X22-W22)*1440,0))</f>
        <v>198</v>
      </c>
      <c r="AB22" s="14" t="n">
        <f aca="false">IF(OR(V22="",W22=""),"",ROUND((W22-V22)*1440,0))</f>
        <v>17</v>
      </c>
      <c r="AC22" s="14" t="n">
        <f aca="false">IF(OR(X22="",Y22=""),"",ROUND((Y22-X22)*1440,0))</f>
        <v>14</v>
      </c>
      <c r="AD22" s="12" t="s">
        <v>979</v>
      </c>
      <c r="AE22" s="12"/>
      <c r="AF22" s="12" t="s">
        <v>1120</v>
      </c>
      <c r="AG22" s="12" t="s">
        <v>1120</v>
      </c>
      <c r="AH22" s="12" t="s">
        <v>978</v>
      </c>
      <c r="AI22" s="12" t="s">
        <v>981</v>
      </c>
      <c r="AJ22" s="12" t="s">
        <v>982</v>
      </c>
      <c r="AK22" s="12" t="s">
        <v>983</v>
      </c>
      <c r="AL22" s="12" t="s">
        <v>982</v>
      </c>
      <c r="AM22" s="12"/>
      <c r="AN22" s="12"/>
      <c r="AO22" s="15" t="s">
        <v>984</v>
      </c>
      <c r="AP22" s="15" t="s">
        <v>985</v>
      </c>
      <c r="AQ22" s="12"/>
      <c r="AR22" s="12"/>
      <c r="AS22" s="12"/>
      <c r="AT22" s="15" t="s">
        <v>986</v>
      </c>
      <c r="AU22" s="12"/>
      <c r="AV22" s="12"/>
      <c r="AW22" s="14" t="n">
        <f aca="false">IF(OR(V22="",R22=""),"",ROUND((V22-R22)*1440,0))</f>
        <v>9</v>
      </c>
      <c r="AX22" s="12"/>
      <c r="AY22" s="12"/>
      <c r="AZ22" s="16" t="n">
        <v>166</v>
      </c>
      <c r="BA22" s="16" t="n">
        <v>162</v>
      </c>
      <c r="BB22" s="16" t="n">
        <v>4100</v>
      </c>
      <c r="BC22" s="16" t="n">
        <v>0</v>
      </c>
      <c r="BD22" s="16" t="n">
        <v>0</v>
      </c>
      <c r="BE22" s="16" t="n">
        <v>68200</v>
      </c>
      <c r="BF22" s="16" t="n">
        <v>79630</v>
      </c>
      <c r="BG22" s="16" t="n">
        <v>71030</v>
      </c>
      <c r="BH22" s="12" t="s">
        <v>1121</v>
      </c>
      <c r="BI22" s="12" t="s">
        <v>988</v>
      </c>
      <c r="BJ22" s="12" t="s">
        <v>988</v>
      </c>
      <c r="BK22" s="12" t="s">
        <v>989</v>
      </c>
      <c r="BL22" s="12" t="s">
        <v>989</v>
      </c>
      <c r="BM22" s="12" t="s">
        <v>990</v>
      </c>
      <c r="BN22" s="12" t="s">
        <v>978</v>
      </c>
      <c r="BO22" s="12" t="s">
        <v>990</v>
      </c>
      <c r="BP22" s="12" t="s">
        <v>991</v>
      </c>
      <c r="BQ22" s="12" t="s">
        <v>992</v>
      </c>
      <c r="BR22" s="12" t="s">
        <v>978</v>
      </c>
      <c r="BS22" s="15" t="s">
        <v>990</v>
      </c>
      <c r="BT22" s="15" t="s">
        <v>993</v>
      </c>
    </row>
    <row r="23" customFormat="false" ht="15" hidden="false" customHeight="false" outlineLevel="0" collapsed="false">
      <c r="A23" s="12" t="s">
        <v>193</v>
      </c>
      <c r="B23" s="12" t="s">
        <v>1122</v>
      </c>
      <c r="C23" s="12" t="s">
        <v>971</v>
      </c>
      <c r="D23" s="12" t="s">
        <v>1123</v>
      </c>
      <c r="E23" s="12" t="s">
        <v>1119</v>
      </c>
      <c r="F23" s="12" t="n">
        <v>1</v>
      </c>
      <c r="G23" s="12" t="s">
        <v>971</v>
      </c>
      <c r="H23" s="12" t="s">
        <v>971</v>
      </c>
      <c r="I23" s="12"/>
      <c r="J23" s="12" t="s">
        <v>974</v>
      </c>
      <c r="K23" s="12" t="s">
        <v>975</v>
      </c>
      <c r="L23" s="12" t="s">
        <v>976</v>
      </c>
      <c r="M23" s="12" t="s">
        <v>977</v>
      </c>
      <c r="N23" s="12" t="s">
        <v>976</v>
      </c>
      <c r="O23" s="12" t="s">
        <v>977</v>
      </c>
      <c r="P23" s="12" t="n">
        <v>1</v>
      </c>
      <c r="Q23" s="12" t="s">
        <v>978</v>
      </c>
      <c r="R23" s="13" t="n">
        <v>46253.4583333333</v>
      </c>
      <c r="S23" s="13" t="n">
        <v>46253.6180555556</v>
      </c>
      <c r="T23" s="12"/>
      <c r="U23" s="12"/>
      <c r="V23" s="13" t="n">
        <v>46253.4597222222</v>
      </c>
      <c r="W23" s="13" t="n">
        <v>46253.4715277778</v>
      </c>
      <c r="X23" s="13" t="n">
        <v>46253.6090277778</v>
      </c>
      <c r="Y23" s="13" t="n">
        <v>46253.61875</v>
      </c>
      <c r="Z23" s="14" t="n">
        <f aca="false">IF(OR(V23="",Y23=""),"",ROUND((Y23-V23)*1440,0))</f>
        <v>229</v>
      </c>
      <c r="AA23" s="14" t="n">
        <f aca="false">IF(OR(W23="",X23=""),"",ROUND((X23-W23)*1440,0))</f>
        <v>198</v>
      </c>
      <c r="AB23" s="14" t="n">
        <f aca="false">IF(OR(V23="",W23=""),"",ROUND((W23-V23)*1440,0))</f>
        <v>17</v>
      </c>
      <c r="AC23" s="14" t="n">
        <f aca="false">IF(OR(X23="",Y23=""),"",ROUND((Y23-X23)*1440,0))</f>
        <v>14</v>
      </c>
      <c r="AD23" s="12" t="s">
        <v>979</v>
      </c>
      <c r="AE23" s="12"/>
      <c r="AF23" s="12" t="s">
        <v>1124</v>
      </c>
      <c r="AG23" s="12" t="s">
        <v>1124</v>
      </c>
      <c r="AH23" s="12" t="s">
        <v>978</v>
      </c>
      <c r="AI23" s="12" t="s">
        <v>997</v>
      </c>
      <c r="AJ23" s="12" t="s">
        <v>982</v>
      </c>
      <c r="AK23" s="12" t="s">
        <v>998</v>
      </c>
      <c r="AL23" s="12" t="s">
        <v>982</v>
      </c>
      <c r="AM23" s="12"/>
      <c r="AN23" s="12"/>
      <c r="AO23" s="15" t="s">
        <v>984</v>
      </c>
      <c r="AP23" s="15" t="s">
        <v>985</v>
      </c>
      <c r="AQ23" s="12"/>
      <c r="AR23" s="12"/>
      <c r="AS23" s="12"/>
      <c r="AT23" s="15" t="s">
        <v>986</v>
      </c>
      <c r="AU23" s="12"/>
      <c r="AV23" s="12"/>
      <c r="AW23" s="14" t="n">
        <f aca="false">IF(OR(V23="",R23=""),"",ROUND((V23-R23)*1440,0))</f>
        <v>2</v>
      </c>
      <c r="AX23" s="12"/>
      <c r="AY23" s="12"/>
      <c r="AZ23" s="16" t="n">
        <v>175</v>
      </c>
      <c r="BA23" s="16" t="n">
        <v>172</v>
      </c>
      <c r="BB23" s="16" t="n">
        <v>4700</v>
      </c>
      <c r="BC23" s="16" t="n">
        <v>0</v>
      </c>
      <c r="BD23" s="16" t="n">
        <v>0</v>
      </c>
      <c r="BE23" s="16" t="n">
        <v>69400</v>
      </c>
      <c r="BF23" s="16" t="n">
        <v>81551</v>
      </c>
      <c r="BG23" s="16" t="n">
        <v>71951</v>
      </c>
      <c r="BH23" s="12" t="s">
        <v>1125</v>
      </c>
      <c r="BI23" s="12" t="s">
        <v>988</v>
      </c>
      <c r="BJ23" s="12" t="s">
        <v>988</v>
      </c>
      <c r="BK23" s="12" t="s">
        <v>989</v>
      </c>
      <c r="BL23" s="12" t="s">
        <v>989</v>
      </c>
      <c r="BM23" s="12" t="s">
        <v>990</v>
      </c>
      <c r="BN23" s="12" t="s">
        <v>978</v>
      </c>
      <c r="BO23" s="12" t="s">
        <v>990</v>
      </c>
      <c r="BP23" s="12" t="s">
        <v>991</v>
      </c>
      <c r="BQ23" s="12" t="s">
        <v>992</v>
      </c>
      <c r="BR23" s="12" t="s">
        <v>978</v>
      </c>
      <c r="BS23" s="15" t="s">
        <v>978</v>
      </c>
      <c r="BT23" s="15" t="s">
        <v>1044</v>
      </c>
    </row>
    <row r="24" customFormat="false" ht="15" hidden="false" customHeight="false" outlineLevel="0" collapsed="false">
      <c r="A24" s="12" t="s">
        <v>198</v>
      </c>
      <c r="B24" s="12" t="s">
        <v>1126</v>
      </c>
      <c r="C24" s="12" t="s">
        <v>971</v>
      </c>
      <c r="D24" s="12" t="s">
        <v>1127</v>
      </c>
      <c r="E24" s="12" t="s">
        <v>1119</v>
      </c>
      <c r="F24" s="12" t="n">
        <v>1</v>
      </c>
      <c r="G24" s="12" t="s">
        <v>971</v>
      </c>
      <c r="H24" s="12" t="s">
        <v>971</v>
      </c>
      <c r="I24" s="12"/>
      <c r="J24" s="12" t="s">
        <v>974</v>
      </c>
      <c r="K24" s="12" t="s">
        <v>975</v>
      </c>
      <c r="L24" s="12" t="s">
        <v>976</v>
      </c>
      <c r="M24" s="12" t="s">
        <v>1021</v>
      </c>
      <c r="N24" s="12" t="s">
        <v>976</v>
      </c>
      <c r="O24" s="12" t="s">
        <v>1021</v>
      </c>
      <c r="P24" s="12" t="n">
        <v>1</v>
      </c>
      <c r="Q24" s="12" t="s">
        <v>978</v>
      </c>
      <c r="R24" s="13" t="n">
        <v>46253.5555555556</v>
      </c>
      <c r="S24" s="13" t="n">
        <v>46254.0451388889</v>
      </c>
      <c r="T24" s="12"/>
      <c r="U24" s="12"/>
      <c r="V24" s="13" t="n">
        <v>46253.5569444444</v>
      </c>
      <c r="W24" s="13" t="n">
        <v>46253.5694444445</v>
      </c>
      <c r="X24" s="13" t="n">
        <v>46254.0305555556</v>
      </c>
      <c r="Y24" s="13" t="n">
        <v>46254.0402777778</v>
      </c>
      <c r="Z24" s="14" t="n">
        <f aca="false">IF(OR(V24="",Y24=""),"",ROUND((Y24-V24)*1440,0))</f>
        <v>696</v>
      </c>
      <c r="AA24" s="14" t="n">
        <f aca="false">IF(OR(W24="",X24=""),"",ROUND((X24-W24)*1440,0))</f>
        <v>664</v>
      </c>
      <c r="AB24" s="14" t="n">
        <f aca="false">IF(OR(V24="",W24=""),"",ROUND((W24-V24)*1440,0))</f>
        <v>18</v>
      </c>
      <c r="AC24" s="14" t="n">
        <f aca="false">IF(OR(X24="",Y24=""),"",ROUND((Y24-X24)*1440,0))</f>
        <v>14</v>
      </c>
      <c r="AD24" s="12" t="s">
        <v>1022</v>
      </c>
      <c r="AE24" s="12"/>
      <c r="AF24" s="12" t="s">
        <v>1128</v>
      </c>
      <c r="AG24" s="12" t="s">
        <v>1128</v>
      </c>
      <c r="AH24" s="12" t="s">
        <v>978</v>
      </c>
      <c r="AI24" s="12" t="s">
        <v>1024</v>
      </c>
      <c r="AJ24" s="12" t="s">
        <v>982</v>
      </c>
      <c r="AK24" s="12" t="s">
        <v>1025</v>
      </c>
      <c r="AL24" s="12" t="s">
        <v>982</v>
      </c>
      <c r="AM24" s="12"/>
      <c r="AN24" s="12"/>
      <c r="AO24" s="15" t="s">
        <v>984</v>
      </c>
      <c r="AP24" s="15" t="s">
        <v>985</v>
      </c>
      <c r="AQ24" s="12"/>
      <c r="AR24" s="12"/>
      <c r="AS24" s="12"/>
      <c r="AT24" s="15" t="s">
        <v>986</v>
      </c>
      <c r="AU24" s="12"/>
      <c r="AV24" s="12"/>
      <c r="AW24" s="14" t="n">
        <f aca="false">IF(OR(V24="",R24=""),"",ROUND((V24-R24)*1440,0))</f>
        <v>2</v>
      </c>
      <c r="AX24" s="12"/>
      <c r="AY24" s="12"/>
      <c r="AZ24" s="16" t="n">
        <v>288</v>
      </c>
      <c r="BA24" s="16" t="n">
        <v>283</v>
      </c>
      <c r="BB24" s="16" t="n">
        <v>18900</v>
      </c>
      <c r="BC24" s="16" t="n">
        <v>0</v>
      </c>
      <c r="BD24" s="16" t="n">
        <v>0</v>
      </c>
      <c r="BE24" s="16" t="n">
        <v>178900</v>
      </c>
      <c r="BF24" s="16" t="n">
        <v>263486</v>
      </c>
      <c r="BG24" s="16" t="n">
        <v>190486</v>
      </c>
      <c r="BH24" s="12" t="s">
        <v>1129</v>
      </c>
      <c r="BI24" s="12" t="s">
        <v>1027</v>
      </c>
      <c r="BJ24" s="12" t="s">
        <v>1028</v>
      </c>
      <c r="BK24" s="12" t="s">
        <v>1029</v>
      </c>
      <c r="BL24" s="12" t="s">
        <v>1029</v>
      </c>
      <c r="BM24" s="12" t="s">
        <v>990</v>
      </c>
      <c r="BN24" s="12" t="s">
        <v>978</v>
      </c>
      <c r="BO24" s="12" t="s">
        <v>990</v>
      </c>
      <c r="BP24" s="12" t="s">
        <v>991</v>
      </c>
      <c r="BQ24" s="12" t="s">
        <v>992</v>
      </c>
      <c r="BR24" s="12" t="s">
        <v>978</v>
      </c>
      <c r="BS24" s="15" t="s">
        <v>990</v>
      </c>
      <c r="BT24" s="15" t="s">
        <v>993</v>
      </c>
    </row>
    <row r="25" customFormat="false" ht="15" hidden="false" customHeight="false" outlineLevel="0" collapsed="false">
      <c r="A25" s="12" t="s">
        <v>203</v>
      </c>
      <c r="B25" s="12" t="s">
        <v>1130</v>
      </c>
      <c r="C25" s="12" t="s">
        <v>971</v>
      </c>
      <c r="D25" s="12" t="s">
        <v>1131</v>
      </c>
      <c r="E25" s="12" t="s">
        <v>1132</v>
      </c>
      <c r="F25" s="12" t="n">
        <v>1</v>
      </c>
      <c r="G25" s="12" t="s">
        <v>971</v>
      </c>
      <c r="H25" s="12" t="s">
        <v>971</v>
      </c>
      <c r="I25" s="12"/>
      <c r="J25" s="12" t="s">
        <v>974</v>
      </c>
      <c r="K25" s="12" t="s">
        <v>975</v>
      </c>
      <c r="L25" s="12" t="s">
        <v>976</v>
      </c>
      <c r="M25" s="12" t="s">
        <v>977</v>
      </c>
      <c r="N25" s="12" t="s">
        <v>976</v>
      </c>
      <c r="O25" s="12" t="s">
        <v>977</v>
      </c>
      <c r="P25" s="12" t="n">
        <v>1</v>
      </c>
      <c r="Q25" s="12" t="s">
        <v>978</v>
      </c>
      <c r="R25" s="13" t="n">
        <v>46254.25</v>
      </c>
      <c r="S25" s="13" t="n">
        <v>46254.4097222222</v>
      </c>
      <c r="T25" s="12"/>
      <c r="U25" s="12"/>
      <c r="V25" s="13" t="n">
        <v>46254.2715277778</v>
      </c>
      <c r="W25" s="13" t="n">
        <v>46254.2833333333</v>
      </c>
      <c r="X25" s="13" t="n">
        <v>46254.4208333333</v>
      </c>
      <c r="Y25" s="13" t="n">
        <v>46254.4305555556</v>
      </c>
      <c r="Z25" s="14" t="n">
        <f aca="false">IF(OR(V25="",Y25=""),"",ROUND((Y25-V25)*1440,0))</f>
        <v>229</v>
      </c>
      <c r="AA25" s="14" t="n">
        <f aca="false">IF(OR(W25="",X25=""),"",ROUND((X25-W25)*1440,0))</f>
        <v>198</v>
      </c>
      <c r="AB25" s="14" t="n">
        <f aca="false">IF(OR(V25="",W25=""),"",ROUND((W25-V25)*1440,0))</f>
        <v>17</v>
      </c>
      <c r="AC25" s="14" t="n">
        <f aca="false">IF(OR(X25="",Y25=""),"",ROUND((Y25-X25)*1440,0))</f>
        <v>14</v>
      </c>
      <c r="AD25" s="12" t="s">
        <v>979</v>
      </c>
      <c r="AE25" s="12"/>
      <c r="AF25" s="12" t="s">
        <v>1133</v>
      </c>
      <c r="AG25" s="12" t="s">
        <v>1133</v>
      </c>
      <c r="AH25" s="12" t="s">
        <v>978</v>
      </c>
      <c r="AI25" s="12" t="s">
        <v>981</v>
      </c>
      <c r="AJ25" s="12" t="s">
        <v>982</v>
      </c>
      <c r="AK25" s="12" t="s">
        <v>983</v>
      </c>
      <c r="AL25" s="12" t="s">
        <v>982</v>
      </c>
      <c r="AM25" s="12"/>
      <c r="AN25" s="12"/>
      <c r="AO25" s="15" t="s">
        <v>984</v>
      </c>
      <c r="AP25" s="15" t="s">
        <v>985</v>
      </c>
      <c r="AQ25" s="12"/>
      <c r="AR25" s="12"/>
      <c r="AS25" s="12"/>
      <c r="AT25" s="15" t="s">
        <v>986</v>
      </c>
      <c r="AU25" s="12"/>
      <c r="AV25" s="12" t="s">
        <v>1034</v>
      </c>
      <c r="AW25" s="14" t="n">
        <f aca="false">IF(OR(V25="",R25=""),"",ROUND((V25-R25)*1440,0))</f>
        <v>31</v>
      </c>
      <c r="AX25" s="12"/>
      <c r="AY25" s="12"/>
      <c r="AZ25" s="16" t="n">
        <v>164</v>
      </c>
      <c r="BA25" s="16" t="n">
        <v>159</v>
      </c>
      <c r="BB25" s="16" t="n">
        <v>4000</v>
      </c>
      <c r="BC25" s="16" t="n">
        <v>0</v>
      </c>
      <c r="BD25" s="16" t="n">
        <v>0</v>
      </c>
      <c r="BE25" s="16" t="n">
        <v>67900</v>
      </c>
      <c r="BF25" s="16" t="n">
        <v>79151</v>
      </c>
      <c r="BG25" s="16" t="n">
        <v>70701</v>
      </c>
      <c r="BH25" s="12" t="s">
        <v>1134</v>
      </c>
      <c r="BI25" s="12" t="s">
        <v>988</v>
      </c>
      <c r="BJ25" s="12" t="s">
        <v>988</v>
      </c>
      <c r="BK25" s="12" t="s">
        <v>989</v>
      </c>
      <c r="BL25" s="12" t="s">
        <v>989</v>
      </c>
      <c r="BM25" s="12" t="s">
        <v>990</v>
      </c>
      <c r="BN25" s="12" t="s">
        <v>978</v>
      </c>
      <c r="BO25" s="12" t="s">
        <v>990</v>
      </c>
      <c r="BP25" s="12" t="s">
        <v>991</v>
      </c>
      <c r="BQ25" s="12" t="s">
        <v>992</v>
      </c>
      <c r="BR25" s="12" t="s">
        <v>978</v>
      </c>
      <c r="BS25" s="15" t="s">
        <v>978</v>
      </c>
      <c r="BT25" s="15" t="s">
        <v>1001</v>
      </c>
    </row>
    <row r="26" customFormat="false" ht="15" hidden="false" customHeight="false" outlineLevel="0" collapsed="false">
      <c r="A26" s="12" t="s">
        <v>259</v>
      </c>
      <c r="B26" s="12" t="s">
        <v>1135</v>
      </c>
      <c r="C26" s="12" t="s">
        <v>971</v>
      </c>
      <c r="D26" s="12" t="s">
        <v>1136</v>
      </c>
      <c r="E26" s="12" t="s">
        <v>1137</v>
      </c>
      <c r="F26" s="12" t="n">
        <v>1</v>
      </c>
      <c r="G26" s="12" t="s">
        <v>971</v>
      </c>
      <c r="H26" s="12" t="s">
        <v>971</v>
      </c>
      <c r="I26" s="12"/>
      <c r="J26" s="12" t="s">
        <v>974</v>
      </c>
      <c r="K26" s="12" t="s">
        <v>975</v>
      </c>
      <c r="L26" s="12" t="s">
        <v>976</v>
      </c>
      <c r="M26" s="12" t="s">
        <v>977</v>
      </c>
      <c r="N26" s="12" t="s">
        <v>976</v>
      </c>
      <c r="O26" s="12" t="s">
        <v>977</v>
      </c>
      <c r="P26" s="12" t="n">
        <v>1</v>
      </c>
      <c r="Q26" s="12" t="s">
        <v>978</v>
      </c>
      <c r="R26" s="13" t="n">
        <v>46255.25</v>
      </c>
      <c r="S26" s="13" t="n">
        <v>46255.4097222222</v>
      </c>
      <c r="T26" s="12"/>
      <c r="U26" s="12"/>
      <c r="V26" s="13" t="n">
        <v>46255.2534722222</v>
      </c>
      <c r="W26" s="13" t="n">
        <v>46255.2652777778</v>
      </c>
      <c r="X26" s="13" t="n">
        <v>46255.4027777778</v>
      </c>
      <c r="Y26" s="13" t="n">
        <v>46255.4125</v>
      </c>
      <c r="Z26" s="14" t="n">
        <f aca="false">IF(OR(V26="",Y26=""),"",ROUND((Y26-V26)*1440,0))</f>
        <v>229</v>
      </c>
      <c r="AA26" s="14" t="n">
        <f aca="false">IF(OR(W26="",X26=""),"",ROUND((X26-W26)*1440,0))</f>
        <v>198</v>
      </c>
      <c r="AB26" s="14" t="n">
        <f aca="false">IF(OR(V26="",W26=""),"",ROUND((W26-V26)*1440,0))</f>
        <v>17</v>
      </c>
      <c r="AC26" s="14" t="n">
        <f aca="false">IF(OR(X26="",Y26=""),"",ROUND((Y26-X26)*1440,0))</f>
        <v>14</v>
      </c>
      <c r="AD26" s="12" t="s">
        <v>979</v>
      </c>
      <c r="AE26" s="12"/>
      <c r="AF26" s="12" t="s">
        <v>1138</v>
      </c>
      <c r="AG26" s="12" t="s">
        <v>1138</v>
      </c>
      <c r="AH26" s="12" t="s">
        <v>978</v>
      </c>
      <c r="AI26" s="12" t="s">
        <v>981</v>
      </c>
      <c r="AJ26" s="12" t="s">
        <v>982</v>
      </c>
      <c r="AK26" s="12" t="s">
        <v>983</v>
      </c>
      <c r="AL26" s="12" t="s">
        <v>982</v>
      </c>
      <c r="AM26" s="12"/>
      <c r="AN26" s="12"/>
      <c r="AO26" s="15" t="s">
        <v>984</v>
      </c>
      <c r="AP26" s="15" t="s">
        <v>985</v>
      </c>
      <c r="AQ26" s="12"/>
      <c r="AR26" s="12"/>
      <c r="AS26" s="12"/>
      <c r="AT26" s="15" t="s">
        <v>986</v>
      </c>
      <c r="AU26" s="12"/>
      <c r="AV26" s="12"/>
      <c r="AW26" s="14" t="n">
        <f aca="false">IF(OR(V26="",R26=""),"",ROUND((V26-R26)*1440,0))</f>
        <v>5</v>
      </c>
      <c r="AX26" s="12"/>
      <c r="AY26" s="12"/>
      <c r="AZ26" s="16" t="n">
        <v>171</v>
      </c>
      <c r="BA26" s="16" t="n">
        <v>168</v>
      </c>
      <c r="BB26" s="16" t="n">
        <v>4500</v>
      </c>
      <c r="BC26" s="16" t="n">
        <v>0</v>
      </c>
      <c r="BD26" s="16" t="n">
        <v>0</v>
      </c>
      <c r="BE26" s="16" t="n">
        <v>68800</v>
      </c>
      <c r="BF26" s="16" t="n">
        <v>83394</v>
      </c>
      <c r="BG26" s="16" t="n">
        <v>71581</v>
      </c>
      <c r="BH26" s="12" t="s">
        <v>1139</v>
      </c>
      <c r="BI26" s="12" t="s">
        <v>988</v>
      </c>
      <c r="BJ26" s="12" t="s">
        <v>988</v>
      </c>
      <c r="BK26" s="12" t="s">
        <v>989</v>
      </c>
      <c r="BL26" s="12" t="s">
        <v>989</v>
      </c>
      <c r="BM26" s="12" t="s">
        <v>990</v>
      </c>
      <c r="BN26" s="12" t="s">
        <v>978</v>
      </c>
      <c r="BO26" s="12" t="s">
        <v>990</v>
      </c>
      <c r="BP26" s="12" t="s">
        <v>991</v>
      </c>
      <c r="BQ26" s="12" t="s">
        <v>992</v>
      </c>
      <c r="BR26" s="12" t="s">
        <v>990</v>
      </c>
      <c r="BS26" s="15" t="s">
        <v>978</v>
      </c>
      <c r="BT26" s="15" t="s">
        <v>993</v>
      </c>
    </row>
    <row r="29" customFormat="false" ht="16.15" hidden="false" customHeight="false" outlineLevel="0" collapsed="false">
      <c r="A29" s="8" t="s">
        <v>1140</v>
      </c>
    </row>
    <row r="30" customFormat="false" ht="15" hidden="false" customHeight="false" outlineLevel="0" collapsed="false">
      <c r="A30" s="17" t="s">
        <v>1141</v>
      </c>
      <c r="B30" s="17" t="s">
        <v>1142</v>
      </c>
      <c r="C30" s="17" t="s">
        <v>1143</v>
      </c>
    </row>
    <row r="31" customFormat="false" ht="25.5" hidden="false" customHeight="true" outlineLevel="0" collapsed="false">
      <c r="A31" s="18" t="s">
        <v>1144</v>
      </c>
      <c r="B31" s="11" t="s">
        <v>1145</v>
      </c>
      <c r="C31" s="11" t="s">
        <v>1146</v>
      </c>
    </row>
    <row r="32" customFormat="false" ht="25.5" hidden="false" customHeight="true" outlineLevel="0" collapsed="false">
      <c r="A32" s="18" t="s">
        <v>1147</v>
      </c>
      <c r="B32" s="11" t="s">
        <v>1148</v>
      </c>
      <c r="C32" s="11" t="s">
        <v>1149</v>
      </c>
    </row>
    <row r="33" customFormat="false" ht="25.5" hidden="false" customHeight="true" outlineLevel="0" collapsed="false">
      <c r="A33" s="18" t="s">
        <v>1150</v>
      </c>
      <c r="B33" s="11" t="s">
        <v>1151</v>
      </c>
      <c r="C33" s="11" t="s">
        <v>1152</v>
      </c>
    </row>
    <row r="34" customFormat="false" ht="25.5" hidden="false" customHeight="true" outlineLevel="0" collapsed="false">
      <c r="A34" s="18" t="s">
        <v>1153</v>
      </c>
      <c r="B34" s="11" t="s">
        <v>1154</v>
      </c>
      <c r="C34" s="11" t="s">
        <v>1155</v>
      </c>
    </row>
    <row r="35" customFormat="false" ht="25.5" hidden="false" customHeight="true" outlineLevel="0" collapsed="false">
      <c r="A35" s="18" t="s">
        <v>1156</v>
      </c>
      <c r="B35" s="11" t="s">
        <v>1157</v>
      </c>
      <c r="C35" s="11" t="s">
        <v>1158</v>
      </c>
    </row>
    <row r="36" customFormat="false" ht="25.5" hidden="false" customHeight="true" outlineLevel="0" collapsed="false">
      <c r="A36" s="18" t="s">
        <v>1159</v>
      </c>
      <c r="B36" s="11" t="s">
        <v>1160</v>
      </c>
      <c r="C36" s="11" t="s">
        <v>1161</v>
      </c>
    </row>
    <row r="37" customFormat="false" ht="25.5" hidden="false" customHeight="true" outlineLevel="0" collapsed="false">
      <c r="A37" s="18" t="s">
        <v>1162</v>
      </c>
      <c r="B37" s="11" t="s">
        <v>1163</v>
      </c>
      <c r="C37" s="11" t="s">
        <v>1164</v>
      </c>
    </row>
    <row r="38" customFormat="false" ht="25.5" hidden="false" customHeight="true" outlineLevel="0" collapsed="false">
      <c r="A38" s="18" t="s">
        <v>1165</v>
      </c>
      <c r="B38" s="11" t="s">
        <v>1166</v>
      </c>
      <c r="C38" s="11" t="s">
        <v>1167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5"/>
    <col collapsed="false" customWidth="true" hidden="false" outlineLevel="0" max="4" min="4" style="0" width="12"/>
    <col collapsed="false" customWidth="true" hidden="false" outlineLevel="0" max="5" min="5" style="0" width="8"/>
    <col collapsed="false" customWidth="true" hidden="false" outlineLevel="0" max="6" min="6" style="0" width="11"/>
    <col collapsed="false" customWidth="true" hidden="false" outlineLevel="0" max="7" min="7" style="0" width="15"/>
    <col collapsed="false" customWidth="true" hidden="false" outlineLevel="0" max="8" min="8" style="0" width="11"/>
    <col collapsed="false" customWidth="true" hidden="false" outlineLevel="0" max="9" min="9" style="0" width="8"/>
    <col collapsed="false" customWidth="true" hidden="false" outlineLevel="0" max="10" min="10" style="0" width="10"/>
    <col collapsed="false" customWidth="true" hidden="false" outlineLevel="0" max="11" min="11" style="0" width="12"/>
    <col collapsed="false" customWidth="true" hidden="false" outlineLevel="0" max="12" min="12" style="0" width="11"/>
    <col collapsed="false" customWidth="true" hidden="false" outlineLevel="0" max="14" min="13" style="0" width="12"/>
    <col collapsed="false" customWidth="true" hidden="false" outlineLevel="0" max="15" min="15" style="0" width="9"/>
    <col collapsed="false" customWidth="true" hidden="false" outlineLevel="0" max="16" min="16" style="0" width="10"/>
    <col collapsed="false" customWidth="true" hidden="false" outlineLevel="0" max="17" min="17" style="0" width="11"/>
    <col collapsed="false" customWidth="true" hidden="false" outlineLevel="0" max="18" min="18" style="0" width="12"/>
    <col collapsed="false" customWidth="true" hidden="false" outlineLevel="0" max="19" min="19" style="0" width="13"/>
    <col collapsed="false" customWidth="true" hidden="false" outlineLevel="0" max="20" min="20" style="0" width="10"/>
    <col collapsed="false" customWidth="true" hidden="false" outlineLevel="0" max="21" min="21" style="0" width="16"/>
    <col collapsed="false" customWidth="true" hidden="false" outlineLevel="0" max="22" min="22" style="0" width="13"/>
    <col collapsed="false" customWidth="true" hidden="false" outlineLevel="0" max="23" min="23" style="0" width="18"/>
    <col collapsed="false" customWidth="true" hidden="false" outlineLevel="0" max="24" min="24" style="0" width="20"/>
    <col collapsed="false" customWidth="true" hidden="false" outlineLevel="0" max="25" min="25" style="0" width="19"/>
  </cols>
  <sheetData>
    <row r="1" customFormat="false" ht="16.15" hidden="false" customHeight="false" outlineLevel="0" collapsed="false">
      <c r="A1" s="8" t="s">
        <v>1168</v>
      </c>
    </row>
    <row r="2" customFormat="false" ht="30" hidden="false" customHeight="true" outlineLevel="0" collapsed="false">
      <c r="A2" s="9" t="s">
        <v>42</v>
      </c>
      <c r="B2" s="9" t="s">
        <v>1169</v>
      </c>
      <c r="C2" s="9" t="s">
        <v>899</v>
      </c>
      <c r="D2" s="9" t="s">
        <v>1170</v>
      </c>
      <c r="E2" s="9" t="s">
        <v>1171</v>
      </c>
      <c r="F2" s="9" t="s">
        <v>1172</v>
      </c>
      <c r="G2" s="9" t="s">
        <v>1173</v>
      </c>
      <c r="H2" s="9" t="s">
        <v>1174</v>
      </c>
      <c r="I2" s="9" t="s">
        <v>1175</v>
      </c>
      <c r="J2" s="9" t="s">
        <v>1176</v>
      </c>
      <c r="K2" s="9" t="s">
        <v>1177</v>
      </c>
      <c r="L2" s="9" t="s">
        <v>1178</v>
      </c>
      <c r="M2" s="9" t="s">
        <v>1179</v>
      </c>
      <c r="N2" s="9" t="s">
        <v>1180</v>
      </c>
      <c r="O2" s="9" t="s">
        <v>1181</v>
      </c>
      <c r="P2" s="9" t="s">
        <v>1182</v>
      </c>
      <c r="Q2" s="9" t="s">
        <v>1183</v>
      </c>
      <c r="R2" s="9" t="s">
        <v>1184</v>
      </c>
      <c r="S2" s="9" t="s">
        <v>1185</v>
      </c>
      <c r="T2" s="9" t="s">
        <v>1186</v>
      </c>
      <c r="U2" s="9" t="s">
        <v>1187</v>
      </c>
      <c r="V2" s="9" t="s">
        <v>1188</v>
      </c>
      <c r="W2" s="9" t="s">
        <v>1189</v>
      </c>
      <c r="X2" s="9" t="s">
        <v>1190</v>
      </c>
      <c r="Y2" s="9" t="s">
        <v>1191</v>
      </c>
    </row>
    <row r="3" customFormat="false" ht="15" hidden="false" customHeight="false" outlineLevel="0" collapsed="false">
      <c r="A3" s="10" t="s">
        <v>88</v>
      </c>
      <c r="B3" s="10" t="s">
        <v>1192</v>
      </c>
      <c r="C3" s="10" t="s">
        <v>970</v>
      </c>
      <c r="D3" s="10" t="s">
        <v>1193</v>
      </c>
      <c r="E3" s="19" t="n">
        <v>1</v>
      </c>
      <c r="F3" s="10" t="s">
        <v>1194</v>
      </c>
      <c r="G3" s="10" t="s">
        <v>1195</v>
      </c>
      <c r="H3" s="10" t="s">
        <v>980</v>
      </c>
      <c r="I3" s="10" t="s">
        <v>1196</v>
      </c>
      <c r="J3" s="20" t="n">
        <v>8420</v>
      </c>
      <c r="K3" s="20" t="n">
        <v>421</v>
      </c>
      <c r="L3" s="20" t="n">
        <v>1180</v>
      </c>
      <c r="M3" s="20" t="n">
        <v>1050</v>
      </c>
      <c r="N3" s="20" t="n">
        <v>0</v>
      </c>
      <c r="O3" s="20" t="n">
        <v>180</v>
      </c>
      <c r="P3" s="20" t="n">
        <v>0</v>
      </c>
      <c r="Q3" s="21" t="n">
        <f aca="false">SUM(J3:P3)</f>
        <v>11251</v>
      </c>
      <c r="R3" s="22" t="n">
        <v>2100</v>
      </c>
      <c r="S3" s="21" t="n">
        <f aca="false">Q3-R3</f>
        <v>9151</v>
      </c>
      <c r="T3" s="10" t="s">
        <v>978</v>
      </c>
      <c r="U3" s="10"/>
      <c r="V3" s="10" t="s">
        <v>1197</v>
      </c>
      <c r="W3" s="10"/>
      <c r="X3" s="10" t="s">
        <v>1041</v>
      </c>
      <c r="Y3" s="10" t="s">
        <v>1198</v>
      </c>
    </row>
    <row r="4" customFormat="false" ht="15" hidden="false" customHeight="false" outlineLevel="0" collapsed="false">
      <c r="A4" s="10" t="s">
        <v>94</v>
      </c>
      <c r="B4" s="10" t="s">
        <v>1199</v>
      </c>
      <c r="C4" s="10" t="s">
        <v>994</v>
      </c>
      <c r="D4" s="10" t="s">
        <v>1200</v>
      </c>
      <c r="E4" s="19" t="n">
        <v>1</v>
      </c>
      <c r="F4" s="10" t="s">
        <v>1194</v>
      </c>
      <c r="G4" s="10" t="s">
        <v>1201</v>
      </c>
      <c r="H4" s="10" t="s">
        <v>996</v>
      </c>
      <c r="I4" s="10" t="s">
        <v>1196</v>
      </c>
      <c r="J4" s="20" t="n">
        <v>8420</v>
      </c>
      <c r="K4" s="20" t="n">
        <v>421</v>
      </c>
      <c r="L4" s="20" t="n">
        <v>1180</v>
      </c>
      <c r="M4" s="20" t="n">
        <v>1050</v>
      </c>
      <c r="N4" s="20" t="n">
        <v>0</v>
      </c>
      <c r="O4" s="20" t="n">
        <v>180</v>
      </c>
      <c r="P4" s="20" t="n">
        <v>0</v>
      </c>
      <c r="Q4" s="21" t="n">
        <f aca="false">SUM(J4:P4)</f>
        <v>11251</v>
      </c>
      <c r="R4" s="22" t="n">
        <v>2050</v>
      </c>
      <c r="S4" s="21" t="n">
        <f aca="false">Q4-R4</f>
        <v>9201</v>
      </c>
      <c r="T4" s="10" t="s">
        <v>978</v>
      </c>
      <c r="U4" s="10"/>
      <c r="V4" s="10" t="s">
        <v>1202</v>
      </c>
      <c r="W4" s="10"/>
      <c r="X4" s="10" t="s">
        <v>1041</v>
      </c>
      <c r="Y4" s="10" t="s">
        <v>1203</v>
      </c>
    </row>
    <row r="5" customFormat="false" ht="15" hidden="false" customHeight="false" outlineLevel="0" collapsed="false">
      <c r="A5" s="10" t="s">
        <v>94</v>
      </c>
      <c r="B5" s="10" t="s">
        <v>1204</v>
      </c>
      <c r="C5" s="10" t="s">
        <v>994</v>
      </c>
      <c r="D5" s="10" t="s">
        <v>1200</v>
      </c>
      <c r="E5" s="19" t="n">
        <v>2</v>
      </c>
      <c r="F5" s="10" t="s">
        <v>1194</v>
      </c>
      <c r="G5" s="10" t="s">
        <v>1205</v>
      </c>
      <c r="H5" s="10" t="s">
        <v>996</v>
      </c>
      <c r="I5" s="10" t="s">
        <v>1196</v>
      </c>
      <c r="J5" s="20" t="n">
        <v>8690</v>
      </c>
      <c r="K5" s="20" t="n">
        <v>435</v>
      </c>
      <c r="L5" s="20" t="n">
        <v>1180</v>
      </c>
      <c r="M5" s="20" t="n">
        <v>1050</v>
      </c>
      <c r="N5" s="20" t="n">
        <v>0</v>
      </c>
      <c r="O5" s="20" t="n">
        <v>180</v>
      </c>
      <c r="P5" s="20" t="n">
        <v>0</v>
      </c>
      <c r="Q5" s="21" t="n">
        <f aca="false">SUM(J5:P5)</f>
        <v>11535</v>
      </c>
      <c r="R5" s="22" t="n">
        <v>2050</v>
      </c>
      <c r="S5" s="21" t="n">
        <f aca="false">Q5-R5</f>
        <v>9485</v>
      </c>
      <c r="T5" s="10" t="s">
        <v>978</v>
      </c>
      <c r="U5" s="10"/>
      <c r="V5" s="10" t="s">
        <v>1197</v>
      </c>
      <c r="W5" s="10" t="s">
        <v>1206</v>
      </c>
      <c r="X5" s="10" t="s">
        <v>1041</v>
      </c>
      <c r="Y5" s="10" t="s">
        <v>1207</v>
      </c>
    </row>
    <row r="6" customFormat="false" ht="15" hidden="false" customHeight="false" outlineLevel="0" collapsed="false">
      <c r="A6" s="10" t="s">
        <v>100</v>
      </c>
      <c r="B6" s="10" t="s">
        <v>1208</v>
      </c>
      <c r="C6" s="10" t="s">
        <v>1002</v>
      </c>
      <c r="D6" s="10" t="s">
        <v>1209</v>
      </c>
      <c r="E6" s="19" t="n">
        <v>1</v>
      </c>
      <c r="F6" s="10" t="s">
        <v>1194</v>
      </c>
      <c r="G6" s="10" t="s">
        <v>1210</v>
      </c>
      <c r="H6" s="10" t="s">
        <v>1004</v>
      </c>
      <c r="I6" s="10" t="s">
        <v>1196</v>
      </c>
      <c r="J6" s="20" t="n">
        <v>8420</v>
      </c>
      <c r="K6" s="20" t="n">
        <v>421</v>
      </c>
      <c r="L6" s="20" t="n">
        <v>1180</v>
      </c>
      <c r="M6" s="20" t="n">
        <v>1050</v>
      </c>
      <c r="N6" s="20" t="n">
        <v>0</v>
      </c>
      <c r="O6" s="20" t="n">
        <v>180</v>
      </c>
      <c r="P6" s="20" t="n">
        <v>0</v>
      </c>
      <c r="Q6" s="21" t="n">
        <f aca="false">SUM(J6:P6)</f>
        <v>11251</v>
      </c>
      <c r="R6" s="22" t="n">
        <v>2100</v>
      </c>
      <c r="S6" s="21" t="n">
        <f aca="false">Q6-R6</f>
        <v>9151</v>
      </c>
      <c r="T6" s="10" t="s">
        <v>978</v>
      </c>
      <c r="U6" s="10"/>
      <c r="V6" s="10" t="s">
        <v>1202</v>
      </c>
      <c r="W6" s="10"/>
      <c r="X6" s="10" t="s">
        <v>1041</v>
      </c>
      <c r="Y6" s="10" t="s">
        <v>1211</v>
      </c>
    </row>
    <row r="7" customFormat="false" ht="15" hidden="false" customHeight="false" outlineLevel="0" collapsed="false">
      <c r="A7" s="10" t="s">
        <v>100</v>
      </c>
      <c r="B7" s="10" t="s">
        <v>1212</v>
      </c>
      <c r="C7" s="10" t="s">
        <v>1002</v>
      </c>
      <c r="D7" s="10" t="s">
        <v>1209</v>
      </c>
      <c r="E7" s="19" t="n">
        <v>2</v>
      </c>
      <c r="F7" s="10" t="s">
        <v>1194</v>
      </c>
      <c r="G7" s="10" t="s">
        <v>1213</v>
      </c>
      <c r="H7" s="10" t="s">
        <v>1004</v>
      </c>
      <c r="I7" s="10" t="s">
        <v>1196</v>
      </c>
      <c r="J7" s="20" t="n">
        <v>9140</v>
      </c>
      <c r="K7" s="20" t="n">
        <v>457</v>
      </c>
      <c r="L7" s="20" t="n">
        <v>1180</v>
      </c>
      <c r="M7" s="20" t="n">
        <v>1050</v>
      </c>
      <c r="N7" s="20" t="n">
        <v>0</v>
      </c>
      <c r="O7" s="20" t="n">
        <v>260</v>
      </c>
      <c r="P7" s="20" t="n">
        <v>200</v>
      </c>
      <c r="Q7" s="21" t="n">
        <f aca="false">SUM(J7:P7)</f>
        <v>12287</v>
      </c>
      <c r="R7" s="22" t="n">
        <v>11540</v>
      </c>
      <c r="S7" s="21" t="n">
        <f aca="false">Q7-R7</f>
        <v>747</v>
      </c>
      <c r="T7" s="10" t="s">
        <v>978</v>
      </c>
      <c r="U7" s="10" t="s">
        <v>1214</v>
      </c>
      <c r="V7" s="10" t="s">
        <v>1197</v>
      </c>
      <c r="W7" s="10" t="s">
        <v>1215</v>
      </c>
      <c r="X7" s="10" t="s">
        <v>1216</v>
      </c>
      <c r="Y7" s="10" t="s">
        <v>1217</v>
      </c>
    </row>
    <row r="8" customFormat="false" ht="15" hidden="false" customHeight="false" outlineLevel="0" collapsed="false">
      <c r="A8" s="10" t="s">
        <v>105</v>
      </c>
      <c r="B8" s="10" t="s">
        <v>1218</v>
      </c>
      <c r="C8" s="10" t="s">
        <v>1010</v>
      </c>
      <c r="D8" s="10" t="s">
        <v>1219</v>
      </c>
      <c r="E8" s="19" t="n">
        <v>1</v>
      </c>
      <c r="F8" s="10" t="s">
        <v>1194</v>
      </c>
      <c r="G8" s="10" t="s">
        <v>1220</v>
      </c>
      <c r="H8" s="10" t="s">
        <v>980</v>
      </c>
      <c r="I8" s="10" t="s">
        <v>1196</v>
      </c>
      <c r="J8" s="20" t="n">
        <v>8420</v>
      </c>
      <c r="K8" s="20" t="n">
        <v>421</v>
      </c>
      <c r="L8" s="20" t="n">
        <v>1180</v>
      </c>
      <c r="M8" s="20" t="n">
        <v>1050</v>
      </c>
      <c r="N8" s="20" t="n">
        <v>0</v>
      </c>
      <c r="O8" s="20" t="n">
        <v>180</v>
      </c>
      <c r="P8" s="20" t="n">
        <v>0</v>
      </c>
      <c r="Q8" s="21" t="n">
        <f aca="false">SUM(J8:P8)</f>
        <v>11251</v>
      </c>
      <c r="R8" s="22" t="n">
        <v>2100</v>
      </c>
      <c r="S8" s="21" t="n">
        <f aca="false">Q8-R8</f>
        <v>9151</v>
      </c>
      <c r="T8" s="10" t="s">
        <v>978</v>
      </c>
      <c r="U8" s="10"/>
      <c r="V8" s="10" t="s">
        <v>1202</v>
      </c>
      <c r="W8" s="10"/>
      <c r="X8" s="10" t="s">
        <v>1216</v>
      </c>
      <c r="Y8" s="10" t="s">
        <v>1221</v>
      </c>
    </row>
    <row r="9" customFormat="false" ht="15" hidden="false" customHeight="false" outlineLevel="0" collapsed="false">
      <c r="A9" s="10" t="s">
        <v>105</v>
      </c>
      <c r="B9" s="10" t="s">
        <v>1222</v>
      </c>
      <c r="C9" s="10" t="s">
        <v>1010</v>
      </c>
      <c r="D9" s="10" t="s">
        <v>1219</v>
      </c>
      <c r="E9" s="19" t="n">
        <v>2</v>
      </c>
      <c r="F9" s="10" t="s">
        <v>1194</v>
      </c>
      <c r="G9" s="10" t="s">
        <v>1223</v>
      </c>
      <c r="H9" s="10" t="s">
        <v>1012</v>
      </c>
      <c r="I9" s="10" t="s">
        <v>1196</v>
      </c>
      <c r="J9" s="20" t="n">
        <v>8510</v>
      </c>
      <c r="K9" s="20" t="n">
        <v>426</v>
      </c>
      <c r="L9" s="20" t="n">
        <v>1180</v>
      </c>
      <c r="M9" s="20" t="n">
        <v>1050</v>
      </c>
      <c r="N9" s="20" t="n">
        <v>0</v>
      </c>
      <c r="O9" s="20" t="n">
        <v>180</v>
      </c>
      <c r="P9" s="20" t="n">
        <v>0</v>
      </c>
      <c r="Q9" s="21" t="n">
        <f aca="false">SUM(J9:P9)</f>
        <v>11346</v>
      </c>
      <c r="R9" s="22" t="n">
        <v>4900</v>
      </c>
      <c r="S9" s="21" t="n">
        <f aca="false">Q9-R9</f>
        <v>6446</v>
      </c>
      <c r="T9" s="10" t="s">
        <v>978</v>
      </c>
      <c r="U9" s="10"/>
      <c r="V9" s="10" t="s">
        <v>1197</v>
      </c>
      <c r="W9" s="10" t="s">
        <v>1015</v>
      </c>
      <c r="X9" s="10" t="s">
        <v>1216</v>
      </c>
      <c r="Y9" s="10" t="s">
        <v>1224</v>
      </c>
    </row>
    <row r="10" customFormat="false" ht="15" hidden="false" customHeight="false" outlineLevel="0" collapsed="false">
      <c r="A10" s="10" t="s">
        <v>111</v>
      </c>
      <c r="B10" s="10" t="s">
        <v>1225</v>
      </c>
      <c r="C10" s="10" t="s">
        <v>1018</v>
      </c>
      <c r="D10" s="10" t="s">
        <v>1226</v>
      </c>
      <c r="E10" s="19" t="n">
        <v>1</v>
      </c>
      <c r="F10" s="10" t="s">
        <v>1194</v>
      </c>
      <c r="G10" s="10" t="s">
        <v>1227</v>
      </c>
      <c r="H10" s="10" t="s">
        <v>1023</v>
      </c>
      <c r="I10" s="10" t="s">
        <v>1196</v>
      </c>
      <c r="J10" s="20" t="n">
        <v>96400</v>
      </c>
      <c r="K10" s="20" t="n">
        <v>2892</v>
      </c>
      <c r="L10" s="20" t="n">
        <v>3100</v>
      </c>
      <c r="M10" s="20" t="n">
        <v>2400</v>
      </c>
      <c r="N10" s="20" t="n">
        <v>0</v>
      </c>
      <c r="O10" s="20" t="n">
        <v>600</v>
      </c>
      <c r="P10" s="20" t="n">
        <v>0</v>
      </c>
      <c r="Q10" s="21" t="n">
        <f aca="false">SUM(J10:P10)</f>
        <v>105392</v>
      </c>
      <c r="R10" s="22" t="n">
        <v>5200</v>
      </c>
      <c r="S10" s="21" t="n">
        <f aca="false">Q10-R10</f>
        <v>100192</v>
      </c>
      <c r="T10" s="10" t="s">
        <v>978</v>
      </c>
      <c r="U10" s="10"/>
      <c r="V10" s="10" t="s">
        <v>1197</v>
      </c>
      <c r="W10" s="10"/>
      <c r="X10" s="10" t="s">
        <v>1041</v>
      </c>
      <c r="Y10" s="10" t="s">
        <v>1228</v>
      </c>
    </row>
    <row r="11" customFormat="false" ht="15" hidden="false" customHeight="false" outlineLevel="0" collapsed="false">
      <c r="A11" s="10" t="s">
        <v>117</v>
      </c>
      <c r="B11" s="10" t="s">
        <v>1229</v>
      </c>
      <c r="C11" s="10" t="s">
        <v>1030</v>
      </c>
      <c r="D11" s="10" t="s">
        <v>1230</v>
      </c>
      <c r="E11" s="19" t="n">
        <v>1</v>
      </c>
      <c r="F11" s="10" t="s">
        <v>1194</v>
      </c>
      <c r="G11" s="10" t="s">
        <v>1231</v>
      </c>
      <c r="H11" s="10" t="s">
        <v>1033</v>
      </c>
      <c r="I11" s="10" t="s">
        <v>1196</v>
      </c>
      <c r="J11" s="20" t="n">
        <v>96400</v>
      </c>
      <c r="K11" s="20" t="n">
        <v>2892</v>
      </c>
      <c r="L11" s="20" t="n">
        <v>3100</v>
      </c>
      <c r="M11" s="20" t="n">
        <v>2400</v>
      </c>
      <c r="N11" s="20" t="n">
        <v>0</v>
      </c>
      <c r="O11" s="20" t="n">
        <v>600</v>
      </c>
      <c r="P11" s="20" t="n">
        <v>0</v>
      </c>
      <c r="Q11" s="21" t="n">
        <f aca="false">SUM(J11:P11)</f>
        <v>105392</v>
      </c>
      <c r="R11" s="22" t="n">
        <v>5200</v>
      </c>
      <c r="S11" s="21" t="n">
        <f aca="false">Q11-R11</f>
        <v>100192</v>
      </c>
      <c r="T11" s="10" t="s">
        <v>978</v>
      </c>
      <c r="U11" s="10"/>
      <c r="V11" s="10" t="s">
        <v>1202</v>
      </c>
      <c r="W11" s="10"/>
      <c r="X11" s="10" t="s">
        <v>1041</v>
      </c>
      <c r="Y11" s="10" t="s">
        <v>1232</v>
      </c>
    </row>
    <row r="12" customFormat="false" ht="15" hidden="false" customHeight="false" outlineLevel="0" collapsed="false">
      <c r="A12" s="10" t="s">
        <v>117</v>
      </c>
      <c r="B12" s="10" t="s">
        <v>1233</v>
      </c>
      <c r="C12" s="10" t="s">
        <v>1030</v>
      </c>
      <c r="D12" s="10" t="s">
        <v>1230</v>
      </c>
      <c r="E12" s="19" t="n">
        <v>2</v>
      </c>
      <c r="F12" s="10" t="s">
        <v>1194</v>
      </c>
      <c r="G12" s="10" t="s">
        <v>1234</v>
      </c>
      <c r="H12" s="10" t="s">
        <v>1033</v>
      </c>
      <c r="I12" s="10" t="s">
        <v>1196</v>
      </c>
      <c r="J12" s="20" t="n">
        <v>96400</v>
      </c>
      <c r="K12" s="20" t="n">
        <v>2892</v>
      </c>
      <c r="L12" s="20" t="n">
        <v>5850</v>
      </c>
      <c r="M12" s="20" t="n">
        <v>2400</v>
      </c>
      <c r="N12" s="20" t="n">
        <v>0</v>
      </c>
      <c r="O12" s="20" t="n">
        <v>600</v>
      </c>
      <c r="P12" s="20" t="n">
        <v>0</v>
      </c>
      <c r="Q12" s="21" t="n">
        <f aca="false">SUM(J12:P12)</f>
        <v>108142</v>
      </c>
      <c r="R12" s="22" t="n">
        <v>69594</v>
      </c>
      <c r="S12" s="21" t="n">
        <f aca="false">Q12-R12</f>
        <v>38548</v>
      </c>
      <c r="T12" s="10" t="s">
        <v>978</v>
      </c>
      <c r="U12" s="10"/>
      <c r="V12" s="10" t="s">
        <v>1197</v>
      </c>
      <c r="W12" s="10" t="s">
        <v>1235</v>
      </c>
      <c r="X12" s="10" t="s">
        <v>1236</v>
      </c>
      <c r="Y12" s="10" t="s">
        <v>1237</v>
      </c>
    </row>
    <row r="13" customFormat="false" ht="15" hidden="false" customHeight="false" outlineLevel="0" collapsed="false">
      <c r="A13" s="10" t="s">
        <v>122</v>
      </c>
      <c r="B13" s="10" t="s">
        <v>1238</v>
      </c>
      <c r="C13" s="10" t="s">
        <v>1036</v>
      </c>
      <c r="D13" s="10" t="s">
        <v>1239</v>
      </c>
      <c r="E13" s="19" t="n">
        <v>1</v>
      </c>
      <c r="F13" s="10" t="s">
        <v>1194</v>
      </c>
      <c r="G13" s="10" t="s">
        <v>1240</v>
      </c>
      <c r="H13" s="10" t="s">
        <v>1038</v>
      </c>
      <c r="I13" s="10" t="s">
        <v>1196</v>
      </c>
      <c r="J13" s="20" t="n">
        <v>8420</v>
      </c>
      <c r="K13" s="20" t="n">
        <v>421</v>
      </c>
      <c r="L13" s="20" t="n">
        <v>1180</v>
      </c>
      <c r="M13" s="20" t="n">
        <v>1050</v>
      </c>
      <c r="N13" s="20" t="n">
        <v>0</v>
      </c>
      <c r="O13" s="20" t="n">
        <v>180</v>
      </c>
      <c r="P13" s="20" t="n">
        <v>0</v>
      </c>
      <c r="Q13" s="21" t="n">
        <f aca="false">SUM(J13:P13)</f>
        <v>11251</v>
      </c>
      <c r="R13" s="22" t="n">
        <v>2100</v>
      </c>
      <c r="S13" s="21" t="n">
        <f aca="false">Q13-R13</f>
        <v>9151</v>
      </c>
      <c r="T13" s="10" t="s">
        <v>978</v>
      </c>
      <c r="U13" s="10"/>
      <c r="V13" s="10" t="s">
        <v>1040</v>
      </c>
      <c r="W13" s="10" t="s">
        <v>1241</v>
      </c>
      <c r="X13" s="10" t="s">
        <v>1216</v>
      </c>
      <c r="Y13" s="10" t="s">
        <v>1242</v>
      </c>
    </row>
    <row r="14" customFormat="false" ht="15" hidden="false" customHeight="false" outlineLevel="0" collapsed="false">
      <c r="A14" s="10" t="s">
        <v>127</v>
      </c>
      <c r="B14" s="10" t="s">
        <v>1243</v>
      </c>
      <c r="C14" s="10" t="s">
        <v>1045</v>
      </c>
      <c r="D14" s="10" t="s">
        <v>1244</v>
      </c>
      <c r="E14" s="19" t="n">
        <v>1</v>
      </c>
      <c r="F14" s="10" t="s">
        <v>1194</v>
      </c>
      <c r="G14" s="10" t="s">
        <v>1245</v>
      </c>
      <c r="H14" s="10" t="s">
        <v>1047</v>
      </c>
      <c r="I14" s="10" t="s">
        <v>1196</v>
      </c>
      <c r="J14" s="20" t="n">
        <v>8420</v>
      </c>
      <c r="K14" s="20" t="n">
        <v>421</v>
      </c>
      <c r="L14" s="20" t="n">
        <v>1180</v>
      </c>
      <c r="M14" s="20" t="n">
        <v>1050</v>
      </c>
      <c r="N14" s="20" t="n">
        <v>0</v>
      </c>
      <c r="O14" s="20" t="n">
        <v>180</v>
      </c>
      <c r="P14" s="20" t="n">
        <v>0</v>
      </c>
      <c r="Q14" s="21" t="n">
        <f aca="false">SUM(J14:P14)</f>
        <v>11251</v>
      </c>
      <c r="R14" s="22" t="n">
        <v>2100</v>
      </c>
      <c r="S14" s="21" t="n">
        <f aca="false">Q14-R14</f>
        <v>9151</v>
      </c>
      <c r="T14" s="10" t="s">
        <v>978</v>
      </c>
      <c r="U14" s="10"/>
      <c r="V14" s="10" t="s">
        <v>1202</v>
      </c>
      <c r="W14" s="10"/>
      <c r="X14" s="10" t="s">
        <v>1216</v>
      </c>
      <c r="Y14" s="10" t="s">
        <v>1246</v>
      </c>
    </row>
    <row r="15" customFormat="false" ht="15" hidden="false" customHeight="false" outlineLevel="0" collapsed="false">
      <c r="A15" s="10" t="s">
        <v>127</v>
      </c>
      <c r="B15" s="10" t="s">
        <v>1247</v>
      </c>
      <c r="C15" s="10" t="s">
        <v>1045</v>
      </c>
      <c r="D15" s="10" t="s">
        <v>1244</v>
      </c>
      <c r="E15" s="19" t="n">
        <v>2</v>
      </c>
      <c r="F15" s="10" t="s">
        <v>1194</v>
      </c>
      <c r="G15" s="10" t="s">
        <v>1248</v>
      </c>
      <c r="H15" s="10" t="s">
        <v>1047</v>
      </c>
      <c r="I15" s="10" t="s">
        <v>1196</v>
      </c>
      <c r="J15" s="20" t="n">
        <v>6900</v>
      </c>
      <c r="K15" s="20" t="n">
        <v>345</v>
      </c>
      <c r="L15" s="20" t="n">
        <v>1180</v>
      </c>
      <c r="M15" s="20" t="n">
        <v>1050</v>
      </c>
      <c r="N15" s="20" t="n">
        <v>0</v>
      </c>
      <c r="O15" s="20" t="n">
        <v>180</v>
      </c>
      <c r="P15" s="20" t="n">
        <v>0</v>
      </c>
      <c r="Q15" s="21" t="n">
        <f aca="false">SUM(J15:P15)</f>
        <v>9655</v>
      </c>
      <c r="R15" s="22" t="n">
        <v>11251</v>
      </c>
      <c r="S15" s="21" t="n">
        <f aca="false">Q15-R15</f>
        <v>-1596</v>
      </c>
      <c r="T15" s="10" t="s">
        <v>978</v>
      </c>
      <c r="U15" s="10"/>
      <c r="V15" s="10" t="s">
        <v>1197</v>
      </c>
      <c r="W15" s="10" t="s">
        <v>1049</v>
      </c>
      <c r="X15" s="10" t="s">
        <v>1216</v>
      </c>
      <c r="Y15" s="10" t="s">
        <v>1249</v>
      </c>
    </row>
    <row r="16" customFormat="false" ht="15" hidden="false" customHeight="false" outlineLevel="0" collapsed="false">
      <c r="A16" s="10" t="s">
        <v>133</v>
      </c>
      <c r="B16" s="10" t="s">
        <v>1250</v>
      </c>
      <c r="C16" s="10" t="s">
        <v>1052</v>
      </c>
      <c r="D16" s="10" t="s">
        <v>1251</v>
      </c>
      <c r="E16" s="19" t="n">
        <v>1</v>
      </c>
      <c r="F16" s="10" t="s">
        <v>1194</v>
      </c>
      <c r="G16" s="10" t="s">
        <v>1252</v>
      </c>
      <c r="H16" s="10" t="s">
        <v>1054</v>
      </c>
      <c r="I16" s="10" t="s">
        <v>1196</v>
      </c>
      <c r="J16" s="20" t="n">
        <v>96400</v>
      </c>
      <c r="K16" s="20" t="n">
        <v>2892</v>
      </c>
      <c r="L16" s="20" t="n">
        <v>3100</v>
      </c>
      <c r="M16" s="20" t="n">
        <v>2400</v>
      </c>
      <c r="N16" s="20" t="n">
        <v>0</v>
      </c>
      <c r="O16" s="20" t="n">
        <v>600</v>
      </c>
      <c r="P16" s="20" t="n">
        <v>0</v>
      </c>
      <c r="Q16" s="21" t="n">
        <f aca="false">SUM(J16:P16)</f>
        <v>105392</v>
      </c>
      <c r="R16" s="22" t="n">
        <v>5200</v>
      </c>
      <c r="S16" s="21" t="n">
        <f aca="false">Q16-R16</f>
        <v>100192</v>
      </c>
      <c r="T16" s="10" t="s">
        <v>978</v>
      </c>
      <c r="U16" s="10"/>
      <c r="V16" s="10" t="s">
        <v>1197</v>
      </c>
      <c r="W16" s="10"/>
      <c r="X16" s="10" t="s">
        <v>1216</v>
      </c>
      <c r="Y16" s="10" t="s">
        <v>1232</v>
      </c>
    </row>
    <row r="17" customFormat="false" ht="15" hidden="false" customHeight="false" outlineLevel="0" collapsed="false">
      <c r="A17" s="10" t="s">
        <v>138</v>
      </c>
      <c r="B17" s="10" t="s">
        <v>1253</v>
      </c>
      <c r="C17" s="10" t="s">
        <v>1063</v>
      </c>
      <c r="D17" s="10" t="s">
        <v>1254</v>
      </c>
      <c r="E17" s="19" t="n">
        <v>1</v>
      </c>
      <c r="F17" s="10" t="s">
        <v>1194</v>
      </c>
      <c r="G17" s="10" t="s">
        <v>1255</v>
      </c>
      <c r="H17" s="10" t="s">
        <v>1066</v>
      </c>
      <c r="I17" s="10" t="s">
        <v>1196</v>
      </c>
      <c r="J17" s="20" t="n">
        <v>8420</v>
      </c>
      <c r="K17" s="20" t="n">
        <v>421</v>
      </c>
      <c r="L17" s="20" t="n">
        <v>1180</v>
      </c>
      <c r="M17" s="20" t="n">
        <v>1050</v>
      </c>
      <c r="N17" s="20" t="n">
        <v>0</v>
      </c>
      <c r="O17" s="20" t="n">
        <v>180</v>
      </c>
      <c r="P17" s="20" t="n">
        <v>0</v>
      </c>
      <c r="Q17" s="21" t="n">
        <f aca="false">SUM(J17:P17)</f>
        <v>11251</v>
      </c>
      <c r="R17" s="22" t="n">
        <v>2100</v>
      </c>
      <c r="S17" s="21" t="n">
        <f aca="false">Q17-R17</f>
        <v>9151</v>
      </c>
      <c r="T17" s="10" t="s">
        <v>978</v>
      </c>
      <c r="U17" s="10"/>
      <c r="V17" s="10" t="s">
        <v>1197</v>
      </c>
      <c r="W17" s="10"/>
      <c r="X17" s="10" t="s">
        <v>1041</v>
      </c>
      <c r="Y17" s="10" t="s">
        <v>1256</v>
      </c>
    </row>
    <row r="18" customFormat="false" ht="15" hidden="false" customHeight="false" outlineLevel="0" collapsed="false">
      <c r="A18" s="10" t="s">
        <v>144</v>
      </c>
      <c r="B18" s="10" t="s">
        <v>1257</v>
      </c>
      <c r="C18" s="10" t="s">
        <v>1068</v>
      </c>
      <c r="D18" s="10" t="s">
        <v>1258</v>
      </c>
      <c r="E18" s="19" t="n">
        <v>1</v>
      </c>
      <c r="F18" s="10" t="s">
        <v>1194</v>
      </c>
      <c r="G18" s="10" t="s">
        <v>1259</v>
      </c>
      <c r="H18" s="10" t="s">
        <v>1070</v>
      </c>
      <c r="I18" s="10" t="s">
        <v>1196</v>
      </c>
      <c r="J18" s="20" t="n">
        <v>8420</v>
      </c>
      <c r="K18" s="20" t="n">
        <v>421</v>
      </c>
      <c r="L18" s="20" t="n">
        <v>1180</v>
      </c>
      <c r="M18" s="20" t="n">
        <v>1050</v>
      </c>
      <c r="N18" s="20" t="n">
        <v>0</v>
      </c>
      <c r="O18" s="20" t="n">
        <v>180</v>
      </c>
      <c r="P18" s="20" t="n">
        <v>0</v>
      </c>
      <c r="Q18" s="21" t="n">
        <f aca="false">SUM(J18:P18)</f>
        <v>11251</v>
      </c>
      <c r="R18" s="22" t="n">
        <v>2100</v>
      </c>
      <c r="S18" s="21" t="n">
        <f aca="false">Q18-R18</f>
        <v>9151</v>
      </c>
      <c r="T18" s="10" t="s">
        <v>978</v>
      </c>
      <c r="U18" s="10"/>
      <c r="V18" s="10" t="s">
        <v>1202</v>
      </c>
      <c r="W18" s="10"/>
      <c r="X18" s="10" t="s">
        <v>1041</v>
      </c>
      <c r="Y18" s="10" t="s">
        <v>1260</v>
      </c>
    </row>
    <row r="19" customFormat="false" ht="15" hidden="false" customHeight="false" outlineLevel="0" collapsed="false">
      <c r="A19" s="10" t="s">
        <v>144</v>
      </c>
      <c r="B19" s="10" t="s">
        <v>1261</v>
      </c>
      <c r="C19" s="10" t="s">
        <v>1068</v>
      </c>
      <c r="D19" s="10" t="s">
        <v>1258</v>
      </c>
      <c r="E19" s="19" t="n">
        <v>2</v>
      </c>
      <c r="F19" s="10" t="s">
        <v>1194</v>
      </c>
      <c r="G19" s="10" t="s">
        <v>1262</v>
      </c>
      <c r="H19" s="10" t="s">
        <v>1070</v>
      </c>
      <c r="I19" s="10" t="s">
        <v>1196</v>
      </c>
      <c r="J19" s="20" t="n">
        <v>8420</v>
      </c>
      <c r="K19" s="20" t="n">
        <v>421</v>
      </c>
      <c r="L19" s="20" t="n">
        <v>1180</v>
      </c>
      <c r="M19" s="20" t="n">
        <v>1050</v>
      </c>
      <c r="N19" s="20" t="n">
        <v>0</v>
      </c>
      <c r="O19" s="20" t="n">
        <v>180</v>
      </c>
      <c r="P19" s="20" t="n">
        <v>900</v>
      </c>
      <c r="Q19" s="21" t="n">
        <f aca="false">SUM(J19:P19)</f>
        <v>12151</v>
      </c>
      <c r="R19" s="22" t="n">
        <v>2100</v>
      </c>
      <c r="S19" s="21" t="n">
        <f aca="false">Q19-R19</f>
        <v>10051</v>
      </c>
      <c r="T19" s="10" t="s">
        <v>978</v>
      </c>
      <c r="U19" s="10" t="s">
        <v>1263</v>
      </c>
      <c r="V19" s="10" t="s">
        <v>1197</v>
      </c>
      <c r="W19" s="10" t="s">
        <v>1264</v>
      </c>
      <c r="X19" s="10" t="s">
        <v>1041</v>
      </c>
      <c r="Y19" s="10" t="s">
        <v>1265</v>
      </c>
    </row>
    <row r="20" customFormat="false" ht="15" hidden="false" customHeight="false" outlineLevel="0" collapsed="false">
      <c r="A20" s="10" t="s">
        <v>149</v>
      </c>
      <c r="B20" s="10" t="s">
        <v>1266</v>
      </c>
      <c r="C20" s="10" t="s">
        <v>1073</v>
      </c>
      <c r="D20" s="10" t="s">
        <v>1267</v>
      </c>
      <c r="E20" s="19" t="n">
        <v>1</v>
      </c>
      <c r="F20" s="10" t="s">
        <v>1194</v>
      </c>
      <c r="G20" s="10" t="s">
        <v>1268</v>
      </c>
      <c r="H20" s="10" t="s">
        <v>1075</v>
      </c>
      <c r="I20" s="10" t="s">
        <v>1196</v>
      </c>
      <c r="J20" s="20" t="n">
        <v>8420</v>
      </c>
      <c r="K20" s="20" t="n">
        <v>421</v>
      </c>
      <c r="L20" s="20" t="n">
        <v>1180</v>
      </c>
      <c r="M20" s="20" t="n">
        <v>1050</v>
      </c>
      <c r="N20" s="20" t="n">
        <v>0</v>
      </c>
      <c r="O20" s="20" t="n">
        <v>180</v>
      </c>
      <c r="P20" s="20" t="n">
        <v>0</v>
      </c>
      <c r="Q20" s="21" t="n">
        <f aca="false">SUM(J20:P20)</f>
        <v>11251</v>
      </c>
      <c r="R20" s="22" t="n">
        <v>2100</v>
      </c>
      <c r="S20" s="21" t="n">
        <f aca="false">Q20-R20</f>
        <v>9151</v>
      </c>
      <c r="T20" s="10" t="s">
        <v>978</v>
      </c>
      <c r="U20" s="10"/>
      <c r="V20" s="10" t="s">
        <v>1197</v>
      </c>
      <c r="W20" s="10"/>
      <c r="X20" s="10" t="s">
        <v>1041</v>
      </c>
      <c r="Y20" s="10" t="s">
        <v>1269</v>
      </c>
    </row>
    <row r="21" customFormat="false" ht="15" hidden="false" customHeight="false" outlineLevel="0" collapsed="false">
      <c r="A21" s="10" t="s">
        <v>155</v>
      </c>
      <c r="B21" s="10" t="s">
        <v>1270</v>
      </c>
      <c r="C21" s="10" t="s">
        <v>1077</v>
      </c>
      <c r="D21" s="10" t="s">
        <v>1271</v>
      </c>
      <c r="E21" s="19" t="n">
        <v>1</v>
      </c>
      <c r="F21" s="10" t="s">
        <v>1194</v>
      </c>
      <c r="G21" s="10" t="s">
        <v>1272</v>
      </c>
      <c r="H21" s="10" t="s">
        <v>1079</v>
      </c>
      <c r="I21" s="10" t="s">
        <v>1196</v>
      </c>
      <c r="J21" s="20" t="n">
        <v>96400</v>
      </c>
      <c r="K21" s="20" t="n">
        <v>2892</v>
      </c>
      <c r="L21" s="20" t="n">
        <v>3100</v>
      </c>
      <c r="M21" s="20" t="n">
        <v>2400</v>
      </c>
      <c r="N21" s="20" t="n">
        <v>0</v>
      </c>
      <c r="O21" s="20" t="n">
        <v>600</v>
      </c>
      <c r="P21" s="20" t="n">
        <v>0</v>
      </c>
      <c r="Q21" s="21" t="n">
        <f aca="false">SUM(J21:P21)</f>
        <v>105392</v>
      </c>
      <c r="R21" s="22" t="n">
        <v>5200</v>
      </c>
      <c r="S21" s="21" t="n">
        <f aca="false">Q21-R21</f>
        <v>100192</v>
      </c>
      <c r="T21" s="10" t="s">
        <v>978</v>
      </c>
      <c r="U21" s="10"/>
      <c r="V21" s="10" t="s">
        <v>1197</v>
      </c>
      <c r="W21" s="10"/>
      <c r="X21" s="10" t="s">
        <v>1041</v>
      </c>
      <c r="Y21" s="10" t="s">
        <v>1273</v>
      </c>
    </row>
    <row r="22" customFormat="false" ht="15" hidden="false" customHeight="false" outlineLevel="0" collapsed="false">
      <c r="A22" s="10" t="s">
        <v>160</v>
      </c>
      <c r="B22" s="10" t="s">
        <v>1274</v>
      </c>
      <c r="C22" s="10" t="s">
        <v>1089</v>
      </c>
      <c r="D22" s="10" t="s">
        <v>1275</v>
      </c>
      <c r="E22" s="19" t="n">
        <v>1</v>
      </c>
      <c r="F22" s="10" t="s">
        <v>1194</v>
      </c>
      <c r="G22" s="10" t="s">
        <v>1276</v>
      </c>
      <c r="H22" s="10" t="s">
        <v>1092</v>
      </c>
      <c r="I22" s="10" t="s">
        <v>1196</v>
      </c>
      <c r="J22" s="20" t="n">
        <v>8420</v>
      </c>
      <c r="K22" s="20" t="n">
        <v>421</v>
      </c>
      <c r="L22" s="20" t="n">
        <v>1180</v>
      </c>
      <c r="M22" s="20" t="n">
        <v>1050</v>
      </c>
      <c r="N22" s="20" t="n">
        <v>0</v>
      </c>
      <c r="O22" s="20" t="n">
        <v>180</v>
      </c>
      <c r="P22" s="20" t="n">
        <v>3200</v>
      </c>
      <c r="Q22" s="21" t="n">
        <f aca="false">SUM(J22:P22)</f>
        <v>14451</v>
      </c>
      <c r="R22" s="22" t="n">
        <v>2100</v>
      </c>
      <c r="S22" s="21" t="n">
        <f aca="false">Q22-R22</f>
        <v>12351</v>
      </c>
      <c r="T22" s="10" t="s">
        <v>990</v>
      </c>
      <c r="U22" s="10" t="s">
        <v>1277</v>
      </c>
      <c r="V22" s="10" t="s">
        <v>1197</v>
      </c>
      <c r="W22" s="10"/>
      <c r="X22" s="10" t="s">
        <v>1041</v>
      </c>
      <c r="Y22" s="10" t="s">
        <v>1278</v>
      </c>
    </row>
    <row r="23" customFormat="false" ht="15" hidden="false" customHeight="false" outlineLevel="0" collapsed="false">
      <c r="A23" s="10" t="s">
        <v>166</v>
      </c>
      <c r="B23" s="10" t="s">
        <v>1279</v>
      </c>
      <c r="C23" s="10" t="s">
        <v>1094</v>
      </c>
      <c r="D23" s="10" t="s">
        <v>1280</v>
      </c>
      <c r="E23" s="19" t="n">
        <v>1</v>
      </c>
      <c r="F23" s="10" t="s">
        <v>1194</v>
      </c>
      <c r="G23" s="10" t="s">
        <v>1281</v>
      </c>
      <c r="H23" s="10" t="s">
        <v>1097</v>
      </c>
      <c r="I23" s="10" t="s">
        <v>1196</v>
      </c>
      <c r="J23" s="20" t="n">
        <v>3100</v>
      </c>
      <c r="K23" s="20" t="n">
        <v>155</v>
      </c>
      <c r="L23" s="20" t="n">
        <v>900</v>
      </c>
      <c r="M23" s="20" t="n">
        <v>1050</v>
      </c>
      <c r="N23" s="20" t="n">
        <v>0</v>
      </c>
      <c r="O23" s="20" t="n">
        <v>140</v>
      </c>
      <c r="P23" s="20" t="n">
        <v>0</v>
      </c>
      <c r="Q23" s="21" t="n">
        <f aca="false">SUM(J23:P23)</f>
        <v>5345</v>
      </c>
      <c r="R23" s="22" t="n">
        <v>1800</v>
      </c>
      <c r="S23" s="21" t="n">
        <f aca="false">Q23-R23</f>
        <v>3545</v>
      </c>
      <c r="T23" s="10" t="s">
        <v>978</v>
      </c>
      <c r="U23" s="10"/>
      <c r="V23" s="10" t="s">
        <v>1197</v>
      </c>
      <c r="W23" s="10"/>
      <c r="X23" s="10" t="s">
        <v>1041</v>
      </c>
      <c r="Y23" s="10" t="s">
        <v>1282</v>
      </c>
    </row>
    <row r="24" customFormat="false" ht="15" hidden="false" customHeight="false" outlineLevel="0" collapsed="false">
      <c r="A24" s="10" t="s">
        <v>166</v>
      </c>
      <c r="B24" s="10" t="s">
        <v>1283</v>
      </c>
      <c r="C24" s="10" t="s">
        <v>1102</v>
      </c>
      <c r="D24" s="10" t="s">
        <v>1284</v>
      </c>
      <c r="E24" s="19" t="n">
        <v>1</v>
      </c>
      <c r="F24" s="10" t="s">
        <v>1194</v>
      </c>
      <c r="G24" s="10" t="s">
        <v>1285</v>
      </c>
      <c r="H24" s="10" t="s">
        <v>1097</v>
      </c>
      <c r="I24" s="10" t="s">
        <v>1196</v>
      </c>
      <c r="J24" s="20" t="n">
        <v>3100</v>
      </c>
      <c r="K24" s="20" t="n">
        <v>155</v>
      </c>
      <c r="L24" s="20" t="n">
        <v>900</v>
      </c>
      <c r="M24" s="20" t="n">
        <v>1050</v>
      </c>
      <c r="N24" s="20" t="n">
        <v>0</v>
      </c>
      <c r="O24" s="20" t="n">
        <v>140</v>
      </c>
      <c r="P24" s="20" t="n">
        <v>0</v>
      </c>
      <c r="Q24" s="21" t="n">
        <f aca="false">SUM(J24:P24)</f>
        <v>5345</v>
      </c>
      <c r="R24" s="22" t="n">
        <v>1650</v>
      </c>
      <c r="S24" s="21" t="n">
        <f aca="false">Q24-R24</f>
        <v>3695</v>
      </c>
      <c r="T24" s="10" t="s">
        <v>978</v>
      </c>
      <c r="U24" s="10"/>
      <c r="V24" s="10" t="s">
        <v>1197</v>
      </c>
      <c r="W24" s="10"/>
      <c r="X24" s="10" t="s">
        <v>1041</v>
      </c>
      <c r="Y24" s="10" t="s">
        <v>1286</v>
      </c>
    </row>
    <row r="25" customFormat="false" ht="15" hidden="false" customHeight="false" outlineLevel="0" collapsed="false">
      <c r="A25" s="10" t="s">
        <v>172</v>
      </c>
      <c r="B25" s="10" t="s">
        <v>1287</v>
      </c>
      <c r="C25" s="10" t="s">
        <v>1104</v>
      </c>
      <c r="D25" s="10" t="s">
        <v>1288</v>
      </c>
      <c r="E25" s="19" t="n">
        <v>1</v>
      </c>
      <c r="F25" s="10" t="s">
        <v>1194</v>
      </c>
      <c r="G25" s="10" t="s">
        <v>1289</v>
      </c>
      <c r="H25" s="10" t="s">
        <v>1107</v>
      </c>
      <c r="I25" s="10" t="s">
        <v>1196</v>
      </c>
      <c r="J25" s="20" t="n">
        <v>8420</v>
      </c>
      <c r="K25" s="20" t="n">
        <v>421</v>
      </c>
      <c r="L25" s="20" t="n">
        <v>1180</v>
      </c>
      <c r="M25" s="20" t="n">
        <v>1050</v>
      </c>
      <c r="N25" s="20" t="n">
        <v>0</v>
      </c>
      <c r="O25" s="20" t="n">
        <v>180</v>
      </c>
      <c r="P25" s="20" t="n">
        <v>0</v>
      </c>
      <c r="Q25" s="21" t="n">
        <f aca="false">SUM(J25:P25)</f>
        <v>11251</v>
      </c>
      <c r="R25" s="22" t="n">
        <v>2100</v>
      </c>
      <c r="S25" s="21" t="n">
        <f aca="false">Q25-R25</f>
        <v>9151</v>
      </c>
      <c r="T25" s="10" t="s">
        <v>978</v>
      </c>
      <c r="U25" s="10"/>
      <c r="V25" s="10" t="s">
        <v>1197</v>
      </c>
      <c r="W25" s="10"/>
      <c r="X25" s="10" t="s">
        <v>1041</v>
      </c>
      <c r="Y25" s="10" t="s">
        <v>1290</v>
      </c>
    </row>
    <row r="26" customFormat="false" ht="15" hidden="false" customHeight="false" outlineLevel="0" collapsed="false">
      <c r="A26" s="10" t="s">
        <v>178</v>
      </c>
      <c r="B26" s="10" t="s">
        <v>1291</v>
      </c>
      <c r="C26" s="10" t="s">
        <v>1109</v>
      </c>
      <c r="D26" s="10" t="s">
        <v>1292</v>
      </c>
      <c r="E26" s="19" t="n">
        <v>1</v>
      </c>
      <c r="F26" s="10" t="s">
        <v>1194</v>
      </c>
      <c r="G26" s="10" t="s">
        <v>1293</v>
      </c>
      <c r="H26" s="10" t="s">
        <v>1111</v>
      </c>
      <c r="I26" s="10" t="s">
        <v>1196</v>
      </c>
      <c r="J26" s="20" t="n">
        <v>8420</v>
      </c>
      <c r="K26" s="20" t="n">
        <v>421</v>
      </c>
      <c r="L26" s="20" t="n">
        <v>1180</v>
      </c>
      <c r="M26" s="20" t="n">
        <v>1050</v>
      </c>
      <c r="N26" s="20" t="n">
        <v>0</v>
      </c>
      <c r="O26" s="20" t="n">
        <v>180</v>
      </c>
      <c r="P26" s="20" t="n">
        <v>0</v>
      </c>
      <c r="Q26" s="21" t="n">
        <f aca="false">SUM(J26:P26)</f>
        <v>11251</v>
      </c>
      <c r="R26" s="22" t="n">
        <v>2100</v>
      </c>
      <c r="S26" s="21" t="n">
        <f aca="false">Q26-R26</f>
        <v>9151</v>
      </c>
      <c r="T26" s="10" t="s">
        <v>978</v>
      </c>
      <c r="U26" s="10"/>
      <c r="V26" s="10" t="s">
        <v>1197</v>
      </c>
      <c r="W26" s="10"/>
      <c r="X26" s="10" t="s">
        <v>1041</v>
      </c>
      <c r="Y26" s="10" t="s">
        <v>1294</v>
      </c>
    </row>
    <row r="27" customFormat="false" ht="15" hidden="false" customHeight="false" outlineLevel="0" collapsed="false">
      <c r="A27" s="10" t="s">
        <v>183</v>
      </c>
      <c r="B27" s="10" t="s">
        <v>1295</v>
      </c>
      <c r="C27" s="10" t="s">
        <v>1113</v>
      </c>
      <c r="D27" s="10" t="s">
        <v>1296</v>
      </c>
      <c r="E27" s="19" t="n">
        <v>1</v>
      </c>
      <c r="F27" s="10" t="s">
        <v>1194</v>
      </c>
      <c r="G27" s="10" t="s">
        <v>1297</v>
      </c>
      <c r="H27" s="10" t="s">
        <v>1115</v>
      </c>
      <c r="I27" s="10" t="s">
        <v>1196</v>
      </c>
      <c r="J27" s="20" t="n">
        <v>8770</v>
      </c>
      <c r="K27" s="20" t="n">
        <v>439</v>
      </c>
      <c r="L27" s="20" t="n">
        <v>1180</v>
      </c>
      <c r="M27" s="20" t="n">
        <v>1050</v>
      </c>
      <c r="N27" s="20" t="n">
        <v>0</v>
      </c>
      <c r="O27" s="20" t="n">
        <v>180</v>
      </c>
      <c r="P27" s="20" t="n">
        <v>0</v>
      </c>
      <c r="Q27" s="21" t="n">
        <f aca="false">SUM(J27:P27)</f>
        <v>11619</v>
      </c>
      <c r="R27" s="22" t="n">
        <v>2100</v>
      </c>
      <c r="S27" s="21" t="n">
        <f aca="false">Q27-R27</f>
        <v>9519</v>
      </c>
      <c r="T27" s="10" t="s">
        <v>978</v>
      </c>
      <c r="U27" s="10"/>
      <c r="V27" s="10" t="s">
        <v>1197</v>
      </c>
      <c r="W27" s="10"/>
      <c r="X27" s="10" t="s">
        <v>1041</v>
      </c>
      <c r="Y27" s="10" t="s">
        <v>1298</v>
      </c>
    </row>
    <row r="28" customFormat="false" ht="15" hidden="false" customHeight="false" outlineLevel="0" collapsed="false">
      <c r="A28" s="10" t="s">
        <v>188</v>
      </c>
      <c r="B28" s="10" t="s">
        <v>1299</v>
      </c>
      <c r="C28" s="10" t="s">
        <v>1117</v>
      </c>
      <c r="D28" s="10" t="s">
        <v>1300</v>
      </c>
      <c r="E28" s="19" t="n">
        <v>1</v>
      </c>
      <c r="F28" s="10" t="s">
        <v>1194</v>
      </c>
      <c r="G28" s="10" t="s">
        <v>1301</v>
      </c>
      <c r="H28" s="10" t="s">
        <v>1120</v>
      </c>
      <c r="I28" s="10" t="s">
        <v>1196</v>
      </c>
      <c r="J28" s="20" t="n">
        <v>8420</v>
      </c>
      <c r="K28" s="20" t="n">
        <v>421</v>
      </c>
      <c r="L28" s="20" t="n">
        <v>1180</v>
      </c>
      <c r="M28" s="20" t="n">
        <v>1050</v>
      </c>
      <c r="N28" s="20" t="n">
        <v>0</v>
      </c>
      <c r="O28" s="20" t="n">
        <v>180</v>
      </c>
      <c r="P28" s="20" t="n">
        <v>0</v>
      </c>
      <c r="Q28" s="21" t="n">
        <f aca="false">SUM(J28:P28)</f>
        <v>11251</v>
      </c>
      <c r="R28" s="22" t="n">
        <v>11000</v>
      </c>
      <c r="S28" s="21" t="n">
        <f aca="false">Q28-R28</f>
        <v>251</v>
      </c>
      <c r="T28" s="10" t="s">
        <v>978</v>
      </c>
      <c r="U28" s="10"/>
      <c r="V28" s="10" t="s">
        <v>1197</v>
      </c>
      <c r="W28" s="10" t="s">
        <v>1302</v>
      </c>
      <c r="X28" s="10" t="s">
        <v>1216</v>
      </c>
      <c r="Y28" s="10" t="s">
        <v>1303</v>
      </c>
    </row>
    <row r="29" customFormat="false" ht="15" hidden="false" customHeight="false" outlineLevel="0" collapsed="false">
      <c r="A29" s="10" t="s">
        <v>193</v>
      </c>
      <c r="B29" s="10" t="s">
        <v>1304</v>
      </c>
      <c r="C29" s="10" t="s">
        <v>1122</v>
      </c>
      <c r="D29" s="10" t="s">
        <v>1305</v>
      </c>
      <c r="E29" s="19" t="n">
        <v>1</v>
      </c>
      <c r="F29" s="10" t="s">
        <v>1194</v>
      </c>
      <c r="G29" s="10" t="s">
        <v>1306</v>
      </c>
      <c r="H29" s="10" t="s">
        <v>1124</v>
      </c>
      <c r="I29" s="10" t="s">
        <v>1196</v>
      </c>
      <c r="J29" s="20" t="n">
        <v>8420</v>
      </c>
      <c r="K29" s="20" t="n">
        <v>421</v>
      </c>
      <c r="L29" s="20" t="n">
        <v>1180</v>
      </c>
      <c r="M29" s="20" t="n">
        <v>1050</v>
      </c>
      <c r="N29" s="20" t="n">
        <v>0</v>
      </c>
      <c r="O29" s="20" t="n">
        <v>180</v>
      </c>
      <c r="P29" s="20" t="n">
        <v>0</v>
      </c>
      <c r="Q29" s="21" t="n">
        <f aca="false">SUM(J29:P29)</f>
        <v>11251</v>
      </c>
      <c r="R29" s="22" t="n">
        <v>2100</v>
      </c>
      <c r="S29" s="21" t="n">
        <f aca="false">Q29-R29</f>
        <v>9151</v>
      </c>
      <c r="T29" s="10" t="s">
        <v>978</v>
      </c>
      <c r="U29" s="10"/>
      <c r="V29" s="10" t="s">
        <v>1197</v>
      </c>
      <c r="W29" s="10"/>
      <c r="X29" s="10" t="s">
        <v>1041</v>
      </c>
      <c r="Y29" s="10" t="s">
        <v>1307</v>
      </c>
    </row>
    <row r="30" customFormat="false" ht="15" hidden="false" customHeight="false" outlineLevel="0" collapsed="false">
      <c r="A30" s="10" t="s">
        <v>198</v>
      </c>
      <c r="B30" s="10" t="s">
        <v>1308</v>
      </c>
      <c r="C30" s="10" t="s">
        <v>1126</v>
      </c>
      <c r="D30" s="10" t="s">
        <v>1309</v>
      </c>
      <c r="E30" s="19" t="n">
        <v>1</v>
      </c>
      <c r="F30" s="10" t="s">
        <v>1194</v>
      </c>
      <c r="G30" s="10" t="s">
        <v>1310</v>
      </c>
      <c r="H30" s="10" t="s">
        <v>1128</v>
      </c>
      <c r="I30" s="10" t="s">
        <v>1196</v>
      </c>
      <c r="J30" s="20" t="n">
        <v>76200</v>
      </c>
      <c r="K30" s="20" t="n">
        <v>2286</v>
      </c>
      <c r="L30" s="20" t="n">
        <v>3100</v>
      </c>
      <c r="M30" s="20" t="n">
        <v>2400</v>
      </c>
      <c r="N30" s="20" t="n">
        <v>0</v>
      </c>
      <c r="O30" s="20" t="n">
        <v>600</v>
      </c>
      <c r="P30" s="20" t="n">
        <v>0</v>
      </c>
      <c r="Q30" s="21" t="n">
        <f aca="false">SUM(J30:P30)</f>
        <v>84586</v>
      </c>
      <c r="R30" s="22" t="n">
        <v>5200</v>
      </c>
      <c r="S30" s="21" t="n">
        <f aca="false">Q30-R30</f>
        <v>79386</v>
      </c>
      <c r="T30" s="10" t="s">
        <v>978</v>
      </c>
      <c r="U30" s="10"/>
      <c r="V30" s="10" t="s">
        <v>1197</v>
      </c>
      <c r="W30" s="10"/>
      <c r="X30" s="10" t="s">
        <v>1041</v>
      </c>
      <c r="Y30" s="10" t="s">
        <v>1311</v>
      </c>
    </row>
    <row r="31" customFormat="false" ht="15" hidden="false" customHeight="false" outlineLevel="0" collapsed="false">
      <c r="A31" s="10" t="s">
        <v>203</v>
      </c>
      <c r="B31" s="10" t="s">
        <v>1312</v>
      </c>
      <c r="C31" s="10" t="s">
        <v>1130</v>
      </c>
      <c r="D31" s="10" t="s">
        <v>1313</v>
      </c>
      <c r="E31" s="19" t="n">
        <v>1</v>
      </c>
      <c r="F31" s="10" t="s">
        <v>1194</v>
      </c>
      <c r="G31" s="10" t="s">
        <v>1314</v>
      </c>
      <c r="H31" s="10" t="s">
        <v>1133</v>
      </c>
      <c r="I31" s="10" t="s">
        <v>1196</v>
      </c>
      <c r="J31" s="20" t="n">
        <v>8420</v>
      </c>
      <c r="K31" s="20" t="n">
        <v>421</v>
      </c>
      <c r="L31" s="20" t="n">
        <v>1180</v>
      </c>
      <c r="M31" s="20" t="n">
        <v>1050</v>
      </c>
      <c r="N31" s="20" t="n">
        <v>0</v>
      </c>
      <c r="O31" s="20" t="n">
        <v>180</v>
      </c>
      <c r="P31" s="20" t="n">
        <v>0</v>
      </c>
      <c r="Q31" s="21" t="n">
        <f aca="false">SUM(J31:P31)</f>
        <v>11251</v>
      </c>
      <c r="R31" s="22" t="n">
        <v>2100</v>
      </c>
      <c r="S31" s="21" t="n">
        <f aca="false">Q31-R31</f>
        <v>9151</v>
      </c>
      <c r="T31" s="10" t="s">
        <v>978</v>
      </c>
      <c r="U31" s="10"/>
      <c r="V31" s="10" t="s">
        <v>1197</v>
      </c>
      <c r="W31" s="10"/>
      <c r="X31" s="10" t="s">
        <v>1041</v>
      </c>
      <c r="Y31" s="10" t="s">
        <v>1315</v>
      </c>
    </row>
    <row r="32" customFormat="false" ht="15" hidden="false" customHeight="false" outlineLevel="0" collapsed="false">
      <c r="A32" s="10" t="s">
        <v>259</v>
      </c>
      <c r="B32" s="10" t="s">
        <v>1316</v>
      </c>
      <c r="C32" s="10" t="s">
        <v>1135</v>
      </c>
      <c r="D32" s="10" t="s">
        <v>1317</v>
      </c>
      <c r="E32" s="19" t="n">
        <v>1</v>
      </c>
      <c r="F32" s="10" t="s">
        <v>1194</v>
      </c>
      <c r="G32" s="10" t="s">
        <v>1318</v>
      </c>
      <c r="H32" s="10" t="s">
        <v>1138</v>
      </c>
      <c r="I32" s="10" t="s">
        <v>1196</v>
      </c>
      <c r="J32" s="20" t="n">
        <v>8420</v>
      </c>
      <c r="K32" s="20" t="n">
        <v>421</v>
      </c>
      <c r="L32" s="20" t="n">
        <v>1180</v>
      </c>
      <c r="M32" s="20" t="n">
        <v>1050</v>
      </c>
      <c r="N32" s="20" t="n">
        <v>0</v>
      </c>
      <c r="O32" s="20" t="n">
        <v>180</v>
      </c>
      <c r="P32" s="20" t="n">
        <v>0</v>
      </c>
      <c r="Q32" s="21" t="n">
        <f aca="false">SUM(J32:P32)</f>
        <v>11251</v>
      </c>
      <c r="R32" s="22" t="n">
        <v>2100</v>
      </c>
      <c r="S32" s="21" t="n">
        <f aca="false">Q32-R32</f>
        <v>9151</v>
      </c>
      <c r="T32" s="10" t="s">
        <v>978</v>
      </c>
      <c r="U32" s="10"/>
      <c r="V32" s="10" t="s">
        <v>1197</v>
      </c>
      <c r="W32" s="10"/>
      <c r="X32" s="10" t="s">
        <v>1041</v>
      </c>
      <c r="Y32" s="10" t="s">
        <v>1319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3" min="3" style="0" width="22"/>
    <col collapsed="false" customWidth="true" hidden="false" outlineLevel="0" max="4" min="4" style="0" width="8"/>
    <col collapsed="false" customWidth="true" hidden="false" outlineLevel="0" max="5" min="5" style="0" width="15"/>
    <col collapsed="false" customWidth="true" hidden="false" outlineLevel="0" max="6" min="6" style="0" width="14"/>
    <col collapsed="false" customWidth="true" hidden="false" outlineLevel="0" max="7" min="7" style="0" width="11"/>
    <col collapsed="false" customWidth="true" hidden="false" outlineLevel="0" max="8" min="8" style="0" width="8"/>
    <col collapsed="false" customWidth="true" hidden="false" outlineLevel="0" max="9" min="9" style="0" width="10"/>
    <col collapsed="false" customWidth="true" hidden="false" outlineLevel="0" max="10" min="10" style="0" width="11"/>
    <col collapsed="false" customWidth="true" hidden="false" outlineLevel="0" max="11" min="11" style="0" width="8"/>
    <col collapsed="false" customWidth="true" hidden="false" outlineLevel="0" max="13" min="12" style="0" width="12"/>
    <col collapsed="false" customWidth="true" hidden="false" outlineLevel="0" max="14" min="14" style="0" width="11"/>
    <col collapsed="false" customWidth="true" hidden="false" outlineLevel="0" max="15" min="15" style="0" width="12"/>
    <col collapsed="false" customWidth="true" hidden="false" outlineLevel="0" max="16" min="16" style="0" width="11"/>
    <col collapsed="false" customWidth="true" hidden="false" outlineLevel="0" max="17" min="17" style="0" width="12"/>
    <col collapsed="false" customWidth="true" hidden="false" outlineLevel="0" max="18" min="18" style="0" width="18"/>
    <col collapsed="false" customWidth="true" hidden="false" outlineLevel="0" max="19" min="19" style="0" width="15"/>
    <col collapsed="false" customWidth="true" hidden="false" outlineLevel="0" max="20" min="20" style="0" width="32"/>
    <col collapsed="false" customWidth="true" hidden="false" outlineLevel="0" max="21" min="21" style="0" width="8"/>
    <col collapsed="false" customWidth="true" hidden="false" outlineLevel="0" max="22" min="22" style="0" width="19"/>
  </cols>
  <sheetData>
    <row r="1" customFormat="false" ht="16.15" hidden="false" customHeight="false" outlineLevel="0" collapsed="false">
      <c r="A1" s="8" t="s">
        <v>1320</v>
      </c>
    </row>
    <row r="2" customFormat="false" ht="30" hidden="false" customHeight="true" outlineLevel="0" collapsed="false">
      <c r="A2" s="9" t="s">
        <v>42</v>
      </c>
      <c r="B2" s="9" t="s">
        <v>1321</v>
      </c>
      <c r="C2" s="9" t="s">
        <v>1322</v>
      </c>
      <c r="D2" s="9" t="s">
        <v>1323</v>
      </c>
      <c r="E2" s="9" t="s">
        <v>899</v>
      </c>
      <c r="F2" s="9" t="s">
        <v>1169</v>
      </c>
      <c r="G2" s="9" t="s">
        <v>1174</v>
      </c>
      <c r="H2" s="9" t="s">
        <v>1324</v>
      </c>
      <c r="I2" s="9" t="s">
        <v>1325</v>
      </c>
      <c r="J2" s="9" t="s">
        <v>1326</v>
      </c>
      <c r="K2" s="9" t="s">
        <v>1327</v>
      </c>
      <c r="L2" s="9" t="s">
        <v>1328</v>
      </c>
      <c r="M2" s="9" t="s">
        <v>1329</v>
      </c>
      <c r="N2" s="9" t="s">
        <v>1330</v>
      </c>
      <c r="O2" s="9" t="s">
        <v>1331</v>
      </c>
      <c r="P2" s="9" t="s">
        <v>1332</v>
      </c>
      <c r="Q2" s="9" t="s">
        <v>1333</v>
      </c>
      <c r="R2" s="9" t="s">
        <v>1334</v>
      </c>
      <c r="S2" s="9" t="s">
        <v>1335</v>
      </c>
      <c r="T2" s="9" t="s">
        <v>1336</v>
      </c>
      <c r="U2" s="9" t="s">
        <v>1337</v>
      </c>
      <c r="V2" s="9" t="s">
        <v>1338</v>
      </c>
    </row>
    <row r="3" customFormat="false" ht="15" hidden="false" customHeight="false" outlineLevel="0" collapsed="false">
      <c r="A3" s="10" t="s">
        <v>88</v>
      </c>
      <c r="B3" s="10" t="s">
        <v>1339</v>
      </c>
      <c r="C3" s="10" t="s">
        <v>1340</v>
      </c>
      <c r="D3" s="10" t="n">
        <v>1</v>
      </c>
      <c r="E3" s="10" t="s">
        <v>970</v>
      </c>
      <c r="F3" s="10" t="s">
        <v>1192</v>
      </c>
      <c r="G3" s="10" t="s">
        <v>980</v>
      </c>
      <c r="H3" s="10" t="s">
        <v>976</v>
      </c>
      <c r="I3" s="10" t="s">
        <v>1341</v>
      </c>
      <c r="J3" s="20" t="n">
        <v>9151</v>
      </c>
      <c r="K3" s="10" t="s">
        <v>1196</v>
      </c>
      <c r="L3" s="10" t="s">
        <v>1342</v>
      </c>
      <c r="M3" s="23" t="n">
        <f aca="false">SUMIFS(FUEL_TICKET!$Z:$Z,FUEL_TICKET!$I:$I,$B3)</f>
        <v>9151.1</v>
      </c>
      <c r="N3" s="24" t="n">
        <f aca="false">COUNTIFS(FUEL_TICKET!$I:$I,$B3)</f>
        <v>1</v>
      </c>
      <c r="O3" s="25" t="n">
        <f aca="false">ROUND(M3-J3,1)</f>
        <v>0.1</v>
      </c>
      <c r="P3" s="26" t="n">
        <f aca="false">IF(J3=0,"",O3/ABS(J3))</f>
        <v>1.09277674571085E-005</v>
      </c>
      <c r="Q3" s="25" t="n">
        <f aca="false">MAX(50,0.01*ABS(J3))</f>
        <v>91.51</v>
      </c>
      <c r="R3" s="27" t="str">
        <f aca="false">IF(S3="SUPERSEDED","NOT_APPLICABLE",IF(N3=0,"NOT_DELIVERED",IF(ABS(O3)&lt;=Q3,"WITHIN_TOLERANCE",IF(O3&lt;0,"UNDER_DELIVERED","OVER_DELIVERED"))))</f>
        <v>WITHIN_TOLERANCE</v>
      </c>
      <c r="S3" s="10" t="s">
        <v>1343</v>
      </c>
      <c r="T3" s="11"/>
      <c r="U3" s="10" t="s">
        <v>990</v>
      </c>
      <c r="V3" s="10" t="s">
        <v>1344</v>
      </c>
    </row>
    <row r="4" customFormat="false" ht="15" hidden="false" customHeight="false" outlineLevel="0" collapsed="false">
      <c r="A4" s="10" t="s">
        <v>94</v>
      </c>
      <c r="B4" s="10" t="s">
        <v>1345</v>
      </c>
      <c r="C4" s="10" t="s">
        <v>1346</v>
      </c>
      <c r="D4" s="10" t="n">
        <v>1</v>
      </c>
      <c r="E4" s="10" t="s">
        <v>994</v>
      </c>
      <c r="F4" s="10" t="s">
        <v>1199</v>
      </c>
      <c r="G4" s="10" t="s">
        <v>996</v>
      </c>
      <c r="H4" s="10" t="s">
        <v>976</v>
      </c>
      <c r="I4" s="10" t="s">
        <v>1341</v>
      </c>
      <c r="J4" s="20" t="n">
        <v>9201</v>
      </c>
      <c r="K4" s="10" t="s">
        <v>1196</v>
      </c>
      <c r="L4" s="10" t="s">
        <v>1342</v>
      </c>
      <c r="M4" s="23" t="n">
        <f aca="false">SUMIFS(FUEL_TICKET!$Z:$Z,FUEL_TICKET!$I:$I,$B4)</f>
        <v>0</v>
      </c>
      <c r="N4" s="24" t="n">
        <f aca="false">COUNTIFS(FUEL_TICKET!$I:$I,$B4)</f>
        <v>0</v>
      </c>
      <c r="O4" s="25" t="n">
        <f aca="false">ROUND(M4-J4,1)</f>
        <v>-9201</v>
      </c>
      <c r="P4" s="26" t="n">
        <f aca="false">IF(J4=0,"",O4/ABS(J4))</f>
        <v>-1</v>
      </c>
      <c r="Q4" s="25" t="n">
        <f aca="false">MAX(50,0.01*ABS(J4))</f>
        <v>92.01</v>
      </c>
      <c r="R4" s="27" t="str">
        <f aca="false">IF(S4="SUPERSEDED","NOT_APPLICABLE",IF(N4=0,"NOT_DELIVERED",IF(ABS(O4)&lt;=Q4,"WITHIN_TOLERANCE",IF(O4&lt;0,"UNDER_DELIVERED","OVER_DELIVERED"))))</f>
        <v>NOT_APPLICABLE</v>
      </c>
      <c r="S4" s="10" t="s">
        <v>1202</v>
      </c>
      <c r="T4" s="11"/>
      <c r="U4" s="10" t="s">
        <v>978</v>
      </c>
      <c r="V4" s="10" t="s">
        <v>1347</v>
      </c>
    </row>
    <row r="5" customFormat="false" ht="15" hidden="false" customHeight="false" outlineLevel="0" collapsed="false">
      <c r="A5" s="10" t="s">
        <v>94</v>
      </c>
      <c r="B5" s="10" t="s">
        <v>1348</v>
      </c>
      <c r="C5" s="10" t="s">
        <v>1346</v>
      </c>
      <c r="D5" s="10" t="n">
        <v>2</v>
      </c>
      <c r="E5" s="10" t="s">
        <v>994</v>
      </c>
      <c r="F5" s="10" t="s">
        <v>1204</v>
      </c>
      <c r="G5" s="10" t="s">
        <v>996</v>
      </c>
      <c r="H5" s="10" t="s">
        <v>976</v>
      </c>
      <c r="I5" s="10" t="s">
        <v>1341</v>
      </c>
      <c r="J5" s="20" t="n">
        <v>9485</v>
      </c>
      <c r="K5" s="10" t="s">
        <v>1196</v>
      </c>
      <c r="L5" s="10" t="s">
        <v>1349</v>
      </c>
      <c r="M5" s="23" t="n">
        <f aca="false">SUMIFS(FUEL_TICKET!$Z:$Z,FUEL_TICKET!$I:$I,$B5)</f>
        <v>9485.3</v>
      </c>
      <c r="N5" s="24" t="n">
        <f aca="false">COUNTIFS(FUEL_TICKET!$I:$I,$B5)</f>
        <v>1</v>
      </c>
      <c r="O5" s="25" t="n">
        <f aca="false">ROUND(M5-J5,1)</f>
        <v>0.3</v>
      </c>
      <c r="P5" s="26" t="n">
        <f aca="false">IF(J5=0,"",O5/ABS(J5))</f>
        <v>3.16288877174486E-005</v>
      </c>
      <c r="Q5" s="25" t="n">
        <f aca="false">MAX(50,0.01*ABS(J5))</f>
        <v>94.85</v>
      </c>
      <c r="R5" s="27" t="str">
        <f aca="false">IF(S5="SUPERSEDED","NOT_APPLICABLE",IF(N5=0,"NOT_DELIVERED",IF(ABS(O5)&lt;=Q5,"WITHIN_TOLERANCE",IF(O5&lt;0,"UNDER_DELIVERED","OVER_DELIVERED"))))</f>
        <v>WITHIN_TOLERANCE</v>
      </c>
      <c r="S5" s="10" t="s">
        <v>1343</v>
      </c>
      <c r="T5" s="11"/>
      <c r="U5" s="10" t="s">
        <v>990</v>
      </c>
      <c r="V5" s="10" t="s">
        <v>1350</v>
      </c>
    </row>
    <row r="6" customFormat="false" ht="15" hidden="false" customHeight="false" outlineLevel="0" collapsed="false">
      <c r="A6" s="10" t="s">
        <v>100</v>
      </c>
      <c r="B6" s="10" t="s">
        <v>1351</v>
      </c>
      <c r="C6" s="10" t="s">
        <v>1352</v>
      </c>
      <c r="D6" s="10" t="n">
        <v>1</v>
      </c>
      <c r="E6" s="10" t="s">
        <v>1002</v>
      </c>
      <c r="F6" s="10" t="s">
        <v>1208</v>
      </c>
      <c r="G6" s="10" t="s">
        <v>1004</v>
      </c>
      <c r="H6" s="10" t="s">
        <v>976</v>
      </c>
      <c r="I6" s="10" t="s">
        <v>1341</v>
      </c>
      <c r="J6" s="20" t="n">
        <v>9151</v>
      </c>
      <c r="K6" s="10" t="s">
        <v>1196</v>
      </c>
      <c r="L6" s="10" t="s">
        <v>1342</v>
      </c>
      <c r="M6" s="23" t="n">
        <f aca="false">SUMIFS(FUEL_TICKET!$Z:$Z,FUEL_TICKET!$I:$I,$B6)</f>
        <v>9151.9</v>
      </c>
      <c r="N6" s="24" t="n">
        <f aca="false">COUNTIFS(FUEL_TICKET!$I:$I,$B6)</f>
        <v>1</v>
      </c>
      <c r="O6" s="25" t="n">
        <f aca="false">ROUND(M6-J6,1)</f>
        <v>0.9</v>
      </c>
      <c r="P6" s="26" t="n">
        <f aca="false">IF(J6=0,"",O6/ABS(J6))</f>
        <v>9.83499071139766E-005</v>
      </c>
      <c r="Q6" s="25" t="n">
        <f aca="false">MAX(50,0.01*ABS(J6))</f>
        <v>91.51</v>
      </c>
      <c r="R6" s="27" t="str">
        <f aca="false">IF(S6="SUPERSEDED","NOT_APPLICABLE",IF(N6=0,"NOT_DELIVERED",IF(ABS(O6)&lt;=Q6,"WITHIN_TOLERANCE",IF(O6&lt;0,"UNDER_DELIVERED","OVER_DELIVERED"))))</f>
        <v>WITHIN_TOLERANCE</v>
      </c>
      <c r="S6" s="10" t="s">
        <v>1343</v>
      </c>
      <c r="T6" s="11"/>
      <c r="U6" s="10" t="s">
        <v>990</v>
      </c>
      <c r="V6" s="10" t="s">
        <v>1353</v>
      </c>
    </row>
    <row r="7" customFormat="false" ht="15" hidden="false" customHeight="false" outlineLevel="0" collapsed="false">
      <c r="A7" s="10" t="s">
        <v>100</v>
      </c>
      <c r="B7" s="10" t="s">
        <v>1354</v>
      </c>
      <c r="C7" s="10" t="s">
        <v>1355</v>
      </c>
      <c r="D7" s="10" t="n">
        <v>1</v>
      </c>
      <c r="E7" s="10" t="s">
        <v>1002</v>
      </c>
      <c r="F7" s="10" t="s">
        <v>1212</v>
      </c>
      <c r="G7" s="10" t="s">
        <v>1004</v>
      </c>
      <c r="H7" s="10" t="s">
        <v>976</v>
      </c>
      <c r="I7" s="10" t="s">
        <v>1341</v>
      </c>
      <c r="J7" s="20" t="n">
        <v>747</v>
      </c>
      <c r="K7" s="10" t="s">
        <v>1196</v>
      </c>
      <c r="L7" s="10" t="s">
        <v>1356</v>
      </c>
      <c r="M7" s="23" t="n">
        <f aca="false">SUMIFS(FUEL_TICKET!$Z:$Z,FUEL_TICKET!$I:$I,$B7)</f>
        <v>746.7</v>
      </c>
      <c r="N7" s="24" t="n">
        <f aca="false">COUNTIFS(FUEL_TICKET!$I:$I,$B7)</f>
        <v>1</v>
      </c>
      <c r="O7" s="25" t="n">
        <f aca="false">ROUND(M7-J7,1)</f>
        <v>-0.3</v>
      </c>
      <c r="P7" s="26" t="n">
        <f aca="false">IF(J7=0,"",O7/ABS(J7))</f>
        <v>-0.000401606425702811</v>
      </c>
      <c r="Q7" s="25" t="n">
        <f aca="false">MAX(50,0.01*ABS(J7))</f>
        <v>50</v>
      </c>
      <c r="R7" s="27" t="str">
        <f aca="false">IF(S7="SUPERSEDED","NOT_APPLICABLE",IF(N7=0,"NOT_DELIVERED",IF(ABS(O7)&lt;=Q7,"WITHIN_TOLERANCE",IF(O7&lt;0,"UNDER_DELIVERED","OVER_DELIVERED"))))</f>
        <v>WITHIN_TOLERANCE</v>
      </c>
      <c r="S7" s="10" t="s">
        <v>1343</v>
      </c>
      <c r="T7" s="11"/>
      <c r="U7" s="10" t="s">
        <v>990</v>
      </c>
      <c r="V7" s="10" t="s">
        <v>1357</v>
      </c>
    </row>
    <row r="8" customFormat="false" ht="15" hidden="false" customHeight="false" outlineLevel="0" collapsed="false">
      <c r="A8" s="10" t="s">
        <v>105</v>
      </c>
      <c r="B8" s="10" t="s">
        <v>1358</v>
      </c>
      <c r="C8" s="10" t="s">
        <v>1359</v>
      </c>
      <c r="D8" s="10" t="n">
        <v>1</v>
      </c>
      <c r="E8" s="10" t="s">
        <v>1010</v>
      </c>
      <c r="F8" s="10" t="s">
        <v>1218</v>
      </c>
      <c r="G8" s="10" t="s">
        <v>980</v>
      </c>
      <c r="H8" s="10" t="s">
        <v>976</v>
      </c>
      <c r="I8" s="10" t="s">
        <v>1341</v>
      </c>
      <c r="J8" s="20" t="n">
        <v>9151</v>
      </c>
      <c r="K8" s="10" t="s">
        <v>1196</v>
      </c>
      <c r="L8" s="10" t="s">
        <v>1342</v>
      </c>
      <c r="M8" s="23" t="n">
        <f aca="false">SUMIFS(FUEL_TICKET!$Z:$Z,FUEL_TICKET!$I:$I,$B8)</f>
        <v>9151.9</v>
      </c>
      <c r="N8" s="24" t="n">
        <f aca="false">COUNTIFS(FUEL_TICKET!$I:$I,$B8)</f>
        <v>1</v>
      </c>
      <c r="O8" s="25" t="n">
        <f aca="false">ROUND(M8-J8,1)</f>
        <v>0.9</v>
      </c>
      <c r="P8" s="26" t="n">
        <f aca="false">IF(J8=0,"",O8/ABS(J8))</f>
        <v>9.83499071139766E-005</v>
      </c>
      <c r="Q8" s="25" t="n">
        <f aca="false">MAX(50,0.01*ABS(J8))</f>
        <v>91.51</v>
      </c>
      <c r="R8" s="27" t="str">
        <f aca="false">IF(S8="SUPERSEDED","NOT_APPLICABLE",IF(N8=0,"NOT_DELIVERED",IF(ABS(O8)&lt;=Q8,"WITHIN_TOLERANCE",IF(O8&lt;0,"UNDER_DELIVERED","OVER_DELIVERED"))))</f>
        <v>WITHIN_TOLERANCE</v>
      </c>
      <c r="S8" s="10" t="s">
        <v>1343</v>
      </c>
      <c r="T8" s="11"/>
      <c r="U8" s="10" t="s">
        <v>990</v>
      </c>
      <c r="V8" s="10" t="s">
        <v>1360</v>
      </c>
    </row>
    <row r="9" customFormat="false" ht="15" hidden="false" customHeight="false" outlineLevel="0" collapsed="false">
      <c r="A9" s="10" t="s">
        <v>105</v>
      </c>
      <c r="B9" s="10" t="s">
        <v>1361</v>
      </c>
      <c r="C9" s="10" t="s">
        <v>1362</v>
      </c>
      <c r="D9" s="10" t="n">
        <v>1</v>
      </c>
      <c r="E9" s="10" t="s">
        <v>1010</v>
      </c>
      <c r="F9" s="10" t="s">
        <v>1222</v>
      </c>
      <c r="G9" s="10" t="s">
        <v>1012</v>
      </c>
      <c r="H9" s="10" t="s">
        <v>976</v>
      </c>
      <c r="I9" s="10" t="s">
        <v>1341</v>
      </c>
      <c r="J9" s="20" t="n">
        <v>6446</v>
      </c>
      <c r="K9" s="10" t="s">
        <v>1196</v>
      </c>
      <c r="L9" s="10" t="s">
        <v>1342</v>
      </c>
      <c r="M9" s="23" t="n">
        <f aca="false">SUMIFS(FUEL_TICKET!$Z:$Z,FUEL_TICKET!$I:$I,$B9)</f>
        <v>6445.6</v>
      </c>
      <c r="N9" s="24" t="n">
        <f aca="false">COUNTIFS(FUEL_TICKET!$I:$I,$B9)</f>
        <v>1</v>
      </c>
      <c r="O9" s="25" t="n">
        <f aca="false">ROUND(M9-J9,1)</f>
        <v>-0.4</v>
      </c>
      <c r="P9" s="26" t="n">
        <f aca="false">IF(J9=0,"",O9/ABS(J9))</f>
        <v>-6.20539869686628E-005</v>
      </c>
      <c r="Q9" s="25" t="n">
        <f aca="false">MAX(50,0.01*ABS(J9))</f>
        <v>64.46</v>
      </c>
      <c r="R9" s="27" t="str">
        <f aca="false">IF(S9="SUPERSEDED","NOT_APPLICABLE",IF(N9=0,"NOT_DELIVERED",IF(ABS(O9)&lt;=Q9,"WITHIN_TOLERANCE",IF(O9&lt;0,"UNDER_DELIVERED","OVER_DELIVERED"))))</f>
        <v>WITHIN_TOLERANCE</v>
      </c>
      <c r="S9" s="10" t="s">
        <v>1343</v>
      </c>
      <c r="T9" s="11"/>
      <c r="U9" s="10" t="s">
        <v>990</v>
      </c>
      <c r="V9" s="10" t="s">
        <v>1363</v>
      </c>
    </row>
    <row r="10" customFormat="false" ht="15" hidden="false" customHeight="false" outlineLevel="0" collapsed="false">
      <c r="A10" s="10" t="s">
        <v>111</v>
      </c>
      <c r="B10" s="10" t="s">
        <v>1364</v>
      </c>
      <c r="C10" s="10" t="s">
        <v>1365</v>
      </c>
      <c r="D10" s="10" t="n">
        <v>1</v>
      </c>
      <c r="E10" s="10" t="s">
        <v>1018</v>
      </c>
      <c r="F10" s="10" t="s">
        <v>1225</v>
      </c>
      <c r="G10" s="10" t="s">
        <v>1023</v>
      </c>
      <c r="H10" s="10" t="s">
        <v>976</v>
      </c>
      <c r="I10" s="10" t="s">
        <v>1341</v>
      </c>
      <c r="J10" s="20" t="n">
        <v>100192</v>
      </c>
      <c r="K10" s="10" t="s">
        <v>1196</v>
      </c>
      <c r="L10" s="10" t="s">
        <v>1342</v>
      </c>
      <c r="M10" s="23" t="n">
        <f aca="false">SUMIFS(FUEL_TICKET!$Z:$Z,FUEL_TICKET!$I:$I,$B10)</f>
        <v>100191.7</v>
      </c>
      <c r="N10" s="24" t="n">
        <f aca="false">COUNTIFS(FUEL_TICKET!$I:$I,$B10)</f>
        <v>2</v>
      </c>
      <c r="O10" s="25" t="n">
        <f aca="false">ROUND(M10-J10,1)</f>
        <v>-0.3</v>
      </c>
      <c r="P10" s="26" t="n">
        <f aca="false">IF(J10=0,"",O10/ABS(J10))</f>
        <v>-2.99425103800703E-006</v>
      </c>
      <c r="Q10" s="25" t="n">
        <f aca="false">MAX(50,0.01*ABS(J10))</f>
        <v>1001.92</v>
      </c>
      <c r="R10" s="27" t="str">
        <f aca="false">IF(S10="SUPERSEDED","NOT_APPLICABLE",IF(N10=0,"NOT_DELIVERED",IF(ABS(O10)&lt;=Q10,"WITHIN_TOLERANCE",IF(O10&lt;0,"UNDER_DELIVERED","OVER_DELIVERED"))))</f>
        <v>WITHIN_TOLERANCE</v>
      </c>
      <c r="S10" s="10" t="s">
        <v>1343</v>
      </c>
      <c r="T10" s="11"/>
      <c r="U10" s="10" t="s">
        <v>990</v>
      </c>
      <c r="V10" s="10" t="s">
        <v>1366</v>
      </c>
    </row>
    <row r="11" customFormat="false" ht="23.85" hidden="false" customHeight="false" outlineLevel="0" collapsed="false">
      <c r="A11" s="10" t="s">
        <v>117</v>
      </c>
      <c r="B11" s="10" t="s">
        <v>1367</v>
      </c>
      <c r="C11" s="10" t="s">
        <v>1368</v>
      </c>
      <c r="D11" s="10" t="n">
        <v>1</v>
      </c>
      <c r="E11" s="10" t="s">
        <v>1030</v>
      </c>
      <c r="F11" s="10" t="s">
        <v>1229</v>
      </c>
      <c r="G11" s="10" t="s">
        <v>1033</v>
      </c>
      <c r="H11" s="10" t="s">
        <v>976</v>
      </c>
      <c r="I11" s="10" t="s">
        <v>1341</v>
      </c>
      <c r="J11" s="20" t="n">
        <v>100192</v>
      </c>
      <c r="K11" s="10" t="s">
        <v>1196</v>
      </c>
      <c r="L11" s="10" t="s">
        <v>1342</v>
      </c>
      <c r="M11" s="23" t="n">
        <f aca="false">SUMIFS(FUEL_TICKET!$Z:$Z,FUEL_TICKET!$I:$I,$B11)</f>
        <v>64394</v>
      </c>
      <c r="N11" s="24" t="n">
        <f aca="false">COUNTIFS(FUEL_TICKET!$I:$I,$B11)</f>
        <v>2</v>
      </c>
      <c r="O11" s="25" t="n">
        <f aca="false">ROUND(M11-J11,1)</f>
        <v>-35798</v>
      </c>
      <c r="P11" s="26" t="n">
        <f aca="false">IF(J11=0,"",O11/ABS(J11))</f>
        <v>-0.357293995528585</v>
      </c>
      <c r="Q11" s="25" t="n">
        <f aca="false">MAX(50,0.01*ABS(J11))</f>
        <v>1001.92</v>
      </c>
      <c r="R11" s="27" t="str">
        <f aca="false">IF(S11="SUPERSEDED","NOT_APPLICABLE",IF(N11=0,"NOT_DELIVERED",IF(ABS(O11)&lt;=Q11,"WITHIN_TOLERANCE",IF(O11&lt;0,"UNDER_DELIVERED","OVER_DELIVERED"))))</f>
        <v>UNDER_DELIVERED</v>
      </c>
      <c r="S11" s="10" t="s">
        <v>1369</v>
      </c>
      <c r="T11" s="11" t="s">
        <v>1370</v>
      </c>
      <c r="U11" s="10" t="s">
        <v>990</v>
      </c>
      <c r="V11" s="10" t="s">
        <v>1371</v>
      </c>
    </row>
    <row r="12" customFormat="false" ht="15" hidden="false" customHeight="false" outlineLevel="0" collapsed="false">
      <c r="A12" s="10" t="s">
        <v>117</v>
      </c>
      <c r="B12" s="10" t="s">
        <v>1372</v>
      </c>
      <c r="C12" s="10" t="s">
        <v>1373</v>
      </c>
      <c r="D12" s="10" t="n">
        <v>1</v>
      </c>
      <c r="E12" s="10" t="s">
        <v>1030</v>
      </c>
      <c r="F12" s="10" t="s">
        <v>1233</v>
      </c>
      <c r="G12" s="10" t="s">
        <v>1033</v>
      </c>
      <c r="H12" s="10" t="s">
        <v>976</v>
      </c>
      <c r="I12" s="10" t="s">
        <v>1341</v>
      </c>
      <c r="J12" s="20" t="n">
        <v>38548</v>
      </c>
      <c r="K12" s="10" t="s">
        <v>1196</v>
      </c>
      <c r="L12" s="10" t="s">
        <v>1356</v>
      </c>
      <c r="M12" s="23" t="n">
        <f aca="false">SUMIFS(FUEL_TICKET!$Z:$Z,FUEL_TICKET!$I:$I,$B12)</f>
        <v>38548.3</v>
      </c>
      <c r="N12" s="24" t="n">
        <f aca="false">COUNTIFS(FUEL_TICKET!$I:$I,$B12)</f>
        <v>1</v>
      </c>
      <c r="O12" s="25" t="n">
        <f aca="false">ROUND(M12-J12,1)</f>
        <v>0.3</v>
      </c>
      <c r="P12" s="26" t="n">
        <f aca="false">IF(J12=0,"",O12/ABS(J12))</f>
        <v>7.78250492891979E-006</v>
      </c>
      <c r="Q12" s="25" t="n">
        <f aca="false">MAX(50,0.01*ABS(J12))</f>
        <v>385.48</v>
      </c>
      <c r="R12" s="27" t="str">
        <f aca="false">IF(S12="SUPERSEDED","NOT_APPLICABLE",IF(N12=0,"NOT_DELIVERED",IF(ABS(O12)&lt;=Q12,"WITHIN_TOLERANCE",IF(O12&lt;0,"UNDER_DELIVERED","OVER_DELIVERED"))))</f>
        <v>WITHIN_TOLERANCE</v>
      </c>
      <c r="S12" s="10" t="s">
        <v>1343</v>
      </c>
      <c r="T12" s="11"/>
      <c r="U12" s="10" t="s">
        <v>990</v>
      </c>
      <c r="V12" s="10" t="s">
        <v>1374</v>
      </c>
    </row>
    <row r="13" customFormat="false" ht="15" hidden="false" customHeight="false" outlineLevel="0" collapsed="false">
      <c r="A13" s="10" t="s">
        <v>122</v>
      </c>
      <c r="B13" s="10" t="s">
        <v>1375</v>
      </c>
      <c r="C13" s="10" t="s">
        <v>1376</v>
      </c>
      <c r="D13" s="10" t="n">
        <v>1</v>
      </c>
      <c r="E13" s="10" t="s">
        <v>1036</v>
      </c>
      <c r="F13" s="10" t="s">
        <v>1238</v>
      </c>
      <c r="G13" s="10" t="s">
        <v>1038</v>
      </c>
      <c r="H13" s="10" t="s">
        <v>976</v>
      </c>
      <c r="I13" s="10" t="s">
        <v>1341</v>
      </c>
      <c r="J13" s="20" t="n">
        <v>9151</v>
      </c>
      <c r="K13" s="10" t="s">
        <v>1196</v>
      </c>
      <c r="L13" s="10" t="s">
        <v>1342</v>
      </c>
      <c r="M13" s="23" t="n">
        <f aca="false">SUMIFS(FUEL_TICKET!$Z:$Z,FUEL_TICKET!$I:$I,$B13)</f>
        <v>9151.9</v>
      </c>
      <c r="N13" s="24" t="n">
        <f aca="false">COUNTIFS(FUEL_TICKET!$I:$I,$B13)</f>
        <v>1</v>
      </c>
      <c r="O13" s="25" t="n">
        <f aca="false">ROUND(M13-J13,1)</f>
        <v>0.9</v>
      </c>
      <c r="P13" s="26" t="n">
        <f aca="false">IF(J13=0,"",O13/ABS(J13))</f>
        <v>9.83499071139766E-005</v>
      </c>
      <c r="Q13" s="25" t="n">
        <f aca="false">MAX(50,0.01*ABS(J13))</f>
        <v>91.51</v>
      </c>
      <c r="R13" s="27" t="str">
        <f aca="false">IF(S13="SUPERSEDED","NOT_APPLICABLE",IF(N13=0,"NOT_DELIVERED",IF(ABS(O13)&lt;=Q13,"WITHIN_TOLERANCE",IF(O13&lt;0,"UNDER_DELIVERED","OVER_DELIVERED"))))</f>
        <v>WITHIN_TOLERANCE</v>
      </c>
      <c r="S13" s="10" t="s">
        <v>1343</v>
      </c>
      <c r="T13" s="11"/>
      <c r="U13" s="10" t="s">
        <v>990</v>
      </c>
      <c r="V13" s="10" t="s">
        <v>1377</v>
      </c>
    </row>
    <row r="14" customFormat="false" ht="15" hidden="false" customHeight="false" outlineLevel="0" collapsed="false">
      <c r="A14" s="10" t="s">
        <v>127</v>
      </c>
      <c r="B14" s="10" t="s">
        <v>1378</v>
      </c>
      <c r="C14" s="10" t="s">
        <v>1379</v>
      </c>
      <c r="D14" s="10" t="n">
        <v>1</v>
      </c>
      <c r="E14" s="10" t="s">
        <v>1045</v>
      </c>
      <c r="F14" s="10" t="s">
        <v>1243</v>
      </c>
      <c r="G14" s="10" t="s">
        <v>1047</v>
      </c>
      <c r="H14" s="10" t="s">
        <v>976</v>
      </c>
      <c r="I14" s="10" t="s">
        <v>1341</v>
      </c>
      <c r="J14" s="20" t="n">
        <v>9151</v>
      </c>
      <c r="K14" s="10" t="s">
        <v>1196</v>
      </c>
      <c r="L14" s="10" t="s">
        <v>1342</v>
      </c>
      <c r="M14" s="23" t="n">
        <f aca="false">SUMIFS(FUEL_TICKET!$Z:$Z,FUEL_TICKET!$I:$I,$B14)</f>
        <v>9151.9</v>
      </c>
      <c r="N14" s="24" t="n">
        <f aca="false">COUNTIFS(FUEL_TICKET!$I:$I,$B14)</f>
        <v>1</v>
      </c>
      <c r="O14" s="25" t="n">
        <f aca="false">ROUND(M14-J14,1)</f>
        <v>0.9</v>
      </c>
      <c r="P14" s="26" t="n">
        <f aca="false">IF(J14=0,"",O14/ABS(J14))</f>
        <v>9.83499071139766E-005</v>
      </c>
      <c r="Q14" s="25" t="n">
        <f aca="false">MAX(50,0.01*ABS(J14))</f>
        <v>91.51</v>
      </c>
      <c r="R14" s="27" t="str">
        <f aca="false">IF(S14="SUPERSEDED","NOT_APPLICABLE",IF(N14=0,"NOT_DELIVERED",IF(ABS(O14)&lt;=Q14,"WITHIN_TOLERANCE",IF(O14&lt;0,"UNDER_DELIVERED","OVER_DELIVERED"))))</f>
        <v>WITHIN_TOLERANCE</v>
      </c>
      <c r="S14" s="10" t="s">
        <v>1343</v>
      </c>
      <c r="T14" s="11"/>
      <c r="U14" s="10" t="s">
        <v>990</v>
      </c>
      <c r="V14" s="10" t="s">
        <v>1380</v>
      </c>
    </row>
    <row r="15" customFormat="false" ht="15" hidden="false" customHeight="false" outlineLevel="0" collapsed="false">
      <c r="A15" s="10" t="s">
        <v>127</v>
      </c>
      <c r="B15" s="10" t="s">
        <v>1381</v>
      </c>
      <c r="C15" s="10" t="s">
        <v>1382</v>
      </c>
      <c r="D15" s="10" t="n">
        <v>1</v>
      </c>
      <c r="E15" s="10" t="s">
        <v>1045</v>
      </c>
      <c r="F15" s="10" t="s">
        <v>1247</v>
      </c>
      <c r="G15" s="10" t="s">
        <v>1047</v>
      </c>
      <c r="H15" s="10" t="s">
        <v>976</v>
      </c>
      <c r="I15" s="10" t="s">
        <v>1341</v>
      </c>
      <c r="J15" s="20" t="n">
        <v>-1596</v>
      </c>
      <c r="K15" s="10" t="s">
        <v>1196</v>
      </c>
      <c r="L15" s="10" t="s">
        <v>1383</v>
      </c>
      <c r="M15" s="23" t="n">
        <f aca="false">SUMIFS(FUEL_TICKET!$Z:$Z,FUEL_TICKET!$I:$I,$B15)</f>
        <v>-1595.8</v>
      </c>
      <c r="N15" s="24" t="n">
        <f aca="false">COUNTIFS(FUEL_TICKET!$I:$I,$B15)</f>
        <v>1</v>
      </c>
      <c r="O15" s="25" t="n">
        <f aca="false">ROUND(M15-J15,1)</f>
        <v>0.2</v>
      </c>
      <c r="P15" s="26" t="n">
        <f aca="false">IF(J15=0,"",O15/ABS(J15))</f>
        <v>0.00012531328320802</v>
      </c>
      <c r="Q15" s="25" t="n">
        <f aca="false">MAX(50,0.01*ABS(J15))</f>
        <v>50</v>
      </c>
      <c r="R15" s="27" t="str">
        <f aca="false">IF(S15="SUPERSEDED","NOT_APPLICABLE",IF(N15=0,"NOT_DELIVERED",IF(ABS(O15)&lt;=Q15,"WITHIN_TOLERANCE",IF(O15&lt;0,"UNDER_DELIVERED","OVER_DELIVERED"))))</f>
        <v>WITHIN_TOLERANCE</v>
      </c>
      <c r="S15" s="10" t="s">
        <v>1343</v>
      </c>
      <c r="T15" s="11"/>
      <c r="U15" s="10" t="s">
        <v>990</v>
      </c>
      <c r="V15" s="10" t="s">
        <v>1384</v>
      </c>
    </row>
    <row r="16" customFormat="false" ht="15" hidden="false" customHeight="false" outlineLevel="0" collapsed="false">
      <c r="A16" s="10" t="s">
        <v>133</v>
      </c>
      <c r="B16" s="10" t="s">
        <v>1385</v>
      </c>
      <c r="C16" s="10" t="s">
        <v>1386</v>
      </c>
      <c r="D16" s="10" t="n">
        <v>1</v>
      </c>
      <c r="E16" s="10" t="s">
        <v>1052</v>
      </c>
      <c r="F16" s="10" t="s">
        <v>1250</v>
      </c>
      <c r="G16" s="10" t="s">
        <v>1054</v>
      </c>
      <c r="H16" s="10" t="s">
        <v>976</v>
      </c>
      <c r="I16" s="10" t="s">
        <v>1341</v>
      </c>
      <c r="J16" s="20" t="n">
        <v>100192</v>
      </c>
      <c r="K16" s="10" t="s">
        <v>1196</v>
      </c>
      <c r="L16" s="10" t="s">
        <v>1342</v>
      </c>
      <c r="M16" s="23" t="n">
        <f aca="false">SUMIFS(FUEL_TICKET!$Z:$Z,FUEL_TICKET!$I:$I,$B16)</f>
        <v>100168.5</v>
      </c>
      <c r="N16" s="24" t="n">
        <f aca="false">COUNTIFS(FUEL_TICKET!$I:$I,$B16)</f>
        <v>1</v>
      </c>
      <c r="O16" s="25" t="n">
        <f aca="false">ROUND(M16-J16,1)</f>
        <v>-23.5</v>
      </c>
      <c r="P16" s="26" t="n">
        <f aca="false">IF(J16=0,"",O16/ABS(J16))</f>
        <v>-0.000234549664643884</v>
      </c>
      <c r="Q16" s="25" t="n">
        <f aca="false">MAX(50,0.01*ABS(J16))</f>
        <v>1001.92</v>
      </c>
      <c r="R16" s="27" t="str">
        <f aca="false">IF(S16="SUPERSEDED","NOT_APPLICABLE",IF(N16=0,"NOT_DELIVERED",IF(ABS(O16)&lt;=Q16,"WITHIN_TOLERANCE",IF(O16&lt;0,"UNDER_DELIVERED","OVER_DELIVERED"))))</f>
        <v>WITHIN_TOLERANCE</v>
      </c>
      <c r="S16" s="10" t="s">
        <v>1343</v>
      </c>
      <c r="T16" s="11"/>
      <c r="U16" s="10" t="s">
        <v>990</v>
      </c>
      <c r="V16" s="10" t="s">
        <v>1371</v>
      </c>
    </row>
    <row r="17" customFormat="false" ht="15" hidden="false" customHeight="false" outlineLevel="0" collapsed="false">
      <c r="A17" s="10" t="s">
        <v>144</v>
      </c>
      <c r="B17" s="10" t="s">
        <v>1387</v>
      </c>
      <c r="C17" s="10" t="s">
        <v>1388</v>
      </c>
      <c r="D17" s="10" t="n">
        <v>1</v>
      </c>
      <c r="E17" s="10" t="s">
        <v>1068</v>
      </c>
      <c r="F17" s="10" t="s">
        <v>1261</v>
      </c>
      <c r="G17" s="10" t="s">
        <v>1070</v>
      </c>
      <c r="H17" s="10" t="s">
        <v>976</v>
      </c>
      <c r="I17" s="10" t="s">
        <v>1341</v>
      </c>
      <c r="J17" s="20" t="n">
        <v>10051</v>
      </c>
      <c r="K17" s="10" t="s">
        <v>1196</v>
      </c>
      <c r="L17" s="10" t="s">
        <v>1342</v>
      </c>
      <c r="M17" s="23" t="n">
        <f aca="false">SUMIFS(FUEL_TICKET!$Z:$Z,FUEL_TICKET!$I:$I,$B17)</f>
        <v>10050.5</v>
      </c>
      <c r="N17" s="24" t="n">
        <f aca="false">COUNTIFS(FUEL_TICKET!$I:$I,$B17)</f>
        <v>1</v>
      </c>
      <c r="O17" s="25" t="n">
        <f aca="false">ROUND(M17-J17,1)</f>
        <v>-0.5</v>
      </c>
      <c r="P17" s="26" t="n">
        <f aca="false">IF(J17=0,"",O17/ABS(J17))</f>
        <v>-4.97462939011044E-005</v>
      </c>
      <c r="Q17" s="25" t="n">
        <f aca="false">MAX(50,0.01*ABS(J17))</f>
        <v>100.51</v>
      </c>
      <c r="R17" s="27" t="str">
        <f aca="false">IF(S17="SUPERSEDED","NOT_APPLICABLE",IF(N17=0,"NOT_DELIVERED",IF(ABS(O17)&lt;=Q17,"WITHIN_TOLERANCE",IF(O17&lt;0,"UNDER_DELIVERED","OVER_DELIVERED"))))</f>
        <v>WITHIN_TOLERANCE</v>
      </c>
      <c r="S17" s="10" t="s">
        <v>1343</v>
      </c>
      <c r="T17" s="11"/>
      <c r="U17" s="10" t="s">
        <v>990</v>
      </c>
      <c r="V17" s="10" t="s">
        <v>1389</v>
      </c>
    </row>
    <row r="18" customFormat="false" ht="15" hidden="false" customHeight="false" outlineLevel="0" collapsed="false">
      <c r="A18" s="10" t="s">
        <v>149</v>
      </c>
      <c r="B18" s="10" t="s">
        <v>1390</v>
      </c>
      <c r="C18" s="10" t="s">
        <v>1391</v>
      </c>
      <c r="D18" s="10" t="n">
        <v>1</v>
      </c>
      <c r="E18" s="10" t="s">
        <v>1073</v>
      </c>
      <c r="F18" s="10" t="s">
        <v>1266</v>
      </c>
      <c r="G18" s="10" t="s">
        <v>1075</v>
      </c>
      <c r="H18" s="10" t="s">
        <v>976</v>
      </c>
      <c r="I18" s="10" t="s">
        <v>1341</v>
      </c>
      <c r="J18" s="20" t="n">
        <v>9151</v>
      </c>
      <c r="K18" s="10" t="s">
        <v>1196</v>
      </c>
      <c r="L18" s="10" t="s">
        <v>1342</v>
      </c>
      <c r="M18" s="23" t="n">
        <f aca="false">SUMIFS(FUEL_TICKET!$Z:$Z,FUEL_TICKET!$I:$I,$B18)</f>
        <v>9152.8</v>
      </c>
      <c r="N18" s="24" t="n">
        <f aca="false">COUNTIFS(FUEL_TICKET!$I:$I,$B18)</f>
        <v>1</v>
      </c>
      <c r="O18" s="25" t="n">
        <f aca="false">ROUND(M18-J18,1)</f>
        <v>1.8</v>
      </c>
      <c r="P18" s="26" t="n">
        <f aca="false">IF(J18=0,"",O18/ABS(J18))</f>
        <v>0.000196699814227953</v>
      </c>
      <c r="Q18" s="25" t="n">
        <f aca="false">MAX(50,0.01*ABS(J18))</f>
        <v>91.51</v>
      </c>
      <c r="R18" s="27" t="str">
        <f aca="false">IF(S18="SUPERSEDED","NOT_APPLICABLE",IF(N18=0,"NOT_DELIVERED",IF(ABS(O18)&lt;=Q18,"WITHIN_TOLERANCE",IF(O18&lt;0,"UNDER_DELIVERED","OVER_DELIVERED"))))</f>
        <v>WITHIN_TOLERANCE</v>
      </c>
      <c r="S18" s="10" t="s">
        <v>1343</v>
      </c>
      <c r="T18" s="11"/>
      <c r="U18" s="10" t="s">
        <v>990</v>
      </c>
      <c r="V18" s="10" t="s">
        <v>1392</v>
      </c>
    </row>
    <row r="19" customFormat="false" ht="15" hidden="false" customHeight="false" outlineLevel="0" collapsed="false">
      <c r="A19" s="10" t="s">
        <v>155</v>
      </c>
      <c r="B19" s="10" t="s">
        <v>1393</v>
      </c>
      <c r="C19" s="10" t="s">
        <v>1394</v>
      </c>
      <c r="D19" s="10" t="n">
        <v>1</v>
      </c>
      <c r="E19" s="10" t="s">
        <v>1077</v>
      </c>
      <c r="F19" s="10" t="s">
        <v>1270</v>
      </c>
      <c r="G19" s="10" t="s">
        <v>1079</v>
      </c>
      <c r="H19" s="10" t="s">
        <v>976</v>
      </c>
      <c r="I19" s="10" t="s">
        <v>1341</v>
      </c>
      <c r="J19" s="20" t="n">
        <v>100192</v>
      </c>
      <c r="K19" s="10" t="s">
        <v>1196</v>
      </c>
      <c r="L19" s="10" t="s">
        <v>1342</v>
      </c>
      <c r="M19" s="23" t="n">
        <f aca="false">SUMIFS(FUEL_TICKET!$Z:$Z,FUEL_TICKET!$I:$I,$B19)</f>
        <v>100171.7</v>
      </c>
      <c r="N19" s="24" t="n">
        <f aca="false">COUNTIFS(FUEL_TICKET!$I:$I,$B19)</f>
        <v>1</v>
      </c>
      <c r="O19" s="25" t="n">
        <f aca="false">ROUND(M19-J19,1)</f>
        <v>-20.3</v>
      </c>
      <c r="P19" s="26" t="n">
        <f aca="false">IF(J19=0,"",O19/ABS(J19))</f>
        <v>-0.000202610986905142</v>
      </c>
      <c r="Q19" s="25" t="n">
        <f aca="false">MAX(50,0.01*ABS(J19))</f>
        <v>1001.92</v>
      </c>
      <c r="R19" s="27" t="str">
        <f aca="false">IF(S19="SUPERSEDED","NOT_APPLICABLE",IF(N19=0,"NOT_DELIVERED",IF(ABS(O19)&lt;=Q19,"WITHIN_TOLERANCE",IF(O19&lt;0,"UNDER_DELIVERED","OVER_DELIVERED"))))</f>
        <v>WITHIN_TOLERANCE</v>
      </c>
      <c r="S19" s="10" t="s">
        <v>1343</v>
      </c>
      <c r="T19" s="11"/>
      <c r="U19" s="10" t="s">
        <v>990</v>
      </c>
      <c r="V19" s="10" t="s">
        <v>1395</v>
      </c>
    </row>
    <row r="20" customFormat="false" ht="15" hidden="false" customHeight="false" outlineLevel="0" collapsed="false">
      <c r="A20" s="10" t="s">
        <v>160</v>
      </c>
      <c r="B20" s="10" t="s">
        <v>1396</v>
      </c>
      <c r="C20" s="10" t="s">
        <v>1397</v>
      </c>
      <c r="D20" s="10" t="n">
        <v>1</v>
      </c>
      <c r="E20" s="10" t="s">
        <v>1089</v>
      </c>
      <c r="F20" s="10" t="s">
        <v>1274</v>
      </c>
      <c r="G20" s="10" t="s">
        <v>1092</v>
      </c>
      <c r="H20" s="10" t="s">
        <v>976</v>
      </c>
      <c r="I20" s="10" t="s">
        <v>1341</v>
      </c>
      <c r="J20" s="20" t="n">
        <v>12351</v>
      </c>
      <c r="K20" s="10" t="s">
        <v>1196</v>
      </c>
      <c r="L20" s="10" t="s">
        <v>1342</v>
      </c>
      <c r="M20" s="23" t="n">
        <f aca="false">SUMIFS(FUEL_TICKET!$Z:$Z,FUEL_TICKET!$I:$I,$B20)</f>
        <v>12350.7</v>
      </c>
      <c r="N20" s="24" t="n">
        <f aca="false">COUNTIFS(FUEL_TICKET!$I:$I,$B20)</f>
        <v>1</v>
      </c>
      <c r="O20" s="25" t="n">
        <f aca="false">ROUND(M20-J20,1)</f>
        <v>-0.3</v>
      </c>
      <c r="P20" s="26" t="n">
        <f aca="false">IF(J20=0,"",O20/ABS(J20))</f>
        <v>-2.42895312120476E-005</v>
      </c>
      <c r="Q20" s="25" t="n">
        <f aca="false">MAX(50,0.01*ABS(J20))</f>
        <v>123.51</v>
      </c>
      <c r="R20" s="27" t="str">
        <f aca="false">IF(S20="SUPERSEDED","NOT_APPLICABLE",IF(N20=0,"NOT_DELIVERED",IF(ABS(O20)&lt;=Q20,"WITHIN_TOLERANCE",IF(O20&lt;0,"UNDER_DELIVERED","OVER_DELIVERED"))))</f>
        <v>WITHIN_TOLERANCE</v>
      </c>
      <c r="S20" s="10" t="s">
        <v>1343</v>
      </c>
      <c r="T20" s="11"/>
      <c r="U20" s="10" t="s">
        <v>990</v>
      </c>
      <c r="V20" s="10" t="s">
        <v>1398</v>
      </c>
    </row>
    <row r="21" customFormat="false" ht="15" hidden="false" customHeight="false" outlineLevel="0" collapsed="false">
      <c r="A21" s="10" t="s">
        <v>166</v>
      </c>
      <c r="B21" s="10" t="s">
        <v>1399</v>
      </c>
      <c r="C21" s="10" t="s">
        <v>1400</v>
      </c>
      <c r="D21" s="10" t="n">
        <v>1</v>
      </c>
      <c r="E21" s="10" t="s">
        <v>1094</v>
      </c>
      <c r="F21" s="10" t="s">
        <v>1279</v>
      </c>
      <c r="G21" s="10" t="s">
        <v>1097</v>
      </c>
      <c r="H21" s="10" t="s">
        <v>976</v>
      </c>
      <c r="I21" s="10" t="s">
        <v>1341</v>
      </c>
      <c r="J21" s="20" t="n">
        <v>3545</v>
      </c>
      <c r="K21" s="10" t="s">
        <v>1196</v>
      </c>
      <c r="L21" s="10" t="s">
        <v>1342</v>
      </c>
      <c r="M21" s="23" t="n">
        <f aca="false">SUMIFS(FUEL_TICKET!$Z:$Z,FUEL_TICKET!$I:$I,$B21)</f>
        <v>3545</v>
      </c>
      <c r="N21" s="24" t="n">
        <f aca="false">COUNTIFS(FUEL_TICKET!$I:$I,$B21)</f>
        <v>1</v>
      </c>
      <c r="O21" s="25" t="n">
        <f aca="false">ROUND(M21-J21,1)</f>
        <v>0</v>
      </c>
      <c r="P21" s="26" t="n">
        <f aca="false">IF(J21=0,"",O21/ABS(J21))</f>
        <v>0</v>
      </c>
      <c r="Q21" s="25" t="n">
        <f aca="false">MAX(50,0.01*ABS(J21))</f>
        <v>50</v>
      </c>
      <c r="R21" s="27" t="str">
        <f aca="false">IF(S21="SUPERSEDED","NOT_APPLICABLE",IF(N21=0,"NOT_DELIVERED",IF(ABS(O21)&lt;=Q21,"WITHIN_TOLERANCE",IF(O21&lt;0,"UNDER_DELIVERED","OVER_DELIVERED"))))</f>
        <v>WITHIN_TOLERANCE</v>
      </c>
      <c r="S21" s="10" t="s">
        <v>1343</v>
      </c>
      <c r="T21" s="11"/>
      <c r="U21" s="10" t="s">
        <v>990</v>
      </c>
      <c r="V21" s="10" t="s">
        <v>1401</v>
      </c>
    </row>
    <row r="22" customFormat="false" ht="15" hidden="false" customHeight="false" outlineLevel="0" collapsed="false">
      <c r="A22" s="10" t="s">
        <v>166</v>
      </c>
      <c r="B22" s="10" t="s">
        <v>1402</v>
      </c>
      <c r="C22" s="10" t="s">
        <v>1403</v>
      </c>
      <c r="D22" s="10" t="n">
        <v>1</v>
      </c>
      <c r="E22" s="10" t="s">
        <v>1102</v>
      </c>
      <c r="F22" s="10" t="s">
        <v>1283</v>
      </c>
      <c r="G22" s="10" t="s">
        <v>1097</v>
      </c>
      <c r="H22" s="10" t="s">
        <v>976</v>
      </c>
      <c r="I22" s="10" t="s">
        <v>1341</v>
      </c>
      <c r="J22" s="20" t="n">
        <v>3695</v>
      </c>
      <c r="K22" s="10" t="s">
        <v>1196</v>
      </c>
      <c r="L22" s="10" t="s">
        <v>1342</v>
      </c>
      <c r="M22" s="23" t="n">
        <f aca="false">SUMIFS(FUEL_TICKET!$Z:$Z,FUEL_TICKET!$I:$I,$B22)</f>
        <v>3695.3</v>
      </c>
      <c r="N22" s="24" t="n">
        <f aca="false">COUNTIFS(FUEL_TICKET!$I:$I,$B22)</f>
        <v>1</v>
      </c>
      <c r="O22" s="25" t="n">
        <f aca="false">ROUND(M22-J22,1)</f>
        <v>0.3</v>
      </c>
      <c r="P22" s="26" t="n">
        <f aca="false">IF(J22=0,"",O22/ABS(J22))</f>
        <v>8.1190798376184E-005</v>
      </c>
      <c r="Q22" s="25" t="n">
        <f aca="false">MAX(50,0.01*ABS(J22))</f>
        <v>50</v>
      </c>
      <c r="R22" s="27" t="str">
        <f aca="false">IF(S22="SUPERSEDED","NOT_APPLICABLE",IF(N22=0,"NOT_DELIVERED",IF(ABS(O22)&lt;=Q22,"WITHIN_TOLERANCE",IF(O22&lt;0,"UNDER_DELIVERED","OVER_DELIVERED"))))</f>
        <v>WITHIN_TOLERANCE</v>
      </c>
      <c r="S22" s="10" t="s">
        <v>1343</v>
      </c>
      <c r="T22" s="11"/>
      <c r="U22" s="10" t="s">
        <v>990</v>
      </c>
      <c r="V22" s="10" t="s">
        <v>1404</v>
      </c>
    </row>
    <row r="23" customFormat="false" ht="15" hidden="false" customHeight="false" outlineLevel="0" collapsed="false">
      <c r="A23" s="10" t="s">
        <v>172</v>
      </c>
      <c r="B23" s="10" t="s">
        <v>1405</v>
      </c>
      <c r="C23" s="10" t="s">
        <v>1406</v>
      </c>
      <c r="D23" s="10" t="n">
        <v>1</v>
      </c>
      <c r="E23" s="10" t="s">
        <v>1104</v>
      </c>
      <c r="F23" s="10" t="s">
        <v>1287</v>
      </c>
      <c r="G23" s="10" t="s">
        <v>1107</v>
      </c>
      <c r="H23" s="10" t="s">
        <v>976</v>
      </c>
      <c r="I23" s="10" t="s">
        <v>1341</v>
      </c>
      <c r="J23" s="20" t="n">
        <v>9151</v>
      </c>
      <c r="K23" s="10" t="s">
        <v>1196</v>
      </c>
      <c r="L23" s="10" t="s">
        <v>1342</v>
      </c>
      <c r="M23" s="23" t="n">
        <f aca="false">SUMIFS(FUEL_TICKET!$Z:$Z,FUEL_TICKET!$I:$I,$B23)</f>
        <v>9151.9</v>
      </c>
      <c r="N23" s="24" t="n">
        <f aca="false">COUNTIFS(FUEL_TICKET!$I:$I,$B23)</f>
        <v>1</v>
      </c>
      <c r="O23" s="25" t="n">
        <f aca="false">ROUND(M23-J23,1)</f>
        <v>0.9</v>
      </c>
      <c r="P23" s="26" t="n">
        <f aca="false">IF(J23=0,"",O23/ABS(J23))</f>
        <v>9.83499071139766E-005</v>
      </c>
      <c r="Q23" s="25" t="n">
        <f aca="false">MAX(50,0.01*ABS(J23))</f>
        <v>91.51</v>
      </c>
      <c r="R23" s="27" t="str">
        <f aca="false">IF(S23="SUPERSEDED","NOT_APPLICABLE",IF(N23=0,"NOT_DELIVERED",IF(ABS(O23)&lt;=Q23,"WITHIN_TOLERANCE",IF(O23&lt;0,"UNDER_DELIVERED","OVER_DELIVERED"))))</f>
        <v>WITHIN_TOLERANCE</v>
      </c>
      <c r="S23" s="10" t="s">
        <v>1343</v>
      </c>
      <c r="T23" s="11"/>
      <c r="U23" s="10" t="s">
        <v>990</v>
      </c>
      <c r="V23" s="10" t="s">
        <v>1407</v>
      </c>
    </row>
    <row r="24" customFormat="false" ht="15" hidden="false" customHeight="false" outlineLevel="0" collapsed="false">
      <c r="A24" s="10" t="s">
        <v>178</v>
      </c>
      <c r="B24" s="10" t="s">
        <v>1408</v>
      </c>
      <c r="C24" s="10" t="s">
        <v>1409</v>
      </c>
      <c r="D24" s="10" t="n">
        <v>1</v>
      </c>
      <c r="E24" s="10" t="s">
        <v>1109</v>
      </c>
      <c r="F24" s="10" t="s">
        <v>1291</v>
      </c>
      <c r="G24" s="10" t="s">
        <v>1111</v>
      </c>
      <c r="H24" s="10" t="s">
        <v>976</v>
      </c>
      <c r="I24" s="10" t="s">
        <v>1341</v>
      </c>
      <c r="J24" s="20" t="n">
        <v>9151</v>
      </c>
      <c r="K24" s="10" t="s">
        <v>1196</v>
      </c>
      <c r="L24" s="10" t="s">
        <v>1342</v>
      </c>
      <c r="M24" s="23" t="n">
        <f aca="false">SUMIFS(FUEL_TICKET!$Z:$Z,FUEL_TICKET!$I:$I,$B24)</f>
        <v>9151.9</v>
      </c>
      <c r="N24" s="24" t="n">
        <f aca="false">COUNTIFS(FUEL_TICKET!$I:$I,$B24)</f>
        <v>1</v>
      </c>
      <c r="O24" s="25" t="n">
        <f aca="false">ROUND(M24-J24,1)</f>
        <v>0.9</v>
      </c>
      <c r="P24" s="26" t="n">
        <f aca="false">IF(J24=0,"",O24/ABS(J24))</f>
        <v>9.83499071139766E-005</v>
      </c>
      <c r="Q24" s="25" t="n">
        <f aca="false">MAX(50,0.01*ABS(J24))</f>
        <v>91.51</v>
      </c>
      <c r="R24" s="27" t="str">
        <f aca="false">IF(S24="SUPERSEDED","NOT_APPLICABLE",IF(N24=0,"NOT_DELIVERED",IF(ABS(O24)&lt;=Q24,"WITHIN_TOLERANCE",IF(O24&lt;0,"UNDER_DELIVERED","OVER_DELIVERED"))))</f>
        <v>WITHIN_TOLERANCE</v>
      </c>
      <c r="S24" s="10" t="s">
        <v>1343</v>
      </c>
      <c r="T24" s="11"/>
      <c r="U24" s="10" t="s">
        <v>990</v>
      </c>
      <c r="V24" s="10" t="s">
        <v>1410</v>
      </c>
    </row>
    <row r="25" customFormat="false" ht="15" hidden="false" customHeight="false" outlineLevel="0" collapsed="false">
      <c r="A25" s="10" t="s">
        <v>183</v>
      </c>
      <c r="B25" s="10" t="s">
        <v>1411</v>
      </c>
      <c r="C25" s="10" t="s">
        <v>1412</v>
      </c>
      <c r="D25" s="10" t="n">
        <v>1</v>
      </c>
      <c r="E25" s="10" t="s">
        <v>1113</v>
      </c>
      <c r="F25" s="10" t="s">
        <v>1295</v>
      </c>
      <c r="G25" s="10" t="s">
        <v>1115</v>
      </c>
      <c r="H25" s="10" t="s">
        <v>976</v>
      </c>
      <c r="I25" s="10" t="s">
        <v>1341</v>
      </c>
      <c r="J25" s="20" t="n">
        <v>9519</v>
      </c>
      <c r="K25" s="10" t="s">
        <v>1196</v>
      </c>
      <c r="L25" s="10" t="s">
        <v>1342</v>
      </c>
      <c r="M25" s="23" t="n">
        <f aca="false">SUMIFS(FUEL_TICKET!$Z:$Z,FUEL_TICKET!$I:$I,$B25)</f>
        <v>9600</v>
      </c>
      <c r="N25" s="24" t="n">
        <f aca="false">COUNTIFS(FUEL_TICKET!$I:$I,$B25)</f>
        <v>1</v>
      </c>
      <c r="O25" s="25" t="n">
        <f aca="false">ROUND(M25-J25,1)</f>
        <v>81</v>
      </c>
      <c r="P25" s="26" t="n">
        <f aca="false">IF(J25=0,"",O25/ABS(J25))</f>
        <v>0.00850929719508352</v>
      </c>
      <c r="Q25" s="25" t="n">
        <f aca="false">MAX(50,0.01*ABS(J25))</f>
        <v>95.19</v>
      </c>
      <c r="R25" s="27" t="str">
        <f aca="false">IF(S25="SUPERSEDED","NOT_APPLICABLE",IF(N25=0,"NOT_DELIVERED",IF(ABS(O25)&lt;=Q25,"WITHIN_TOLERANCE",IF(O25&lt;0,"UNDER_DELIVERED","OVER_DELIVERED"))))</f>
        <v>WITHIN_TOLERANCE</v>
      </c>
      <c r="S25" s="10" t="s">
        <v>1343</v>
      </c>
      <c r="T25" s="11"/>
      <c r="U25" s="10" t="s">
        <v>990</v>
      </c>
      <c r="V25" s="10" t="s">
        <v>1413</v>
      </c>
    </row>
    <row r="26" customFormat="false" ht="15" hidden="false" customHeight="false" outlineLevel="0" collapsed="false">
      <c r="A26" s="10" t="s">
        <v>188</v>
      </c>
      <c r="B26" s="10" t="s">
        <v>1414</v>
      </c>
      <c r="C26" s="10" t="s">
        <v>1415</v>
      </c>
      <c r="D26" s="10" t="n">
        <v>1</v>
      </c>
      <c r="E26" s="10" t="s">
        <v>1117</v>
      </c>
      <c r="F26" s="10" t="s">
        <v>1299</v>
      </c>
      <c r="G26" s="10" t="s">
        <v>1120</v>
      </c>
      <c r="H26" s="10" t="s">
        <v>976</v>
      </c>
      <c r="I26" s="10" t="s">
        <v>1341</v>
      </c>
      <c r="J26" s="20" t="n">
        <v>400</v>
      </c>
      <c r="K26" s="10" t="s">
        <v>1196</v>
      </c>
      <c r="L26" s="10" t="s">
        <v>1356</v>
      </c>
      <c r="M26" s="23" t="n">
        <f aca="false">SUMIFS(FUEL_TICKET!$Z:$Z,FUEL_TICKET!$I:$I,$B26)</f>
        <v>399.8</v>
      </c>
      <c r="N26" s="24" t="n">
        <f aca="false">COUNTIFS(FUEL_TICKET!$I:$I,$B26)</f>
        <v>1</v>
      </c>
      <c r="O26" s="25" t="n">
        <f aca="false">ROUND(M26-J26,1)</f>
        <v>-0.2</v>
      </c>
      <c r="P26" s="26" t="n">
        <f aca="false">IF(J26=0,"",O26/ABS(J26))</f>
        <v>-0.0005</v>
      </c>
      <c r="Q26" s="25" t="n">
        <f aca="false">MAX(50,0.01*ABS(J26))</f>
        <v>50</v>
      </c>
      <c r="R26" s="27" t="str">
        <f aca="false">IF(S26="SUPERSEDED","NOT_APPLICABLE",IF(N26=0,"NOT_DELIVERED",IF(ABS(O26)&lt;=Q26,"WITHIN_TOLERANCE",IF(O26&lt;0,"UNDER_DELIVERED","OVER_DELIVERED"))))</f>
        <v>WITHIN_TOLERANCE</v>
      </c>
      <c r="S26" s="10" t="s">
        <v>1343</v>
      </c>
      <c r="T26" s="11"/>
      <c r="U26" s="10" t="s">
        <v>990</v>
      </c>
      <c r="V26" s="10" t="s">
        <v>1416</v>
      </c>
    </row>
    <row r="27" customFormat="false" ht="15" hidden="false" customHeight="false" outlineLevel="0" collapsed="false">
      <c r="A27" s="10" t="s">
        <v>193</v>
      </c>
      <c r="B27" s="10" t="s">
        <v>1417</v>
      </c>
      <c r="C27" s="10" t="s">
        <v>1418</v>
      </c>
      <c r="D27" s="10" t="n">
        <v>1</v>
      </c>
      <c r="E27" s="10" t="s">
        <v>1122</v>
      </c>
      <c r="F27" s="10" t="s">
        <v>1304</v>
      </c>
      <c r="G27" s="10" t="s">
        <v>1124</v>
      </c>
      <c r="H27" s="10" t="s">
        <v>976</v>
      </c>
      <c r="I27" s="10" t="s">
        <v>1341</v>
      </c>
      <c r="J27" s="20" t="n">
        <v>9151</v>
      </c>
      <c r="K27" s="10" t="s">
        <v>1196</v>
      </c>
      <c r="L27" s="10" t="s">
        <v>1342</v>
      </c>
      <c r="M27" s="23" t="n">
        <f aca="false">SUMIFS(FUEL_TICKET!$Z:$Z,FUEL_TICKET!$I:$I,$B27)</f>
        <v>9151.9</v>
      </c>
      <c r="N27" s="24" t="n">
        <f aca="false">COUNTIFS(FUEL_TICKET!$I:$I,$B27)</f>
        <v>1</v>
      </c>
      <c r="O27" s="25" t="n">
        <f aca="false">ROUND(M27-J27,1)</f>
        <v>0.9</v>
      </c>
      <c r="P27" s="26" t="n">
        <f aca="false">IF(J27=0,"",O27/ABS(J27))</f>
        <v>9.83499071139766E-005</v>
      </c>
      <c r="Q27" s="25" t="n">
        <f aca="false">MAX(50,0.01*ABS(J27))</f>
        <v>91.51</v>
      </c>
      <c r="R27" s="27" t="str">
        <f aca="false">IF(S27="SUPERSEDED","NOT_APPLICABLE",IF(N27=0,"NOT_DELIVERED",IF(ABS(O27)&lt;=Q27,"WITHIN_TOLERANCE",IF(O27&lt;0,"UNDER_DELIVERED","OVER_DELIVERED"))))</f>
        <v>WITHIN_TOLERANCE</v>
      </c>
      <c r="S27" s="10" t="s">
        <v>1343</v>
      </c>
      <c r="T27" s="11"/>
      <c r="U27" s="10" t="s">
        <v>990</v>
      </c>
      <c r="V27" s="10" t="s">
        <v>1419</v>
      </c>
    </row>
    <row r="28" customFormat="false" ht="15" hidden="false" customHeight="false" outlineLevel="0" collapsed="false">
      <c r="A28" s="10" t="s">
        <v>198</v>
      </c>
      <c r="B28" s="10" t="s">
        <v>1420</v>
      </c>
      <c r="C28" s="10" t="s">
        <v>1421</v>
      </c>
      <c r="D28" s="10" t="n">
        <v>1</v>
      </c>
      <c r="E28" s="10" t="s">
        <v>1126</v>
      </c>
      <c r="F28" s="10" t="s">
        <v>1308</v>
      </c>
      <c r="G28" s="10" t="s">
        <v>1128</v>
      </c>
      <c r="H28" s="10" t="s">
        <v>976</v>
      </c>
      <c r="I28" s="10" t="s">
        <v>1341</v>
      </c>
      <c r="J28" s="20" t="n">
        <v>79386</v>
      </c>
      <c r="K28" s="10" t="s">
        <v>1196</v>
      </c>
      <c r="L28" s="10" t="s">
        <v>1342</v>
      </c>
      <c r="M28" s="23" t="n">
        <f aca="false">SUMIFS(FUEL_TICKET!$Z:$Z,FUEL_TICKET!$I:$I,$B28)</f>
        <v>79385.8</v>
      </c>
      <c r="N28" s="24" t="n">
        <f aca="false">COUNTIFS(FUEL_TICKET!$I:$I,$B28)</f>
        <v>3</v>
      </c>
      <c r="O28" s="25" t="n">
        <f aca="false">ROUND(M28-J28,1)</f>
        <v>-0.2</v>
      </c>
      <c r="P28" s="26" t="n">
        <f aca="false">IF(J28=0,"",O28/ABS(J28))</f>
        <v>-2.51933590305595E-006</v>
      </c>
      <c r="Q28" s="25" t="n">
        <f aca="false">MAX(50,0.01*ABS(J28))</f>
        <v>793.86</v>
      </c>
      <c r="R28" s="27" t="str">
        <f aca="false">IF(S28="SUPERSEDED","NOT_APPLICABLE",IF(N28=0,"NOT_DELIVERED",IF(ABS(O28)&lt;=Q28,"WITHIN_TOLERANCE",IF(O28&lt;0,"UNDER_DELIVERED","OVER_DELIVERED"))))</f>
        <v>WITHIN_TOLERANCE</v>
      </c>
      <c r="S28" s="10" t="s">
        <v>1343</v>
      </c>
      <c r="T28" s="11"/>
      <c r="U28" s="10" t="s">
        <v>990</v>
      </c>
      <c r="V28" s="10" t="s">
        <v>1422</v>
      </c>
    </row>
    <row r="29" customFormat="false" ht="15" hidden="false" customHeight="false" outlineLevel="0" collapsed="false">
      <c r="A29" s="10" t="s">
        <v>203</v>
      </c>
      <c r="B29" s="10" t="s">
        <v>1423</v>
      </c>
      <c r="C29" s="10" t="s">
        <v>1424</v>
      </c>
      <c r="D29" s="10" t="n">
        <v>1</v>
      </c>
      <c r="E29" s="10" t="s">
        <v>1130</v>
      </c>
      <c r="F29" s="10" t="s">
        <v>1312</v>
      </c>
      <c r="G29" s="10" t="s">
        <v>1133</v>
      </c>
      <c r="H29" s="10" t="s">
        <v>976</v>
      </c>
      <c r="I29" s="10" t="s">
        <v>1341</v>
      </c>
      <c r="J29" s="20" t="n">
        <v>9151</v>
      </c>
      <c r="K29" s="10" t="s">
        <v>1196</v>
      </c>
      <c r="L29" s="10" t="s">
        <v>1342</v>
      </c>
      <c r="M29" s="23" t="n">
        <f aca="false">SUMIFS(FUEL_TICKET!$Z:$Z,FUEL_TICKET!$I:$I,$B29)</f>
        <v>9151.9</v>
      </c>
      <c r="N29" s="24" t="n">
        <f aca="false">COUNTIFS(FUEL_TICKET!$I:$I,$B29)</f>
        <v>1</v>
      </c>
      <c r="O29" s="25" t="n">
        <f aca="false">ROUND(M29-J29,1)</f>
        <v>0.9</v>
      </c>
      <c r="P29" s="26" t="n">
        <f aca="false">IF(J29=0,"",O29/ABS(J29))</f>
        <v>9.83499071139766E-005</v>
      </c>
      <c r="Q29" s="25" t="n">
        <f aca="false">MAX(50,0.01*ABS(J29))</f>
        <v>91.51</v>
      </c>
      <c r="R29" s="27" t="str">
        <f aca="false">IF(S29="SUPERSEDED","NOT_APPLICABLE",IF(N29=0,"NOT_DELIVERED",IF(ABS(O29)&lt;=Q29,"WITHIN_TOLERANCE",IF(O29&lt;0,"UNDER_DELIVERED","OVER_DELIVERED"))))</f>
        <v>WITHIN_TOLERANCE</v>
      </c>
      <c r="S29" s="10" t="s">
        <v>1343</v>
      </c>
      <c r="T29" s="11"/>
      <c r="U29" s="10" t="s">
        <v>990</v>
      </c>
      <c r="V29" s="10" t="s">
        <v>1425</v>
      </c>
    </row>
    <row r="30" customFormat="false" ht="15" hidden="false" customHeight="false" outlineLevel="0" collapsed="false">
      <c r="A30" s="10" t="s">
        <v>259</v>
      </c>
      <c r="B30" s="10" t="s">
        <v>1426</v>
      </c>
      <c r="C30" s="10" t="s">
        <v>1427</v>
      </c>
      <c r="D30" s="10" t="n">
        <v>1</v>
      </c>
      <c r="E30" s="10" t="s">
        <v>1135</v>
      </c>
      <c r="F30" s="10" t="s">
        <v>1316</v>
      </c>
      <c r="G30" s="10" t="s">
        <v>1138</v>
      </c>
      <c r="H30" s="10" t="s">
        <v>976</v>
      </c>
      <c r="I30" s="10" t="s">
        <v>1341</v>
      </c>
      <c r="J30" s="20" t="n">
        <v>9151</v>
      </c>
      <c r="K30" s="10" t="s">
        <v>1196</v>
      </c>
      <c r="L30" s="10" t="s">
        <v>1342</v>
      </c>
      <c r="M30" s="23" t="n">
        <f aca="false">SUMIFS(FUEL_TICKET!$Z:$Z,FUEL_TICKET!$I:$I,$B30)</f>
        <v>9594</v>
      </c>
      <c r="N30" s="24" t="n">
        <f aca="false">COUNTIFS(FUEL_TICKET!$I:$I,$B30)</f>
        <v>1</v>
      </c>
      <c r="O30" s="25" t="n">
        <f aca="false">ROUND(M30-J30,1)</f>
        <v>443</v>
      </c>
      <c r="P30" s="26" t="n">
        <f aca="false">IF(J30=0,"",O30/ABS(J30))</f>
        <v>0.0484100098349907</v>
      </c>
      <c r="Q30" s="25" t="n">
        <f aca="false">MAX(50,0.01*ABS(J30))</f>
        <v>91.51</v>
      </c>
      <c r="R30" s="27" t="str">
        <f aca="false">IF(S30="SUPERSEDED","NOT_APPLICABLE",IF(N30=0,"NOT_DELIVERED",IF(ABS(O30)&lt;=Q30,"WITHIN_TOLERANCE",IF(O30&lt;0,"UNDER_DELIVERED","OVER_DELIVERED"))))</f>
        <v>OVER_DELIVERED</v>
      </c>
      <c r="S30" s="10" t="s">
        <v>1343</v>
      </c>
      <c r="T30" s="11"/>
      <c r="U30" s="10" t="s">
        <v>990</v>
      </c>
      <c r="V30" s="10" t="s">
        <v>1428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10"/>
    <col collapsed="false" customWidth="true" hidden="false" outlineLevel="0" max="4" min="4" style="0" width="14"/>
    <col collapsed="false" customWidth="true" hidden="false" outlineLevel="0" max="5" min="5" style="0" width="8"/>
    <col collapsed="false" customWidth="true" hidden="false" outlineLevel="0" max="7" min="6" style="0" width="12"/>
    <col collapsed="false" customWidth="true" hidden="false" outlineLevel="0" max="8" min="8" style="0" width="15"/>
    <col collapsed="false" customWidth="true" hidden="false" outlineLevel="0" max="9" min="9" style="0" width="13"/>
    <col collapsed="false" customWidth="true" hidden="false" outlineLevel="0" max="10" min="10" style="0" width="14"/>
    <col collapsed="false" customWidth="true" hidden="false" outlineLevel="0" max="12" min="11" style="0" width="11"/>
    <col collapsed="false" customWidth="true" hidden="false" outlineLevel="0" max="14" min="13" style="0" width="8"/>
    <col collapsed="false" customWidth="true" hidden="false" outlineLevel="0" max="15" min="15" style="0" width="10"/>
    <col collapsed="false" customWidth="true" hidden="false" outlineLevel="0" max="16" min="16" style="0" width="9"/>
    <col collapsed="false" customWidth="true" hidden="false" outlineLevel="0" max="17" min="17" style="0" width="11"/>
    <col collapsed="false" customWidth="true" hidden="false" outlineLevel="0" max="18" min="18" style="0" width="10"/>
    <col collapsed="false" customWidth="true" hidden="false" outlineLevel="0" max="20" min="19" style="0" width="11"/>
    <col collapsed="false" customWidth="true" hidden="false" outlineLevel="0" max="22" min="21" style="0" width="12"/>
    <col collapsed="false" customWidth="true" hidden="false" outlineLevel="0" max="23" min="23" style="0" width="10"/>
    <col collapsed="false" customWidth="true" hidden="false" outlineLevel="0" max="24" min="24" style="0" width="16"/>
    <col collapsed="false" customWidth="true" hidden="false" outlineLevel="0" max="25" min="25" style="0" width="14"/>
    <col collapsed="false" customWidth="true" hidden="false" outlineLevel="0" max="29" min="26" style="0" width="12"/>
    <col collapsed="false" customWidth="true" hidden="false" outlineLevel="0" max="30" min="30" style="0" width="13"/>
    <col collapsed="false" customWidth="true" hidden="false" outlineLevel="0" max="31" min="31" style="0" width="15"/>
    <col collapsed="false" customWidth="true" hidden="false" outlineLevel="0" max="32" min="32" style="0" width="10"/>
    <col collapsed="false" customWidth="true" hidden="false" outlineLevel="0" max="34" min="33" style="0" width="22"/>
    <col collapsed="false" customWidth="true" hidden="false" outlineLevel="0" max="35" min="35" style="0" width="10"/>
    <col collapsed="false" customWidth="true" hidden="false" outlineLevel="0" max="36" min="36" style="0" width="14"/>
    <col collapsed="false" customWidth="true" hidden="false" outlineLevel="0" max="37" min="37" style="0" width="12"/>
    <col collapsed="false" customWidth="true" hidden="false" outlineLevel="0" max="38" min="38" style="0" width="15"/>
    <col collapsed="false" customWidth="true" hidden="false" outlineLevel="0" max="39" min="39" style="0" width="11"/>
    <col collapsed="false" customWidth="true" hidden="false" outlineLevel="0" max="40" min="40" style="0" width="12"/>
    <col collapsed="false" customWidth="true" hidden="false" outlineLevel="0" max="41" min="41" style="0" width="14"/>
    <col collapsed="false" customWidth="true" hidden="false" outlineLevel="0" max="42" min="42" style="0" width="19"/>
    <col collapsed="false" customWidth="true" hidden="false" outlineLevel="0" max="44" min="43" style="0" width="11"/>
    <col collapsed="false" customWidth="true" hidden="false" outlineLevel="0" max="45" min="45" style="0" width="42"/>
  </cols>
  <sheetData>
    <row r="1" customFormat="false" ht="16.15" hidden="false" customHeight="false" outlineLevel="0" collapsed="false">
      <c r="A1" s="8" t="s">
        <v>1429</v>
      </c>
    </row>
    <row r="2" customFormat="false" ht="30" hidden="false" customHeight="true" outlineLevel="0" collapsed="false">
      <c r="A2" s="9" t="s">
        <v>42</v>
      </c>
      <c r="B2" s="9" t="s">
        <v>1430</v>
      </c>
      <c r="C2" s="9" t="s">
        <v>1325</v>
      </c>
      <c r="D2" s="9" t="s">
        <v>1431</v>
      </c>
      <c r="E2" s="9" t="s">
        <v>1324</v>
      </c>
      <c r="F2" s="9" t="s">
        <v>1432</v>
      </c>
      <c r="G2" s="9" t="s">
        <v>1433</v>
      </c>
      <c r="H2" s="9" t="s">
        <v>899</v>
      </c>
      <c r="I2" s="9" t="s">
        <v>1321</v>
      </c>
      <c r="J2" s="9" t="s">
        <v>1169</v>
      </c>
      <c r="K2" s="9" t="s">
        <v>1174</v>
      </c>
      <c r="L2" s="9" t="s">
        <v>1434</v>
      </c>
      <c r="M2" s="9" t="s">
        <v>1435</v>
      </c>
      <c r="N2" s="9" t="s">
        <v>1436</v>
      </c>
      <c r="O2" s="9" t="s">
        <v>1437</v>
      </c>
      <c r="P2" s="9" t="s">
        <v>1438</v>
      </c>
      <c r="Q2" s="9" t="s">
        <v>1439</v>
      </c>
      <c r="R2" s="9" t="s">
        <v>1440</v>
      </c>
      <c r="S2" s="9" t="s">
        <v>1441</v>
      </c>
      <c r="T2" s="9" t="s">
        <v>1442</v>
      </c>
      <c r="U2" s="9" t="s">
        <v>1443</v>
      </c>
      <c r="V2" s="9" t="s">
        <v>1444</v>
      </c>
      <c r="W2" s="9" t="s">
        <v>1445</v>
      </c>
      <c r="X2" s="9" t="s">
        <v>1446</v>
      </c>
      <c r="Y2" s="9" t="s">
        <v>1447</v>
      </c>
      <c r="Z2" s="9" t="s">
        <v>1448</v>
      </c>
      <c r="AA2" s="9" t="s">
        <v>1449</v>
      </c>
      <c r="AB2" s="9" t="s">
        <v>1450</v>
      </c>
      <c r="AC2" s="9" t="s">
        <v>1451</v>
      </c>
      <c r="AD2" s="9" t="s">
        <v>1452</v>
      </c>
      <c r="AE2" s="9" t="s">
        <v>1453</v>
      </c>
      <c r="AF2" s="9" t="s">
        <v>1454</v>
      </c>
      <c r="AG2" s="9" t="s">
        <v>1455</v>
      </c>
      <c r="AH2" s="9" t="s">
        <v>1456</v>
      </c>
      <c r="AI2" s="9" t="s">
        <v>1457</v>
      </c>
      <c r="AJ2" s="9" t="s">
        <v>1458</v>
      </c>
      <c r="AK2" s="9" t="s">
        <v>1459</v>
      </c>
      <c r="AL2" s="9" t="s">
        <v>1460</v>
      </c>
      <c r="AM2" s="9" t="s">
        <v>1461</v>
      </c>
      <c r="AN2" s="9" t="s">
        <v>1462</v>
      </c>
      <c r="AO2" s="9" t="s">
        <v>1463</v>
      </c>
      <c r="AP2" s="9" t="s">
        <v>1464</v>
      </c>
      <c r="AQ2" s="9" t="s">
        <v>1465</v>
      </c>
      <c r="AR2" s="9" t="s">
        <v>1466</v>
      </c>
      <c r="AS2" s="9" t="s">
        <v>1467</v>
      </c>
    </row>
    <row r="3" customFormat="false" ht="15" hidden="false" customHeight="false" outlineLevel="0" collapsed="false">
      <c r="A3" s="10" t="s">
        <v>88</v>
      </c>
      <c r="B3" s="10" t="s">
        <v>1468</v>
      </c>
      <c r="C3" s="10" t="s">
        <v>1341</v>
      </c>
      <c r="D3" s="10" t="s">
        <v>1469</v>
      </c>
      <c r="E3" s="10" t="s">
        <v>976</v>
      </c>
      <c r="F3" s="10" t="s">
        <v>1470</v>
      </c>
      <c r="G3" s="10" t="s">
        <v>973</v>
      </c>
      <c r="H3" s="10" t="s">
        <v>970</v>
      </c>
      <c r="I3" s="19" t="s">
        <v>1339</v>
      </c>
      <c r="J3" s="10" t="s">
        <v>1192</v>
      </c>
      <c r="K3" s="10" t="s">
        <v>980</v>
      </c>
      <c r="L3" s="19" t="s">
        <v>1471</v>
      </c>
      <c r="M3" s="10" t="n">
        <v>1</v>
      </c>
      <c r="N3" s="10" t="s">
        <v>978</v>
      </c>
      <c r="O3" s="10" t="s">
        <v>1472</v>
      </c>
      <c r="P3" s="28" t="n">
        <v>0</v>
      </c>
      <c r="Q3" s="10" t="s">
        <v>1473</v>
      </c>
      <c r="R3" s="10" t="s">
        <v>1474</v>
      </c>
      <c r="S3" s="10" t="n">
        <v>12000</v>
      </c>
      <c r="T3" s="10" t="n">
        <v>23446</v>
      </c>
      <c r="U3" s="29" t="n">
        <v>11446</v>
      </c>
      <c r="V3" s="30" t="n">
        <v>0.7995</v>
      </c>
      <c r="W3" s="28" t="n">
        <v>30.5</v>
      </c>
      <c r="X3" s="10" t="s">
        <v>1475</v>
      </c>
      <c r="Y3" s="29"/>
      <c r="Z3" s="23" t="n">
        <f aca="false">IF(U3="",Y3,ROUND(U3*V3,1))</f>
        <v>9151.1</v>
      </c>
      <c r="AA3" s="29" t="n">
        <v>2100</v>
      </c>
      <c r="AB3" s="29" t="n">
        <v>11251</v>
      </c>
      <c r="AC3" s="25" t="n">
        <f aca="false">IF(OR(AA3="",AB3=""),"",AB3-AA3)</f>
        <v>9151</v>
      </c>
      <c r="AD3" s="23" t="n">
        <f aca="false">IF(AC3="","",ROUND(Z3-AC3,1))</f>
        <v>0.1</v>
      </c>
      <c r="AE3" s="27" t="str">
        <f aca="false">IF(AC3="","NOT_RECONCILED",IF(ABS(AD3)&lt;=MAX(50,0.02*ABS(Z3)),"PASS","FAIL"))</f>
        <v>PASS</v>
      </c>
      <c r="AF3" s="10" t="s">
        <v>1476</v>
      </c>
      <c r="AG3" s="10" t="s">
        <v>1477</v>
      </c>
      <c r="AH3" s="10" t="s">
        <v>1478</v>
      </c>
      <c r="AI3" s="10" t="s">
        <v>1479</v>
      </c>
      <c r="AJ3" s="10" t="s">
        <v>1480</v>
      </c>
      <c r="AK3" s="10" t="s">
        <v>1481</v>
      </c>
      <c r="AL3" s="10" t="s">
        <v>1482</v>
      </c>
      <c r="AM3" s="10" t="s">
        <v>1483</v>
      </c>
      <c r="AN3" s="10" t="s">
        <v>1484</v>
      </c>
      <c r="AO3" s="10" t="s">
        <v>1485</v>
      </c>
      <c r="AP3" s="10" t="s">
        <v>1486</v>
      </c>
      <c r="AQ3" s="10"/>
      <c r="AR3" s="10"/>
      <c r="AS3" s="11" t="s">
        <v>89</v>
      </c>
    </row>
    <row r="4" customFormat="false" ht="15" hidden="false" customHeight="false" outlineLevel="0" collapsed="false">
      <c r="A4" s="10" t="s">
        <v>94</v>
      </c>
      <c r="B4" s="10" t="s">
        <v>1487</v>
      </c>
      <c r="C4" s="10" t="s">
        <v>1341</v>
      </c>
      <c r="D4" s="10" t="s">
        <v>1469</v>
      </c>
      <c r="E4" s="10" t="s">
        <v>976</v>
      </c>
      <c r="F4" s="10" t="s">
        <v>1488</v>
      </c>
      <c r="G4" s="10" t="s">
        <v>973</v>
      </c>
      <c r="H4" s="10" t="s">
        <v>994</v>
      </c>
      <c r="I4" s="19" t="s">
        <v>1348</v>
      </c>
      <c r="J4" s="10" t="s">
        <v>1204</v>
      </c>
      <c r="K4" s="10" t="s">
        <v>996</v>
      </c>
      <c r="L4" s="19" t="s">
        <v>1471</v>
      </c>
      <c r="M4" s="10" t="n">
        <v>1</v>
      </c>
      <c r="N4" s="10" t="s">
        <v>978</v>
      </c>
      <c r="O4" s="10" t="s">
        <v>1472</v>
      </c>
      <c r="P4" s="28" t="n">
        <v>0</v>
      </c>
      <c r="Q4" s="10" t="s">
        <v>1473</v>
      </c>
      <c r="R4" s="10" t="s">
        <v>1474</v>
      </c>
      <c r="S4" s="10" t="n">
        <v>23446</v>
      </c>
      <c r="T4" s="10" t="n">
        <v>35310</v>
      </c>
      <c r="U4" s="29" t="n">
        <v>11864</v>
      </c>
      <c r="V4" s="30" t="n">
        <v>0.7995</v>
      </c>
      <c r="W4" s="28" t="n">
        <v>30.5</v>
      </c>
      <c r="X4" s="10" t="s">
        <v>1489</v>
      </c>
      <c r="Y4" s="29"/>
      <c r="Z4" s="23" t="n">
        <f aca="false">IF(U4="",Y4,ROUND(U4*V4,1))</f>
        <v>9485.3</v>
      </c>
      <c r="AA4" s="29" t="n">
        <v>2050</v>
      </c>
      <c r="AB4" s="29" t="n">
        <v>11535</v>
      </c>
      <c r="AC4" s="25" t="n">
        <f aca="false">IF(OR(AA4="",AB4=""),"",AB4-AA4)</f>
        <v>9485</v>
      </c>
      <c r="AD4" s="23" t="n">
        <f aca="false">IF(AC4="","",ROUND(Z4-AC4,1))</f>
        <v>0.3</v>
      </c>
      <c r="AE4" s="27" t="str">
        <f aca="false">IF(AC4="","NOT_RECONCILED",IF(ABS(AD4)&lt;=MAX(50,0.02*ABS(Z4)),"PASS","FAIL"))</f>
        <v>PASS</v>
      </c>
      <c r="AF4" s="10" t="s">
        <v>1476</v>
      </c>
      <c r="AG4" s="10" t="s">
        <v>1490</v>
      </c>
      <c r="AH4" s="10" t="s">
        <v>1491</v>
      </c>
      <c r="AI4" s="10" t="s">
        <v>1492</v>
      </c>
      <c r="AJ4" s="10" t="s">
        <v>1493</v>
      </c>
      <c r="AK4" s="10" t="s">
        <v>1481</v>
      </c>
      <c r="AL4" s="10" t="s">
        <v>1482</v>
      </c>
      <c r="AM4" s="10" t="s">
        <v>1483</v>
      </c>
      <c r="AN4" s="10" t="s">
        <v>1494</v>
      </c>
      <c r="AO4" s="10" t="s">
        <v>1485</v>
      </c>
      <c r="AP4" s="10" t="s">
        <v>1495</v>
      </c>
      <c r="AQ4" s="10"/>
      <c r="AR4" s="10"/>
      <c r="AS4" s="11" t="s">
        <v>1496</v>
      </c>
    </row>
    <row r="5" customFormat="false" ht="15" hidden="false" customHeight="false" outlineLevel="0" collapsed="false">
      <c r="A5" s="10" t="s">
        <v>100</v>
      </c>
      <c r="B5" s="10" t="s">
        <v>1497</v>
      </c>
      <c r="C5" s="10" t="s">
        <v>1341</v>
      </c>
      <c r="D5" s="10" t="s">
        <v>1469</v>
      </c>
      <c r="E5" s="10" t="s">
        <v>976</v>
      </c>
      <c r="F5" s="10" t="s">
        <v>1498</v>
      </c>
      <c r="G5" s="10" t="s">
        <v>973</v>
      </c>
      <c r="H5" s="10" t="s">
        <v>1002</v>
      </c>
      <c r="I5" s="19" t="s">
        <v>1351</v>
      </c>
      <c r="J5" s="10" t="s">
        <v>1208</v>
      </c>
      <c r="K5" s="10" t="s">
        <v>1004</v>
      </c>
      <c r="L5" s="19" t="s">
        <v>1471</v>
      </c>
      <c r="M5" s="10" t="n">
        <v>1</v>
      </c>
      <c r="N5" s="10" t="s">
        <v>978</v>
      </c>
      <c r="O5" s="10" t="s">
        <v>1472</v>
      </c>
      <c r="P5" s="28" t="n">
        <v>0</v>
      </c>
      <c r="Q5" s="10" t="s">
        <v>1499</v>
      </c>
      <c r="R5" s="10" t="s">
        <v>1500</v>
      </c>
      <c r="S5" s="10" t="n">
        <v>40100</v>
      </c>
      <c r="T5" s="10" t="n">
        <v>51547</v>
      </c>
      <c r="U5" s="29" t="n">
        <v>11447</v>
      </c>
      <c r="V5" s="30" t="n">
        <v>0.7995</v>
      </c>
      <c r="W5" s="28" t="n">
        <v>30.5</v>
      </c>
      <c r="X5" s="10" t="s">
        <v>1501</v>
      </c>
      <c r="Y5" s="29"/>
      <c r="Z5" s="23" t="n">
        <f aca="false">IF(U5="",Y5,ROUND(U5*V5,1))</f>
        <v>9151.9</v>
      </c>
      <c r="AA5" s="29" t="n">
        <v>2100</v>
      </c>
      <c r="AB5" s="29" t="n">
        <v>11251</v>
      </c>
      <c r="AC5" s="25" t="n">
        <f aca="false">IF(OR(AA5="",AB5=""),"",AB5-AA5)</f>
        <v>9151</v>
      </c>
      <c r="AD5" s="23" t="n">
        <f aca="false">IF(AC5="","",ROUND(Z5-AC5,1))</f>
        <v>0.9</v>
      </c>
      <c r="AE5" s="27" t="str">
        <f aca="false">IF(AC5="","NOT_RECONCILED",IF(ABS(AD5)&lt;=MAX(50,0.02*ABS(Z5)),"PASS","FAIL"))</f>
        <v>PASS</v>
      </c>
      <c r="AF5" s="10" t="s">
        <v>1476</v>
      </c>
      <c r="AG5" s="10" t="s">
        <v>1502</v>
      </c>
      <c r="AH5" s="10" t="s">
        <v>1503</v>
      </c>
      <c r="AI5" s="10" t="s">
        <v>1504</v>
      </c>
      <c r="AJ5" s="10" t="s">
        <v>1505</v>
      </c>
      <c r="AK5" s="10" t="s">
        <v>1481</v>
      </c>
      <c r="AL5" s="10" t="s">
        <v>1482</v>
      </c>
      <c r="AM5" s="10" t="s">
        <v>1483</v>
      </c>
      <c r="AN5" s="10" t="s">
        <v>1506</v>
      </c>
      <c r="AO5" s="10" t="s">
        <v>1485</v>
      </c>
      <c r="AP5" s="10" t="s">
        <v>1507</v>
      </c>
      <c r="AQ5" s="10"/>
      <c r="AR5" s="10"/>
      <c r="AS5" s="11" t="s">
        <v>1508</v>
      </c>
    </row>
    <row r="6" customFormat="false" ht="15" hidden="false" customHeight="false" outlineLevel="0" collapsed="false">
      <c r="A6" s="10" t="s">
        <v>100</v>
      </c>
      <c r="B6" s="10" t="s">
        <v>1509</v>
      </c>
      <c r="C6" s="10" t="s">
        <v>1341</v>
      </c>
      <c r="D6" s="10" t="s">
        <v>1469</v>
      </c>
      <c r="E6" s="10" t="s">
        <v>976</v>
      </c>
      <c r="F6" s="10" t="s">
        <v>1510</v>
      </c>
      <c r="G6" s="10" t="s">
        <v>973</v>
      </c>
      <c r="H6" s="10" t="s">
        <v>1002</v>
      </c>
      <c r="I6" s="19" t="s">
        <v>1354</v>
      </c>
      <c r="J6" s="10" t="s">
        <v>1212</v>
      </c>
      <c r="K6" s="10" t="s">
        <v>1004</v>
      </c>
      <c r="L6" s="19" t="s">
        <v>1471</v>
      </c>
      <c r="M6" s="10" t="n">
        <v>2</v>
      </c>
      <c r="N6" s="10" t="s">
        <v>978</v>
      </c>
      <c r="O6" s="10" t="s">
        <v>1472</v>
      </c>
      <c r="P6" s="28" t="n">
        <v>0</v>
      </c>
      <c r="Q6" s="10" t="s">
        <v>1499</v>
      </c>
      <c r="R6" s="10" t="s">
        <v>1500</v>
      </c>
      <c r="S6" s="10" t="n">
        <v>51547</v>
      </c>
      <c r="T6" s="10" t="n">
        <v>52481</v>
      </c>
      <c r="U6" s="29" t="n">
        <v>934</v>
      </c>
      <c r="V6" s="30" t="n">
        <v>0.7995</v>
      </c>
      <c r="W6" s="28" t="n">
        <v>30.5</v>
      </c>
      <c r="X6" s="10" t="s">
        <v>1511</v>
      </c>
      <c r="Y6" s="29"/>
      <c r="Z6" s="23" t="n">
        <f aca="false">IF(U6="",Y6,ROUND(U6*V6,1))</f>
        <v>746.7</v>
      </c>
      <c r="AA6" s="29" t="n">
        <v>11251</v>
      </c>
      <c r="AB6" s="29"/>
      <c r="AC6" s="25" t="str">
        <f aca="false">IF(OR(AA6="",AB6=""),"",AB6-AA6)</f>
        <v/>
      </c>
      <c r="AD6" s="23" t="str">
        <f aca="false">IF(AC6="","",ROUND(Z6-AC6,1))</f>
        <v/>
      </c>
      <c r="AE6" s="27" t="str">
        <f aca="false">IF(AC6="","NOT_RECONCILED",IF(ABS(AD6)&lt;=MAX(50,0.02*ABS(Z6)),"PASS","FAIL"))</f>
        <v>NOT_RECONCILED</v>
      </c>
      <c r="AF6" s="10" t="s">
        <v>1476</v>
      </c>
      <c r="AG6" s="10" t="s">
        <v>1512</v>
      </c>
      <c r="AH6" s="10" t="s">
        <v>1513</v>
      </c>
      <c r="AI6" s="10" t="s">
        <v>1514</v>
      </c>
      <c r="AJ6" s="10" t="s">
        <v>1515</v>
      </c>
      <c r="AK6" s="10" t="s">
        <v>1481</v>
      </c>
      <c r="AL6" s="10" t="s">
        <v>1482</v>
      </c>
      <c r="AM6" s="10" t="s">
        <v>1483</v>
      </c>
      <c r="AN6" s="10" t="s">
        <v>1516</v>
      </c>
      <c r="AO6" s="10" t="s">
        <v>1485</v>
      </c>
      <c r="AP6" s="10" t="s">
        <v>1517</v>
      </c>
      <c r="AQ6" s="10"/>
      <c r="AR6" s="10"/>
      <c r="AS6" s="11" t="s">
        <v>1518</v>
      </c>
    </row>
    <row r="7" customFormat="false" ht="15" hidden="false" customHeight="false" outlineLevel="0" collapsed="false">
      <c r="A7" s="10" t="s">
        <v>105</v>
      </c>
      <c r="B7" s="10" t="s">
        <v>1519</v>
      </c>
      <c r="C7" s="10" t="s">
        <v>1341</v>
      </c>
      <c r="D7" s="10" t="s">
        <v>1469</v>
      </c>
      <c r="E7" s="10" t="s">
        <v>976</v>
      </c>
      <c r="F7" s="10" t="s">
        <v>1520</v>
      </c>
      <c r="G7" s="10" t="s">
        <v>973</v>
      </c>
      <c r="H7" s="10"/>
      <c r="I7" s="19" t="s">
        <v>1358</v>
      </c>
      <c r="J7" s="10" t="s">
        <v>1218</v>
      </c>
      <c r="K7" s="10" t="s">
        <v>980</v>
      </c>
      <c r="L7" s="19" t="s">
        <v>1471</v>
      </c>
      <c r="M7" s="10" t="n">
        <v>1</v>
      </c>
      <c r="N7" s="10" t="s">
        <v>978</v>
      </c>
      <c r="O7" s="10" t="s">
        <v>1472</v>
      </c>
      <c r="P7" s="28" t="n">
        <v>0</v>
      </c>
      <c r="Q7" s="10" t="s">
        <v>1473</v>
      </c>
      <c r="R7" s="10" t="s">
        <v>1521</v>
      </c>
      <c r="S7" s="10" t="n">
        <v>60000</v>
      </c>
      <c r="T7" s="10" t="n">
        <v>71447</v>
      </c>
      <c r="U7" s="29" t="n">
        <v>11447</v>
      </c>
      <c r="V7" s="30" t="n">
        <v>0.7995</v>
      </c>
      <c r="W7" s="28" t="n">
        <v>30.5</v>
      </c>
      <c r="X7" s="10" t="s">
        <v>1522</v>
      </c>
      <c r="Y7" s="29"/>
      <c r="Z7" s="23" t="n">
        <f aca="false">IF(U7="",Y7,ROUND(U7*V7,1))</f>
        <v>9151.9</v>
      </c>
      <c r="AA7" s="29" t="n">
        <v>2100</v>
      </c>
      <c r="AB7" s="29" t="n">
        <v>11251</v>
      </c>
      <c r="AC7" s="25" t="n">
        <f aca="false">IF(OR(AA7="",AB7=""),"",AB7-AA7)</f>
        <v>9151</v>
      </c>
      <c r="AD7" s="23" t="n">
        <f aca="false">IF(AC7="","",ROUND(Z7-AC7,1))</f>
        <v>0.9</v>
      </c>
      <c r="AE7" s="27" t="str">
        <f aca="false">IF(AC7="","NOT_RECONCILED",IF(ABS(AD7)&lt;=MAX(50,0.02*ABS(Z7)),"PASS","FAIL"))</f>
        <v>PASS</v>
      </c>
      <c r="AF7" s="10" t="s">
        <v>1476</v>
      </c>
      <c r="AG7" s="10" t="s">
        <v>1523</v>
      </c>
      <c r="AH7" s="10" t="s">
        <v>1524</v>
      </c>
      <c r="AI7" s="10" t="s">
        <v>1525</v>
      </c>
      <c r="AJ7" s="10" t="s">
        <v>1526</v>
      </c>
      <c r="AK7" s="10" t="s">
        <v>1527</v>
      </c>
      <c r="AL7" s="10" t="s">
        <v>1528</v>
      </c>
      <c r="AM7" s="10" t="s">
        <v>1483</v>
      </c>
      <c r="AN7" s="10" t="s">
        <v>1529</v>
      </c>
      <c r="AO7" s="10" t="s">
        <v>1485</v>
      </c>
      <c r="AP7" s="10" t="s">
        <v>1530</v>
      </c>
      <c r="AQ7" s="10"/>
      <c r="AR7" s="10"/>
      <c r="AS7" s="11" t="s">
        <v>1531</v>
      </c>
    </row>
    <row r="8" customFormat="false" ht="15" hidden="false" customHeight="false" outlineLevel="0" collapsed="false">
      <c r="A8" s="10" t="s">
        <v>105</v>
      </c>
      <c r="B8" s="10" t="s">
        <v>1532</v>
      </c>
      <c r="C8" s="10" t="s">
        <v>1341</v>
      </c>
      <c r="D8" s="10" t="s">
        <v>1469</v>
      </c>
      <c r="E8" s="10" t="s">
        <v>976</v>
      </c>
      <c r="F8" s="10" t="s">
        <v>1533</v>
      </c>
      <c r="G8" s="10" t="s">
        <v>973</v>
      </c>
      <c r="H8" s="10" t="s">
        <v>1010</v>
      </c>
      <c r="I8" s="19" t="s">
        <v>1361</v>
      </c>
      <c r="J8" s="10" t="s">
        <v>1222</v>
      </c>
      <c r="K8" s="10" t="s">
        <v>1012</v>
      </c>
      <c r="L8" s="19" t="s">
        <v>1471</v>
      </c>
      <c r="M8" s="10" t="n">
        <v>1</v>
      </c>
      <c r="N8" s="10" t="s">
        <v>978</v>
      </c>
      <c r="O8" s="10" t="s">
        <v>1472</v>
      </c>
      <c r="P8" s="28" t="n">
        <v>0</v>
      </c>
      <c r="Q8" s="10" t="s">
        <v>1473</v>
      </c>
      <c r="R8" s="10" t="s">
        <v>1521</v>
      </c>
      <c r="S8" s="10" t="n">
        <v>71447</v>
      </c>
      <c r="T8" s="10" t="n">
        <v>79509</v>
      </c>
      <c r="U8" s="29" t="n">
        <v>8062</v>
      </c>
      <c r="V8" s="30" t="n">
        <v>0.7995</v>
      </c>
      <c r="W8" s="28" t="n">
        <v>30.5</v>
      </c>
      <c r="X8" s="10" t="s">
        <v>1534</v>
      </c>
      <c r="Y8" s="29"/>
      <c r="Z8" s="23" t="n">
        <f aca="false">IF(U8="",Y8,ROUND(U8*V8,1))</f>
        <v>6445.6</v>
      </c>
      <c r="AA8" s="29" t="n">
        <v>4900</v>
      </c>
      <c r="AB8" s="29" t="n">
        <v>11346</v>
      </c>
      <c r="AC8" s="25" t="n">
        <f aca="false">IF(OR(AA8="",AB8=""),"",AB8-AA8)</f>
        <v>6446</v>
      </c>
      <c r="AD8" s="23" t="n">
        <f aca="false">IF(AC8="","",ROUND(Z8-AC8,1))</f>
        <v>-0.4</v>
      </c>
      <c r="AE8" s="27" t="str">
        <f aca="false">IF(AC8="","NOT_RECONCILED",IF(ABS(AD8)&lt;=MAX(50,0.02*ABS(Z8)),"PASS","FAIL"))</f>
        <v>PASS</v>
      </c>
      <c r="AF8" s="10" t="s">
        <v>1476</v>
      </c>
      <c r="AG8" s="10" t="s">
        <v>1535</v>
      </c>
      <c r="AH8" s="10" t="s">
        <v>1536</v>
      </c>
      <c r="AI8" s="10" t="s">
        <v>1537</v>
      </c>
      <c r="AJ8" s="10" t="s">
        <v>1538</v>
      </c>
      <c r="AK8" s="10" t="s">
        <v>1481</v>
      </c>
      <c r="AL8" s="10" t="s">
        <v>1482</v>
      </c>
      <c r="AM8" s="10" t="s">
        <v>1483</v>
      </c>
      <c r="AN8" s="10" t="s">
        <v>1539</v>
      </c>
      <c r="AO8" s="10" t="s">
        <v>1485</v>
      </c>
      <c r="AP8" s="10" t="s">
        <v>1540</v>
      </c>
      <c r="AQ8" s="10"/>
      <c r="AR8" s="10"/>
      <c r="AS8" s="11" t="s">
        <v>1541</v>
      </c>
    </row>
    <row r="9" customFormat="false" ht="15" hidden="false" customHeight="false" outlineLevel="0" collapsed="false">
      <c r="A9" s="10" t="s">
        <v>111</v>
      </c>
      <c r="B9" s="10" t="s">
        <v>1542</v>
      </c>
      <c r="C9" s="10" t="s">
        <v>1341</v>
      </c>
      <c r="D9" s="10" t="s">
        <v>1469</v>
      </c>
      <c r="E9" s="10" t="s">
        <v>976</v>
      </c>
      <c r="F9" s="10" t="s">
        <v>1543</v>
      </c>
      <c r="G9" s="10" t="s">
        <v>973</v>
      </c>
      <c r="H9" s="10" t="s">
        <v>1018</v>
      </c>
      <c r="I9" s="19" t="s">
        <v>1364</v>
      </c>
      <c r="J9" s="10" t="s">
        <v>1225</v>
      </c>
      <c r="K9" s="10" t="s">
        <v>1023</v>
      </c>
      <c r="L9" s="19" t="s">
        <v>1471</v>
      </c>
      <c r="M9" s="10" t="n">
        <v>1</v>
      </c>
      <c r="N9" s="10" t="s">
        <v>990</v>
      </c>
      <c r="O9" s="10" t="s">
        <v>1472</v>
      </c>
      <c r="P9" s="28" t="n">
        <v>0</v>
      </c>
      <c r="Q9" s="10" t="s">
        <v>1473</v>
      </c>
      <c r="R9" s="10" t="s">
        <v>1521</v>
      </c>
      <c r="S9" s="10" t="n">
        <v>4118</v>
      </c>
      <c r="T9" s="10" t="n">
        <v>79362</v>
      </c>
      <c r="U9" s="29" t="n">
        <v>75244</v>
      </c>
      <c r="V9" s="30" t="n">
        <v>0.7982</v>
      </c>
      <c r="W9" s="28" t="n">
        <v>30.5</v>
      </c>
      <c r="X9" s="10" t="s">
        <v>1544</v>
      </c>
      <c r="Y9" s="29"/>
      <c r="Z9" s="23" t="n">
        <f aca="false">IF(U9="",Y9,ROUND(U9*V9,1))</f>
        <v>60059.8</v>
      </c>
      <c r="AA9" s="29" t="n">
        <v>5200</v>
      </c>
      <c r="AB9" s="29" t="n">
        <v>65260</v>
      </c>
      <c r="AC9" s="25" t="n">
        <f aca="false">IF(OR(AA9="",AB9=""),"",AB9-AA9)</f>
        <v>60060</v>
      </c>
      <c r="AD9" s="23" t="n">
        <f aca="false">IF(AC9="","",ROUND(Z9-AC9,1))</f>
        <v>-0.2</v>
      </c>
      <c r="AE9" s="27" t="str">
        <f aca="false">IF(AC9="","NOT_RECONCILED",IF(ABS(AD9)&lt;=MAX(50,0.02*ABS(Z9)),"PASS","FAIL"))</f>
        <v>PASS</v>
      </c>
      <c r="AF9" s="10" t="s">
        <v>1476</v>
      </c>
      <c r="AG9" s="10" t="s">
        <v>1545</v>
      </c>
      <c r="AH9" s="10" t="s">
        <v>1546</v>
      </c>
      <c r="AI9" s="10" t="s">
        <v>1547</v>
      </c>
      <c r="AJ9" s="10" t="s">
        <v>1548</v>
      </c>
      <c r="AK9" s="10" t="s">
        <v>1481</v>
      </c>
      <c r="AL9" s="10" t="s">
        <v>1482</v>
      </c>
      <c r="AM9" s="10" t="s">
        <v>1483</v>
      </c>
      <c r="AN9" s="10" t="s">
        <v>1549</v>
      </c>
      <c r="AO9" s="10" t="s">
        <v>1485</v>
      </c>
      <c r="AP9" s="10" t="s">
        <v>1550</v>
      </c>
      <c r="AQ9" s="10"/>
      <c r="AR9" s="10"/>
      <c r="AS9" s="11" t="s">
        <v>1551</v>
      </c>
    </row>
    <row r="10" customFormat="false" ht="15" hidden="false" customHeight="false" outlineLevel="0" collapsed="false">
      <c r="A10" s="10" t="s">
        <v>111</v>
      </c>
      <c r="B10" s="10" t="s">
        <v>1552</v>
      </c>
      <c r="C10" s="10" t="s">
        <v>1341</v>
      </c>
      <c r="D10" s="10" t="s">
        <v>1469</v>
      </c>
      <c r="E10" s="10" t="s">
        <v>976</v>
      </c>
      <c r="F10" s="10" t="s">
        <v>1553</v>
      </c>
      <c r="G10" s="10" t="s">
        <v>973</v>
      </c>
      <c r="H10" s="10" t="s">
        <v>1018</v>
      </c>
      <c r="I10" s="19" t="s">
        <v>1364</v>
      </c>
      <c r="J10" s="10" t="s">
        <v>1225</v>
      </c>
      <c r="K10" s="10" t="s">
        <v>1023</v>
      </c>
      <c r="L10" s="19" t="s">
        <v>1471</v>
      </c>
      <c r="M10" s="10" t="n">
        <v>2</v>
      </c>
      <c r="N10" s="10" t="s">
        <v>978</v>
      </c>
      <c r="O10" s="10" t="s">
        <v>1472</v>
      </c>
      <c r="P10" s="28" t="n">
        <v>0</v>
      </c>
      <c r="Q10" s="10" t="s">
        <v>1499</v>
      </c>
      <c r="R10" s="10" t="s">
        <v>1500</v>
      </c>
      <c r="S10" s="10" t="n">
        <v>291770</v>
      </c>
      <c r="T10" s="10" t="n">
        <v>342048</v>
      </c>
      <c r="U10" s="29" t="n">
        <v>50278</v>
      </c>
      <c r="V10" s="30" t="n">
        <v>0.7982</v>
      </c>
      <c r="W10" s="28" t="n">
        <v>30.5</v>
      </c>
      <c r="X10" s="10" t="s">
        <v>1554</v>
      </c>
      <c r="Y10" s="29"/>
      <c r="Z10" s="23" t="n">
        <f aca="false">IF(U10="",Y10,ROUND(U10*V10,1))</f>
        <v>40131.9</v>
      </c>
      <c r="AA10" s="29" t="n">
        <v>65260</v>
      </c>
      <c r="AB10" s="29" t="n">
        <v>105392</v>
      </c>
      <c r="AC10" s="25" t="n">
        <f aca="false">IF(OR(AA10="",AB10=""),"",AB10-AA10)</f>
        <v>40132</v>
      </c>
      <c r="AD10" s="23" t="n">
        <f aca="false">IF(AC10="","",ROUND(Z10-AC10,1))</f>
        <v>-0.1</v>
      </c>
      <c r="AE10" s="27" t="str">
        <f aca="false">IF(AC10="","NOT_RECONCILED",IF(ABS(AD10)&lt;=MAX(50,0.02*ABS(Z10)),"PASS","FAIL"))</f>
        <v>PASS</v>
      </c>
      <c r="AF10" s="10" t="s">
        <v>1476</v>
      </c>
      <c r="AG10" s="10" t="s">
        <v>1555</v>
      </c>
      <c r="AH10" s="10" t="s">
        <v>1556</v>
      </c>
      <c r="AI10" s="10" t="s">
        <v>1557</v>
      </c>
      <c r="AJ10" s="10" t="s">
        <v>1558</v>
      </c>
      <c r="AK10" s="10" t="s">
        <v>1481</v>
      </c>
      <c r="AL10" s="10" t="s">
        <v>1482</v>
      </c>
      <c r="AM10" s="10" t="s">
        <v>1483</v>
      </c>
      <c r="AN10" s="10" t="s">
        <v>1559</v>
      </c>
      <c r="AO10" s="10" t="s">
        <v>1485</v>
      </c>
      <c r="AP10" s="10" t="s">
        <v>1560</v>
      </c>
      <c r="AQ10" s="10"/>
      <c r="AR10" s="10"/>
      <c r="AS10" s="11" t="s">
        <v>1561</v>
      </c>
    </row>
    <row r="11" customFormat="false" ht="15" hidden="false" customHeight="false" outlineLevel="0" collapsed="false">
      <c r="A11" s="10" t="s">
        <v>117</v>
      </c>
      <c r="B11" s="10" t="s">
        <v>1562</v>
      </c>
      <c r="C11" s="10" t="s">
        <v>1341</v>
      </c>
      <c r="D11" s="10" t="s">
        <v>1469</v>
      </c>
      <c r="E11" s="10" t="s">
        <v>976</v>
      </c>
      <c r="F11" s="10" t="s">
        <v>1563</v>
      </c>
      <c r="G11" s="10" t="s">
        <v>1032</v>
      </c>
      <c r="H11" s="10" t="s">
        <v>1030</v>
      </c>
      <c r="I11" s="19" t="s">
        <v>1367</v>
      </c>
      <c r="J11" s="10" t="s">
        <v>1229</v>
      </c>
      <c r="K11" s="10" t="s">
        <v>1033</v>
      </c>
      <c r="L11" s="19" t="s">
        <v>1471</v>
      </c>
      <c r="M11" s="10" t="n">
        <v>1</v>
      </c>
      <c r="N11" s="10" t="s">
        <v>990</v>
      </c>
      <c r="O11" s="10" t="s">
        <v>1472</v>
      </c>
      <c r="P11" s="28" t="n">
        <v>0</v>
      </c>
      <c r="Q11" s="10" t="s">
        <v>1473</v>
      </c>
      <c r="R11" s="10" t="s">
        <v>1521</v>
      </c>
      <c r="S11" s="10" t="n">
        <v>100000</v>
      </c>
      <c r="T11" s="10" t="n">
        <v>175244</v>
      </c>
      <c r="U11" s="29" t="n">
        <v>75244</v>
      </c>
      <c r="V11" s="30" t="n">
        <v>0.7982</v>
      </c>
      <c r="W11" s="28" t="n">
        <v>30.5</v>
      </c>
      <c r="X11" s="10" t="s">
        <v>1564</v>
      </c>
      <c r="Y11" s="29"/>
      <c r="Z11" s="23" t="n">
        <f aca="false">IF(U11="",Y11,ROUND(U11*V11,1))</f>
        <v>60059.8</v>
      </c>
      <c r="AA11" s="29" t="n">
        <v>5200</v>
      </c>
      <c r="AB11" s="29" t="n">
        <v>65260</v>
      </c>
      <c r="AC11" s="25" t="n">
        <f aca="false">IF(OR(AA11="",AB11=""),"",AB11-AA11)</f>
        <v>60060</v>
      </c>
      <c r="AD11" s="23" t="n">
        <f aca="false">IF(AC11="","",ROUND(Z11-AC11,1))</f>
        <v>-0.2</v>
      </c>
      <c r="AE11" s="27" t="str">
        <f aca="false">IF(AC11="","NOT_RECONCILED",IF(ABS(AD11)&lt;=MAX(50,0.02*ABS(Z11)),"PASS","FAIL"))</f>
        <v>PASS</v>
      </c>
      <c r="AF11" s="10" t="s">
        <v>1476</v>
      </c>
      <c r="AG11" s="10" t="s">
        <v>1565</v>
      </c>
      <c r="AH11" s="10" t="s">
        <v>1566</v>
      </c>
      <c r="AI11" s="10" t="s">
        <v>1567</v>
      </c>
      <c r="AJ11" s="10" t="s">
        <v>1568</v>
      </c>
      <c r="AK11" s="10" t="s">
        <v>1481</v>
      </c>
      <c r="AL11" s="10" t="s">
        <v>1482</v>
      </c>
      <c r="AM11" s="10" t="s">
        <v>1483</v>
      </c>
      <c r="AN11" s="10" t="s">
        <v>1569</v>
      </c>
      <c r="AO11" s="10" t="s">
        <v>1485</v>
      </c>
      <c r="AP11" s="10" t="s">
        <v>1570</v>
      </c>
      <c r="AQ11" s="10"/>
      <c r="AR11" s="10"/>
      <c r="AS11" s="11" t="s">
        <v>1571</v>
      </c>
    </row>
    <row r="12" customFormat="false" ht="15" hidden="false" customHeight="false" outlineLevel="0" collapsed="false">
      <c r="A12" s="10" t="s">
        <v>117</v>
      </c>
      <c r="B12" s="10" t="s">
        <v>1572</v>
      </c>
      <c r="C12" s="10" t="s">
        <v>1341</v>
      </c>
      <c r="D12" s="10" t="s">
        <v>1469</v>
      </c>
      <c r="E12" s="10" t="s">
        <v>976</v>
      </c>
      <c r="F12" s="10" t="s">
        <v>1573</v>
      </c>
      <c r="G12" s="10" t="s">
        <v>1032</v>
      </c>
      <c r="H12" s="10" t="s">
        <v>1030</v>
      </c>
      <c r="I12" s="19" t="s">
        <v>1367</v>
      </c>
      <c r="J12" s="10" t="s">
        <v>1229</v>
      </c>
      <c r="K12" s="10" t="s">
        <v>1033</v>
      </c>
      <c r="L12" s="19" t="s">
        <v>1471</v>
      </c>
      <c r="M12" s="10" t="n">
        <v>2</v>
      </c>
      <c r="N12" s="10" t="s">
        <v>978</v>
      </c>
      <c r="O12" s="10" t="s">
        <v>1472</v>
      </c>
      <c r="P12" s="28" t="n">
        <v>0</v>
      </c>
      <c r="Q12" s="10" t="s">
        <v>1499</v>
      </c>
      <c r="R12" s="10" t="s">
        <v>1500</v>
      </c>
      <c r="S12" s="10" t="n">
        <v>400000</v>
      </c>
      <c r="T12" s="10" t="n">
        <v>405430</v>
      </c>
      <c r="U12" s="29" t="n">
        <v>5430</v>
      </c>
      <c r="V12" s="30" t="n">
        <v>0.7982</v>
      </c>
      <c r="W12" s="28" t="n">
        <v>30.5</v>
      </c>
      <c r="X12" s="10" t="s">
        <v>1574</v>
      </c>
      <c r="Y12" s="29"/>
      <c r="Z12" s="23" t="n">
        <f aca="false">IF(U12="",Y12,ROUND(U12*V12,1))</f>
        <v>4334.2</v>
      </c>
      <c r="AA12" s="29" t="n">
        <v>65260</v>
      </c>
      <c r="AB12" s="29" t="n">
        <v>69594</v>
      </c>
      <c r="AC12" s="25" t="n">
        <f aca="false">IF(OR(AA12="",AB12=""),"",AB12-AA12)</f>
        <v>4334</v>
      </c>
      <c r="AD12" s="23" t="n">
        <f aca="false">IF(AC12="","",ROUND(Z12-AC12,1))</f>
        <v>0.2</v>
      </c>
      <c r="AE12" s="27" t="str">
        <f aca="false">IF(AC12="","NOT_RECONCILED",IF(ABS(AD12)&lt;=MAX(50,0.02*ABS(Z12)),"PASS","FAIL"))</f>
        <v>PASS</v>
      </c>
      <c r="AF12" s="10" t="s">
        <v>1476</v>
      </c>
      <c r="AG12" s="10" t="s">
        <v>1575</v>
      </c>
      <c r="AH12" s="10" t="s">
        <v>1576</v>
      </c>
      <c r="AI12" s="10" t="s">
        <v>1577</v>
      </c>
      <c r="AJ12" s="10" t="s">
        <v>1578</v>
      </c>
      <c r="AK12" s="10" t="s">
        <v>1481</v>
      </c>
      <c r="AL12" s="10" t="s">
        <v>1482</v>
      </c>
      <c r="AM12" s="10" t="s">
        <v>1483</v>
      </c>
      <c r="AN12" s="10" t="s">
        <v>1579</v>
      </c>
      <c r="AO12" s="10" t="s">
        <v>1485</v>
      </c>
      <c r="AP12" s="10" t="s">
        <v>1580</v>
      </c>
      <c r="AQ12" s="10"/>
      <c r="AR12" s="10"/>
      <c r="AS12" s="11" t="s">
        <v>1581</v>
      </c>
    </row>
    <row r="13" customFormat="false" ht="15" hidden="false" customHeight="false" outlineLevel="0" collapsed="false">
      <c r="A13" s="10" t="s">
        <v>117</v>
      </c>
      <c r="B13" s="10" t="s">
        <v>1582</v>
      </c>
      <c r="C13" s="10" t="s">
        <v>1341</v>
      </c>
      <c r="D13" s="10" t="s">
        <v>1469</v>
      </c>
      <c r="E13" s="10" t="s">
        <v>976</v>
      </c>
      <c r="F13" s="10" t="s">
        <v>1583</v>
      </c>
      <c r="G13" s="10" t="s">
        <v>1032</v>
      </c>
      <c r="H13" s="10" t="s">
        <v>1030</v>
      </c>
      <c r="I13" s="19" t="s">
        <v>1372</v>
      </c>
      <c r="J13" s="10" t="s">
        <v>1233</v>
      </c>
      <c r="K13" s="10" t="s">
        <v>1033</v>
      </c>
      <c r="L13" s="19" t="s">
        <v>1471</v>
      </c>
      <c r="M13" s="10" t="n">
        <v>3</v>
      </c>
      <c r="N13" s="10" t="s">
        <v>978</v>
      </c>
      <c r="O13" s="10" t="s">
        <v>1472</v>
      </c>
      <c r="P13" s="28" t="n">
        <v>0</v>
      </c>
      <c r="Q13" s="10" t="s">
        <v>1499</v>
      </c>
      <c r="R13" s="10" t="s">
        <v>1500</v>
      </c>
      <c r="S13" s="10" t="n">
        <v>405430</v>
      </c>
      <c r="T13" s="10" t="n">
        <v>453724</v>
      </c>
      <c r="U13" s="29" t="n">
        <v>48294</v>
      </c>
      <c r="V13" s="30" t="n">
        <v>0.7982</v>
      </c>
      <c r="W13" s="28" t="n">
        <v>30.5</v>
      </c>
      <c r="X13" s="10" t="s">
        <v>1584</v>
      </c>
      <c r="Y13" s="29"/>
      <c r="Z13" s="23" t="n">
        <f aca="false">IF(U13="",Y13,ROUND(U13*V13,1))</f>
        <v>38548.3</v>
      </c>
      <c r="AA13" s="29" t="n">
        <v>69594</v>
      </c>
      <c r="AB13" s="29" t="n">
        <v>108142</v>
      </c>
      <c r="AC13" s="25" t="n">
        <f aca="false">IF(OR(AA13="",AB13=""),"",AB13-AA13)</f>
        <v>38548</v>
      </c>
      <c r="AD13" s="23" t="n">
        <f aca="false">IF(AC13="","",ROUND(Z13-AC13,1))</f>
        <v>0.3</v>
      </c>
      <c r="AE13" s="27" t="str">
        <f aca="false">IF(AC13="","NOT_RECONCILED",IF(ABS(AD13)&lt;=MAX(50,0.02*ABS(Z13)),"PASS","FAIL"))</f>
        <v>PASS</v>
      </c>
      <c r="AF13" s="10" t="s">
        <v>1476</v>
      </c>
      <c r="AG13" s="10" t="s">
        <v>1585</v>
      </c>
      <c r="AH13" s="10" t="s">
        <v>1586</v>
      </c>
      <c r="AI13" s="10" t="s">
        <v>1587</v>
      </c>
      <c r="AJ13" s="10" t="s">
        <v>1588</v>
      </c>
      <c r="AK13" s="10" t="s">
        <v>1481</v>
      </c>
      <c r="AL13" s="10" t="s">
        <v>1482</v>
      </c>
      <c r="AM13" s="10" t="s">
        <v>1483</v>
      </c>
      <c r="AN13" s="10" t="s">
        <v>1589</v>
      </c>
      <c r="AO13" s="10" t="s">
        <v>1485</v>
      </c>
      <c r="AP13" s="10" t="s">
        <v>1590</v>
      </c>
      <c r="AQ13" s="10"/>
      <c r="AR13" s="10"/>
      <c r="AS13" s="11" t="s">
        <v>1591</v>
      </c>
    </row>
    <row r="14" customFormat="false" ht="15" hidden="false" customHeight="false" outlineLevel="0" collapsed="false">
      <c r="A14" s="10" t="s">
        <v>122</v>
      </c>
      <c r="B14" s="10" t="s">
        <v>1592</v>
      </c>
      <c r="C14" s="10" t="s">
        <v>1341</v>
      </c>
      <c r="D14" s="10" t="s">
        <v>1469</v>
      </c>
      <c r="E14" s="10" t="s">
        <v>976</v>
      </c>
      <c r="F14" s="10" t="s">
        <v>1593</v>
      </c>
      <c r="G14" s="10" t="s">
        <v>1032</v>
      </c>
      <c r="H14" s="10" t="s">
        <v>1036</v>
      </c>
      <c r="I14" s="19" t="s">
        <v>1375</v>
      </c>
      <c r="J14" s="10" t="s">
        <v>1238</v>
      </c>
      <c r="K14" s="10" t="s">
        <v>1038</v>
      </c>
      <c r="L14" s="19" t="s">
        <v>1471</v>
      </c>
      <c r="M14" s="10" t="n">
        <v>1</v>
      </c>
      <c r="N14" s="10" t="s">
        <v>978</v>
      </c>
      <c r="O14" s="10" t="s">
        <v>1472</v>
      </c>
      <c r="P14" s="28" t="n">
        <v>0</v>
      </c>
      <c r="Q14" s="10" t="s">
        <v>1473</v>
      </c>
      <c r="R14" s="10" t="s">
        <v>1474</v>
      </c>
      <c r="S14" s="10" t="n">
        <v>90000</v>
      </c>
      <c r="T14" s="10" t="n">
        <v>101447</v>
      </c>
      <c r="U14" s="29" t="n">
        <v>11447</v>
      </c>
      <c r="V14" s="30" t="n">
        <v>0.7995</v>
      </c>
      <c r="W14" s="28" t="n">
        <v>30.5</v>
      </c>
      <c r="X14" s="10" t="s">
        <v>1594</v>
      </c>
      <c r="Y14" s="29"/>
      <c r="Z14" s="23" t="n">
        <f aca="false">IF(U14="",Y14,ROUND(U14*V14,1))</f>
        <v>9151.9</v>
      </c>
      <c r="AA14" s="29" t="n">
        <v>2100</v>
      </c>
      <c r="AB14" s="29" t="n">
        <v>11251</v>
      </c>
      <c r="AC14" s="25" t="n">
        <f aca="false">IF(OR(AA14="",AB14=""),"",AB14-AA14)</f>
        <v>9151</v>
      </c>
      <c r="AD14" s="23" t="n">
        <f aca="false">IF(AC14="","",ROUND(Z14-AC14,1))</f>
        <v>0.9</v>
      </c>
      <c r="AE14" s="27" t="str">
        <f aca="false">IF(AC14="","NOT_RECONCILED",IF(ABS(AD14)&lt;=MAX(50,0.02*ABS(Z14)),"PASS","FAIL"))</f>
        <v>PASS</v>
      </c>
      <c r="AF14" s="10" t="s">
        <v>1476</v>
      </c>
      <c r="AG14" s="10" t="s">
        <v>1595</v>
      </c>
      <c r="AH14" s="10" t="s">
        <v>1596</v>
      </c>
      <c r="AI14" s="10" t="s">
        <v>1597</v>
      </c>
      <c r="AJ14" s="10" t="s">
        <v>1598</v>
      </c>
      <c r="AK14" s="10" t="s">
        <v>1481</v>
      </c>
      <c r="AL14" s="10" t="s">
        <v>1528</v>
      </c>
      <c r="AM14" s="10" t="s">
        <v>1483</v>
      </c>
      <c r="AN14" s="10" t="s">
        <v>1599</v>
      </c>
      <c r="AO14" s="10" t="s">
        <v>1485</v>
      </c>
      <c r="AP14" s="10" t="s">
        <v>1600</v>
      </c>
      <c r="AQ14" s="10"/>
      <c r="AR14" s="10"/>
      <c r="AS14" s="11" t="s">
        <v>1601</v>
      </c>
    </row>
    <row r="15" customFormat="false" ht="15" hidden="false" customHeight="false" outlineLevel="0" collapsed="false">
      <c r="A15" s="10" t="s">
        <v>127</v>
      </c>
      <c r="B15" s="10" t="s">
        <v>1602</v>
      </c>
      <c r="C15" s="10" t="s">
        <v>1341</v>
      </c>
      <c r="D15" s="10" t="s">
        <v>1469</v>
      </c>
      <c r="E15" s="10" t="s">
        <v>976</v>
      </c>
      <c r="F15" s="10" t="s">
        <v>1603</v>
      </c>
      <c r="G15" s="10" t="s">
        <v>1032</v>
      </c>
      <c r="H15" s="10" t="s">
        <v>1045</v>
      </c>
      <c r="I15" s="19" t="s">
        <v>1378</v>
      </c>
      <c r="J15" s="10" t="s">
        <v>1243</v>
      </c>
      <c r="K15" s="10" t="s">
        <v>1047</v>
      </c>
      <c r="L15" s="19" t="s">
        <v>1471</v>
      </c>
      <c r="M15" s="10" t="n">
        <v>1</v>
      </c>
      <c r="N15" s="10" t="s">
        <v>978</v>
      </c>
      <c r="O15" s="10" t="s">
        <v>1472</v>
      </c>
      <c r="P15" s="28" t="n">
        <v>0</v>
      </c>
      <c r="Q15" s="10" t="s">
        <v>1473</v>
      </c>
      <c r="R15" s="10" t="s">
        <v>1474</v>
      </c>
      <c r="S15" s="10" t="n">
        <v>101447</v>
      </c>
      <c r="T15" s="10" t="n">
        <v>112894</v>
      </c>
      <c r="U15" s="29" t="n">
        <v>11447</v>
      </c>
      <c r="V15" s="30" t="n">
        <v>0.7995</v>
      </c>
      <c r="W15" s="28" t="n">
        <v>30.5</v>
      </c>
      <c r="X15" s="10" t="s">
        <v>1604</v>
      </c>
      <c r="Y15" s="29"/>
      <c r="Z15" s="23" t="n">
        <f aca="false">IF(U15="",Y15,ROUND(U15*V15,1))</f>
        <v>9151.9</v>
      </c>
      <c r="AA15" s="29" t="n">
        <v>2100</v>
      </c>
      <c r="AB15" s="29" t="n">
        <v>11251</v>
      </c>
      <c r="AC15" s="25" t="n">
        <f aca="false">IF(OR(AA15="",AB15=""),"",AB15-AA15)</f>
        <v>9151</v>
      </c>
      <c r="AD15" s="23" t="n">
        <f aca="false">IF(AC15="","",ROUND(Z15-AC15,1))</f>
        <v>0.9</v>
      </c>
      <c r="AE15" s="27" t="str">
        <f aca="false">IF(AC15="","NOT_RECONCILED",IF(ABS(AD15)&lt;=MAX(50,0.02*ABS(Z15)),"PASS","FAIL"))</f>
        <v>PASS</v>
      </c>
      <c r="AF15" s="10" t="s">
        <v>1476</v>
      </c>
      <c r="AG15" s="10" t="s">
        <v>1605</v>
      </c>
      <c r="AH15" s="10" t="s">
        <v>1606</v>
      </c>
      <c r="AI15" s="10" t="s">
        <v>1607</v>
      </c>
      <c r="AJ15" s="10" t="s">
        <v>1608</v>
      </c>
      <c r="AK15" s="10" t="s">
        <v>1481</v>
      </c>
      <c r="AL15" s="10" t="s">
        <v>1482</v>
      </c>
      <c r="AM15" s="10" t="s">
        <v>1483</v>
      </c>
      <c r="AN15" s="10" t="s">
        <v>1609</v>
      </c>
      <c r="AO15" s="10" t="s">
        <v>1485</v>
      </c>
      <c r="AP15" s="10" t="s">
        <v>1610</v>
      </c>
      <c r="AQ15" s="10"/>
      <c r="AR15" s="10"/>
      <c r="AS15" s="11" t="s">
        <v>1611</v>
      </c>
    </row>
    <row r="16" customFormat="false" ht="15" hidden="false" customHeight="false" outlineLevel="0" collapsed="false">
      <c r="A16" s="10" t="s">
        <v>127</v>
      </c>
      <c r="B16" s="10" t="s">
        <v>1612</v>
      </c>
      <c r="C16" s="10" t="s">
        <v>1341</v>
      </c>
      <c r="D16" s="10" t="s">
        <v>1469</v>
      </c>
      <c r="E16" s="10" t="s">
        <v>976</v>
      </c>
      <c r="F16" s="10" t="s">
        <v>1613</v>
      </c>
      <c r="G16" s="10" t="s">
        <v>1032</v>
      </c>
      <c r="H16" s="10" t="s">
        <v>1045</v>
      </c>
      <c r="I16" s="19" t="s">
        <v>1381</v>
      </c>
      <c r="J16" s="10" t="s">
        <v>1247</v>
      </c>
      <c r="K16" s="10" t="s">
        <v>1047</v>
      </c>
      <c r="L16" s="19" t="s">
        <v>1383</v>
      </c>
      <c r="M16" s="10" t="n">
        <v>2</v>
      </c>
      <c r="N16" s="10" t="s">
        <v>978</v>
      </c>
      <c r="O16" s="10" t="s">
        <v>1472</v>
      </c>
      <c r="P16" s="28" t="n">
        <v>0</v>
      </c>
      <c r="Q16" s="10" t="s">
        <v>1473</v>
      </c>
      <c r="R16" s="10" t="s">
        <v>1474</v>
      </c>
      <c r="S16" s="10" t="n">
        <v>112894</v>
      </c>
      <c r="T16" s="10" t="n">
        <v>110898</v>
      </c>
      <c r="U16" s="29" t="n">
        <v>-1996</v>
      </c>
      <c r="V16" s="30" t="n">
        <v>0.7995</v>
      </c>
      <c r="W16" s="28" t="n">
        <v>30.5</v>
      </c>
      <c r="X16" s="10" t="s">
        <v>1614</v>
      </c>
      <c r="Y16" s="29"/>
      <c r="Z16" s="23" t="n">
        <f aca="false">IF(U16="",Y16,ROUND(U16*V16,1))</f>
        <v>-1595.8</v>
      </c>
      <c r="AA16" s="29" t="n">
        <v>11251</v>
      </c>
      <c r="AB16" s="29" t="n">
        <v>9655</v>
      </c>
      <c r="AC16" s="25" t="n">
        <f aca="false">IF(OR(AA16="",AB16=""),"",AB16-AA16)</f>
        <v>-1596</v>
      </c>
      <c r="AD16" s="23" t="n">
        <f aca="false">IF(AC16="","",ROUND(Z16-AC16,1))</f>
        <v>0.2</v>
      </c>
      <c r="AE16" s="27" t="str">
        <f aca="false">IF(AC16="","NOT_RECONCILED",IF(ABS(AD16)&lt;=MAX(50,0.02*ABS(Z16)),"PASS","FAIL"))</f>
        <v>PASS</v>
      </c>
      <c r="AF16" s="10" t="s">
        <v>1476</v>
      </c>
      <c r="AG16" s="10" t="s">
        <v>1615</v>
      </c>
      <c r="AH16" s="10" t="s">
        <v>1616</v>
      </c>
      <c r="AI16" s="10" t="s">
        <v>1617</v>
      </c>
      <c r="AJ16" s="10" t="s">
        <v>1618</v>
      </c>
      <c r="AK16" s="10" t="s">
        <v>1481</v>
      </c>
      <c r="AL16" s="10" t="s">
        <v>1482</v>
      </c>
      <c r="AM16" s="10" t="s">
        <v>1483</v>
      </c>
      <c r="AN16" s="10" t="s">
        <v>1619</v>
      </c>
      <c r="AO16" s="10" t="s">
        <v>1485</v>
      </c>
      <c r="AP16" s="10" t="s">
        <v>1620</v>
      </c>
      <c r="AQ16" s="10"/>
      <c r="AR16" s="10"/>
      <c r="AS16" s="11" t="s">
        <v>1621</v>
      </c>
    </row>
    <row r="17" customFormat="false" ht="15" hidden="false" customHeight="false" outlineLevel="0" collapsed="false">
      <c r="A17" s="10" t="s">
        <v>133</v>
      </c>
      <c r="B17" s="10" t="s">
        <v>1622</v>
      </c>
      <c r="C17" s="10" t="s">
        <v>1341</v>
      </c>
      <c r="D17" s="10" t="s">
        <v>1469</v>
      </c>
      <c r="E17" s="10" t="s">
        <v>976</v>
      </c>
      <c r="F17" s="10" t="s">
        <v>1623</v>
      </c>
      <c r="G17" s="10" t="s">
        <v>1032</v>
      </c>
      <c r="H17" s="10" t="s">
        <v>1052</v>
      </c>
      <c r="I17" s="19" t="s">
        <v>1385</v>
      </c>
      <c r="J17" s="10" t="s">
        <v>1250</v>
      </c>
      <c r="K17" s="10" t="s">
        <v>1054</v>
      </c>
      <c r="L17" s="19" t="s">
        <v>1471</v>
      </c>
      <c r="M17" s="10" t="n">
        <v>1</v>
      </c>
      <c r="N17" s="10" t="s">
        <v>978</v>
      </c>
      <c r="O17" s="10" t="s">
        <v>1472</v>
      </c>
      <c r="P17" s="28" t="n">
        <v>0</v>
      </c>
      <c r="Q17" s="10" t="s">
        <v>1473</v>
      </c>
      <c r="R17" s="10" t="s">
        <v>1521</v>
      </c>
      <c r="S17" s="10" t="n">
        <v>500000</v>
      </c>
      <c r="T17" s="10" t="n">
        <v>625493</v>
      </c>
      <c r="U17" s="29" t="n">
        <v>125493</v>
      </c>
      <c r="V17" s="30" t="n">
        <v>0.7982</v>
      </c>
      <c r="W17" s="28" t="n">
        <v>30.5</v>
      </c>
      <c r="X17" s="10" t="s">
        <v>1624</v>
      </c>
      <c r="Y17" s="29"/>
      <c r="Z17" s="23" t="n">
        <f aca="false">IF(U17="",Y17,ROUND(U17*V17,1))</f>
        <v>100168.5</v>
      </c>
      <c r="AA17" s="29" t="n">
        <v>5200</v>
      </c>
      <c r="AB17" s="29" t="n">
        <v>105392</v>
      </c>
      <c r="AC17" s="25" t="n">
        <f aca="false">IF(OR(AA17="",AB17=""),"",AB17-AA17)</f>
        <v>100192</v>
      </c>
      <c r="AD17" s="23" t="n">
        <f aca="false">IF(AC17="","",ROUND(Z17-AC17,1))</f>
        <v>-23.5</v>
      </c>
      <c r="AE17" s="27" t="str">
        <f aca="false">IF(AC17="","NOT_RECONCILED",IF(ABS(AD17)&lt;=MAX(50,0.02*ABS(Z17)),"PASS","FAIL"))</f>
        <v>PASS</v>
      </c>
      <c r="AF17" s="10" t="s">
        <v>1476</v>
      </c>
      <c r="AG17" s="10" t="s">
        <v>1565</v>
      </c>
      <c r="AH17" s="10" t="s">
        <v>1625</v>
      </c>
      <c r="AI17" s="10" t="s">
        <v>1626</v>
      </c>
      <c r="AJ17" s="10" t="s">
        <v>1627</v>
      </c>
      <c r="AK17" s="10" t="s">
        <v>1481</v>
      </c>
      <c r="AL17" s="10" t="s">
        <v>1482</v>
      </c>
      <c r="AM17" s="10" t="s">
        <v>1483</v>
      </c>
      <c r="AN17" s="10" t="s">
        <v>1628</v>
      </c>
      <c r="AO17" s="10" t="s">
        <v>1485</v>
      </c>
      <c r="AP17" s="10" t="s">
        <v>1570</v>
      </c>
      <c r="AQ17" s="10"/>
      <c r="AR17" s="10"/>
      <c r="AS17" s="11" t="s">
        <v>1629</v>
      </c>
    </row>
    <row r="18" customFormat="false" ht="23.85" hidden="false" customHeight="false" outlineLevel="0" collapsed="false">
      <c r="A18" s="10" t="s">
        <v>133</v>
      </c>
      <c r="B18" s="10" t="s">
        <v>1630</v>
      </c>
      <c r="C18" s="10"/>
      <c r="D18" s="10"/>
      <c r="E18" s="10"/>
      <c r="F18" s="10" t="s">
        <v>1631</v>
      </c>
      <c r="G18" s="10" t="s">
        <v>1032</v>
      </c>
      <c r="H18" s="10" t="s">
        <v>1052</v>
      </c>
      <c r="I18" s="19"/>
      <c r="J18" s="10" t="s">
        <v>1250</v>
      </c>
      <c r="K18" s="10" t="s">
        <v>1054</v>
      </c>
      <c r="L18" s="19" t="s">
        <v>1632</v>
      </c>
      <c r="M18" s="10" t="n">
        <v>2</v>
      </c>
      <c r="N18" s="10" t="s">
        <v>978</v>
      </c>
      <c r="O18" s="10" t="s">
        <v>1472</v>
      </c>
      <c r="P18" s="28" t="n">
        <v>0</v>
      </c>
      <c r="Q18" s="10"/>
      <c r="R18" s="10"/>
      <c r="S18" s="10"/>
      <c r="T18" s="10"/>
      <c r="U18" s="29"/>
      <c r="V18" s="30"/>
      <c r="W18" s="28"/>
      <c r="X18" s="10"/>
      <c r="Y18" s="29" t="n">
        <v>-21800</v>
      </c>
      <c r="Z18" s="23" t="n">
        <f aca="false">IF(U18="",Y18,ROUND(U18*V18,1))</f>
        <v>-21800</v>
      </c>
      <c r="AA18" s="29" t="n">
        <v>96100</v>
      </c>
      <c r="AB18" s="29" t="n">
        <v>74300</v>
      </c>
      <c r="AC18" s="25" t="n">
        <f aca="false">IF(OR(AA18="",AB18=""),"",AB18-AA18)</f>
        <v>-21800</v>
      </c>
      <c r="AD18" s="23" t="n">
        <f aca="false">IF(AC18="","",ROUND(Z18-AC18,1))</f>
        <v>0</v>
      </c>
      <c r="AE18" s="27" t="str">
        <f aca="false">IF(AC18="","NOT_RECONCILED",IF(ABS(AD18)&lt;=MAX(50,0.02*ABS(Z18)),"PASS","FAIL"))</f>
        <v>PASS</v>
      </c>
      <c r="AF18" s="10"/>
      <c r="AG18" s="10" t="s">
        <v>1633</v>
      </c>
      <c r="AH18" s="10" t="s">
        <v>1634</v>
      </c>
      <c r="AI18" s="10"/>
      <c r="AJ18" s="10" t="s">
        <v>1635</v>
      </c>
      <c r="AK18" s="10" t="s">
        <v>1636</v>
      </c>
      <c r="AL18" s="10" t="s">
        <v>1482</v>
      </c>
      <c r="AM18" s="10" t="s">
        <v>1637</v>
      </c>
      <c r="AN18" s="10" t="s">
        <v>1638</v>
      </c>
      <c r="AO18" s="10" t="s">
        <v>1639</v>
      </c>
      <c r="AP18" s="10" t="s">
        <v>1640</v>
      </c>
      <c r="AQ18" s="10"/>
      <c r="AR18" s="10"/>
      <c r="AS18" s="11" t="s">
        <v>1641</v>
      </c>
    </row>
    <row r="19" customFormat="false" ht="15" hidden="false" customHeight="false" outlineLevel="0" collapsed="false">
      <c r="A19" s="10" t="s">
        <v>138</v>
      </c>
      <c r="B19" s="10" t="s">
        <v>1642</v>
      </c>
      <c r="C19" s="10" t="s">
        <v>1341</v>
      </c>
      <c r="D19" s="10" t="s">
        <v>1469</v>
      </c>
      <c r="E19" s="10" t="s">
        <v>976</v>
      </c>
      <c r="F19" s="10" t="s">
        <v>1643</v>
      </c>
      <c r="G19" s="10" t="s">
        <v>1065</v>
      </c>
      <c r="H19" s="10" t="s">
        <v>1063</v>
      </c>
      <c r="I19" s="19"/>
      <c r="J19" s="10"/>
      <c r="K19" s="10" t="s">
        <v>1066</v>
      </c>
      <c r="L19" s="19" t="s">
        <v>1471</v>
      </c>
      <c r="M19" s="10" t="n">
        <v>1</v>
      </c>
      <c r="N19" s="10" t="s">
        <v>978</v>
      </c>
      <c r="O19" s="10" t="s">
        <v>1472</v>
      </c>
      <c r="P19" s="28" t="n">
        <v>0</v>
      </c>
      <c r="Q19" s="10" t="s">
        <v>1473</v>
      </c>
      <c r="R19" s="10" t="s">
        <v>1474</v>
      </c>
      <c r="S19" s="10" t="n">
        <v>200000</v>
      </c>
      <c r="T19" s="10" t="n">
        <v>200794</v>
      </c>
      <c r="U19" s="29" t="n">
        <v>794</v>
      </c>
      <c r="V19" s="30" t="n">
        <v>0.7995</v>
      </c>
      <c r="W19" s="28" t="n">
        <v>30.5</v>
      </c>
      <c r="X19" s="10" t="s">
        <v>1644</v>
      </c>
      <c r="Y19" s="29"/>
      <c r="Z19" s="23" t="n">
        <f aca="false">IF(U19="",Y19,ROUND(U19*V19,1))</f>
        <v>634.8</v>
      </c>
      <c r="AA19" s="29" t="n">
        <v>11251</v>
      </c>
      <c r="AB19" s="29" t="n">
        <v>11886</v>
      </c>
      <c r="AC19" s="25" t="n">
        <f aca="false">IF(OR(AA19="",AB19=""),"",AB19-AA19)</f>
        <v>635</v>
      </c>
      <c r="AD19" s="23" t="n">
        <f aca="false">IF(AC19="","",ROUND(Z19-AC19,1))</f>
        <v>-0.2</v>
      </c>
      <c r="AE19" s="27" t="str">
        <f aca="false">IF(AC19="","NOT_RECONCILED",IF(ABS(AD19)&lt;=MAX(50,0.02*ABS(Z19)),"PASS","FAIL"))</f>
        <v>PASS</v>
      </c>
      <c r="AF19" s="10" t="s">
        <v>1476</v>
      </c>
      <c r="AG19" s="10" t="s">
        <v>1645</v>
      </c>
      <c r="AH19" s="10" t="s">
        <v>1646</v>
      </c>
      <c r="AI19" s="10" t="s">
        <v>1647</v>
      </c>
      <c r="AJ19" s="10" t="s">
        <v>1648</v>
      </c>
      <c r="AK19" s="10" t="s">
        <v>1527</v>
      </c>
      <c r="AL19" s="10" t="s">
        <v>1482</v>
      </c>
      <c r="AM19" s="10" t="s">
        <v>1637</v>
      </c>
      <c r="AN19" s="10" t="s">
        <v>1649</v>
      </c>
      <c r="AO19" s="10" t="s">
        <v>1650</v>
      </c>
      <c r="AP19" s="10" t="s">
        <v>1651</v>
      </c>
      <c r="AQ19" s="10"/>
      <c r="AR19" s="10"/>
      <c r="AS19" s="11" t="s">
        <v>1652</v>
      </c>
    </row>
    <row r="20" customFormat="false" ht="15" hidden="false" customHeight="false" outlineLevel="0" collapsed="false">
      <c r="A20" s="10" t="s">
        <v>144</v>
      </c>
      <c r="B20" s="10" t="s">
        <v>1653</v>
      </c>
      <c r="C20" s="10" t="s">
        <v>1341</v>
      </c>
      <c r="D20" s="10" t="s">
        <v>1469</v>
      </c>
      <c r="E20" s="10" t="s">
        <v>976</v>
      </c>
      <c r="F20" s="10" t="s">
        <v>1654</v>
      </c>
      <c r="G20" s="10" t="s">
        <v>1065</v>
      </c>
      <c r="H20" s="10" t="s">
        <v>1068</v>
      </c>
      <c r="I20" s="19" t="s">
        <v>1387</v>
      </c>
      <c r="J20" s="10" t="s">
        <v>1261</v>
      </c>
      <c r="K20" s="10" t="s">
        <v>1070</v>
      </c>
      <c r="L20" s="19" t="s">
        <v>1471</v>
      </c>
      <c r="M20" s="10" t="n">
        <v>1</v>
      </c>
      <c r="N20" s="10" t="s">
        <v>978</v>
      </c>
      <c r="O20" s="10" t="s">
        <v>1472</v>
      </c>
      <c r="P20" s="28" t="n">
        <v>0</v>
      </c>
      <c r="Q20" s="10" t="s">
        <v>1473</v>
      </c>
      <c r="R20" s="10" t="s">
        <v>1474</v>
      </c>
      <c r="S20" s="10" t="n">
        <v>200794</v>
      </c>
      <c r="T20" s="10" t="n">
        <v>213365</v>
      </c>
      <c r="U20" s="29" t="n">
        <v>12571</v>
      </c>
      <c r="V20" s="30" t="n">
        <v>0.7995</v>
      </c>
      <c r="W20" s="28" t="n">
        <v>30.5</v>
      </c>
      <c r="X20" s="10" t="s">
        <v>1655</v>
      </c>
      <c r="Y20" s="29"/>
      <c r="Z20" s="23" t="n">
        <f aca="false">IF(U20="",Y20,ROUND(U20*V20,1))</f>
        <v>10050.5</v>
      </c>
      <c r="AA20" s="29" t="n">
        <v>2100</v>
      </c>
      <c r="AB20" s="29" t="n">
        <v>12151</v>
      </c>
      <c r="AC20" s="25" t="n">
        <f aca="false">IF(OR(AA20="",AB20=""),"",AB20-AA20)</f>
        <v>10051</v>
      </c>
      <c r="AD20" s="23" t="n">
        <f aca="false">IF(AC20="","",ROUND(Z20-AC20,1))</f>
        <v>-0.5</v>
      </c>
      <c r="AE20" s="27" t="str">
        <f aca="false">IF(AC20="","NOT_RECONCILED",IF(ABS(AD20)&lt;=MAX(50,0.02*ABS(Z20)),"PASS","FAIL"))</f>
        <v>PASS</v>
      </c>
      <c r="AF20" s="10" t="s">
        <v>1476</v>
      </c>
      <c r="AG20" s="10" t="s">
        <v>1656</v>
      </c>
      <c r="AH20" s="10" t="s">
        <v>1657</v>
      </c>
      <c r="AI20" s="10" t="s">
        <v>1658</v>
      </c>
      <c r="AJ20" s="10" t="s">
        <v>1659</v>
      </c>
      <c r="AK20" s="10" t="s">
        <v>1481</v>
      </c>
      <c r="AL20" s="10" t="s">
        <v>1482</v>
      </c>
      <c r="AM20" s="10" t="s">
        <v>1483</v>
      </c>
      <c r="AN20" s="10" t="s">
        <v>1660</v>
      </c>
      <c r="AO20" s="10" t="s">
        <v>1485</v>
      </c>
      <c r="AP20" s="10" t="s">
        <v>1661</v>
      </c>
      <c r="AQ20" s="10"/>
      <c r="AR20" s="10"/>
      <c r="AS20" s="11" t="s">
        <v>1662</v>
      </c>
    </row>
    <row r="21" customFormat="false" ht="15" hidden="false" customHeight="false" outlineLevel="0" collapsed="false">
      <c r="A21" s="10" t="s">
        <v>149</v>
      </c>
      <c r="B21" s="10" t="s">
        <v>1663</v>
      </c>
      <c r="C21" s="10" t="s">
        <v>1341</v>
      </c>
      <c r="D21" s="10" t="s">
        <v>1469</v>
      </c>
      <c r="E21" s="10" t="s">
        <v>976</v>
      </c>
      <c r="F21" s="10" t="s">
        <v>1664</v>
      </c>
      <c r="G21" s="10" t="s">
        <v>1065</v>
      </c>
      <c r="H21" s="10" t="s">
        <v>1073</v>
      </c>
      <c r="I21" s="19" t="s">
        <v>1390</v>
      </c>
      <c r="J21" s="10" t="s">
        <v>1266</v>
      </c>
      <c r="K21" s="10" t="s">
        <v>1075</v>
      </c>
      <c r="L21" s="19" t="s">
        <v>1471</v>
      </c>
      <c r="M21" s="10" t="n">
        <v>1</v>
      </c>
      <c r="N21" s="10" t="s">
        <v>978</v>
      </c>
      <c r="O21" s="10" t="s">
        <v>1472</v>
      </c>
      <c r="P21" s="28" t="n">
        <v>0</v>
      </c>
      <c r="Q21" s="10" t="s">
        <v>1499</v>
      </c>
      <c r="R21" s="10" t="s">
        <v>1500</v>
      </c>
      <c r="S21" s="10" t="n">
        <v>500000</v>
      </c>
      <c r="T21" s="10" t="n">
        <v>511353</v>
      </c>
      <c r="U21" s="29" t="n">
        <v>11353</v>
      </c>
      <c r="V21" s="30" t="n">
        <v>0.8062</v>
      </c>
      <c r="W21" s="28" t="n">
        <v>30.5</v>
      </c>
      <c r="X21" s="10" t="s">
        <v>1665</v>
      </c>
      <c r="Y21" s="29"/>
      <c r="Z21" s="23" t="n">
        <f aca="false">IF(U21="",Y21,ROUND(U21*V21,1))</f>
        <v>9152.8</v>
      </c>
      <c r="AA21" s="29" t="n">
        <v>2100</v>
      </c>
      <c r="AB21" s="29" t="n">
        <v>11190</v>
      </c>
      <c r="AC21" s="25" t="n">
        <f aca="false">IF(OR(AA21="",AB21=""),"",AB21-AA21)</f>
        <v>9090</v>
      </c>
      <c r="AD21" s="23" t="n">
        <f aca="false">IF(AC21="","",ROUND(Z21-AC21,1))</f>
        <v>62.8</v>
      </c>
      <c r="AE21" s="27" t="str">
        <f aca="false">IF(AC21="","NOT_RECONCILED",IF(ABS(AD21)&lt;=MAX(50,0.02*ABS(Z21)),"PASS","FAIL"))</f>
        <v>PASS</v>
      </c>
      <c r="AF21" s="10" t="s">
        <v>1476</v>
      </c>
      <c r="AG21" s="10" t="s">
        <v>1666</v>
      </c>
      <c r="AH21" s="10" t="s">
        <v>1667</v>
      </c>
      <c r="AI21" s="10" t="s">
        <v>1668</v>
      </c>
      <c r="AJ21" s="10" t="s">
        <v>1669</v>
      </c>
      <c r="AK21" s="10" t="s">
        <v>1481</v>
      </c>
      <c r="AL21" s="10" t="s">
        <v>1482</v>
      </c>
      <c r="AM21" s="10" t="s">
        <v>1483</v>
      </c>
      <c r="AN21" s="10" t="s">
        <v>1670</v>
      </c>
      <c r="AO21" s="10" t="s">
        <v>1485</v>
      </c>
      <c r="AP21" s="10" t="s">
        <v>1671</v>
      </c>
      <c r="AQ21" s="10"/>
      <c r="AR21" s="10"/>
      <c r="AS21" s="11" t="s">
        <v>1672</v>
      </c>
    </row>
    <row r="22" customFormat="false" ht="15" hidden="false" customHeight="false" outlineLevel="0" collapsed="false">
      <c r="A22" s="10" t="s">
        <v>155</v>
      </c>
      <c r="B22" s="10" t="s">
        <v>1673</v>
      </c>
      <c r="C22" s="10" t="s">
        <v>1341</v>
      </c>
      <c r="D22" s="10" t="s">
        <v>1469</v>
      </c>
      <c r="E22" s="10" t="s">
        <v>976</v>
      </c>
      <c r="F22" s="10" t="s">
        <v>1674</v>
      </c>
      <c r="G22" s="10" t="s">
        <v>1065</v>
      </c>
      <c r="H22" s="10" t="s">
        <v>1077</v>
      </c>
      <c r="I22" s="19" t="s">
        <v>1393</v>
      </c>
      <c r="J22" s="10" t="s">
        <v>1270</v>
      </c>
      <c r="K22" s="10" t="s">
        <v>1079</v>
      </c>
      <c r="L22" s="19" t="s">
        <v>1471</v>
      </c>
      <c r="M22" s="10" t="n">
        <v>1</v>
      </c>
      <c r="N22" s="10" t="s">
        <v>978</v>
      </c>
      <c r="O22" s="10" t="s">
        <v>1472</v>
      </c>
      <c r="P22" s="28" t="n">
        <v>0</v>
      </c>
      <c r="Q22" s="10" t="s">
        <v>1473</v>
      </c>
      <c r="R22" s="10" t="s">
        <v>1521</v>
      </c>
      <c r="S22" s="10" t="n">
        <v>700000</v>
      </c>
      <c r="T22" s="10" t="n">
        <v>825497</v>
      </c>
      <c r="U22" s="29" t="n">
        <v>125497</v>
      </c>
      <c r="V22" s="30" t="n">
        <v>0.7982</v>
      </c>
      <c r="W22" s="28" t="n">
        <v>30.5</v>
      </c>
      <c r="X22" s="10" t="s">
        <v>1675</v>
      </c>
      <c r="Y22" s="29"/>
      <c r="Z22" s="23" t="n">
        <f aca="false">IF(U22="",Y22,ROUND(U22*V22,1))</f>
        <v>100171.7</v>
      </c>
      <c r="AA22" s="29" t="n">
        <v>5200</v>
      </c>
      <c r="AB22" s="29" t="n">
        <v>105392</v>
      </c>
      <c r="AC22" s="25" t="n">
        <f aca="false">IF(OR(AA22="",AB22=""),"",AB22-AA22)</f>
        <v>100192</v>
      </c>
      <c r="AD22" s="23" t="n">
        <f aca="false">IF(AC22="","",ROUND(Z22-AC22,1))</f>
        <v>-20.3</v>
      </c>
      <c r="AE22" s="27" t="str">
        <f aca="false">IF(AC22="","NOT_RECONCILED",IF(ABS(AD22)&lt;=MAX(50,0.02*ABS(Z22)),"PASS","FAIL"))</f>
        <v>PASS</v>
      </c>
      <c r="AF22" s="10" t="s">
        <v>1476</v>
      </c>
      <c r="AG22" s="10" t="s">
        <v>1676</v>
      </c>
      <c r="AH22" s="10" t="s">
        <v>1677</v>
      </c>
      <c r="AI22" s="10" t="s">
        <v>1678</v>
      </c>
      <c r="AJ22" s="10" t="s">
        <v>1679</v>
      </c>
      <c r="AK22" s="10" t="s">
        <v>1481</v>
      </c>
      <c r="AL22" s="10" t="s">
        <v>1482</v>
      </c>
      <c r="AM22" s="10" t="s">
        <v>1483</v>
      </c>
      <c r="AN22" s="10" t="s">
        <v>1680</v>
      </c>
      <c r="AO22" s="10" t="s">
        <v>1485</v>
      </c>
      <c r="AP22" s="10" t="s">
        <v>1681</v>
      </c>
      <c r="AQ22" s="10"/>
      <c r="AR22" s="10"/>
      <c r="AS22" s="11" t="s">
        <v>1682</v>
      </c>
    </row>
    <row r="23" customFormat="false" ht="15" hidden="false" customHeight="false" outlineLevel="0" collapsed="false">
      <c r="A23" s="10" t="s">
        <v>155</v>
      </c>
      <c r="B23" s="10" t="s">
        <v>1683</v>
      </c>
      <c r="C23" s="10" t="s">
        <v>1684</v>
      </c>
      <c r="D23" s="10" t="s">
        <v>1685</v>
      </c>
      <c r="E23" s="10" t="s">
        <v>1085</v>
      </c>
      <c r="F23" s="10" t="s">
        <v>1686</v>
      </c>
      <c r="G23" s="10" t="s">
        <v>1065</v>
      </c>
      <c r="H23" s="10" t="s">
        <v>1077</v>
      </c>
      <c r="I23" s="19"/>
      <c r="J23" s="10"/>
      <c r="K23" s="10" t="s">
        <v>1079</v>
      </c>
      <c r="L23" s="19" t="s">
        <v>1471</v>
      </c>
      <c r="M23" s="10" t="n">
        <v>2</v>
      </c>
      <c r="N23" s="10" t="s">
        <v>978</v>
      </c>
      <c r="O23" s="10" t="s">
        <v>1472</v>
      </c>
      <c r="P23" s="28" t="n">
        <v>0</v>
      </c>
      <c r="Q23" s="10" t="s">
        <v>1499</v>
      </c>
      <c r="R23" s="10" t="s">
        <v>1687</v>
      </c>
      <c r="S23" s="10" t="n">
        <v>8000</v>
      </c>
      <c r="T23" s="10" t="n">
        <v>32056</v>
      </c>
      <c r="U23" s="29" t="n">
        <v>24056</v>
      </c>
      <c r="V23" s="30" t="n">
        <v>0.7975</v>
      </c>
      <c r="W23" s="28" t="n">
        <v>28.4</v>
      </c>
      <c r="X23" s="10" t="s">
        <v>1688</v>
      </c>
      <c r="Y23" s="29"/>
      <c r="Z23" s="23" t="n">
        <f aca="false">IF(U23="",Y23,ROUND(U23*V23,1))</f>
        <v>19184.7</v>
      </c>
      <c r="AA23" s="29" t="n">
        <v>18400</v>
      </c>
      <c r="AB23" s="29" t="n">
        <v>37600</v>
      </c>
      <c r="AC23" s="25" t="n">
        <f aca="false">IF(OR(AA23="",AB23=""),"",AB23-AA23)</f>
        <v>19200</v>
      </c>
      <c r="AD23" s="23" t="n">
        <f aca="false">IF(AC23="","",ROUND(Z23-AC23,1))</f>
        <v>-15.3</v>
      </c>
      <c r="AE23" s="27" t="str">
        <f aca="false">IF(AC23="","NOT_RECONCILED",IF(ABS(AD23)&lt;=MAX(50,0.02*ABS(Z23)),"PASS","FAIL"))</f>
        <v>PASS</v>
      </c>
      <c r="AF23" s="10" t="s">
        <v>1476</v>
      </c>
      <c r="AG23" s="10" t="s">
        <v>1689</v>
      </c>
      <c r="AH23" s="10" t="s">
        <v>1690</v>
      </c>
      <c r="AI23" s="10" t="s">
        <v>1691</v>
      </c>
      <c r="AJ23" s="10" t="s">
        <v>1692</v>
      </c>
      <c r="AK23" s="10" t="s">
        <v>1527</v>
      </c>
      <c r="AL23" s="10" t="s">
        <v>1482</v>
      </c>
      <c r="AM23" s="10" t="s">
        <v>1693</v>
      </c>
      <c r="AN23" s="10" t="s">
        <v>1694</v>
      </c>
      <c r="AO23" s="10" t="s">
        <v>1650</v>
      </c>
      <c r="AP23" s="10" t="s">
        <v>1695</v>
      </c>
      <c r="AQ23" s="10"/>
      <c r="AR23" s="10"/>
      <c r="AS23" s="11" t="s">
        <v>1696</v>
      </c>
    </row>
    <row r="24" customFormat="false" ht="15" hidden="false" customHeight="false" outlineLevel="0" collapsed="false">
      <c r="A24" s="10" t="s">
        <v>160</v>
      </c>
      <c r="B24" s="10" t="s">
        <v>1697</v>
      </c>
      <c r="C24" s="10" t="s">
        <v>1341</v>
      </c>
      <c r="D24" s="10" t="s">
        <v>1469</v>
      </c>
      <c r="E24" s="10" t="s">
        <v>976</v>
      </c>
      <c r="F24" s="10" t="s">
        <v>1698</v>
      </c>
      <c r="G24" s="10" t="s">
        <v>1091</v>
      </c>
      <c r="H24" s="10" t="s">
        <v>1089</v>
      </c>
      <c r="I24" s="19" t="s">
        <v>1396</v>
      </c>
      <c r="J24" s="10" t="s">
        <v>1274</v>
      </c>
      <c r="K24" s="10" t="s">
        <v>1092</v>
      </c>
      <c r="L24" s="19" t="s">
        <v>1471</v>
      </c>
      <c r="M24" s="10" t="n">
        <v>1</v>
      </c>
      <c r="N24" s="10" t="s">
        <v>978</v>
      </c>
      <c r="O24" s="10" t="s">
        <v>1472</v>
      </c>
      <c r="P24" s="28" t="n">
        <v>5</v>
      </c>
      <c r="Q24" s="10" t="s">
        <v>1473</v>
      </c>
      <c r="R24" s="10" t="s">
        <v>1474</v>
      </c>
      <c r="S24" s="10" t="n">
        <v>300000</v>
      </c>
      <c r="T24" s="10" t="n">
        <v>315448</v>
      </c>
      <c r="U24" s="29" t="n">
        <v>15448</v>
      </c>
      <c r="V24" s="30" t="n">
        <v>0.7995</v>
      </c>
      <c r="W24" s="28" t="n">
        <v>30.5</v>
      </c>
      <c r="X24" s="10" t="s">
        <v>1699</v>
      </c>
      <c r="Y24" s="29"/>
      <c r="Z24" s="23" t="n">
        <f aca="false">IF(U24="",Y24,ROUND(U24*V24,1))</f>
        <v>12350.7</v>
      </c>
      <c r="AA24" s="29" t="n">
        <v>2100</v>
      </c>
      <c r="AB24" s="29" t="n">
        <v>14451</v>
      </c>
      <c r="AC24" s="25" t="n">
        <f aca="false">IF(OR(AA24="",AB24=""),"",AB24-AA24)</f>
        <v>12351</v>
      </c>
      <c r="AD24" s="23" t="n">
        <f aca="false">IF(AC24="","",ROUND(Z24-AC24,1))</f>
        <v>-0.3</v>
      </c>
      <c r="AE24" s="27" t="str">
        <f aca="false">IF(AC24="","NOT_RECONCILED",IF(ABS(AD24)&lt;=MAX(50,0.02*ABS(Z24)),"PASS","FAIL"))</f>
        <v>PASS</v>
      </c>
      <c r="AF24" s="10" t="s">
        <v>1476</v>
      </c>
      <c r="AG24" s="10" t="s">
        <v>1700</v>
      </c>
      <c r="AH24" s="10" t="s">
        <v>1701</v>
      </c>
      <c r="AI24" s="10" t="s">
        <v>1702</v>
      </c>
      <c r="AJ24" s="10" t="s">
        <v>1703</v>
      </c>
      <c r="AK24" s="10" t="s">
        <v>1481</v>
      </c>
      <c r="AL24" s="10" t="s">
        <v>1482</v>
      </c>
      <c r="AM24" s="10" t="s">
        <v>1483</v>
      </c>
      <c r="AN24" s="10" t="s">
        <v>1704</v>
      </c>
      <c r="AO24" s="10" t="s">
        <v>1485</v>
      </c>
      <c r="AP24" s="10" t="s">
        <v>1705</v>
      </c>
      <c r="AQ24" s="10"/>
      <c r="AR24" s="10"/>
      <c r="AS24" s="11" t="s">
        <v>1706</v>
      </c>
    </row>
    <row r="25" customFormat="false" ht="15" hidden="false" customHeight="false" outlineLevel="0" collapsed="false">
      <c r="A25" s="10" t="s">
        <v>166</v>
      </c>
      <c r="B25" s="10" t="s">
        <v>1707</v>
      </c>
      <c r="C25" s="10" t="s">
        <v>1341</v>
      </c>
      <c r="D25" s="10" t="s">
        <v>1469</v>
      </c>
      <c r="E25" s="10" t="s">
        <v>976</v>
      </c>
      <c r="F25" s="10" t="s">
        <v>1708</v>
      </c>
      <c r="G25" s="10" t="s">
        <v>1091</v>
      </c>
      <c r="H25" s="10" t="s">
        <v>1094</v>
      </c>
      <c r="I25" s="19" t="s">
        <v>1399</v>
      </c>
      <c r="J25" s="10" t="s">
        <v>1279</v>
      </c>
      <c r="K25" s="10" t="s">
        <v>1097</v>
      </c>
      <c r="L25" s="19" t="s">
        <v>1471</v>
      </c>
      <c r="M25" s="10" t="n">
        <v>1</v>
      </c>
      <c r="N25" s="10" t="s">
        <v>978</v>
      </c>
      <c r="O25" s="10" t="s">
        <v>1472</v>
      </c>
      <c r="P25" s="28" t="n">
        <v>0</v>
      </c>
      <c r="Q25" s="10" t="s">
        <v>1473</v>
      </c>
      <c r="R25" s="10" t="s">
        <v>1474</v>
      </c>
      <c r="S25" s="10" t="n">
        <v>315448</v>
      </c>
      <c r="T25" s="10" t="n">
        <v>319882</v>
      </c>
      <c r="U25" s="29" t="n">
        <v>4434</v>
      </c>
      <c r="V25" s="30" t="n">
        <v>0.7995</v>
      </c>
      <c r="W25" s="28" t="n">
        <v>30.5</v>
      </c>
      <c r="X25" s="10" t="s">
        <v>1709</v>
      </c>
      <c r="Y25" s="29"/>
      <c r="Z25" s="23" t="n">
        <f aca="false">IF(U25="",Y25,ROUND(U25*V25,1))</f>
        <v>3545</v>
      </c>
      <c r="AA25" s="29" t="n">
        <v>1800</v>
      </c>
      <c r="AB25" s="29" t="n">
        <v>5345</v>
      </c>
      <c r="AC25" s="25" t="n">
        <f aca="false">IF(OR(AA25="",AB25=""),"",AB25-AA25)</f>
        <v>3545</v>
      </c>
      <c r="AD25" s="23" t="n">
        <f aca="false">IF(AC25="","",ROUND(Z25-AC25,1))</f>
        <v>0</v>
      </c>
      <c r="AE25" s="27" t="str">
        <f aca="false">IF(AC25="","NOT_RECONCILED",IF(ABS(AD25)&lt;=MAX(50,0.02*ABS(Z25)),"PASS","FAIL"))</f>
        <v>PASS</v>
      </c>
      <c r="AF25" s="10" t="s">
        <v>1476</v>
      </c>
      <c r="AG25" s="10" t="s">
        <v>1710</v>
      </c>
      <c r="AH25" s="10" t="s">
        <v>1711</v>
      </c>
      <c r="AI25" s="10" t="s">
        <v>1712</v>
      </c>
      <c r="AJ25" s="10" t="s">
        <v>1713</v>
      </c>
      <c r="AK25" s="10" t="s">
        <v>1481</v>
      </c>
      <c r="AL25" s="10" t="s">
        <v>1482</v>
      </c>
      <c r="AM25" s="10" t="s">
        <v>1483</v>
      </c>
      <c r="AN25" s="10" t="s">
        <v>1714</v>
      </c>
      <c r="AO25" s="10" t="s">
        <v>1485</v>
      </c>
      <c r="AP25" s="10" t="s">
        <v>1715</v>
      </c>
      <c r="AQ25" s="10"/>
      <c r="AR25" s="10"/>
      <c r="AS25" s="11" t="s">
        <v>1716</v>
      </c>
    </row>
    <row r="26" customFormat="false" ht="15" hidden="false" customHeight="false" outlineLevel="0" collapsed="false">
      <c r="A26" s="10" t="s">
        <v>166</v>
      </c>
      <c r="B26" s="10" t="s">
        <v>1717</v>
      </c>
      <c r="C26" s="10" t="s">
        <v>1341</v>
      </c>
      <c r="D26" s="10" t="s">
        <v>1469</v>
      </c>
      <c r="E26" s="10" t="s">
        <v>976</v>
      </c>
      <c r="F26" s="10" t="s">
        <v>1718</v>
      </c>
      <c r="G26" s="10" t="s">
        <v>1091</v>
      </c>
      <c r="H26" s="10" t="s">
        <v>1102</v>
      </c>
      <c r="I26" s="19" t="s">
        <v>1402</v>
      </c>
      <c r="J26" s="10" t="s">
        <v>1283</v>
      </c>
      <c r="K26" s="10" t="s">
        <v>1097</v>
      </c>
      <c r="L26" s="19" t="s">
        <v>1471</v>
      </c>
      <c r="M26" s="10" t="n">
        <v>1</v>
      </c>
      <c r="N26" s="10" t="s">
        <v>978</v>
      </c>
      <c r="O26" s="10" t="s">
        <v>1472</v>
      </c>
      <c r="P26" s="28" t="n">
        <v>0</v>
      </c>
      <c r="Q26" s="10" t="s">
        <v>1473</v>
      </c>
      <c r="R26" s="10" t="s">
        <v>1474</v>
      </c>
      <c r="S26" s="10" t="n">
        <v>319882</v>
      </c>
      <c r="T26" s="10" t="n">
        <v>324504</v>
      </c>
      <c r="U26" s="29" t="n">
        <v>4622</v>
      </c>
      <c r="V26" s="30" t="n">
        <v>0.7995</v>
      </c>
      <c r="W26" s="28" t="n">
        <v>30.5</v>
      </c>
      <c r="X26" s="10" t="s">
        <v>1719</v>
      </c>
      <c r="Y26" s="29"/>
      <c r="Z26" s="23" t="n">
        <f aca="false">IF(U26="",Y26,ROUND(U26*V26,1))</f>
        <v>3695.3</v>
      </c>
      <c r="AA26" s="29" t="n">
        <v>1650</v>
      </c>
      <c r="AB26" s="29" t="n">
        <v>5345</v>
      </c>
      <c r="AC26" s="25" t="n">
        <f aca="false">IF(OR(AA26="",AB26=""),"",AB26-AA26)</f>
        <v>3695</v>
      </c>
      <c r="AD26" s="23" t="n">
        <f aca="false">IF(AC26="","",ROUND(Z26-AC26,1))</f>
        <v>0.3</v>
      </c>
      <c r="AE26" s="27" t="str">
        <f aca="false">IF(AC26="","NOT_RECONCILED",IF(ABS(AD26)&lt;=MAX(50,0.02*ABS(Z26)),"PASS","FAIL"))</f>
        <v>PASS</v>
      </c>
      <c r="AF26" s="10" t="s">
        <v>1476</v>
      </c>
      <c r="AG26" s="10" t="s">
        <v>1720</v>
      </c>
      <c r="AH26" s="10" t="s">
        <v>1721</v>
      </c>
      <c r="AI26" s="10" t="s">
        <v>1722</v>
      </c>
      <c r="AJ26" s="10" t="s">
        <v>1723</v>
      </c>
      <c r="AK26" s="10" t="s">
        <v>1481</v>
      </c>
      <c r="AL26" s="10" t="s">
        <v>1482</v>
      </c>
      <c r="AM26" s="10" t="s">
        <v>1483</v>
      </c>
      <c r="AN26" s="10" t="s">
        <v>1724</v>
      </c>
      <c r="AO26" s="10" t="s">
        <v>1485</v>
      </c>
      <c r="AP26" s="10" t="s">
        <v>1725</v>
      </c>
      <c r="AQ26" s="10"/>
      <c r="AR26" s="10"/>
      <c r="AS26" s="11" t="s">
        <v>1726</v>
      </c>
    </row>
    <row r="27" customFormat="false" ht="15" hidden="false" customHeight="false" outlineLevel="0" collapsed="false">
      <c r="A27" s="10" t="s">
        <v>172</v>
      </c>
      <c r="B27" s="10" t="s">
        <v>1727</v>
      </c>
      <c r="C27" s="10" t="s">
        <v>1341</v>
      </c>
      <c r="D27" s="10" t="s">
        <v>1469</v>
      </c>
      <c r="E27" s="10" t="s">
        <v>976</v>
      </c>
      <c r="F27" s="10" t="s">
        <v>1728</v>
      </c>
      <c r="G27" s="10" t="s">
        <v>1106</v>
      </c>
      <c r="H27" s="10" t="s">
        <v>1104</v>
      </c>
      <c r="I27" s="19" t="s">
        <v>1405</v>
      </c>
      <c r="J27" s="10" t="s">
        <v>1287</v>
      </c>
      <c r="K27" s="10" t="s">
        <v>1107</v>
      </c>
      <c r="L27" s="19" t="s">
        <v>1471</v>
      </c>
      <c r="M27" s="10" t="n">
        <v>1</v>
      </c>
      <c r="N27" s="10" t="s">
        <v>978</v>
      </c>
      <c r="O27" s="10" t="s">
        <v>1472</v>
      </c>
      <c r="P27" s="28" t="n">
        <v>0</v>
      </c>
      <c r="Q27" s="10" t="s">
        <v>1473</v>
      </c>
      <c r="R27" s="10" t="s">
        <v>1474</v>
      </c>
      <c r="S27" s="10" t="n">
        <v>324504</v>
      </c>
      <c r="T27" s="10" t="n">
        <v>335951</v>
      </c>
      <c r="U27" s="29" t="n">
        <v>11447</v>
      </c>
      <c r="V27" s="30" t="n">
        <v>0.7995</v>
      </c>
      <c r="W27" s="28" t="n">
        <v>30.5</v>
      </c>
      <c r="X27" s="10" t="s">
        <v>1729</v>
      </c>
      <c r="Y27" s="29"/>
      <c r="Z27" s="23" t="n">
        <f aca="false">IF(U27="",Y27,ROUND(U27*V27,1))</f>
        <v>9151.9</v>
      </c>
      <c r="AA27" s="29" t="n">
        <v>2100</v>
      </c>
      <c r="AB27" s="29" t="n">
        <v>11215</v>
      </c>
      <c r="AC27" s="25" t="n">
        <f aca="false">IF(OR(AA27="",AB27=""),"",AB27-AA27)</f>
        <v>9115</v>
      </c>
      <c r="AD27" s="23" t="n">
        <f aca="false">IF(AC27="","",ROUND(Z27-AC27,1))</f>
        <v>36.9</v>
      </c>
      <c r="AE27" s="27" t="str">
        <f aca="false">IF(AC27="","NOT_RECONCILED",IF(ABS(AD27)&lt;=MAX(50,0.02*ABS(Z27)),"PASS","FAIL"))</f>
        <v>PASS</v>
      </c>
      <c r="AF27" s="10" t="s">
        <v>1476</v>
      </c>
      <c r="AG27" s="10" t="s">
        <v>1730</v>
      </c>
      <c r="AH27" s="10" t="s">
        <v>1731</v>
      </c>
      <c r="AI27" s="10" t="s">
        <v>1732</v>
      </c>
      <c r="AJ27" s="10" t="s">
        <v>1733</v>
      </c>
      <c r="AK27" s="10" t="s">
        <v>1481</v>
      </c>
      <c r="AL27" s="10" t="s">
        <v>1482</v>
      </c>
      <c r="AM27" s="10" t="s">
        <v>1483</v>
      </c>
      <c r="AN27" s="10" t="s">
        <v>1734</v>
      </c>
      <c r="AO27" s="10" t="s">
        <v>1485</v>
      </c>
      <c r="AP27" s="10" t="s">
        <v>1735</v>
      </c>
      <c r="AQ27" s="10"/>
      <c r="AR27" s="10"/>
      <c r="AS27" s="11" t="s">
        <v>1736</v>
      </c>
    </row>
    <row r="28" customFormat="false" ht="23.85" hidden="false" customHeight="false" outlineLevel="0" collapsed="false">
      <c r="A28" s="10" t="s">
        <v>178</v>
      </c>
      <c r="B28" s="10" t="s">
        <v>1737</v>
      </c>
      <c r="C28" s="10" t="s">
        <v>1341</v>
      </c>
      <c r="D28" s="10" t="s">
        <v>1469</v>
      </c>
      <c r="E28" s="10" t="s">
        <v>976</v>
      </c>
      <c r="F28" s="10" t="s">
        <v>1738</v>
      </c>
      <c r="G28" s="10" t="s">
        <v>1106</v>
      </c>
      <c r="H28" s="10" t="s">
        <v>1109</v>
      </c>
      <c r="I28" s="19" t="s">
        <v>1408</v>
      </c>
      <c r="J28" s="10" t="s">
        <v>1291</v>
      </c>
      <c r="K28" s="10" t="s">
        <v>1111</v>
      </c>
      <c r="L28" s="19" t="s">
        <v>1471</v>
      </c>
      <c r="M28" s="10" t="n">
        <v>1</v>
      </c>
      <c r="N28" s="10" t="s">
        <v>978</v>
      </c>
      <c r="O28" s="10" t="s">
        <v>1472</v>
      </c>
      <c r="P28" s="28" t="n">
        <v>0</v>
      </c>
      <c r="Q28" s="10" t="s">
        <v>1473</v>
      </c>
      <c r="R28" s="10" t="s">
        <v>1739</v>
      </c>
      <c r="S28" s="10" t="n">
        <v>41000</v>
      </c>
      <c r="T28" s="10" t="n">
        <v>52447</v>
      </c>
      <c r="U28" s="29" t="n">
        <v>11447</v>
      </c>
      <c r="V28" s="30" t="n">
        <v>0.7995</v>
      </c>
      <c r="W28" s="28" t="n">
        <v>30.5</v>
      </c>
      <c r="X28" s="10" t="s">
        <v>1740</v>
      </c>
      <c r="Y28" s="29"/>
      <c r="Z28" s="23" t="n">
        <f aca="false">IF(U28="",Y28,ROUND(U28*V28,1))</f>
        <v>9151.9</v>
      </c>
      <c r="AA28" s="29" t="n">
        <v>2100</v>
      </c>
      <c r="AB28" s="29" t="n">
        <v>10951</v>
      </c>
      <c r="AC28" s="25" t="n">
        <f aca="false">IF(OR(AA28="",AB28=""),"",AB28-AA28)</f>
        <v>8851</v>
      </c>
      <c r="AD28" s="23" t="n">
        <f aca="false">IF(AC28="","",ROUND(Z28-AC28,1))</f>
        <v>300.9</v>
      </c>
      <c r="AE28" s="27" t="str">
        <f aca="false">IF(AC28="","NOT_RECONCILED",IF(ABS(AD28)&lt;=MAX(50,0.02*ABS(Z28)),"PASS","FAIL"))</f>
        <v>FAIL</v>
      </c>
      <c r="AF28" s="10" t="s">
        <v>1476</v>
      </c>
      <c r="AG28" s="10" t="s">
        <v>1741</v>
      </c>
      <c r="AH28" s="10" t="s">
        <v>1742</v>
      </c>
      <c r="AI28" s="10" t="s">
        <v>1743</v>
      </c>
      <c r="AJ28" s="10" t="s">
        <v>1744</v>
      </c>
      <c r="AK28" s="10" t="s">
        <v>1481</v>
      </c>
      <c r="AL28" s="10" t="s">
        <v>1482</v>
      </c>
      <c r="AM28" s="10" t="s">
        <v>1483</v>
      </c>
      <c r="AN28" s="10" t="s">
        <v>1745</v>
      </c>
      <c r="AO28" s="10" t="s">
        <v>1485</v>
      </c>
      <c r="AP28" s="10" t="s">
        <v>1746</v>
      </c>
      <c r="AQ28" s="10"/>
      <c r="AR28" s="10"/>
      <c r="AS28" s="11" t="s">
        <v>1747</v>
      </c>
    </row>
    <row r="29" customFormat="false" ht="23.85" hidden="false" customHeight="false" outlineLevel="0" collapsed="false">
      <c r="A29" s="10" t="s">
        <v>183</v>
      </c>
      <c r="B29" s="10" t="s">
        <v>1748</v>
      </c>
      <c r="C29" s="10" t="s">
        <v>1341</v>
      </c>
      <c r="D29" s="10" t="s">
        <v>1469</v>
      </c>
      <c r="E29" s="10" t="s">
        <v>976</v>
      </c>
      <c r="F29" s="10" t="s">
        <v>1749</v>
      </c>
      <c r="G29" s="10" t="s">
        <v>1106</v>
      </c>
      <c r="H29" s="10" t="s">
        <v>1113</v>
      </c>
      <c r="I29" s="19" t="s">
        <v>1411</v>
      </c>
      <c r="J29" s="10" t="s">
        <v>1295</v>
      </c>
      <c r="K29" s="10" t="s">
        <v>1115</v>
      </c>
      <c r="L29" s="19" t="s">
        <v>1471</v>
      </c>
      <c r="M29" s="10" t="n">
        <v>1</v>
      </c>
      <c r="N29" s="10" t="s">
        <v>978</v>
      </c>
      <c r="O29" s="10" t="s">
        <v>1472</v>
      </c>
      <c r="P29" s="28" t="n">
        <v>0</v>
      </c>
      <c r="Q29" s="10" t="s">
        <v>1473</v>
      </c>
      <c r="R29" s="10" t="s">
        <v>1739</v>
      </c>
      <c r="S29" s="10" t="n">
        <v>52447</v>
      </c>
      <c r="T29" s="10" t="n">
        <v>64447</v>
      </c>
      <c r="U29" s="29" t="n">
        <v>12000</v>
      </c>
      <c r="V29" s="30" t="n">
        <v>0.8</v>
      </c>
      <c r="W29" s="28" t="n">
        <v>30.5</v>
      </c>
      <c r="X29" s="10" t="s">
        <v>1750</v>
      </c>
      <c r="Y29" s="29"/>
      <c r="Z29" s="23" t="n">
        <f aca="false">IF(U29="",Y29,ROUND(U29*V29,1))</f>
        <v>9600</v>
      </c>
      <c r="AA29" s="29" t="n">
        <v>2100</v>
      </c>
      <c r="AB29" s="29" t="n">
        <v>11520</v>
      </c>
      <c r="AC29" s="25" t="n">
        <f aca="false">IF(OR(AA29="",AB29=""),"",AB29-AA29)</f>
        <v>9420</v>
      </c>
      <c r="AD29" s="23" t="n">
        <f aca="false">IF(AC29="","",ROUND(Z29-AC29,1))</f>
        <v>180</v>
      </c>
      <c r="AE29" s="27" t="str">
        <f aca="false">IF(AC29="","NOT_RECONCILED",IF(ABS(AD29)&lt;=MAX(50,0.02*ABS(Z29)),"PASS","FAIL"))</f>
        <v>PASS</v>
      </c>
      <c r="AF29" s="10" t="s">
        <v>1476</v>
      </c>
      <c r="AG29" s="10" t="s">
        <v>1751</v>
      </c>
      <c r="AH29" s="10" t="s">
        <v>1752</v>
      </c>
      <c r="AI29" s="10" t="s">
        <v>1753</v>
      </c>
      <c r="AJ29" s="10" t="s">
        <v>1754</v>
      </c>
      <c r="AK29" s="10" t="s">
        <v>1481</v>
      </c>
      <c r="AL29" s="10" t="s">
        <v>1482</v>
      </c>
      <c r="AM29" s="10" t="s">
        <v>1483</v>
      </c>
      <c r="AN29" s="10" t="s">
        <v>1755</v>
      </c>
      <c r="AO29" s="10" t="s">
        <v>1485</v>
      </c>
      <c r="AP29" s="10" t="s">
        <v>1756</v>
      </c>
      <c r="AQ29" s="10"/>
      <c r="AR29" s="10"/>
      <c r="AS29" s="11" t="s">
        <v>1757</v>
      </c>
    </row>
    <row r="30" customFormat="false" ht="23.85" hidden="false" customHeight="false" outlineLevel="0" collapsed="false">
      <c r="A30" s="10" t="s">
        <v>188</v>
      </c>
      <c r="B30" s="10" t="s">
        <v>1758</v>
      </c>
      <c r="C30" s="10" t="s">
        <v>1341</v>
      </c>
      <c r="D30" s="10" t="s">
        <v>1469</v>
      </c>
      <c r="E30" s="10" t="s">
        <v>976</v>
      </c>
      <c r="F30" s="10" t="s">
        <v>1759</v>
      </c>
      <c r="G30" s="10" t="s">
        <v>1119</v>
      </c>
      <c r="H30" s="10" t="s">
        <v>1117</v>
      </c>
      <c r="I30" s="19" t="s">
        <v>1414</v>
      </c>
      <c r="J30" s="10" t="s">
        <v>1299</v>
      </c>
      <c r="K30" s="10" t="s">
        <v>1120</v>
      </c>
      <c r="L30" s="19" t="s">
        <v>1471</v>
      </c>
      <c r="M30" s="10" t="n">
        <v>2</v>
      </c>
      <c r="N30" s="10" t="s">
        <v>978</v>
      </c>
      <c r="O30" s="10" t="s">
        <v>1472</v>
      </c>
      <c r="P30" s="28" t="n">
        <v>0</v>
      </c>
      <c r="Q30" s="10" t="s">
        <v>1473</v>
      </c>
      <c r="R30" s="10" t="s">
        <v>1474</v>
      </c>
      <c r="S30" s="10" t="n">
        <v>335951</v>
      </c>
      <c r="T30" s="10" t="n">
        <v>336451</v>
      </c>
      <c r="U30" s="29" t="n">
        <v>500</v>
      </c>
      <c r="V30" s="30" t="n">
        <v>0.7995</v>
      </c>
      <c r="W30" s="28" t="n">
        <v>30.5</v>
      </c>
      <c r="X30" s="10" t="s">
        <v>1760</v>
      </c>
      <c r="Y30" s="29"/>
      <c r="Z30" s="23" t="n">
        <f aca="false">IF(U30="",Y30,ROUND(U30*V30,1))</f>
        <v>399.8</v>
      </c>
      <c r="AA30" s="29" t="n">
        <v>11000</v>
      </c>
      <c r="AB30" s="29" t="n">
        <v>11430</v>
      </c>
      <c r="AC30" s="25" t="n">
        <f aca="false">IF(OR(AA30="",AB30=""),"",AB30-AA30)</f>
        <v>430</v>
      </c>
      <c r="AD30" s="23" t="n">
        <f aca="false">IF(AC30="","",ROUND(Z30-AC30,1))</f>
        <v>-30.2</v>
      </c>
      <c r="AE30" s="27" t="str">
        <f aca="false">IF(AC30="","NOT_RECONCILED",IF(ABS(AD30)&lt;=MAX(50,0.02*ABS(Z30)),"PASS","FAIL"))</f>
        <v>PASS</v>
      </c>
      <c r="AF30" s="10" t="s">
        <v>1476</v>
      </c>
      <c r="AG30" s="10" t="s">
        <v>1761</v>
      </c>
      <c r="AH30" s="10" t="s">
        <v>1762</v>
      </c>
      <c r="AI30" s="10" t="s">
        <v>1763</v>
      </c>
      <c r="AJ30" s="10" t="s">
        <v>1764</v>
      </c>
      <c r="AK30" s="10" t="s">
        <v>1481</v>
      </c>
      <c r="AL30" s="10" t="s">
        <v>1482</v>
      </c>
      <c r="AM30" s="10" t="s">
        <v>1483</v>
      </c>
      <c r="AN30" s="10" t="s">
        <v>1765</v>
      </c>
      <c r="AO30" s="10" t="s">
        <v>1485</v>
      </c>
      <c r="AP30" s="10" t="s">
        <v>1766</v>
      </c>
      <c r="AQ30" s="10"/>
      <c r="AR30" s="10"/>
      <c r="AS30" s="11" t="s">
        <v>1767</v>
      </c>
    </row>
    <row r="31" customFormat="false" ht="15" hidden="false" customHeight="false" outlineLevel="0" collapsed="false">
      <c r="A31" s="10" t="s">
        <v>193</v>
      </c>
      <c r="B31" s="10" t="s">
        <v>1768</v>
      </c>
      <c r="C31" s="10" t="s">
        <v>1341</v>
      </c>
      <c r="D31" s="10" t="s">
        <v>1469</v>
      </c>
      <c r="E31" s="10" t="s">
        <v>976</v>
      </c>
      <c r="F31" s="10" t="s">
        <v>1769</v>
      </c>
      <c r="G31" s="10" t="s">
        <v>1119</v>
      </c>
      <c r="H31" s="10" t="s">
        <v>1122</v>
      </c>
      <c r="I31" s="19" t="s">
        <v>1417</v>
      </c>
      <c r="J31" s="10" t="s">
        <v>1304</v>
      </c>
      <c r="K31" s="10" t="s">
        <v>1124</v>
      </c>
      <c r="L31" s="19" t="s">
        <v>1471</v>
      </c>
      <c r="M31" s="10" t="n">
        <v>1</v>
      </c>
      <c r="N31" s="10" t="s">
        <v>978</v>
      </c>
      <c r="O31" s="10" t="s">
        <v>1472</v>
      </c>
      <c r="P31" s="28" t="n">
        <v>0</v>
      </c>
      <c r="Q31" s="10" t="s">
        <v>1473</v>
      </c>
      <c r="R31" s="10" t="s">
        <v>1474</v>
      </c>
      <c r="S31" s="10" t="n">
        <v>336451</v>
      </c>
      <c r="T31" s="10" t="n">
        <v>347898</v>
      </c>
      <c r="U31" s="29" t="n">
        <v>11447</v>
      </c>
      <c r="V31" s="30" t="n">
        <v>0.7995</v>
      </c>
      <c r="W31" s="28" t="n">
        <v>30.5</v>
      </c>
      <c r="X31" s="10" t="s">
        <v>1770</v>
      </c>
      <c r="Y31" s="29"/>
      <c r="Z31" s="23" t="n">
        <f aca="false">IF(U31="",Y31,ROUND(U31*V31,1))</f>
        <v>9151.9</v>
      </c>
      <c r="AA31" s="29"/>
      <c r="AB31" s="29"/>
      <c r="AC31" s="25" t="str">
        <f aca="false">IF(OR(AA31="",AB31=""),"",AB31-AA31)</f>
        <v/>
      </c>
      <c r="AD31" s="23" t="str">
        <f aca="false">IF(AC31="","",ROUND(Z31-AC31,1))</f>
        <v/>
      </c>
      <c r="AE31" s="27" t="str">
        <f aca="false">IF(AC31="","NOT_RECONCILED",IF(ABS(AD31)&lt;=MAX(50,0.02*ABS(Z31)),"PASS","FAIL"))</f>
        <v>NOT_RECONCILED</v>
      </c>
      <c r="AF31" s="10" t="s">
        <v>1476</v>
      </c>
      <c r="AG31" s="10" t="s">
        <v>1771</v>
      </c>
      <c r="AH31" s="10" t="s">
        <v>1772</v>
      </c>
      <c r="AI31" s="10" t="s">
        <v>1773</v>
      </c>
      <c r="AJ31" s="10" t="s">
        <v>1774</v>
      </c>
      <c r="AK31" s="10" t="s">
        <v>1481</v>
      </c>
      <c r="AL31" s="10" t="s">
        <v>1482</v>
      </c>
      <c r="AM31" s="10" t="s">
        <v>1637</v>
      </c>
      <c r="AN31" s="10" t="s">
        <v>1775</v>
      </c>
      <c r="AO31" s="10" t="s">
        <v>1485</v>
      </c>
      <c r="AP31" s="10" t="s">
        <v>1776</v>
      </c>
      <c r="AQ31" s="10"/>
      <c r="AR31" s="10"/>
      <c r="AS31" s="11" t="s">
        <v>1777</v>
      </c>
    </row>
    <row r="32" customFormat="false" ht="15" hidden="false" customHeight="false" outlineLevel="0" collapsed="false">
      <c r="A32" s="10" t="s">
        <v>198</v>
      </c>
      <c r="B32" s="10" t="s">
        <v>1778</v>
      </c>
      <c r="C32" s="10" t="s">
        <v>1341</v>
      </c>
      <c r="D32" s="10" t="s">
        <v>1469</v>
      </c>
      <c r="E32" s="10" t="s">
        <v>976</v>
      </c>
      <c r="F32" s="10" t="s">
        <v>1779</v>
      </c>
      <c r="G32" s="10" t="s">
        <v>1119</v>
      </c>
      <c r="H32" s="10" t="s">
        <v>1126</v>
      </c>
      <c r="I32" s="19" t="s">
        <v>1420</v>
      </c>
      <c r="J32" s="10" t="s">
        <v>1308</v>
      </c>
      <c r="K32" s="10" t="s">
        <v>1128</v>
      </c>
      <c r="L32" s="19" t="s">
        <v>1471</v>
      </c>
      <c r="M32" s="10" t="n">
        <v>1</v>
      </c>
      <c r="N32" s="10" t="s">
        <v>990</v>
      </c>
      <c r="O32" s="10" t="s">
        <v>1472</v>
      </c>
      <c r="P32" s="28" t="n">
        <v>0</v>
      </c>
      <c r="Q32" s="10" t="s">
        <v>1499</v>
      </c>
      <c r="R32" s="10" t="s">
        <v>1780</v>
      </c>
      <c r="S32" s="10" t="n">
        <v>10000</v>
      </c>
      <c r="T32" s="10" t="n">
        <v>50000</v>
      </c>
      <c r="U32" s="29" t="n">
        <v>40000</v>
      </c>
      <c r="V32" s="30" t="n">
        <v>0.7982</v>
      </c>
      <c r="W32" s="28" t="n">
        <v>30.5</v>
      </c>
      <c r="X32" s="10" t="s">
        <v>1781</v>
      </c>
      <c r="Y32" s="29"/>
      <c r="Z32" s="23" t="n">
        <f aca="false">IF(U32="",Y32,ROUND(U32*V32,1))</f>
        <v>31928</v>
      </c>
      <c r="AA32" s="29" t="n">
        <v>5200</v>
      </c>
      <c r="AB32" s="29" t="n">
        <v>36550</v>
      </c>
      <c r="AC32" s="25" t="n">
        <f aca="false">IF(OR(AA32="",AB32=""),"",AB32-AA32)</f>
        <v>31350</v>
      </c>
      <c r="AD32" s="23" t="n">
        <f aca="false">IF(AC32="","",ROUND(Z32-AC32,1))</f>
        <v>578</v>
      </c>
      <c r="AE32" s="27" t="str">
        <f aca="false">IF(AC32="","NOT_RECONCILED",IF(ABS(AD32)&lt;=MAX(50,0.02*ABS(Z32)),"PASS","FAIL"))</f>
        <v>PASS</v>
      </c>
      <c r="AF32" s="10" t="s">
        <v>1476</v>
      </c>
      <c r="AG32" s="10" t="s">
        <v>1782</v>
      </c>
      <c r="AH32" s="10" t="s">
        <v>1783</v>
      </c>
      <c r="AI32" s="10" t="s">
        <v>1784</v>
      </c>
      <c r="AJ32" s="10" t="s">
        <v>1785</v>
      </c>
      <c r="AK32" s="10" t="s">
        <v>1481</v>
      </c>
      <c r="AL32" s="10" t="s">
        <v>1482</v>
      </c>
      <c r="AM32" s="10" t="s">
        <v>1483</v>
      </c>
      <c r="AN32" s="10" t="s">
        <v>1786</v>
      </c>
      <c r="AO32" s="10" t="s">
        <v>1485</v>
      </c>
      <c r="AP32" s="10" t="s">
        <v>1787</v>
      </c>
      <c r="AQ32" s="10"/>
      <c r="AR32" s="10"/>
      <c r="AS32" s="11" t="s">
        <v>1788</v>
      </c>
    </row>
    <row r="33" customFormat="false" ht="15" hidden="false" customHeight="false" outlineLevel="0" collapsed="false">
      <c r="A33" s="10" t="s">
        <v>198</v>
      </c>
      <c r="B33" s="10" t="s">
        <v>1789</v>
      </c>
      <c r="C33" s="10" t="s">
        <v>1341</v>
      </c>
      <c r="D33" s="10" t="s">
        <v>1469</v>
      </c>
      <c r="E33" s="10" t="s">
        <v>976</v>
      </c>
      <c r="F33" s="10" t="s">
        <v>1790</v>
      </c>
      <c r="G33" s="10" t="s">
        <v>1119</v>
      </c>
      <c r="H33" s="10" t="s">
        <v>1126</v>
      </c>
      <c r="I33" s="19" t="s">
        <v>1420</v>
      </c>
      <c r="J33" s="10" t="s">
        <v>1308</v>
      </c>
      <c r="K33" s="10" t="s">
        <v>1128</v>
      </c>
      <c r="L33" s="19" t="s">
        <v>1471</v>
      </c>
      <c r="M33" s="10" t="n">
        <v>2</v>
      </c>
      <c r="N33" s="10" t="s">
        <v>990</v>
      </c>
      <c r="O33" s="10" t="s">
        <v>1472</v>
      </c>
      <c r="P33" s="28" t="n">
        <v>0</v>
      </c>
      <c r="Q33" s="10" t="s">
        <v>1499</v>
      </c>
      <c r="R33" s="10" t="s">
        <v>1780</v>
      </c>
      <c r="S33" s="10" t="n">
        <v>50000</v>
      </c>
      <c r="T33" s="10" t="n">
        <v>85000</v>
      </c>
      <c r="U33" s="29" t="n">
        <v>35000</v>
      </c>
      <c r="V33" s="30" t="n">
        <v>0.7982</v>
      </c>
      <c r="W33" s="28" t="n">
        <v>30.5</v>
      </c>
      <c r="X33" s="10" t="s">
        <v>1791</v>
      </c>
      <c r="Y33" s="29"/>
      <c r="Z33" s="23" t="n">
        <f aca="false">IF(U33="",Y33,ROUND(U33*V33,1))</f>
        <v>27937</v>
      </c>
      <c r="AA33" s="29" t="n">
        <v>36550</v>
      </c>
      <c r="AB33" s="29" t="n">
        <v>63980</v>
      </c>
      <c r="AC33" s="25" t="n">
        <f aca="false">IF(OR(AA33="",AB33=""),"",AB33-AA33)</f>
        <v>27430</v>
      </c>
      <c r="AD33" s="23" t="n">
        <f aca="false">IF(AC33="","",ROUND(Z33-AC33,1))</f>
        <v>507</v>
      </c>
      <c r="AE33" s="27" t="str">
        <f aca="false">IF(AC33="","NOT_RECONCILED",IF(ABS(AD33)&lt;=MAX(50,0.02*ABS(Z33)),"PASS","FAIL"))</f>
        <v>PASS</v>
      </c>
      <c r="AF33" s="10" t="s">
        <v>1476</v>
      </c>
      <c r="AG33" s="10" t="s">
        <v>1792</v>
      </c>
      <c r="AH33" s="10" t="s">
        <v>1793</v>
      </c>
      <c r="AI33" s="10" t="s">
        <v>1794</v>
      </c>
      <c r="AJ33" s="10" t="s">
        <v>1795</v>
      </c>
      <c r="AK33" s="10" t="s">
        <v>1481</v>
      </c>
      <c r="AL33" s="10" t="s">
        <v>1482</v>
      </c>
      <c r="AM33" s="10" t="s">
        <v>1483</v>
      </c>
      <c r="AN33" s="10" t="s">
        <v>1796</v>
      </c>
      <c r="AO33" s="10" t="s">
        <v>1485</v>
      </c>
      <c r="AP33" s="10" t="s">
        <v>1797</v>
      </c>
      <c r="AQ33" s="10"/>
      <c r="AR33" s="10"/>
      <c r="AS33" s="11" t="s">
        <v>1798</v>
      </c>
    </row>
    <row r="34" customFormat="false" ht="15" hidden="false" customHeight="false" outlineLevel="0" collapsed="false">
      <c r="A34" s="10" t="s">
        <v>198</v>
      </c>
      <c r="B34" s="10" t="s">
        <v>1799</v>
      </c>
      <c r="C34" s="10" t="s">
        <v>1341</v>
      </c>
      <c r="D34" s="10" t="s">
        <v>1469</v>
      </c>
      <c r="E34" s="10" t="s">
        <v>976</v>
      </c>
      <c r="F34" s="10" t="s">
        <v>1800</v>
      </c>
      <c r="G34" s="10" t="s">
        <v>1119</v>
      </c>
      <c r="H34" s="10" t="s">
        <v>1126</v>
      </c>
      <c r="I34" s="19" t="s">
        <v>1420</v>
      </c>
      <c r="J34" s="10" t="s">
        <v>1308</v>
      </c>
      <c r="K34" s="10" t="s">
        <v>1128</v>
      </c>
      <c r="L34" s="19" t="s">
        <v>1471</v>
      </c>
      <c r="M34" s="10" t="n">
        <v>3</v>
      </c>
      <c r="N34" s="10" t="s">
        <v>978</v>
      </c>
      <c r="O34" s="10" t="s">
        <v>1472</v>
      </c>
      <c r="P34" s="28" t="n">
        <v>0</v>
      </c>
      <c r="Q34" s="10" t="s">
        <v>1499</v>
      </c>
      <c r="R34" s="10" t="s">
        <v>1780</v>
      </c>
      <c r="S34" s="10" t="n">
        <v>85000</v>
      </c>
      <c r="T34" s="10" t="n">
        <v>109456</v>
      </c>
      <c r="U34" s="29" t="n">
        <v>24456</v>
      </c>
      <c r="V34" s="30" t="n">
        <v>0.7982</v>
      </c>
      <c r="W34" s="28" t="n">
        <v>30.5</v>
      </c>
      <c r="X34" s="10" t="s">
        <v>1801</v>
      </c>
      <c r="Y34" s="29"/>
      <c r="Z34" s="23" t="n">
        <f aca="false">IF(U34="",Y34,ROUND(U34*V34,1))</f>
        <v>19520.8</v>
      </c>
      <c r="AA34" s="29" t="n">
        <v>63980</v>
      </c>
      <c r="AB34" s="29" t="n">
        <v>83152</v>
      </c>
      <c r="AC34" s="25" t="n">
        <f aca="false">IF(OR(AA34="",AB34=""),"",AB34-AA34)</f>
        <v>19172</v>
      </c>
      <c r="AD34" s="23" t="n">
        <f aca="false">IF(AC34="","",ROUND(Z34-AC34,1))</f>
        <v>348.8</v>
      </c>
      <c r="AE34" s="27" t="str">
        <f aca="false">IF(AC34="","NOT_RECONCILED",IF(ABS(AD34)&lt;=MAX(50,0.02*ABS(Z34)),"PASS","FAIL"))</f>
        <v>PASS</v>
      </c>
      <c r="AF34" s="10" t="s">
        <v>1476</v>
      </c>
      <c r="AG34" s="10" t="s">
        <v>1802</v>
      </c>
      <c r="AH34" s="10" t="s">
        <v>1803</v>
      </c>
      <c r="AI34" s="10" t="s">
        <v>1804</v>
      </c>
      <c r="AJ34" s="10" t="s">
        <v>1805</v>
      </c>
      <c r="AK34" s="10" t="s">
        <v>1481</v>
      </c>
      <c r="AL34" s="10" t="s">
        <v>1482</v>
      </c>
      <c r="AM34" s="10" t="s">
        <v>1483</v>
      </c>
      <c r="AN34" s="10" t="s">
        <v>1806</v>
      </c>
      <c r="AO34" s="10" t="s">
        <v>1485</v>
      </c>
      <c r="AP34" s="10" t="s">
        <v>1807</v>
      </c>
      <c r="AQ34" s="10"/>
      <c r="AR34" s="10"/>
      <c r="AS34" s="11" t="s">
        <v>1808</v>
      </c>
    </row>
    <row r="35" customFormat="false" ht="23.85" hidden="false" customHeight="false" outlineLevel="0" collapsed="false">
      <c r="A35" s="10" t="s">
        <v>203</v>
      </c>
      <c r="B35" s="10" t="s">
        <v>1809</v>
      </c>
      <c r="C35" s="10" t="s">
        <v>1341</v>
      </c>
      <c r="D35" s="10" t="s">
        <v>1469</v>
      </c>
      <c r="E35" s="10" t="s">
        <v>976</v>
      </c>
      <c r="F35" s="10" t="s">
        <v>1810</v>
      </c>
      <c r="G35" s="10" t="s">
        <v>1132</v>
      </c>
      <c r="H35" s="10" t="s">
        <v>1130</v>
      </c>
      <c r="I35" s="19" t="s">
        <v>1423</v>
      </c>
      <c r="J35" s="10" t="s">
        <v>1312</v>
      </c>
      <c r="K35" s="10" t="s">
        <v>1133</v>
      </c>
      <c r="L35" s="19" t="s">
        <v>1471</v>
      </c>
      <c r="M35" s="10" t="n">
        <v>1</v>
      </c>
      <c r="N35" s="10" t="s">
        <v>978</v>
      </c>
      <c r="O35" s="10" t="s">
        <v>1472</v>
      </c>
      <c r="P35" s="28" t="n">
        <v>0</v>
      </c>
      <c r="Q35" s="10" t="s">
        <v>1473</v>
      </c>
      <c r="R35" s="10" t="s">
        <v>1474</v>
      </c>
      <c r="S35" s="10" t="n">
        <v>347898</v>
      </c>
      <c r="T35" s="10" t="n">
        <v>359345</v>
      </c>
      <c r="U35" s="29" t="n">
        <v>11447</v>
      </c>
      <c r="V35" s="30" t="n">
        <v>0.7995</v>
      </c>
      <c r="W35" s="28" t="n">
        <v>30.5</v>
      </c>
      <c r="X35" s="10" t="s">
        <v>1811</v>
      </c>
      <c r="Y35" s="29"/>
      <c r="Z35" s="23" t="n">
        <f aca="false">IF(U35="",Y35,ROUND(U35*V35,1))</f>
        <v>9151.9</v>
      </c>
      <c r="AA35" s="29" t="n">
        <v>1650</v>
      </c>
      <c r="AB35" s="29" t="n">
        <v>10801</v>
      </c>
      <c r="AC35" s="25" t="n">
        <f aca="false">IF(OR(AA35="",AB35=""),"",AB35-AA35)</f>
        <v>9151</v>
      </c>
      <c r="AD35" s="23" t="n">
        <f aca="false">IF(AC35="","",ROUND(Z35-AC35,1))</f>
        <v>0.9</v>
      </c>
      <c r="AE35" s="27" t="str">
        <f aca="false">IF(AC35="","NOT_RECONCILED",IF(ABS(AD35)&lt;=MAX(50,0.02*ABS(Z35)),"PASS","FAIL"))</f>
        <v>PASS</v>
      </c>
      <c r="AF35" s="10" t="s">
        <v>1476</v>
      </c>
      <c r="AG35" s="10" t="s">
        <v>1812</v>
      </c>
      <c r="AH35" s="10" t="s">
        <v>1813</v>
      </c>
      <c r="AI35" s="10" t="s">
        <v>1814</v>
      </c>
      <c r="AJ35" s="10" t="s">
        <v>1815</v>
      </c>
      <c r="AK35" s="10" t="s">
        <v>1481</v>
      </c>
      <c r="AL35" s="10" t="s">
        <v>1482</v>
      </c>
      <c r="AM35" s="10" t="s">
        <v>1483</v>
      </c>
      <c r="AN35" s="10" t="s">
        <v>1816</v>
      </c>
      <c r="AO35" s="10" t="s">
        <v>1485</v>
      </c>
      <c r="AP35" s="10" t="s">
        <v>1817</v>
      </c>
      <c r="AQ35" s="10"/>
      <c r="AR35" s="10"/>
      <c r="AS35" s="11" t="s">
        <v>1818</v>
      </c>
    </row>
    <row r="36" customFormat="false" ht="23.85" hidden="false" customHeight="false" outlineLevel="0" collapsed="false">
      <c r="A36" s="10" t="s">
        <v>259</v>
      </c>
      <c r="B36" s="10" t="s">
        <v>1819</v>
      </c>
      <c r="C36" s="10" t="s">
        <v>1341</v>
      </c>
      <c r="D36" s="10" t="s">
        <v>1469</v>
      </c>
      <c r="E36" s="10" t="s">
        <v>976</v>
      </c>
      <c r="F36" s="10" t="s">
        <v>1820</v>
      </c>
      <c r="G36" s="10" t="s">
        <v>1137</v>
      </c>
      <c r="H36" s="10" t="s">
        <v>1135</v>
      </c>
      <c r="I36" s="19" t="s">
        <v>1426</v>
      </c>
      <c r="J36" s="10" t="s">
        <v>1316</v>
      </c>
      <c r="K36" s="10" t="s">
        <v>1138</v>
      </c>
      <c r="L36" s="19" t="s">
        <v>1471</v>
      </c>
      <c r="M36" s="10" t="n">
        <v>1</v>
      </c>
      <c r="N36" s="10" t="s">
        <v>978</v>
      </c>
      <c r="O36" s="10" t="s">
        <v>1472</v>
      </c>
      <c r="P36" s="28" t="n">
        <v>0</v>
      </c>
      <c r="Q36" s="10" t="s">
        <v>1473</v>
      </c>
      <c r="R36" s="10" t="s">
        <v>1474</v>
      </c>
      <c r="S36" s="10" t="n">
        <v>359345</v>
      </c>
      <c r="T36" s="10" t="n">
        <v>371345</v>
      </c>
      <c r="U36" s="29" t="n">
        <v>12000</v>
      </c>
      <c r="V36" s="30" t="n">
        <v>0.7995</v>
      </c>
      <c r="W36" s="28" t="n">
        <v>30.5</v>
      </c>
      <c r="X36" s="10" t="s">
        <v>1821</v>
      </c>
      <c r="Y36" s="29"/>
      <c r="Z36" s="23" t="n">
        <f aca="false">IF(U36="",Y36,ROUND(U36*V36,1))</f>
        <v>9594</v>
      </c>
      <c r="AA36" s="29" t="n">
        <v>2100</v>
      </c>
      <c r="AB36" s="29" t="n">
        <v>11694</v>
      </c>
      <c r="AC36" s="25" t="n">
        <f aca="false">IF(OR(AA36="",AB36=""),"",AB36-AA36)</f>
        <v>9594</v>
      </c>
      <c r="AD36" s="23" t="n">
        <f aca="false">IF(AC36="","",ROUND(Z36-AC36,1))</f>
        <v>0</v>
      </c>
      <c r="AE36" s="27" t="str">
        <f aca="false">IF(AC36="","NOT_RECONCILED",IF(ABS(AD36)&lt;=MAX(50,0.02*ABS(Z36)),"PASS","FAIL"))</f>
        <v>PASS</v>
      </c>
      <c r="AF36" s="10" t="s">
        <v>1476</v>
      </c>
      <c r="AG36" s="10" t="s">
        <v>1822</v>
      </c>
      <c r="AH36" s="10" t="s">
        <v>1823</v>
      </c>
      <c r="AI36" s="10" t="s">
        <v>1824</v>
      </c>
      <c r="AJ36" s="10" t="s">
        <v>1825</v>
      </c>
      <c r="AK36" s="10" t="s">
        <v>1481</v>
      </c>
      <c r="AL36" s="10" t="s">
        <v>1482</v>
      </c>
      <c r="AM36" s="10" t="s">
        <v>1483</v>
      </c>
      <c r="AN36" s="10" t="s">
        <v>1826</v>
      </c>
      <c r="AO36" s="10" t="s">
        <v>1485</v>
      </c>
      <c r="AP36" s="10" t="s">
        <v>1827</v>
      </c>
      <c r="AQ36" s="10"/>
      <c r="AR36" s="10"/>
      <c r="AS36" s="11" t="s">
        <v>1828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92"/>
    <col collapsed="false" customWidth="true" hidden="false" outlineLevel="0" max="4" min="4" style="0" width="20"/>
    <col collapsed="false" customWidth="true" hidden="false" outlineLevel="0" max="5" min="5" style="0" width="10"/>
  </cols>
  <sheetData>
    <row r="1" customFormat="false" ht="16.15" hidden="false" customHeight="false" outlineLevel="0" collapsed="false">
      <c r="A1" s="8" t="s">
        <v>32</v>
      </c>
    </row>
    <row r="2" customFormat="false" ht="30" hidden="false" customHeight="true" outlineLevel="0" collapsed="false">
      <c r="A2" s="9" t="s">
        <v>1829</v>
      </c>
      <c r="B2" s="9" t="s">
        <v>1830</v>
      </c>
      <c r="C2" s="9" t="s">
        <v>1831</v>
      </c>
      <c r="D2" s="9" t="s">
        <v>1832</v>
      </c>
      <c r="E2" s="9" t="s">
        <v>1833</v>
      </c>
    </row>
    <row r="3" customFormat="false" ht="15" hidden="false" customHeight="false" outlineLevel="0" collapsed="false">
      <c r="A3" s="10" t="s">
        <v>1834</v>
      </c>
      <c r="B3" s="10" t="s">
        <v>8</v>
      </c>
      <c r="C3" s="11" t="s">
        <v>1835</v>
      </c>
      <c r="D3" s="10" t="s">
        <v>1836</v>
      </c>
      <c r="E3" s="10" t="s">
        <v>1837</v>
      </c>
    </row>
    <row r="4" customFormat="false" ht="15" hidden="false" customHeight="false" outlineLevel="0" collapsed="false">
      <c r="A4" s="10" t="s">
        <v>1838</v>
      </c>
      <c r="B4" s="10" t="s">
        <v>8</v>
      </c>
      <c r="C4" s="11" t="s">
        <v>1839</v>
      </c>
      <c r="D4" s="10" t="s">
        <v>1840</v>
      </c>
      <c r="E4" s="10" t="s">
        <v>1837</v>
      </c>
    </row>
    <row r="5" customFormat="false" ht="15" hidden="false" customHeight="false" outlineLevel="0" collapsed="false">
      <c r="A5" s="10" t="s">
        <v>1841</v>
      </c>
      <c r="B5" s="10" t="s">
        <v>8</v>
      </c>
      <c r="C5" s="11" t="s">
        <v>1842</v>
      </c>
      <c r="D5" s="10" t="s">
        <v>1836</v>
      </c>
      <c r="E5" s="10" t="s">
        <v>1837</v>
      </c>
    </row>
    <row r="6" customFormat="false" ht="15" hidden="false" customHeight="false" outlineLevel="0" collapsed="false">
      <c r="A6" s="10" t="s">
        <v>1843</v>
      </c>
      <c r="B6" s="10" t="s">
        <v>8</v>
      </c>
      <c r="C6" s="11" t="s">
        <v>1844</v>
      </c>
      <c r="D6" s="10" t="s">
        <v>1845</v>
      </c>
      <c r="E6" s="10" t="s">
        <v>1837</v>
      </c>
    </row>
    <row r="7" customFormat="false" ht="15" hidden="false" customHeight="false" outlineLevel="0" collapsed="false">
      <c r="A7" s="10" t="s">
        <v>1846</v>
      </c>
      <c r="B7" s="10" t="s">
        <v>8</v>
      </c>
      <c r="C7" s="11" t="s">
        <v>1847</v>
      </c>
      <c r="D7" s="10" t="s">
        <v>1848</v>
      </c>
      <c r="E7" s="10" t="s">
        <v>1849</v>
      </c>
    </row>
    <row r="8" customFormat="false" ht="15" hidden="false" customHeight="false" outlineLevel="0" collapsed="false">
      <c r="A8" s="10" t="s">
        <v>1850</v>
      </c>
      <c r="B8" s="10" t="s">
        <v>10</v>
      </c>
      <c r="C8" s="11" t="s">
        <v>1851</v>
      </c>
      <c r="D8" s="10" t="s">
        <v>1852</v>
      </c>
      <c r="E8" s="10" t="s">
        <v>1837</v>
      </c>
    </row>
    <row r="9" customFormat="false" ht="15" hidden="false" customHeight="false" outlineLevel="0" collapsed="false">
      <c r="A9" s="10" t="s">
        <v>1853</v>
      </c>
      <c r="B9" s="10" t="s">
        <v>10</v>
      </c>
      <c r="C9" s="11" t="s">
        <v>1854</v>
      </c>
      <c r="D9" s="10" t="s">
        <v>117</v>
      </c>
      <c r="E9" s="10" t="s">
        <v>1837</v>
      </c>
    </row>
    <row r="10" customFormat="false" ht="15" hidden="false" customHeight="false" outlineLevel="0" collapsed="false">
      <c r="A10" s="10" t="s">
        <v>1855</v>
      </c>
      <c r="B10" s="10" t="s">
        <v>10</v>
      </c>
      <c r="C10" s="11" t="s">
        <v>1856</v>
      </c>
      <c r="D10" s="10" t="s">
        <v>127</v>
      </c>
      <c r="E10" s="10" t="s">
        <v>1849</v>
      </c>
    </row>
    <row r="11" customFormat="false" ht="15" hidden="false" customHeight="false" outlineLevel="0" collapsed="false">
      <c r="A11" s="10" t="s">
        <v>1857</v>
      </c>
      <c r="B11" s="10" t="s">
        <v>12</v>
      </c>
      <c r="C11" s="11" t="s">
        <v>1858</v>
      </c>
      <c r="D11" s="10" t="s">
        <v>1859</v>
      </c>
      <c r="E11" s="10" t="s">
        <v>1837</v>
      </c>
    </row>
    <row r="12" customFormat="false" ht="15" hidden="false" customHeight="false" outlineLevel="0" collapsed="false">
      <c r="A12" s="10" t="s">
        <v>1860</v>
      </c>
      <c r="B12" s="10" t="s">
        <v>12</v>
      </c>
      <c r="C12" s="11" t="s">
        <v>1861</v>
      </c>
      <c r="D12" s="10" t="s">
        <v>1862</v>
      </c>
      <c r="E12" s="10" t="s">
        <v>1837</v>
      </c>
    </row>
    <row r="13" customFormat="false" ht="15" hidden="false" customHeight="false" outlineLevel="0" collapsed="false">
      <c r="A13" s="10" t="s">
        <v>1863</v>
      </c>
      <c r="B13" s="10" t="s">
        <v>12</v>
      </c>
      <c r="C13" s="11" t="s">
        <v>1864</v>
      </c>
      <c r="D13" s="10" t="s">
        <v>1840</v>
      </c>
      <c r="E13" s="10" t="s">
        <v>1837</v>
      </c>
    </row>
    <row r="14" customFormat="false" ht="15" hidden="false" customHeight="false" outlineLevel="0" collapsed="false">
      <c r="A14" s="10" t="s">
        <v>1865</v>
      </c>
      <c r="B14" s="10" t="s">
        <v>12</v>
      </c>
      <c r="C14" s="11" t="s">
        <v>1866</v>
      </c>
      <c r="D14" s="10" t="s">
        <v>1852</v>
      </c>
      <c r="E14" s="10" t="s">
        <v>1837</v>
      </c>
    </row>
    <row r="15" customFormat="false" ht="15" hidden="false" customHeight="false" outlineLevel="0" collapsed="false">
      <c r="A15" s="10" t="s">
        <v>1867</v>
      </c>
      <c r="B15" s="10" t="s">
        <v>12</v>
      </c>
      <c r="C15" s="11" t="s">
        <v>1868</v>
      </c>
      <c r="D15" s="10" t="s">
        <v>149</v>
      </c>
      <c r="E15" s="10" t="s">
        <v>1849</v>
      </c>
    </row>
    <row r="16" customFormat="false" ht="15" hidden="false" customHeight="false" outlineLevel="0" collapsed="false">
      <c r="A16" s="10" t="s">
        <v>1869</v>
      </c>
      <c r="B16" s="10" t="s">
        <v>12</v>
      </c>
      <c r="C16" s="11" t="s">
        <v>1870</v>
      </c>
      <c r="D16" s="10" t="s">
        <v>133</v>
      </c>
      <c r="E16" s="10" t="s">
        <v>1837</v>
      </c>
    </row>
    <row r="17" customFormat="false" ht="15" hidden="false" customHeight="false" outlineLevel="0" collapsed="false">
      <c r="A17" s="10" t="s">
        <v>1871</v>
      </c>
      <c r="B17" s="10" t="s">
        <v>12</v>
      </c>
      <c r="C17" s="11" t="s">
        <v>1872</v>
      </c>
      <c r="D17" s="10" t="s">
        <v>155</v>
      </c>
      <c r="E17" s="10" t="s">
        <v>1849</v>
      </c>
    </row>
    <row r="18" customFormat="false" ht="15" hidden="false" customHeight="false" outlineLevel="0" collapsed="false">
      <c r="A18" s="10" t="s">
        <v>1873</v>
      </c>
      <c r="B18" s="10" t="s">
        <v>12</v>
      </c>
      <c r="C18" s="11" t="s">
        <v>1874</v>
      </c>
      <c r="D18" s="10" t="s">
        <v>1875</v>
      </c>
      <c r="E18" s="10" t="s">
        <v>1837</v>
      </c>
    </row>
    <row r="19" customFormat="false" ht="15" hidden="false" customHeight="false" outlineLevel="0" collapsed="false">
      <c r="A19" s="10" t="s">
        <v>1876</v>
      </c>
      <c r="B19" s="10" t="s">
        <v>6</v>
      </c>
      <c r="C19" s="11" t="s">
        <v>1877</v>
      </c>
      <c r="D19" s="10" t="s">
        <v>166</v>
      </c>
      <c r="E19" s="10" t="s">
        <v>1837</v>
      </c>
    </row>
    <row r="20" customFormat="false" ht="15" hidden="false" customHeight="false" outlineLevel="0" collapsed="false">
      <c r="A20" s="10" t="s">
        <v>1878</v>
      </c>
      <c r="B20" s="10" t="s">
        <v>6</v>
      </c>
      <c r="C20" s="11" t="s">
        <v>1879</v>
      </c>
      <c r="D20" s="10" t="s">
        <v>1880</v>
      </c>
      <c r="E20" s="10" t="s">
        <v>1837</v>
      </c>
    </row>
    <row r="21" customFormat="false" ht="15" hidden="false" customHeight="false" outlineLevel="0" collapsed="false">
      <c r="A21" s="10" t="s">
        <v>1881</v>
      </c>
      <c r="B21" s="10" t="s">
        <v>6</v>
      </c>
      <c r="C21" s="11" t="s">
        <v>1882</v>
      </c>
      <c r="D21" s="10" t="s">
        <v>105</v>
      </c>
      <c r="E21" s="10" t="s">
        <v>1837</v>
      </c>
    </row>
    <row r="22" customFormat="false" ht="15" hidden="false" customHeight="false" outlineLevel="0" collapsed="false">
      <c r="A22" s="10" t="s">
        <v>1883</v>
      </c>
      <c r="B22" s="10" t="s">
        <v>6</v>
      </c>
      <c r="C22" s="11" t="s">
        <v>1884</v>
      </c>
      <c r="D22" s="10" t="s">
        <v>1880</v>
      </c>
      <c r="E22" s="10" t="s">
        <v>1837</v>
      </c>
    </row>
    <row r="23" customFormat="false" ht="15" hidden="false" customHeight="false" outlineLevel="0" collapsed="false">
      <c r="A23" s="10" t="s">
        <v>1885</v>
      </c>
      <c r="B23" s="10" t="s">
        <v>1886</v>
      </c>
      <c r="C23" s="11" t="s">
        <v>1887</v>
      </c>
      <c r="D23" s="10" t="s">
        <v>1888</v>
      </c>
      <c r="E23" s="10" t="s">
        <v>1837</v>
      </c>
    </row>
    <row r="24" customFormat="false" ht="15" hidden="false" customHeight="false" outlineLevel="0" collapsed="false">
      <c r="A24" s="10" t="s">
        <v>1889</v>
      </c>
      <c r="B24" s="10" t="s">
        <v>1886</v>
      </c>
      <c r="C24" s="11" t="s">
        <v>1890</v>
      </c>
      <c r="D24" s="10" t="s">
        <v>1891</v>
      </c>
      <c r="E24" s="10" t="s">
        <v>1837</v>
      </c>
    </row>
    <row r="25" customFormat="false" ht="15" hidden="false" customHeight="false" outlineLevel="0" collapsed="false">
      <c r="A25" s="10" t="s">
        <v>1892</v>
      </c>
      <c r="B25" s="10" t="s">
        <v>1886</v>
      </c>
      <c r="C25" s="11" t="s">
        <v>1893</v>
      </c>
      <c r="D25" s="10" t="s">
        <v>1894</v>
      </c>
      <c r="E25" s="10" t="s">
        <v>1837</v>
      </c>
    </row>
    <row r="26" customFormat="false" ht="15" hidden="false" customHeight="false" outlineLevel="0" collapsed="false">
      <c r="A26" s="10" t="s">
        <v>1895</v>
      </c>
      <c r="B26" s="10" t="s">
        <v>1886</v>
      </c>
      <c r="C26" s="11" t="s">
        <v>1896</v>
      </c>
      <c r="D26" s="10" t="s">
        <v>193</v>
      </c>
      <c r="E26" s="10" t="s">
        <v>1837</v>
      </c>
    </row>
    <row r="27" customFormat="false" ht="15" hidden="false" customHeight="false" outlineLevel="0" collapsed="false">
      <c r="A27" s="10" t="s">
        <v>1897</v>
      </c>
      <c r="B27" s="10" t="s">
        <v>1886</v>
      </c>
      <c r="C27" s="11" t="s">
        <v>1898</v>
      </c>
      <c r="D27" s="10" t="s">
        <v>198</v>
      </c>
      <c r="E27" s="10" t="s">
        <v>1849</v>
      </c>
    </row>
    <row r="28" customFormat="false" ht="15" hidden="false" customHeight="false" outlineLevel="0" collapsed="false">
      <c r="A28" s="10" t="s">
        <v>1899</v>
      </c>
      <c r="B28" s="10" t="s">
        <v>1886</v>
      </c>
      <c r="C28" s="11" t="s">
        <v>1900</v>
      </c>
      <c r="D28" s="10" t="s">
        <v>203</v>
      </c>
      <c r="E28" s="10" t="s">
        <v>1837</v>
      </c>
    </row>
    <row r="29" customFormat="false" ht="15" hidden="false" customHeight="false" outlineLevel="0" collapsed="false">
      <c r="A29" s="10" t="s">
        <v>1901</v>
      </c>
      <c r="B29" s="10" t="s">
        <v>16</v>
      </c>
      <c r="C29" s="11" t="s">
        <v>1902</v>
      </c>
      <c r="D29" s="10" t="s">
        <v>1903</v>
      </c>
      <c r="E29" s="10" t="s">
        <v>1837</v>
      </c>
    </row>
    <row r="30" customFormat="false" ht="15" hidden="false" customHeight="false" outlineLevel="0" collapsed="false">
      <c r="A30" s="10" t="s">
        <v>1904</v>
      </c>
      <c r="B30" s="10" t="s">
        <v>16</v>
      </c>
      <c r="C30" s="11" t="s">
        <v>1905</v>
      </c>
      <c r="D30" s="10" t="s">
        <v>1903</v>
      </c>
      <c r="E30" s="10" t="s">
        <v>1837</v>
      </c>
    </row>
    <row r="31" customFormat="false" ht="15" hidden="false" customHeight="false" outlineLevel="0" collapsed="false">
      <c r="A31" s="10" t="s">
        <v>1906</v>
      </c>
      <c r="B31" s="10" t="s">
        <v>16</v>
      </c>
      <c r="C31" s="11" t="s">
        <v>1907</v>
      </c>
      <c r="D31" s="10" t="s">
        <v>1903</v>
      </c>
      <c r="E31" s="10" t="s">
        <v>1837</v>
      </c>
    </row>
    <row r="32" customFormat="false" ht="15" hidden="false" customHeight="false" outlineLevel="0" collapsed="false">
      <c r="A32" s="10" t="s">
        <v>1908</v>
      </c>
      <c r="B32" s="10" t="s">
        <v>16</v>
      </c>
      <c r="C32" s="11" t="s">
        <v>1909</v>
      </c>
      <c r="D32" s="10" t="s">
        <v>1903</v>
      </c>
      <c r="E32" s="10" t="s">
        <v>1849</v>
      </c>
    </row>
    <row r="33" customFormat="false" ht="15" hidden="false" customHeight="false" outlineLevel="0" collapsed="false">
      <c r="A33" s="10" t="s">
        <v>1910</v>
      </c>
      <c r="B33" s="10" t="s">
        <v>14</v>
      </c>
      <c r="C33" s="11" t="s">
        <v>1911</v>
      </c>
      <c r="D33" s="10" t="s">
        <v>1903</v>
      </c>
      <c r="E33" s="10" t="s">
        <v>1837</v>
      </c>
    </row>
    <row r="34" customFormat="false" ht="15" hidden="false" customHeight="false" outlineLevel="0" collapsed="false">
      <c r="A34" s="10" t="s">
        <v>1912</v>
      </c>
      <c r="B34" s="10" t="s">
        <v>12</v>
      </c>
      <c r="C34" s="11" t="s">
        <v>1913</v>
      </c>
      <c r="D34" s="10" t="s">
        <v>1836</v>
      </c>
      <c r="E34" s="10" t="s">
        <v>1837</v>
      </c>
    </row>
    <row r="35" customFormat="false" ht="15" hidden="false" customHeight="false" outlineLevel="0" collapsed="false">
      <c r="A35" s="10" t="s">
        <v>1914</v>
      </c>
      <c r="B35" s="10" t="s">
        <v>16</v>
      </c>
      <c r="C35" s="11" t="s">
        <v>1915</v>
      </c>
      <c r="D35" s="10" t="s">
        <v>254</v>
      </c>
      <c r="E35" s="10" t="s">
        <v>1837</v>
      </c>
    </row>
    <row r="36" customFormat="false" ht="15" hidden="false" customHeight="false" outlineLevel="0" collapsed="false">
      <c r="A36" s="10" t="s">
        <v>1916</v>
      </c>
      <c r="B36" s="10" t="s">
        <v>16</v>
      </c>
      <c r="C36" s="11" t="s">
        <v>1917</v>
      </c>
      <c r="D36" s="10" t="s">
        <v>239</v>
      </c>
      <c r="E36" s="10" t="s">
        <v>1837</v>
      </c>
    </row>
    <row r="37" customFormat="false" ht="15" hidden="false" customHeight="false" outlineLevel="0" collapsed="false">
      <c r="A37" s="10" t="s">
        <v>1918</v>
      </c>
      <c r="B37" s="10" t="s">
        <v>16</v>
      </c>
      <c r="C37" s="11" t="s">
        <v>1919</v>
      </c>
      <c r="D37" s="10" t="s">
        <v>244</v>
      </c>
      <c r="E37" s="10" t="s">
        <v>1837</v>
      </c>
    </row>
    <row r="38" customFormat="false" ht="15" hidden="false" customHeight="false" outlineLevel="0" collapsed="false">
      <c r="A38" s="10" t="s">
        <v>1920</v>
      </c>
      <c r="B38" s="10" t="s">
        <v>16</v>
      </c>
      <c r="C38" s="11" t="s">
        <v>1921</v>
      </c>
      <c r="D38" s="10" t="s">
        <v>229</v>
      </c>
      <c r="E38" s="10" t="s">
        <v>1849</v>
      </c>
    </row>
    <row r="39" customFormat="false" ht="15" hidden="false" customHeight="false" outlineLevel="0" collapsed="false">
      <c r="A39" s="10" t="s">
        <v>1922</v>
      </c>
      <c r="B39" s="10" t="s">
        <v>10</v>
      </c>
      <c r="C39" s="11" t="s">
        <v>1923</v>
      </c>
      <c r="D39" s="10" t="s">
        <v>1924</v>
      </c>
      <c r="E39" s="10" t="s">
        <v>1837</v>
      </c>
    </row>
    <row r="40" customFormat="false" ht="15" hidden="false" customHeight="false" outlineLevel="0" collapsed="false">
      <c r="A40" s="10" t="s">
        <v>1925</v>
      </c>
      <c r="B40" s="10" t="s">
        <v>10</v>
      </c>
      <c r="C40" s="11" t="s">
        <v>1926</v>
      </c>
      <c r="D40" s="10" t="s">
        <v>259</v>
      </c>
      <c r="E40" s="10" t="s">
        <v>1837</v>
      </c>
    </row>
    <row r="41" customFormat="false" ht="15" hidden="false" customHeight="false" outlineLevel="0" collapsed="false">
      <c r="A41" s="10" t="s">
        <v>1927</v>
      </c>
      <c r="B41" s="10" t="s">
        <v>10</v>
      </c>
      <c r="C41" s="11" t="s">
        <v>1928</v>
      </c>
      <c r="D41" s="10" t="s">
        <v>1929</v>
      </c>
      <c r="E41" s="10" t="s">
        <v>1837</v>
      </c>
    </row>
    <row r="42" customFormat="false" ht="15" hidden="false" customHeight="false" outlineLevel="0" collapsed="false">
      <c r="A42" s="10" t="s">
        <v>1930</v>
      </c>
      <c r="B42" s="10" t="s">
        <v>10</v>
      </c>
      <c r="C42" s="11" t="s">
        <v>1931</v>
      </c>
      <c r="D42" s="10" t="s">
        <v>94</v>
      </c>
      <c r="E42" s="10" t="s">
        <v>1837</v>
      </c>
    </row>
    <row r="43" customFormat="false" ht="15" hidden="false" customHeight="false" outlineLevel="0" collapsed="false">
      <c r="A43" s="10" t="s">
        <v>1932</v>
      </c>
      <c r="B43" s="10" t="s">
        <v>10</v>
      </c>
      <c r="C43" s="11" t="s">
        <v>1933</v>
      </c>
      <c r="D43" s="10" t="s">
        <v>1934</v>
      </c>
      <c r="E43" s="10" t="s">
        <v>1849</v>
      </c>
    </row>
    <row r="44" customFormat="false" ht="15" hidden="false" customHeight="false" outlineLevel="0" collapsed="false">
      <c r="A44" s="10" t="s">
        <v>1935</v>
      </c>
      <c r="B44" s="10" t="s">
        <v>18</v>
      </c>
      <c r="C44" s="11" t="s">
        <v>1936</v>
      </c>
      <c r="D44" s="10" t="s">
        <v>1937</v>
      </c>
      <c r="E44" s="10" t="s">
        <v>1837</v>
      </c>
    </row>
    <row r="45" customFormat="false" ht="15" hidden="false" customHeight="false" outlineLevel="0" collapsed="false">
      <c r="A45" s="10" t="s">
        <v>1938</v>
      </c>
      <c r="B45" s="10" t="s">
        <v>18</v>
      </c>
      <c r="C45" s="11" t="s">
        <v>1939</v>
      </c>
      <c r="D45" s="10" t="s">
        <v>1937</v>
      </c>
      <c r="E45" s="10" t="s">
        <v>1837</v>
      </c>
    </row>
    <row r="46" customFormat="false" ht="15" hidden="false" customHeight="false" outlineLevel="0" collapsed="false">
      <c r="A46" s="10" t="s">
        <v>1940</v>
      </c>
      <c r="B46" s="10" t="s">
        <v>18</v>
      </c>
      <c r="C46" s="11" t="s">
        <v>1941</v>
      </c>
      <c r="D46" s="10" t="s">
        <v>1937</v>
      </c>
      <c r="E46" s="10" t="s">
        <v>1837</v>
      </c>
    </row>
    <row r="47" customFormat="false" ht="15" hidden="false" customHeight="false" outlineLevel="0" collapsed="false">
      <c r="A47" s="10" t="s">
        <v>1942</v>
      </c>
      <c r="B47" s="10" t="s">
        <v>18</v>
      </c>
      <c r="C47" s="11" t="s">
        <v>1943</v>
      </c>
      <c r="D47" s="10" t="s">
        <v>1937</v>
      </c>
      <c r="E47" s="10" t="s">
        <v>1837</v>
      </c>
    </row>
    <row r="48" customFormat="false" ht="15" hidden="false" customHeight="false" outlineLevel="0" collapsed="false">
      <c r="A48" s="10" t="s">
        <v>1944</v>
      </c>
      <c r="B48" s="10" t="s">
        <v>20</v>
      </c>
      <c r="C48" s="11" t="s">
        <v>1945</v>
      </c>
      <c r="D48" s="10" t="s">
        <v>1937</v>
      </c>
      <c r="E48" s="10" t="s">
        <v>1837</v>
      </c>
    </row>
    <row r="49" customFormat="false" ht="15" hidden="false" customHeight="false" outlineLevel="0" collapsed="false">
      <c r="A49" s="10" t="s">
        <v>1946</v>
      </c>
      <c r="B49" s="10" t="s">
        <v>20</v>
      </c>
      <c r="C49" s="11" t="s">
        <v>1947</v>
      </c>
      <c r="D49" s="10" t="s">
        <v>1937</v>
      </c>
      <c r="E49" s="10" t="s">
        <v>1837</v>
      </c>
    </row>
    <row r="50" customFormat="false" ht="23.85" hidden="false" customHeight="false" outlineLevel="0" collapsed="false">
      <c r="A50" s="10" t="s">
        <v>1948</v>
      </c>
      <c r="B50" s="10" t="s">
        <v>1949</v>
      </c>
      <c r="C50" s="11" t="s">
        <v>1950</v>
      </c>
      <c r="D50" s="10" t="s">
        <v>265</v>
      </c>
      <c r="E50" s="10" t="s">
        <v>1837</v>
      </c>
    </row>
    <row r="51" customFormat="false" ht="15" hidden="false" customHeight="false" outlineLevel="0" collapsed="false">
      <c r="A51" s="10" t="s">
        <v>1951</v>
      </c>
      <c r="B51" s="10" t="s">
        <v>1949</v>
      </c>
      <c r="C51" s="11" t="s">
        <v>1952</v>
      </c>
      <c r="D51" s="10" t="s">
        <v>265</v>
      </c>
      <c r="E51" s="10" t="s">
        <v>1837</v>
      </c>
    </row>
    <row r="52" customFormat="false" ht="15" hidden="false" customHeight="false" outlineLevel="0" collapsed="false">
      <c r="A52" s="10" t="s">
        <v>1953</v>
      </c>
      <c r="B52" s="10" t="s">
        <v>1949</v>
      </c>
      <c r="C52" s="11" t="s">
        <v>1954</v>
      </c>
      <c r="D52" s="10" t="s">
        <v>265</v>
      </c>
      <c r="E52" s="10" t="s">
        <v>1837</v>
      </c>
    </row>
    <row r="53" customFormat="false" ht="15" hidden="false" customHeight="false" outlineLevel="0" collapsed="false">
      <c r="A53" s="10" t="s">
        <v>1955</v>
      </c>
      <c r="B53" s="10" t="s">
        <v>1949</v>
      </c>
      <c r="C53" s="11" t="s">
        <v>1956</v>
      </c>
      <c r="D53" s="10" t="s">
        <v>265</v>
      </c>
      <c r="E53" s="10" t="s">
        <v>1849</v>
      </c>
    </row>
    <row r="54" customFormat="false" ht="15" hidden="false" customHeight="false" outlineLevel="0" collapsed="false">
      <c r="A54" s="10" t="s">
        <v>1957</v>
      </c>
      <c r="B54" s="10" t="s">
        <v>1949</v>
      </c>
      <c r="C54" s="11" t="s">
        <v>1958</v>
      </c>
      <c r="D54" s="10" t="s">
        <v>271</v>
      </c>
      <c r="E54" s="10" t="s">
        <v>1837</v>
      </c>
    </row>
    <row r="55" customFormat="false" ht="15" hidden="false" customHeight="false" outlineLevel="0" collapsed="false">
      <c r="A55" s="10" t="s">
        <v>1959</v>
      </c>
      <c r="B55" s="10" t="s">
        <v>1949</v>
      </c>
      <c r="C55" s="11" t="s">
        <v>1960</v>
      </c>
      <c r="D55" s="10" t="s">
        <v>276</v>
      </c>
      <c r="E55" s="10" t="s">
        <v>1837</v>
      </c>
    </row>
    <row r="56" customFormat="false" ht="15" hidden="false" customHeight="false" outlineLevel="0" collapsed="false">
      <c r="A56" s="10" t="s">
        <v>1961</v>
      </c>
      <c r="B56" s="10" t="s">
        <v>1949</v>
      </c>
      <c r="C56" s="11" t="s">
        <v>1962</v>
      </c>
      <c r="D56" s="10" t="s">
        <v>276</v>
      </c>
      <c r="E56" s="10" t="s">
        <v>1837</v>
      </c>
    </row>
    <row r="57" customFormat="false" ht="15" hidden="false" customHeight="false" outlineLevel="0" collapsed="false">
      <c r="A57" s="10" t="s">
        <v>1963</v>
      </c>
      <c r="B57" s="10" t="s">
        <v>1949</v>
      </c>
      <c r="C57" s="11" t="s">
        <v>1964</v>
      </c>
      <c r="D57" s="10" t="s">
        <v>281</v>
      </c>
      <c r="E57" s="10" t="s">
        <v>1837</v>
      </c>
    </row>
    <row r="58" customFormat="false" ht="15" hidden="false" customHeight="false" outlineLevel="0" collapsed="false">
      <c r="A58" s="10" t="s">
        <v>1965</v>
      </c>
      <c r="B58" s="10" t="s">
        <v>1966</v>
      </c>
      <c r="C58" s="11" t="s">
        <v>1967</v>
      </c>
      <c r="D58" s="10" t="s">
        <v>1968</v>
      </c>
      <c r="E58" s="10" t="s">
        <v>1837</v>
      </c>
    </row>
    <row r="59" customFormat="false" ht="15" hidden="false" customHeight="false" outlineLevel="0" collapsed="false">
      <c r="A59" s="10" t="s">
        <v>1969</v>
      </c>
      <c r="B59" s="10" t="s">
        <v>6</v>
      </c>
      <c r="C59" s="11" t="s">
        <v>1970</v>
      </c>
      <c r="D59" s="10" t="s">
        <v>271</v>
      </c>
      <c r="E59" s="10" t="s">
        <v>1837</v>
      </c>
    </row>
    <row r="60" customFormat="false" ht="15" hidden="false" customHeight="false" outlineLevel="0" collapsed="false">
      <c r="A60" s="10" t="s">
        <v>1971</v>
      </c>
      <c r="B60" s="10" t="s">
        <v>6</v>
      </c>
      <c r="C60" s="11" t="s">
        <v>1972</v>
      </c>
      <c r="D60" s="10" t="s">
        <v>1973</v>
      </c>
      <c r="E60" s="10" t="s">
        <v>1837</v>
      </c>
    </row>
    <row r="61" customFormat="false" ht="15" hidden="false" customHeight="false" outlineLevel="0" collapsed="false">
      <c r="A61" s="10" t="s">
        <v>1974</v>
      </c>
      <c r="B61" s="10" t="s">
        <v>1975</v>
      </c>
      <c r="C61" s="11" t="s">
        <v>1976</v>
      </c>
      <c r="D61" s="10" t="s">
        <v>296</v>
      </c>
      <c r="E61" s="10" t="s">
        <v>1837</v>
      </c>
    </row>
    <row r="62" customFormat="false" ht="15" hidden="false" customHeight="false" outlineLevel="0" collapsed="false">
      <c r="A62" s="10" t="s">
        <v>1977</v>
      </c>
      <c r="B62" s="10" t="s">
        <v>1975</v>
      </c>
      <c r="C62" s="11" t="s">
        <v>1978</v>
      </c>
      <c r="D62" s="10" t="s">
        <v>312</v>
      </c>
      <c r="E62" s="10" t="s">
        <v>1837</v>
      </c>
    </row>
    <row r="63" customFormat="false" ht="15" hidden="false" customHeight="false" outlineLevel="0" collapsed="false">
      <c r="A63" s="10" t="s">
        <v>1979</v>
      </c>
      <c r="B63" s="10" t="s">
        <v>1975</v>
      </c>
      <c r="C63" s="11" t="s">
        <v>1980</v>
      </c>
      <c r="D63" s="10" t="s">
        <v>296</v>
      </c>
      <c r="E63" s="10" t="s">
        <v>1849</v>
      </c>
    </row>
    <row r="64" customFormat="false" ht="15" hidden="false" customHeight="false" outlineLevel="0" collapsed="false">
      <c r="A64" s="10" t="s">
        <v>1981</v>
      </c>
      <c r="B64" s="10" t="s">
        <v>1975</v>
      </c>
      <c r="C64" s="11" t="s">
        <v>1982</v>
      </c>
      <c r="D64" s="10" t="s">
        <v>296</v>
      </c>
      <c r="E64" s="10" t="s">
        <v>1849</v>
      </c>
    </row>
    <row r="65" customFormat="false" ht="23.85" hidden="false" customHeight="false" outlineLevel="0" collapsed="false">
      <c r="A65" s="10" t="s">
        <v>1983</v>
      </c>
      <c r="B65" s="10" t="s">
        <v>8</v>
      </c>
      <c r="C65" s="11" t="s">
        <v>1984</v>
      </c>
      <c r="D65" s="10" t="s">
        <v>317</v>
      </c>
      <c r="E65" s="10" t="s">
        <v>1837</v>
      </c>
    </row>
    <row r="66" customFormat="false" ht="15" hidden="false" customHeight="false" outlineLevel="0" collapsed="false">
      <c r="A66" s="10" t="s">
        <v>1985</v>
      </c>
      <c r="B66" s="10" t="s">
        <v>1986</v>
      </c>
      <c r="C66" s="11" t="s">
        <v>1987</v>
      </c>
      <c r="D66" s="10" t="s">
        <v>312</v>
      </c>
      <c r="E66" s="10" t="s">
        <v>1837</v>
      </c>
    </row>
    <row r="67" customFormat="false" ht="15" hidden="false" customHeight="false" outlineLevel="0" collapsed="false">
      <c r="A67" s="10" t="s">
        <v>1988</v>
      </c>
      <c r="B67" s="10" t="s">
        <v>1986</v>
      </c>
      <c r="C67" s="11" t="s">
        <v>1989</v>
      </c>
      <c r="D67" s="10" t="s">
        <v>1990</v>
      </c>
      <c r="E67" s="10" t="s">
        <v>1837</v>
      </c>
    </row>
    <row r="68" customFormat="false" ht="23.85" hidden="false" customHeight="false" outlineLevel="0" collapsed="false">
      <c r="A68" s="10" t="s">
        <v>1991</v>
      </c>
      <c r="B68" s="10" t="s">
        <v>1949</v>
      </c>
      <c r="C68" s="11" t="s">
        <v>1992</v>
      </c>
      <c r="D68" s="10" t="s">
        <v>1993</v>
      </c>
      <c r="E68" s="10" t="s">
        <v>1837</v>
      </c>
    </row>
    <row r="69" customFormat="false" ht="15" hidden="false" customHeight="false" outlineLevel="0" collapsed="false">
      <c r="A69" s="10" t="s">
        <v>1994</v>
      </c>
      <c r="B69" s="10" t="s">
        <v>1949</v>
      </c>
      <c r="C69" s="11" t="s">
        <v>1995</v>
      </c>
      <c r="D69" s="10" t="s">
        <v>1996</v>
      </c>
      <c r="E69" s="10" t="s">
        <v>1837</v>
      </c>
    </row>
    <row r="70" customFormat="false" ht="23.85" hidden="false" customHeight="false" outlineLevel="0" collapsed="false">
      <c r="A70" s="10" t="s">
        <v>1997</v>
      </c>
      <c r="B70" s="10" t="s">
        <v>1998</v>
      </c>
      <c r="C70" s="11" t="s">
        <v>1999</v>
      </c>
      <c r="D70" s="10" t="s">
        <v>2000</v>
      </c>
      <c r="E70" s="10" t="s">
        <v>1837</v>
      </c>
    </row>
    <row r="71" customFormat="false" ht="15" hidden="false" customHeight="false" outlineLevel="0" collapsed="false">
      <c r="A71" s="10" t="s">
        <v>2001</v>
      </c>
      <c r="B71" s="10" t="s">
        <v>1998</v>
      </c>
      <c r="C71" s="11" t="s">
        <v>2002</v>
      </c>
      <c r="D71" s="10" t="s">
        <v>2003</v>
      </c>
      <c r="E71" s="10" t="s">
        <v>1837</v>
      </c>
    </row>
    <row r="72" customFormat="false" ht="15" hidden="false" customHeight="false" outlineLevel="0" collapsed="false">
      <c r="A72" s="10" t="s">
        <v>2004</v>
      </c>
      <c r="B72" s="10" t="s">
        <v>1998</v>
      </c>
      <c r="C72" s="11" t="s">
        <v>2005</v>
      </c>
      <c r="D72" s="10" t="s">
        <v>2006</v>
      </c>
      <c r="E72" s="10" t="s">
        <v>1837</v>
      </c>
    </row>
    <row r="73" customFormat="false" ht="15" hidden="false" customHeight="false" outlineLevel="0" collapsed="false">
      <c r="A73" s="10" t="s">
        <v>2007</v>
      </c>
      <c r="B73" s="10" t="s">
        <v>1998</v>
      </c>
      <c r="C73" s="11" t="s">
        <v>2008</v>
      </c>
      <c r="D73" s="10" t="s">
        <v>2006</v>
      </c>
      <c r="E73" s="10" t="s">
        <v>1837</v>
      </c>
    </row>
    <row r="74" customFormat="false" ht="15" hidden="false" customHeight="false" outlineLevel="0" collapsed="false">
      <c r="A74" s="10" t="s">
        <v>2009</v>
      </c>
      <c r="B74" s="10" t="s">
        <v>1998</v>
      </c>
      <c r="C74" s="11" t="s">
        <v>2010</v>
      </c>
      <c r="D74" s="10" t="s">
        <v>2006</v>
      </c>
      <c r="E74" s="10" t="s">
        <v>1837</v>
      </c>
    </row>
    <row r="75" customFormat="false" ht="15" hidden="false" customHeight="false" outlineLevel="0" collapsed="false">
      <c r="A75" s="10" t="s">
        <v>2011</v>
      </c>
      <c r="B75" s="10" t="s">
        <v>1998</v>
      </c>
      <c r="C75" s="11" t="s">
        <v>2012</v>
      </c>
      <c r="D75" s="10" t="s">
        <v>348</v>
      </c>
      <c r="E75" s="10" t="s">
        <v>1837</v>
      </c>
    </row>
    <row r="76" customFormat="false" ht="15" hidden="false" customHeight="false" outlineLevel="0" collapsed="false">
      <c r="A76" s="10" t="s">
        <v>2013</v>
      </c>
      <c r="B76" s="10" t="s">
        <v>1998</v>
      </c>
      <c r="C76" s="11" t="s">
        <v>2014</v>
      </c>
      <c r="D76" s="10" t="s">
        <v>398</v>
      </c>
      <c r="E76" s="10" t="s">
        <v>1837</v>
      </c>
    </row>
    <row r="77" customFormat="false" ht="23.85" hidden="false" customHeight="false" outlineLevel="0" collapsed="false">
      <c r="A77" s="10" t="s">
        <v>2015</v>
      </c>
      <c r="B77" s="10" t="s">
        <v>1998</v>
      </c>
      <c r="C77" s="11" t="s">
        <v>2016</v>
      </c>
      <c r="D77" s="10" t="s">
        <v>373</v>
      </c>
      <c r="E77" s="10" t="s">
        <v>1837</v>
      </c>
    </row>
    <row r="78" customFormat="false" ht="15" hidden="false" customHeight="false" outlineLevel="0" collapsed="false">
      <c r="A78" s="10" t="s">
        <v>2017</v>
      </c>
      <c r="B78" s="10" t="s">
        <v>1998</v>
      </c>
      <c r="C78" s="11" t="s">
        <v>2018</v>
      </c>
      <c r="D78" s="10" t="s">
        <v>373</v>
      </c>
      <c r="E78" s="10" t="s">
        <v>1837</v>
      </c>
    </row>
    <row r="79" customFormat="false" ht="15" hidden="false" customHeight="false" outlineLevel="0" collapsed="false">
      <c r="A79" s="10" t="s">
        <v>2019</v>
      </c>
      <c r="B79" s="10" t="s">
        <v>1998</v>
      </c>
      <c r="C79" s="11" t="s">
        <v>2020</v>
      </c>
      <c r="D79" s="10" t="s">
        <v>368</v>
      </c>
      <c r="E79" s="10" t="s">
        <v>1837</v>
      </c>
    </row>
    <row r="80" customFormat="false" ht="15" hidden="false" customHeight="false" outlineLevel="0" collapsed="false">
      <c r="A80" s="10" t="s">
        <v>2021</v>
      </c>
      <c r="B80" s="10" t="s">
        <v>1998</v>
      </c>
      <c r="C80" s="11" t="s">
        <v>2022</v>
      </c>
      <c r="D80" s="10" t="s">
        <v>383</v>
      </c>
      <c r="E80" s="10" t="s">
        <v>1837</v>
      </c>
    </row>
    <row r="81" customFormat="false" ht="15" hidden="false" customHeight="false" outlineLevel="0" collapsed="false">
      <c r="A81" s="10" t="s">
        <v>2023</v>
      </c>
      <c r="B81" s="10" t="s">
        <v>1998</v>
      </c>
      <c r="C81" s="11" t="s">
        <v>2024</v>
      </c>
      <c r="D81" s="10" t="s">
        <v>383</v>
      </c>
      <c r="E81" s="10" t="s">
        <v>1837</v>
      </c>
    </row>
    <row r="82" customFormat="false" ht="15" hidden="false" customHeight="false" outlineLevel="0" collapsed="false">
      <c r="A82" s="10" t="s">
        <v>2025</v>
      </c>
      <c r="B82" s="10" t="s">
        <v>1998</v>
      </c>
      <c r="C82" s="11" t="s">
        <v>2026</v>
      </c>
      <c r="D82" s="10" t="s">
        <v>388</v>
      </c>
      <c r="E82" s="10" t="s">
        <v>1837</v>
      </c>
    </row>
    <row r="83" customFormat="false" ht="15" hidden="false" customHeight="false" outlineLevel="0" collapsed="false">
      <c r="A83" s="10" t="s">
        <v>2027</v>
      </c>
      <c r="B83" s="10" t="s">
        <v>12</v>
      </c>
      <c r="C83" s="11" t="s">
        <v>2028</v>
      </c>
      <c r="D83" s="10" t="s">
        <v>393</v>
      </c>
      <c r="E83" s="10" t="s">
        <v>1837</v>
      </c>
    </row>
    <row r="84" customFormat="false" ht="15" hidden="false" customHeight="false" outlineLevel="0" collapsed="false">
      <c r="A84" s="10" t="s">
        <v>2029</v>
      </c>
      <c r="B84" s="10" t="s">
        <v>2030</v>
      </c>
      <c r="C84" s="11" t="s">
        <v>2031</v>
      </c>
      <c r="D84" s="10" t="s">
        <v>444</v>
      </c>
      <c r="E84" s="10" t="s">
        <v>1837</v>
      </c>
    </row>
    <row r="85" customFormat="false" ht="15" hidden="false" customHeight="false" outlineLevel="0" collapsed="false">
      <c r="A85" s="10" t="s">
        <v>2032</v>
      </c>
      <c r="B85" s="10" t="s">
        <v>2030</v>
      </c>
      <c r="C85" s="11" t="s">
        <v>2033</v>
      </c>
      <c r="D85" s="10" t="s">
        <v>444</v>
      </c>
      <c r="E85" s="10" t="s">
        <v>1837</v>
      </c>
    </row>
    <row r="86" customFormat="false" ht="15" hidden="false" customHeight="false" outlineLevel="0" collapsed="false">
      <c r="A86" s="10" t="s">
        <v>2034</v>
      </c>
      <c r="B86" s="10" t="s">
        <v>2030</v>
      </c>
      <c r="C86" s="11" t="s">
        <v>2035</v>
      </c>
      <c r="D86" s="10" t="s">
        <v>444</v>
      </c>
      <c r="E86" s="10" t="s">
        <v>1849</v>
      </c>
    </row>
    <row r="87" customFormat="false" ht="15" hidden="false" customHeight="false" outlineLevel="0" collapsed="false">
      <c r="A87" s="10" t="s">
        <v>2036</v>
      </c>
      <c r="B87" s="10" t="s">
        <v>2030</v>
      </c>
      <c r="C87" s="11" t="s">
        <v>2037</v>
      </c>
      <c r="D87" s="10" t="s">
        <v>449</v>
      </c>
      <c r="E87" s="10" t="s">
        <v>1837</v>
      </c>
    </row>
    <row r="88" customFormat="false" ht="15" hidden="false" customHeight="false" outlineLevel="0" collapsed="false">
      <c r="A88" s="10" t="s">
        <v>2038</v>
      </c>
      <c r="B88" s="10" t="s">
        <v>2030</v>
      </c>
      <c r="C88" s="11" t="s">
        <v>2039</v>
      </c>
      <c r="D88" s="10" t="s">
        <v>2040</v>
      </c>
      <c r="E88" s="10" t="s">
        <v>1837</v>
      </c>
    </row>
    <row r="89" customFormat="false" ht="15" hidden="false" customHeight="false" outlineLevel="0" collapsed="false">
      <c r="A89" s="10" t="s">
        <v>2041</v>
      </c>
      <c r="B89" s="10" t="s">
        <v>2030</v>
      </c>
      <c r="C89" s="11" t="s">
        <v>2042</v>
      </c>
      <c r="D89" s="10" t="s">
        <v>454</v>
      </c>
      <c r="E89" s="10" t="s">
        <v>1837</v>
      </c>
    </row>
    <row r="90" customFormat="false" ht="15" hidden="false" customHeight="false" outlineLevel="0" collapsed="false">
      <c r="A90" s="10" t="s">
        <v>2043</v>
      </c>
      <c r="B90" s="10" t="s">
        <v>2030</v>
      </c>
      <c r="C90" s="11" t="s">
        <v>2044</v>
      </c>
      <c r="D90" s="10" t="s">
        <v>459</v>
      </c>
      <c r="E90" s="10" t="s">
        <v>1837</v>
      </c>
    </row>
    <row r="91" customFormat="false" ht="15" hidden="false" customHeight="false" outlineLevel="0" collapsed="false">
      <c r="A91" s="10" t="s">
        <v>2045</v>
      </c>
      <c r="B91" s="10" t="s">
        <v>2030</v>
      </c>
      <c r="C91" s="11" t="s">
        <v>2046</v>
      </c>
      <c r="D91" s="10" t="s">
        <v>464</v>
      </c>
      <c r="E91" s="10" t="s">
        <v>1837</v>
      </c>
    </row>
    <row r="92" customFormat="false" ht="23.85" hidden="false" customHeight="false" outlineLevel="0" collapsed="false">
      <c r="A92" s="10" t="s">
        <v>2047</v>
      </c>
      <c r="B92" s="10" t="s">
        <v>12</v>
      </c>
      <c r="C92" s="11" t="s">
        <v>2048</v>
      </c>
      <c r="D92" s="10" t="s">
        <v>474</v>
      </c>
      <c r="E92" s="10" t="s">
        <v>1837</v>
      </c>
    </row>
    <row r="93" customFormat="false" ht="15" hidden="false" customHeight="false" outlineLevel="0" collapsed="false">
      <c r="A93" s="10" t="s">
        <v>2049</v>
      </c>
      <c r="B93" s="10" t="s">
        <v>8</v>
      </c>
      <c r="C93" s="11" t="s">
        <v>2050</v>
      </c>
      <c r="D93" s="10" t="s">
        <v>444</v>
      </c>
      <c r="E93" s="10" t="s">
        <v>1837</v>
      </c>
    </row>
    <row r="94" customFormat="false" ht="15" hidden="false" customHeight="false" outlineLevel="0" collapsed="false">
      <c r="A94" s="10" t="s">
        <v>2051</v>
      </c>
      <c r="B94" s="10" t="s">
        <v>8</v>
      </c>
      <c r="C94" s="11" t="s">
        <v>2052</v>
      </c>
      <c r="D94" s="10" t="s">
        <v>474</v>
      </c>
      <c r="E94" s="10" t="s">
        <v>1849</v>
      </c>
    </row>
    <row r="95" customFormat="false" ht="23.85" hidden="false" customHeight="false" outlineLevel="0" collapsed="false">
      <c r="A95" s="10" t="s">
        <v>2053</v>
      </c>
      <c r="B95" s="10" t="s">
        <v>2054</v>
      </c>
      <c r="C95" s="11" t="s">
        <v>2055</v>
      </c>
      <c r="D95" s="10" t="s">
        <v>479</v>
      </c>
      <c r="E95" s="10" t="s">
        <v>1837</v>
      </c>
    </row>
    <row r="96" customFormat="false" ht="15" hidden="false" customHeight="false" outlineLevel="0" collapsed="false">
      <c r="A96" s="10" t="s">
        <v>2056</v>
      </c>
      <c r="B96" s="10" t="s">
        <v>2054</v>
      </c>
      <c r="C96" s="11" t="s">
        <v>2057</v>
      </c>
      <c r="D96" s="10" t="s">
        <v>479</v>
      </c>
      <c r="E96" s="10" t="s">
        <v>1837</v>
      </c>
    </row>
    <row r="97" customFormat="false" ht="15" hidden="false" customHeight="false" outlineLevel="0" collapsed="false">
      <c r="A97" s="10" t="s">
        <v>2058</v>
      </c>
      <c r="B97" s="10" t="s">
        <v>2059</v>
      </c>
      <c r="C97" s="11" t="s">
        <v>2060</v>
      </c>
      <c r="D97" s="10" t="s">
        <v>2061</v>
      </c>
      <c r="E97" s="10" t="s">
        <v>1837</v>
      </c>
    </row>
    <row r="98" customFormat="false" ht="15" hidden="false" customHeight="false" outlineLevel="0" collapsed="false">
      <c r="A98" s="10" t="s">
        <v>2062</v>
      </c>
      <c r="B98" s="10" t="s">
        <v>2059</v>
      </c>
      <c r="C98" s="11" t="s">
        <v>2063</v>
      </c>
      <c r="D98" s="10" t="s">
        <v>505</v>
      </c>
      <c r="E98" s="10" t="s">
        <v>1837</v>
      </c>
    </row>
    <row r="99" customFormat="false" ht="23.85" hidden="false" customHeight="false" outlineLevel="0" collapsed="false">
      <c r="A99" s="10" t="s">
        <v>2064</v>
      </c>
      <c r="B99" s="10" t="s">
        <v>2054</v>
      </c>
      <c r="C99" s="11" t="s">
        <v>2065</v>
      </c>
      <c r="D99" s="10" t="s">
        <v>490</v>
      </c>
      <c r="E99" s="10" t="s">
        <v>1837</v>
      </c>
    </row>
    <row r="100" customFormat="false" ht="23.85" hidden="false" customHeight="false" outlineLevel="0" collapsed="false">
      <c r="A100" s="10" t="s">
        <v>2066</v>
      </c>
      <c r="B100" s="10" t="s">
        <v>2067</v>
      </c>
      <c r="C100" s="11" t="s">
        <v>2068</v>
      </c>
      <c r="D100" s="10" t="s">
        <v>495</v>
      </c>
      <c r="E100" s="10" t="s">
        <v>1837</v>
      </c>
    </row>
    <row r="101" customFormat="false" ht="15" hidden="false" customHeight="false" outlineLevel="0" collapsed="false">
      <c r="A101" s="10" t="s">
        <v>2069</v>
      </c>
      <c r="B101" s="10" t="s">
        <v>2067</v>
      </c>
      <c r="C101" s="11" t="s">
        <v>2070</v>
      </c>
      <c r="D101" s="10" t="s">
        <v>500</v>
      </c>
      <c r="E101" s="10" t="s">
        <v>1837</v>
      </c>
    </row>
    <row r="102" customFormat="false" ht="15" hidden="false" customHeight="false" outlineLevel="0" collapsed="false">
      <c r="A102" s="10" t="s">
        <v>2071</v>
      </c>
      <c r="B102" s="10" t="s">
        <v>2054</v>
      </c>
      <c r="C102" s="11" t="s">
        <v>2072</v>
      </c>
      <c r="D102" s="10" t="s">
        <v>485</v>
      </c>
      <c r="E102" s="10" t="s">
        <v>1837</v>
      </c>
    </row>
    <row r="103" customFormat="false" ht="15" hidden="false" customHeight="false" outlineLevel="0" collapsed="false">
      <c r="A103" s="10" t="s">
        <v>2073</v>
      </c>
      <c r="B103" s="10" t="s">
        <v>2074</v>
      </c>
      <c r="C103" s="11" t="s">
        <v>2075</v>
      </c>
      <c r="D103" s="10" t="s">
        <v>2076</v>
      </c>
      <c r="E103" s="10" t="s">
        <v>1837</v>
      </c>
    </row>
    <row r="104" customFormat="false" ht="15" hidden="false" customHeight="false" outlineLevel="0" collapsed="false">
      <c r="A104" s="10" t="s">
        <v>2077</v>
      </c>
      <c r="B104" s="10" t="s">
        <v>2074</v>
      </c>
      <c r="C104" s="11" t="s">
        <v>2078</v>
      </c>
      <c r="D104" s="10" t="s">
        <v>510</v>
      </c>
      <c r="E104" s="10" t="s">
        <v>1837</v>
      </c>
    </row>
    <row r="105" customFormat="false" ht="15" hidden="false" customHeight="false" outlineLevel="0" collapsed="false">
      <c r="A105" s="10" t="s">
        <v>2079</v>
      </c>
      <c r="B105" s="10" t="s">
        <v>2074</v>
      </c>
      <c r="C105" s="11" t="s">
        <v>2080</v>
      </c>
      <c r="D105" s="10" t="s">
        <v>510</v>
      </c>
      <c r="E105" s="10" t="s">
        <v>1837</v>
      </c>
    </row>
    <row r="106" customFormat="false" ht="15" hidden="false" customHeight="false" outlineLevel="0" collapsed="false">
      <c r="A106" s="10" t="s">
        <v>2081</v>
      </c>
      <c r="B106" s="10" t="s">
        <v>2074</v>
      </c>
      <c r="C106" s="11" t="s">
        <v>2082</v>
      </c>
      <c r="D106" s="10" t="s">
        <v>521</v>
      </c>
      <c r="E106" s="10" t="s">
        <v>1837</v>
      </c>
    </row>
    <row r="107" customFormat="false" ht="15" hidden="false" customHeight="false" outlineLevel="0" collapsed="false">
      <c r="A107" s="10" t="s">
        <v>2083</v>
      </c>
      <c r="B107" s="10" t="s">
        <v>2074</v>
      </c>
      <c r="C107" s="11" t="s">
        <v>2084</v>
      </c>
      <c r="D107" s="10" t="s">
        <v>531</v>
      </c>
      <c r="E107" s="10" t="s">
        <v>1837</v>
      </c>
    </row>
    <row r="108" customFormat="false" ht="15" hidden="false" customHeight="false" outlineLevel="0" collapsed="false">
      <c r="A108" s="10" t="s">
        <v>2085</v>
      </c>
      <c r="B108" s="10" t="s">
        <v>2074</v>
      </c>
      <c r="C108" s="11" t="s">
        <v>2086</v>
      </c>
      <c r="D108" s="10" t="s">
        <v>516</v>
      </c>
      <c r="E108" s="10" t="s">
        <v>1837</v>
      </c>
    </row>
    <row r="109" customFormat="false" ht="15" hidden="false" customHeight="false" outlineLevel="0" collapsed="false">
      <c r="A109" s="10" t="s">
        <v>2087</v>
      </c>
      <c r="B109" s="10" t="s">
        <v>2074</v>
      </c>
      <c r="C109" s="11" t="s">
        <v>2088</v>
      </c>
      <c r="D109" s="10" t="s">
        <v>536</v>
      </c>
      <c r="E109" s="10" t="s">
        <v>1837</v>
      </c>
    </row>
    <row r="110" customFormat="false" ht="15" hidden="false" customHeight="false" outlineLevel="0" collapsed="false">
      <c r="A110" s="10" t="s">
        <v>2089</v>
      </c>
      <c r="B110" s="10" t="s">
        <v>2090</v>
      </c>
      <c r="C110" s="11" t="s">
        <v>2091</v>
      </c>
      <c r="D110" s="10" t="s">
        <v>2092</v>
      </c>
      <c r="E110" s="10" t="s">
        <v>1837</v>
      </c>
    </row>
    <row r="111" customFormat="false" ht="15" hidden="false" customHeight="false" outlineLevel="0" collapsed="false">
      <c r="A111" s="10" t="s">
        <v>2093</v>
      </c>
      <c r="B111" s="10" t="s">
        <v>2090</v>
      </c>
      <c r="C111" s="11" t="s">
        <v>2094</v>
      </c>
      <c r="D111" s="10" t="s">
        <v>2095</v>
      </c>
      <c r="E111" s="10" t="s">
        <v>1837</v>
      </c>
    </row>
    <row r="112" customFormat="false" ht="23.85" hidden="false" customHeight="false" outlineLevel="0" collapsed="false">
      <c r="A112" s="10" t="s">
        <v>2096</v>
      </c>
      <c r="B112" s="10" t="s">
        <v>2090</v>
      </c>
      <c r="C112" s="11" t="s">
        <v>2097</v>
      </c>
      <c r="D112" s="10" t="s">
        <v>552</v>
      </c>
      <c r="E112" s="10" t="s">
        <v>1837</v>
      </c>
    </row>
    <row r="113" customFormat="false" ht="15" hidden="false" customHeight="false" outlineLevel="0" collapsed="false">
      <c r="A113" s="10" t="s">
        <v>2098</v>
      </c>
      <c r="B113" s="10" t="s">
        <v>2090</v>
      </c>
      <c r="C113" s="11" t="s">
        <v>2099</v>
      </c>
      <c r="D113" s="10" t="s">
        <v>572</v>
      </c>
      <c r="E113" s="10" t="s">
        <v>1837</v>
      </c>
    </row>
    <row r="114" customFormat="false" ht="15" hidden="false" customHeight="false" outlineLevel="0" collapsed="false">
      <c r="A114" s="10" t="s">
        <v>2100</v>
      </c>
      <c r="B114" s="10" t="s">
        <v>2090</v>
      </c>
      <c r="C114" s="11" t="s">
        <v>2101</v>
      </c>
      <c r="D114" s="10" t="s">
        <v>2102</v>
      </c>
      <c r="E114" s="10" t="s">
        <v>1837</v>
      </c>
    </row>
    <row r="115" customFormat="false" ht="15" hidden="false" customHeight="false" outlineLevel="0" collapsed="false">
      <c r="A115" s="10" t="s">
        <v>2103</v>
      </c>
      <c r="B115" s="10" t="s">
        <v>2090</v>
      </c>
      <c r="C115" s="11" t="s">
        <v>2104</v>
      </c>
      <c r="D115" s="10" t="s">
        <v>562</v>
      </c>
      <c r="E115" s="10" t="s">
        <v>1837</v>
      </c>
    </row>
    <row r="116" customFormat="false" ht="15" hidden="false" customHeight="false" outlineLevel="0" collapsed="false">
      <c r="A116" s="10" t="s">
        <v>2105</v>
      </c>
      <c r="B116" s="10" t="s">
        <v>2090</v>
      </c>
      <c r="C116" s="11" t="s">
        <v>2106</v>
      </c>
      <c r="D116" s="10" t="s">
        <v>567</v>
      </c>
      <c r="E116" s="10" t="s">
        <v>1837</v>
      </c>
    </row>
    <row r="117" customFormat="false" ht="23.85" hidden="false" customHeight="false" outlineLevel="0" collapsed="false">
      <c r="A117" s="10" t="s">
        <v>2107</v>
      </c>
      <c r="B117" s="10" t="s">
        <v>2090</v>
      </c>
      <c r="C117" s="11" t="s">
        <v>2108</v>
      </c>
      <c r="D117" s="10" t="s">
        <v>577</v>
      </c>
      <c r="E117" s="10" t="s">
        <v>1837</v>
      </c>
    </row>
    <row r="118" customFormat="false" ht="23.85" hidden="false" customHeight="false" outlineLevel="0" collapsed="false">
      <c r="A118" s="10" t="s">
        <v>2109</v>
      </c>
      <c r="B118" s="10" t="s">
        <v>2090</v>
      </c>
      <c r="C118" s="11" t="s">
        <v>2110</v>
      </c>
      <c r="D118" s="10" t="s">
        <v>582</v>
      </c>
      <c r="E118" s="10" t="s">
        <v>1837</v>
      </c>
    </row>
    <row r="119" customFormat="false" ht="15" hidden="false" customHeight="false" outlineLevel="0" collapsed="false">
      <c r="A119" s="10" t="s">
        <v>2111</v>
      </c>
      <c r="B119" s="10" t="s">
        <v>2112</v>
      </c>
      <c r="C119" s="11" t="s">
        <v>2113</v>
      </c>
      <c r="D119" s="10" t="s">
        <v>857</v>
      </c>
      <c r="E119" s="10" t="s">
        <v>1837</v>
      </c>
    </row>
    <row r="120" customFormat="false" ht="23.85" hidden="false" customHeight="false" outlineLevel="0" collapsed="false">
      <c r="A120" s="10" t="s">
        <v>2114</v>
      </c>
      <c r="B120" s="10" t="s">
        <v>2112</v>
      </c>
      <c r="C120" s="11" t="s">
        <v>2115</v>
      </c>
      <c r="D120" s="10" t="s">
        <v>836</v>
      </c>
      <c r="E120" s="10" t="s">
        <v>1837</v>
      </c>
    </row>
    <row r="121" customFormat="false" ht="15" hidden="false" customHeight="false" outlineLevel="0" collapsed="false">
      <c r="A121" s="10" t="s">
        <v>2116</v>
      </c>
      <c r="B121" s="10" t="s">
        <v>2112</v>
      </c>
      <c r="C121" s="11" t="s">
        <v>2117</v>
      </c>
      <c r="D121" s="10" t="s">
        <v>2118</v>
      </c>
      <c r="E121" s="10" t="s">
        <v>1837</v>
      </c>
    </row>
    <row r="122" customFormat="false" ht="23.85" hidden="false" customHeight="false" outlineLevel="0" collapsed="false">
      <c r="A122" s="10" t="s">
        <v>2119</v>
      </c>
      <c r="B122" s="10" t="s">
        <v>2112</v>
      </c>
      <c r="C122" s="11" t="s">
        <v>2120</v>
      </c>
      <c r="D122" s="10" t="s">
        <v>2121</v>
      </c>
      <c r="E122" s="10" t="s">
        <v>1837</v>
      </c>
    </row>
    <row r="123" customFormat="false" ht="15" hidden="false" customHeight="false" outlineLevel="0" collapsed="false">
      <c r="A123" s="10" t="s">
        <v>2122</v>
      </c>
      <c r="B123" s="10" t="s">
        <v>2112</v>
      </c>
      <c r="C123" s="11" t="s">
        <v>2123</v>
      </c>
      <c r="D123" s="10" t="s">
        <v>836</v>
      </c>
      <c r="E123" s="10" t="s">
        <v>1837</v>
      </c>
    </row>
    <row r="124" customFormat="false" ht="15" hidden="false" customHeight="false" outlineLevel="0" collapsed="false">
      <c r="A124" s="10" t="s">
        <v>2124</v>
      </c>
      <c r="B124" s="10" t="s">
        <v>2112</v>
      </c>
      <c r="C124" s="11" t="s">
        <v>2125</v>
      </c>
      <c r="D124" s="10" t="s">
        <v>836</v>
      </c>
      <c r="E124" s="10" t="s">
        <v>1837</v>
      </c>
    </row>
    <row r="125" customFormat="false" ht="15" hidden="false" customHeight="false" outlineLevel="0" collapsed="false">
      <c r="A125" s="10" t="s">
        <v>2126</v>
      </c>
      <c r="B125" s="10" t="s">
        <v>2112</v>
      </c>
      <c r="C125" s="11" t="s">
        <v>2127</v>
      </c>
      <c r="D125" s="10" t="s">
        <v>857</v>
      </c>
      <c r="E125" s="10" t="s">
        <v>1837</v>
      </c>
    </row>
    <row r="126" customFormat="false" ht="15" hidden="false" customHeight="false" outlineLevel="0" collapsed="false">
      <c r="A126" s="10" t="s">
        <v>2128</v>
      </c>
      <c r="B126" s="10" t="s">
        <v>12</v>
      </c>
      <c r="C126" s="11" t="s">
        <v>2129</v>
      </c>
      <c r="D126" s="10" t="s">
        <v>836</v>
      </c>
      <c r="E126" s="10" t="s">
        <v>1837</v>
      </c>
    </row>
    <row r="127" customFormat="false" ht="15" hidden="false" customHeight="false" outlineLevel="0" collapsed="false">
      <c r="A127" s="10" t="s">
        <v>2130</v>
      </c>
      <c r="B127" s="10" t="s">
        <v>2131</v>
      </c>
      <c r="C127" s="11" t="s">
        <v>2132</v>
      </c>
      <c r="D127" s="10" t="s">
        <v>781</v>
      </c>
      <c r="E127" s="10" t="s">
        <v>1837</v>
      </c>
    </row>
    <row r="128" customFormat="false" ht="15" hidden="false" customHeight="false" outlineLevel="0" collapsed="false">
      <c r="A128" s="10" t="s">
        <v>2133</v>
      </c>
      <c r="B128" s="10" t="s">
        <v>2131</v>
      </c>
      <c r="C128" s="11" t="s">
        <v>2134</v>
      </c>
      <c r="D128" s="10" t="s">
        <v>781</v>
      </c>
      <c r="E128" s="10" t="s">
        <v>1837</v>
      </c>
    </row>
    <row r="129" customFormat="false" ht="15" hidden="false" customHeight="false" outlineLevel="0" collapsed="false">
      <c r="A129" s="10" t="s">
        <v>2135</v>
      </c>
      <c r="B129" s="10" t="s">
        <v>2131</v>
      </c>
      <c r="C129" s="11" t="s">
        <v>2136</v>
      </c>
      <c r="D129" s="10" t="s">
        <v>745</v>
      </c>
      <c r="E129" s="10" t="s">
        <v>1837</v>
      </c>
    </row>
    <row r="130" customFormat="false" ht="15" hidden="false" customHeight="false" outlineLevel="0" collapsed="false">
      <c r="A130" s="10" t="s">
        <v>2137</v>
      </c>
      <c r="B130" s="10" t="s">
        <v>2138</v>
      </c>
      <c r="C130" s="11" t="s">
        <v>2139</v>
      </c>
      <c r="D130" s="10" t="s">
        <v>745</v>
      </c>
      <c r="E130" s="10" t="s">
        <v>1837</v>
      </c>
    </row>
    <row r="131" customFormat="false" ht="15" hidden="false" customHeight="false" outlineLevel="0" collapsed="false">
      <c r="A131" s="10" t="s">
        <v>2140</v>
      </c>
      <c r="B131" s="10" t="s">
        <v>2138</v>
      </c>
      <c r="C131" s="11" t="s">
        <v>2141</v>
      </c>
      <c r="D131" s="10" t="s">
        <v>771</v>
      </c>
      <c r="E131" s="10" t="s">
        <v>1837</v>
      </c>
    </row>
    <row r="132" customFormat="false" ht="15" hidden="false" customHeight="false" outlineLevel="0" collapsed="false">
      <c r="A132" s="10" t="s">
        <v>2142</v>
      </c>
      <c r="B132" s="10" t="s">
        <v>2143</v>
      </c>
      <c r="C132" s="11" t="s">
        <v>2144</v>
      </c>
      <c r="D132" s="10" t="s">
        <v>2145</v>
      </c>
      <c r="E132" s="10" t="s">
        <v>1837</v>
      </c>
    </row>
    <row r="133" customFormat="false" ht="23.85" hidden="false" customHeight="false" outlineLevel="0" collapsed="false">
      <c r="A133" s="10" t="s">
        <v>2146</v>
      </c>
      <c r="B133" s="10" t="s">
        <v>2143</v>
      </c>
      <c r="C133" s="11" t="s">
        <v>2147</v>
      </c>
      <c r="D133" s="10" t="s">
        <v>745</v>
      </c>
      <c r="E133" s="10" t="s">
        <v>1837</v>
      </c>
    </row>
    <row r="134" customFormat="false" ht="15" hidden="false" customHeight="false" outlineLevel="0" collapsed="false">
      <c r="A134" s="10" t="s">
        <v>2148</v>
      </c>
      <c r="B134" s="10" t="s">
        <v>2143</v>
      </c>
      <c r="C134" s="11" t="s">
        <v>2149</v>
      </c>
      <c r="D134" s="10" t="s">
        <v>761</v>
      </c>
      <c r="E134" s="10" t="s">
        <v>1837</v>
      </c>
    </row>
    <row r="135" customFormat="false" ht="15" hidden="false" customHeight="false" outlineLevel="0" collapsed="false">
      <c r="A135" s="10" t="s">
        <v>2150</v>
      </c>
      <c r="B135" s="10" t="s">
        <v>2143</v>
      </c>
      <c r="C135" s="11" t="s">
        <v>2151</v>
      </c>
      <c r="D135" s="10" t="s">
        <v>766</v>
      </c>
      <c r="E135" s="10" t="s">
        <v>1837</v>
      </c>
    </row>
    <row r="136" customFormat="false" ht="15" hidden="false" customHeight="false" outlineLevel="0" collapsed="false">
      <c r="A136" s="10" t="s">
        <v>2152</v>
      </c>
      <c r="B136" s="10" t="s">
        <v>2153</v>
      </c>
      <c r="C136" s="11" t="s">
        <v>2154</v>
      </c>
      <c r="D136" s="10" t="s">
        <v>826</v>
      </c>
      <c r="E136" s="10" t="s">
        <v>1837</v>
      </c>
    </row>
    <row r="137" customFormat="false" ht="15" hidden="false" customHeight="false" outlineLevel="0" collapsed="false">
      <c r="A137" s="10" t="s">
        <v>2155</v>
      </c>
      <c r="B137" s="10" t="s">
        <v>2153</v>
      </c>
      <c r="C137" s="11" t="s">
        <v>2156</v>
      </c>
      <c r="D137" s="10" t="s">
        <v>831</v>
      </c>
      <c r="E137" s="10" t="s">
        <v>1837</v>
      </c>
    </row>
    <row r="138" customFormat="false" ht="15" hidden="false" customHeight="false" outlineLevel="0" collapsed="false">
      <c r="A138" s="10" t="s">
        <v>2157</v>
      </c>
      <c r="B138" s="10" t="s">
        <v>2158</v>
      </c>
      <c r="C138" s="11" t="s">
        <v>2159</v>
      </c>
      <c r="D138" s="10" t="s">
        <v>816</v>
      </c>
      <c r="E138" s="10" t="s">
        <v>1837</v>
      </c>
    </row>
    <row r="139" customFormat="false" ht="15" hidden="false" customHeight="false" outlineLevel="0" collapsed="false">
      <c r="A139" s="10" t="s">
        <v>2160</v>
      </c>
      <c r="B139" s="10" t="s">
        <v>2158</v>
      </c>
      <c r="C139" s="11" t="s">
        <v>2161</v>
      </c>
      <c r="D139" s="10" t="s">
        <v>816</v>
      </c>
      <c r="E139" s="10" t="s">
        <v>1837</v>
      </c>
    </row>
    <row r="140" customFormat="false" ht="15" hidden="false" customHeight="false" outlineLevel="0" collapsed="false">
      <c r="A140" s="10" t="s">
        <v>2162</v>
      </c>
      <c r="B140" s="10" t="s">
        <v>2158</v>
      </c>
      <c r="C140" s="11" t="s">
        <v>2163</v>
      </c>
      <c r="D140" s="10" t="s">
        <v>816</v>
      </c>
      <c r="E140" s="10" t="s">
        <v>1849</v>
      </c>
    </row>
    <row r="141" customFormat="false" ht="15" hidden="false" customHeight="false" outlineLevel="0" collapsed="false">
      <c r="A141" s="10" t="s">
        <v>2164</v>
      </c>
      <c r="B141" s="10" t="s">
        <v>2165</v>
      </c>
      <c r="C141" s="11" t="s">
        <v>2166</v>
      </c>
      <c r="D141" s="10" t="s">
        <v>786</v>
      </c>
      <c r="E141" s="10" t="s">
        <v>1837</v>
      </c>
    </row>
    <row r="142" customFormat="false" ht="15" hidden="false" customHeight="false" outlineLevel="0" collapsed="false">
      <c r="A142" s="10" t="s">
        <v>2167</v>
      </c>
      <c r="B142" s="10" t="s">
        <v>2165</v>
      </c>
      <c r="C142" s="11" t="s">
        <v>2168</v>
      </c>
      <c r="D142" s="10" t="s">
        <v>791</v>
      </c>
      <c r="E142" s="10" t="s">
        <v>1837</v>
      </c>
    </row>
    <row r="143" customFormat="false" ht="15" hidden="false" customHeight="false" outlineLevel="0" collapsed="false">
      <c r="A143" s="10" t="s">
        <v>2169</v>
      </c>
      <c r="B143" s="10" t="s">
        <v>2165</v>
      </c>
      <c r="C143" s="11" t="s">
        <v>2170</v>
      </c>
      <c r="D143" s="10" t="s">
        <v>2171</v>
      </c>
      <c r="E143" s="10" t="s">
        <v>1837</v>
      </c>
    </row>
    <row r="144" customFormat="false" ht="15" hidden="false" customHeight="false" outlineLevel="0" collapsed="false">
      <c r="A144" s="10" t="s">
        <v>2172</v>
      </c>
      <c r="B144" s="10" t="s">
        <v>2165</v>
      </c>
      <c r="C144" s="11" t="s">
        <v>2173</v>
      </c>
      <c r="D144" s="10" t="s">
        <v>811</v>
      </c>
      <c r="E144" s="10" t="s">
        <v>1837</v>
      </c>
    </row>
    <row r="145" customFormat="false" ht="15" hidden="false" customHeight="false" outlineLevel="0" collapsed="false">
      <c r="A145" s="10" t="s">
        <v>2174</v>
      </c>
      <c r="B145" s="10" t="s">
        <v>2165</v>
      </c>
      <c r="C145" s="11" t="s">
        <v>2175</v>
      </c>
      <c r="D145" s="10" t="s">
        <v>2176</v>
      </c>
      <c r="E145" s="10" t="s">
        <v>1837</v>
      </c>
    </row>
    <row r="146" customFormat="false" ht="15" hidden="false" customHeight="false" outlineLevel="0" collapsed="false">
      <c r="A146" s="10" t="s">
        <v>2177</v>
      </c>
      <c r="B146" s="10" t="s">
        <v>2178</v>
      </c>
      <c r="C146" s="11" t="s">
        <v>2179</v>
      </c>
      <c r="D146" s="10" t="s">
        <v>2180</v>
      </c>
      <c r="E146" s="10" t="s">
        <v>1837</v>
      </c>
    </row>
    <row r="147" customFormat="false" ht="15" hidden="false" customHeight="false" outlineLevel="0" collapsed="false">
      <c r="A147" s="10" t="s">
        <v>2181</v>
      </c>
      <c r="B147" s="10" t="s">
        <v>2178</v>
      </c>
      <c r="C147" s="11" t="s">
        <v>2182</v>
      </c>
      <c r="D147" s="10" t="s">
        <v>694</v>
      </c>
      <c r="E147" s="10" t="s">
        <v>1837</v>
      </c>
    </row>
    <row r="148" customFormat="false" ht="23.85" hidden="false" customHeight="false" outlineLevel="0" collapsed="false">
      <c r="A148" s="10" t="s">
        <v>2183</v>
      </c>
      <c r="B148" s="10" t="s">
        <v>2178</v>
      </c>
      <c r="C148" s="11" t="s">
        <v>2184</v>
      </c>
      <c r="D148" s="10" t="s">
        <v>704</v>
      </c>
      <c r="E148" s="10" t="s">
        <v>1837</v>
      </c>
    </row>
    <row r="149" customFormat="false" ht="15" hidden="false" customHeight="false" outlineLevel="0" collapsed="false">
      <c r="A149" s="10" t="s">
        <v>2185</v>
      </c>
      <c r="B149" s="10" t="s">
        <v>2178</v>
      </c>
      <c r="C149" s="11" t="s">
        <v>2186</v>
      </c>
      <c r="D149" s="10" t="s">
        <v>689</v>
      </c>
      <c r="E149" s="10" t="s">
        <v>1837</v>
      </c>
    </row>
    <row r="150" customFormat="false" ht="23.85" hidden="false" customHeight="false" outlineLevel="0" collapsed="false">
      <c r="A150" s="10" t="s">
        <v>2187</v>
      </c>
      <c r="B150" s="10" t="s">
        <v>2178</v>
      </c>
      <c r="C150" s="11" t="s">
        <v>2188</v>
      </c>
      <c r="D150" s="10" t="s">
        <v>699</v>
      </c>
      <c r="E150" s="10" t="s">
        <v>1837</v>
      </c>
    </row>
    <row r="151" customFormat="false" ht="15" hidden="false" customHeight="false" outlineLevel="0" collapsed="false">
      <c r="A151" s="10" t="s">
        <v>2189</v>
      </c>
      <c r="B151" s="10" t="s">
        <v>2178</v>
      </c>
      <c r="C151" s="11" t="s">
        <v>2190</v>
      </c>
      <c r="D151" s="10" t="s">
        <v>684</v>
      </c>
      <c r="E151" s="10" t="s">
        <v>1837</v>
      </c>
    </row>
    <row r="152" customFormat="false" ht="15" hidden="false" customHeight="false" outlineLevel="0" collapsed="false">
      <c r="A152" s="10" t="s">
        <v>2191</v>
      </c>
      <c r="B152" s="10" t="s">
        <v>2192</v>
      </c>
      <c r="C152" s="11" t="s">
        <v>2193</v>
      </c>
      <c r="D152" s="10" t="s">
        <v>735</v>
      </c>
      <c r="E152" s="10" t="s">
        <v>1837</v>
      </c>
    </row>
    <row r="153" customFormat="false" ht="15" hidden="false" customHeight="false" outlineLevel="0" collapsed="false">
      <c r="A153" s="10" t="s">
        <v>2194</v>
      </c>
      <c r="B153" s="10" t="s">
        <v>2192</v>
      </c>
      <c r="C153" s="11" t="s">
        <v>2195</v>
      </c>
      <c r="D153" s="10" t="s">
        <v>735</v>
      </c>
      <c r="E153" s="10" t="s">
        <v>1837</v>
      </c>
    </row>
    <row r="154" customFormat="false" ht="15" hidden="false" customHeight="false" outlineLevel="0" collapsed="false">
      <c r="A154" s="10" t="s">
        <v>2196</v>
      </c>
      <c r="B154" s="10" t="s">
        <v>2192</v>
      </c>
      <c r="C154" s="11" t="s">
        <v>2197</v>
      </c>
      <c r="D154" s="10" t="s">
        <v>2198</v>
      </c>
      <c r="E154" s="10" t="s">
        <v>1837</v>
      </c>
    </row>
    <row r="155" customFormat="false" ht="23.85" hidden="false" customHeight="false" outlineLevel="0" collapsed="false">
      <c r="A155" s="10" t="s">
        <v>2199</v>
      </c>
      <c r="B155" s="10" t="s">
        <v>2192</v>
      </c>
      <c r="C155" s="11" t="s">
        <v>2200</v>
      </c>
      <c r="D155" s="10" t="s">
        <v>2201</v>
      </c>
      <c r="E155" s="10" t="s">
        <v>1837</v>
      </c>
    </row>
    <row r="156" customFormat="false" ht="15" hidden="false" customHeight="false" outlineLevel="0" collapsed="false">
      <c r="A156" s="10" t="s">
        <v>2202</v>
      </c>
      <c r="B156" s="10" t="s">
        <v>2192</v>
      </c>
      <c r="C156" s="11" t="s">
        <v>2203</v>
      </c>
      <c r="D156" s="10" t="s">
        <v>730</v>
      </c>
      <c r="E156" s="10" t="s">
        <v>1837</v>
      </c>
    </row>
    <row r="157" customFormat="false" ht="15" hidden="false" customHeight="false" outlineLevel="0" collapsed="false">
      <c r="A157" s="10" t="s">
        <v>2204</v>
      </c>
      <c r="B157" s="10" t="s">
        <v>2192</v>
      </c>
      <c r="C157" s="11" t="s">
        <v>2205</v>
      </c>
      <c r="D157" s="10" t="s">
        <v>2206</v>
      </c>
      <c r="E157" s="10" t="s">
        <v>1837</v>
      </c>
    </row>
    <row r="158" customFormat="false" ht="23.85" hidden="false" customHeight="false" outlineLevel="0" collapsed="false">
      <c r="A158" s="10" t="s">
        <v>2207</v>
      </c>
      <c r="B158" s="10" t="s">
        <v>2208</v>
      </c>
      <c r="C158" s="11" t="s">
        <v>2209</v>
      </c>
      <c r="D158" s="10" t="s">
        <v>607</v>
      </c>
      <c r="E158" s="10" t="s">
        <v>1837</v>
      </c>
    </row>
    <row r="159" customFormat="false" ht="15" hidden="false" customHeight="false" outlineLevel="0" collapsed="false">
      <c r="A159" s="10" t="s">
        <v>2210</v>
      </c>
      <c r="B159" s="10" t="s">
        <v>2208</v>
      </c>
      <c r="C159" s="11" t="s">
        <v>2211</v>
      </c>
      <c r="D159" s="10" t="s">
        <v>607</v>
      </c>
      <c r="E159" s="10" t="s">
        <v>1837</v>
      </c>
    </row>
    <row r="160" customFormat="false" ht="15" hidden="false" customHeight="false" outlineLevel="0" collapsed="false">
      <c r="A160" s="10" t="s">
        <v>2212</v>
      </c>
      <c r="B160" s="10" t="s">
        <v>2208</v>
      </c>
      <c r="C160" s="11" t="s">
        <v>2213</v>
      </c>
      <c r="D160" s="10" t="s">
        <v>607</v>
      </c>
      <c r="E160" s="10" t="s">
        <v>1837</v>
      </c>
    </row>
    <row r="161" customFormat="false" ht="15" hidden="false" customHeight="false" outlineLevel="0" collapsed="false">
      <c r="A161" s="10" t="s">
        <v>2214</v>
      </c>
      <c r="B161" s="10" t="s">
        <v>2208</v>
      </c>
      <c r="C161" s="11" t="s">
        <v>2215</v>
      </c>
      <c r="D161" s="10" t="s">
        <v>638</v>
      </c>
      <c r="E161" s="10" t="s">
        <v>1837</v>
      </c>
    </row>
    <row r="162" customFormat="false" ht="15" hidden="false" customHeight="false" outlineLevel="0" collapsed="false">
      <c r="A162" s="10" t="s">
        <v>2216</v>
      </c>
      <c r="B162" s="10" t="s">
        <v>2208</v>
      </c>
      <c r="C162" s="11" t="s">
        <v>2217</v>
      </c>
      <c r="D162" s="10" t="s">
        <v>633</v>
      </c>
      <c r="E162" s="10" t="s">
        <v>1837</v>
      </c>
    </row>
    <row r="163" customFormat="false" ht="15" hidden="false" customHeight="false" outlineLevel="0" collapsed="false">
      <c r="A163" s="10" t="s">
        <v>2218</v>
      </c>
      <c r="B163" s="10" t="s">
        <v>2208</v>
      </c>
      <c r="C163" s="11" t="s">
        <v>2219</v>
      </c>
      <c r="D163" s="10" t="s">
        <v>648</v>
      </c>
      <c r="E163" s="10" t="s">
        <v>1837</v>
      </c>
    </row>
    <row r="164" customFormat="false" ht="15" hidden="false" customHeight="false" outlineLevel="0" collapsed="false">
      <c r="A164" s="10" t="s">
        <v>2220</v>
      </c>
      <c r="B164" s="10" t="s">
        <v>2221</v>
      </c>
      <c r="C164" s="11" t="s">
        <v>2222</v>
      </c>
      <c r="D164" s="10" t="s">
        <v>613</v>
      </c>
      <c r="E164" s="10" t="s">
        <v>1837</v>
      </c>
    </row>
    <row r="165" customFormat="false" ht="15" hidden="false" customHeight="false" outlineLevel="0" collapsed="false">
      <c r="A165" s="10" t="s">
        <v>2223</v>
      </c>
      <c r="B165" s="10" t="s">
        <v>2221</v>
      </c>
      <c r="C165" s="11" t="s">
        <v>2224</v>
      </c>
      <c r="D165" s="10" t="s">
        <v>618</v>
      </c>
      <c r="E165" s="10" t="s">
        <v>1837</v>
      </c>
    </row>
    <row r="166" customFormat="false" ht="15" hidden="false" customHeight="false" outlineLevel="0" collapsed="false">
      <c r="A166" s="10" t="s">
        <v>2225</v>
      </c>
      <c r="B166" s="10" t="s">
        <v>2221</v>
      </c>
      <c r="C166" s="11" t="s">
        <v>2226</v>
      </c>
      <c r="D166" s="10" t="s">
        <v>653</v>
      </c>
      <c r="E166" s="10" t="s">
        <v>1837</v>
      </c>
    </row>
    <row r="167" customFormat="false" ht="23.85" hidden="false" customHeight="false" outlineLevel="0" collapsed="false">
      <c r="A167" s="10" t="s">
        <v>2227</v>
      </c>
      <c r="B167" s="10" t="s">
        <v>2221</v>
      </c>
      <c r="C167" s="11" t="s">
        <v>2228</v>
      </c>
      <c r="D167" s="10" t="s">
        <v>623</v>
      </c>
      <c r="E167" s="10" t="s">
        <v>1837</v>
      </c>
    </row>
    <row r="168" customFormat="false" ht="15" hidden="false" customHeight="false" outlineLevel="0" collapsed="false">
      <c r="A168" s="10" t="s">
        <v>2229</v>
      </c>
      <c r="B168" s="10" t="s">
        <v>2221</v>
      </c>
      <c r="C168" s="11" t="s">
        <v>2230</v>
      </c>
      <c r="D168" s="10" t="s">
        <v>628</v>
      </c>
      <c r="E168" s="10" t="s">
        <v>1837</v>
      </c>
    </row>
    <row r="169" customFormat="false" ht="15" hidden="false" customHeight="false" outlineLevel="0" collapsed="false">
      <c r="A169" s="10" t="s">
        <v>2231</v>
      </c>
      <c r="B169" s="10" t="s">
        <v>2221</v>
      </c>
      <c r="C169" s="11" t="s">
        <v>2232</v>
      </c>
      <c r="D169" s="10" t="s">
        <v>2233</v>
      </c>
      <c r="E169" s="10" t="s">
        <v>1837</v>
      </c>
    </row>
    <row r="170" customFormat="false" ht="15" hidden="false" customHeight="false" outlineLevel="0" collapsed="false">
      <c r="A170" s="10" t="s">
        <v>2234</v>
      </c>
      <c r="B170" s="10" t="s">
        <v>2090</v>
      </c>
      <c r="C170" s="11" t="s">
        <v>2235</v>
      </c>
      <c r="D170" s="10" t="s">
        <v>643</v>
      </c>
      <c r="E170" s="10" t="s">
        <v>1837</v>
      </c>
    </row>
    <row r="171" customFormat="false" ht="15" hidden="false" customHeight="false" outlineLevel="0" collapsed="false">
      <c r="A171" s="10" t="s">
        <v>2236</v>
      </c>
      <c r="B171" s="10" t="s">
        <v>2054</v>
      </c>
      <c r="C171" s="11" t="s">
        <v>2237</v>
      </c>
      <c r="D171" s="10" t="s">
        <v>597</v>
      </c>
      <c r="E171" s="10" t="s">
        <v>1837</v>
      </c>
    </row>
    <row r="172" customFormat="false" ht="23.85" hidden="false" customHeight="false" outlineLevel="0" collapsed="false">
      <c r="A172" s="10" t="s">
        <v>2238</v>
      </c>
      <c r="B172" s="10" t="s">
        <v>2090</v>
      </c>
      <c r="C172" s="11" t="s">
        <v>2239</v>
      </c>
      <c r="D172" s="10" t="s">
        <v>2240</v>
      </c>
      <c r="E172" s="10" t="s">
        <v>1837</v>
      </c>
    </row>
    <row r="173" customFormat="false" ht="23.85" hidden="false" customHeight="false" outlineLevel="0" collapsed="false">
      <c r="A173" s="10" t="s">
        <v>2241</v>
      </c>
      <c r="B173" s="10" t="s">
        <v>2090</v>
      </c>
      <c r="C173" s="11" t="s">
        <v>2242</v>
      </c>
      <c r="D173" s="10" t="s">
        <v>592</v>
      </c>
      <c r="E173" s="10" t="s">
        <v>1837</v>
      </c>
    </row>
    <row r="174" customFormat="false" ht="23.85" hidden="false" customHeight="false" outlineLevel="0" collapsed="false">
      <c r="A174" s="10" t="s">
        <v>2243</v>
      </c>
      <c r="B174" s="10" t="s">
        <v>2054</v>
      </c>
      <c r="C174" s="11" t="s">
        <v>2244</v>
      </c>
      <c r="D174" s="10" t="s">
        <v>602</v>
      </c>
      <c r="E174" s="10" t="s">
        <v>1837</v>
      </c>
    </row>
    <row r="175" customFormat="false" ht="23.85" hidden="false" customHeight="false" outlineLevel="0" collapsed="false">
      <c r="A175" s="10" t="s">
        <v>2245</v>
      </c>
      <c r="B175" s="10" t="s">
        <v>2090</v>
      </c>
      <c r="C175" s="11" t="s">
        <v>2246</v>
      </c>
      <c r="D175" s="10" t="s">
        <v>2247</v>
      </c>
      <c r="E175" s="10" t="s">
        <v>1837</v>
      </c>
    </row>
    <row r="176" customFormat="false" ht="15" hidden="false" customHeight="false" outlineLevel="0" collapsed="false">
      <c r="A176" s="10" t="s">
        <v>2248</v>
      </c>
      <c r="B176" s="10" t="s">
        <v>6</v>
      </c>
      <c r="C176" s="11" t="s">
        <v>2249</v>
      </c>
      <c r="D176" s="10" t="s">
        <v>2250</v>
      </c>
      <c r="E176" s="10" t="s">
        <v>1837</v>
      </c>
    </row>
    <row r="177" customFormat="false" ht="15" hidden="false" customHeight="false" outlineLevel="0" collapsed="false">
      <c r="A177" s="10" t="s">
        <v>2251</v>
      </c>
      <c r="B177" s="10" t="s">
        <v>6</v>
      </c>
      <c r="C177" s="11" t="s">
        <v>2252</v>
      </c>
      <c r="D177" s="10" t="s">
        <v>510</v>
      </c>
      <c r="E177" s="10" t="s">
        <v>1837</v>
      </c>
    </row>
    <row r="178" customFormat="false" ht="15" hidden="false" customHeight="false" outlineLevel="0" collapsed="false">
      <c r="A178" s="10" t="s">
        <v>2253</v>
      </c>
      <c r="B178" s="10" t="s">
        <v>6</v>
      </c>
      <c r="C178" s="11" t="s">
        <v>2254</v>
      </c>
      <c r="D178" s="10" t="s">
        <v>510</v>
      </c>
      <c r="E178" s="10" t="s">
        <v>1837</v>
      </c>
    </row>
    <row r="179" customFormat="false" ht="15" hidden="false" customHeight="false" outlineLevel="0" collapsed="false">
      <c r="A179" s="10" t="s">
        <v>2255</v>
      </c>
      <c r="B179" s="10" t="s">
        <v>6</v>
      </c>
      <c r="C179" s="11" t="s">
        <v>2256</v>
      </c>
      <c r="D179" s="10" t="s">
        <v>100</v>
      </c>
      <c r="E179" s="10" t="s">
        <v>1837</v>
      </c>
    </row>
    <row r="180" customFormat="false" ht="23.85" hidden="false" customHeight="false" outlineLevel="0" collapsed="false">
      <c r="A180" s="10" t="s">
        <v>2257</v>
      </c>
      <c r="B180" s="10" t="s">
        <v>6</v>
      </c>
      <c r="C180" s="11" t="s">
        <v>2258</v>
      </c>
      <c r="D180" s="10" t="s">
        <v>2259</v>
      </c>
      <c r="E180" s="10" t="s">
        <v>1837</v>
      </c>
    </row>
    <row r="181" customFormat="false" ht="15" hidden="false" customHeight="false" outlineLevel="0" collapsed="false">
      <c r="A181" s="10" t="s">
        <v>2260</v>
      </c>
      <c r="B181" s="10" t="s">
        <v>6</v>
      </c>
      <c r="C181" s="11" t="s">
        <v>2261</v>
      </c>
      <c r="D181" s="10" t="s">
        <v>510</v>
      </c>
      <c r="E181" s="10" t="s">
        <v>1849</v>
      </c>
    </row>
    <row r="182" customFormat="false" ht="15" hidden="false" customHeight="false" outlineLevel="0" collapsed="false">
      <c r="A182" s="10" t="s">
        <v>2262</v>
      </c>
      <c r="B182" s="10" t="s">
        <v>6</v>
      </c>
      <c r="C182" s="11" t="s">
        <v>2263</v>
      </c>
      <c r="D182" s="10" t="s">
        <v>510</v>
      </c>
      <c r="E182" s="10" t="s">
        <v>1849</v>
      </c>
    </row>
    <row r="183" customFormat="false" ht="23.85" hidden="false" customHeight="false" outlineLevel="0" collapsed="false">
      <c r="A183" s="10" t="s">
        <v>2264</v>
      </c>
      <c r="B183" s="10" t="s">
        <v>6</v>
      </c>
      <c r="C183" s="11" t="s">
        <v>2265</v>
      </c>
      <c r="D183" s="10" t="s">
        <v>333</v>
      </c>
      <c r="E183" s="10" t="s">
        <v>1837</v>
      </c>
    </row>
    <row r="184" customFormat="false" ht="23.85" hidden="false" customHeight="false" outlineLevel="0" collapsed="false">
      <c r="A184" s="10" t="s">
        <v>2266</v>
      </c>
      <c r="B184" s="10" t="s">
        <v>2090</v>
      </c>
      <c r="C184" s="11" t="s">
        <v>2267</v>
      </c>
      <c r="D184" s="10" t="s">
        <v>582</v>
      </c>
      <c r="E184" s="10" t="s">
        <v>1837</v>
      </c>
    </row>
    <row r="185" customFormat="false" ht="15" hidden="false" customHeight="false" outlineLevel="0" collapsed="false">
      <c r="A185" s="10" t="s">
        <v>2268</v>
      </c>
      <c r="B185" s="10" t="s">
        <v>2269</v>
      </c>
      <c r="C185" s="11" t="s">
        <v>2270</v>
      </c>
      <c r="D185" s="10" t="s">
        <v>2271</v>
      </c>
      <c r="E185" s="10" t="s">
        <v>1837</v>
      </c>
    </row>
    <row r="186" customFormat="false" ht="15" hidden="false" customHeight="false" outlineLevel="0" collapsed="false">
      <c r="A186" s="10" t="s">
        <v>2272</v>
      </c>
      <c r="B186" s="10" t="s">
        <v>2269</v>
      </c>
      <c r="C186" s="11" t="s">
        <v>2273</v>
      </c>
      <c r="D186" s="10" t="s">
        <v>2274</v>
      </c>
      <c r="E186" s="10" t="s">
        <v>1837</v>
      </c>
    </row>
    <row r="187" customFormat="false" ht="15" hidden="false" customHeight="false" outlineLevel="0" collapsed="false">
      <c r="A187" s="10" t="s">
        <v>2275</v>
      </c>
      <c r="B187" s="10" t="s">
        <v>2269</v>
      </c>
      <c r="C187" s="11" t="s">
        <v>2276</v>
      </c>
      <c r="D187" s="10" t="s">
        <v>883</v>
      </c>
      <c r="E187" s="10" t="s">
        <v>1837</v>
      </c>
    </row>
    <row r="188" customFormat="false" ht="15" hidden="false" customHeight="false" outlineLevel="0" collapsed="false">
      <c r="A188" s="10" t="s">
        <v>2277</v>
      </c>
      <c r="B188" s="10" t="s">
        <v>2269</v>
      </c>
      <c r="C188" s="11" t="s">
        <v>2278</v>
      </c>
      <c r="D188" s="10" t="s">
        <v>883</v>
      </c>
      <c r="E188" s="10" t="s">
        <v>1849</v>
      </c>
    </row>
    <row r="189" customFormat="false" ht="23.85" hidden="false" customHeight="false" outlineLevel="0" collapsed="false">
      <c r="A189" s="10" t="s">
        <v>2279</v>
      </c>
      <c r="B189" s="10" t="s">
        <v>2074</v>
      </c>
      <c r="C189" s="11" t="s">
        <v>2280</v>
      </c>
      <c r="D189" s="10" t="s">
        <v>536</v>
      </c>
      <c r="E189" s="10" t="s">
        <v>1837</v>
      </c>
    </row>
    <row r="190" customFormat="false" ht="23.85" hidden="false" customHeight="false" outlineLevel="0" collapsed="false">
      <c r="A190" s="10" t="s">
        <v>2281</v>
      </c>
      <c r="B190" s="10" t="s">
        <v>2282</v>
      </c>
      <c r="C190" s="11" t="s">
        <v>2283</v>
      </c>
      <c r="D190" s="10" t="s">
        <v>2282</v>
      </c>
      <c r="E190" s="10" t="s">
        <v>1837</v>
      </c>
    </row>
    <row r="191" customFormat="false" ht="15" hidden="false" customHeight="false" outlineLevel="0" collapsed="false">
      <c r="A191" s="10" t="s">
        <v>2284</v>
      </c>
      <c r="B191" s="10" t="s">
        <v>2285</v>
      </c>
      <c r="C191" s="11" t="s">
        <v>2286</v>
      </c>
      <c r="D191" s="10" t="s">
        <v>2287</v>
      </c>
      <c r="E191" s="10" t="s">
        <v>1837</v>
      </c>
    </row>
    <row r="192" customFormat="false" ht="15" hidden="false" customHeight="false" outlineLevel="0" collapsed="false">
      <c r="A192" s="10" t="s">
        <v>2288</v>
      </c>
      <c r="B192" s="10" t="s">
        <v>1949</v>
      </c>
      <c r="C192" s="11" t="s">
        <v>2289</v>
      </c>
      <c r="D192" s="10" t="s">
        <v>413</v>
      </c>
      <c r="E192" s="10" t="s">
        <v>1837</v>
      </c>
    </row>
    <row r="193" customFormat="false" ht="23.85" hidden="false" customHeight="false" outlineLevel="0" collapsed="false">
      <c r="A193" s="10" t="s">
        <v>2290</v>
      </c>
      <c r="B193" s="10" t="s">
        <v>2285</v>
      </c>
      <c r="C193" s="11" t="s">
        <v>2291</v>
      </c>
      <c r="D193" s="10" t="s">
        <v>408</v>
      </c>
      <c r="E193" s="10" t="s">
        <v>1837</v>
      </c>
    </row>
    <row r="194" customFormat="false" ht="15" hidden="false" customHeight="false" outlineLevel="0" collapsed="false">
      <c r="A194" s="10" t="s">
        <v>2292</v>
      </c>
      <c r="B194" s="10" t="s">
        <v>2285</v>
      </c>
      <c r="C194" s="11" t="s">
        <v>2293</v>
      </c>
      <c r="D194" s="10" t="s">
        <v>2294</v>
      </c>
      <c r="E194" s="10" t="s">
        <v>1837</v>
      </c>
    </row>
    <row r="195" customFormat="false" ht="15" hidden="false" customHeight="false" outlineLevel="0" collapsed="false">
      <c r="A195" s="10" t="s">
        <v>2295</v>
      </c>
      <c r="B195" s="10" t="s">
        <v>2285</v>
      </c>
      <c r="C195" s="11" t="s">
        <v>2296</v>
      </c>
      <c r="D195" s="10" t="s">
        <v>428</v>
      </c>
      <c r="E195" s="10" t="s">
        <v>1837</v>
      </c>
    </row>
    <row r="196" customFormat="false" ht="15" hidden="false" customHeight="false" outlineLevel="0" collapsed="false">
      <c r="A196" s="10" t="s">
        <v>2297</v>
      </c>
      <c r="B196" s="10" t="s">
        <v>2285</v>
      </c>
      <c r="C196" s="11" t="s">
        <v>2298</v>
      </c>
      <c r="D196" s="10" t="s">
        <v>893</v>
      </c>
      <c r="E196" s="10" t="s">
        <v>1837</v>
      </c>
    </row>
    <row r="197" customFormat="false" ht="15" hidden="false" customHeight="false" outlineLevel="0" collapsed="false">
      <c r="A197" s="10" t="s">
        <v>2299</v>
      </c>
      <c r="B197" s="10" t="s">
        <v>2285</v>
      </c>
      <c r="C197" s="11" t="s">
        <v>2300</v>
      </c>
      <c r="D197" s="10" t="s">
        <v>408</v>
      </c>
      <c r="E197" s="10" t="s">
        <v>1849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12"/>
    <col collapsed="false" customWidth="true" hidden="false" outlineLevel="0" max="4" min="4" style="0" width="10"/>
    <col collapsed="false" customWidth="true" hidden="false" outlineLevel="0" max="5" min="5" style="0" width="11"/>
    <col collapsed="false" customWidth="true" hidden="false" outlineLevel="0" max="6" min="6" style="0" width="12"/>
    <col collapsed="false" customWidth="true" hidden="false" outlineLevel="0" max="7" min="7" style="0" width="13"/>
    <col collapsed="false" customWidth="true" hidden="false" outlineLevel="0" max="8" min="8" style="0" width="12"/>
    <col collapsed="false" customWidth="true" hidden="false" outlineLevel="0" max="10" min="9" style="0" width="11"/>
    <col collapsed="false" customWidth="true" hidden="false" outlineLevel="0" max="11" min="11" style="0" width="16"/>
    <col collapsed="false" customWidth="true" hidden="false" outlineLevel="0" max="12" min="12" style="0" width="52"/>
  </cols>
  <sheetData>
    <row r="1" customFormat="false" ht="16.15" hidden="false" customHeight="false" outlineLevel="0" collapsed="false">
      <c r="A1" s="8" t="s">
        <v>2301</v>
      </c>
    </row>
    <row r="2" customFormat="false" ht="30" hidden="false" customHeight="true" outlineLevel="0" collapsed="false">
      <c r="A2" s="9" t="s">
        <v>42</v>
      </c>
      <c r="B2" s="9" t="s">
        <v>1430</v>
      </c>
      <c r="C2" s="9" t="s">
        <v>1174</v>
      </c>
      <c r="D2" s="9" t="s">
        <v>1440</v>
      </c>
      <c r="E2" s="9" t="s">
        <v>1434</v>
      </c>
      <c r="F2" s="9" t="s">
        <v>2302</v>
      </c>
      <c r="G2" s="9" t="s">
        <v>2303</v>
      </c>
      <c r="H2" s="9" t="s">
        <v>2304</v>
      </c>
      <c r="I2" s="9" t="s">
        <v>1332</v>
      </c>
      <c r="J2" s="9" t="s">
        <v>2305</v>
      </c>
      <c r="K2" s="9" t="s">
        <v>1453</v>
      </c>
      <c r="L2" s="9" t="s">
        <v>2306</v>
      </c>
    </row>
    <row r="3" customFormat="false" ht="15" hidden="false" customHeight="false" outlineLevel="0" collapsed="false">
      <c r="A3" s="10" t="s">
        <v>88</v>
      </c>
      <c r="B3" s="10" t="s">
        <v>1468</v>
      </c>
      <c r="C3" s="10" t="s">
        <v>980</v>
      </c>
      <c r="D3" s="10" t="s">
        <v>1474</v>
      </c>
      <c r="E3" s="10" t="s">
        <v>1471</v>
      </c>
      <c r="F3" s="31" t="n">
        <f aca="false">INDEX(FUEL_TICKET!$Z:$Z,MATCH($B3,FUEL_TICKET!$B:$B,0))</f>
        <v>9151.1</v>
      </c>
      <c r="G3" s="31" t="n">
        <f aca="false">INDEX(FUEL_TICKET!$AC:$AC,MATCH($B3,FUEL_TICKET!$B:$B,0))</f>
        <v>9151</v>
      </c>
      <c r="H3" s="25" t="n">
        <f aca="false">IF(G3="","",ROUND(F3-G3,1))</f>
        <v>0.1</v>
      </c>
      <c r="I3" s="26" t="n">
        <f aca="false">IF(OR(G3="",F3=0),"",H3/F3)</f>
        <v>1.09276480423119E-005</v>
      </c>
      <c r="J3" s="31" t="n">
        <f aca="false">MAX(50,0.02*ABS(F3))</f>
        <v>183.022</v>
      </c>
      <c r="K3" s="27" t="str">
        <f aca="false">IF(G3="","NOT_RECONCILED",IF(ABS(H3)&lt;=J3,"PASS","FAIL"))</f>
        <v>PASS</v>
      </c>
      <c r="L3" s="11" t="s">
        <v>2307</v>
      </c>
    </row>
    <row r="4" customFormat="false" ht="15" hidden="false" customHeight="false" outlineLevel="0" collapsed="false">
      <c r="A4" s="10" t="s">
        <v>149</v>
      </c>
      <c r="B4" s="10" t="s">
        <v>1663</v>
      </c>
      <c r="C4" s="10" t="s">
        <v>1075</v>
      </c>
      <c r="D4" s="10" t="s">
        <v>1500</v>
      </c>
      <c r="E4" s="10" t="s">
        <v>1471</v>
      </c>
      <c r="F4" s="31" t="n">
        <f aca="false">INDEX(FUEL_TICKET!$Z:$Z,MATCH($B4,FUEL_TICKET!$B:$B,0))</f>
        <v>9152.8</v>
      </c>
      <c r="G4" s="31" t="n">
        <f aca="false">INDEX(FUEL_TICKET!$AC:$AC,MATCH($B4,FUEL_TICKET!$B:$B,0))</f>
        <v>9090</v>
      </c>
      <c r="H4" s="25" t="n">
        <f aca="false">IF(G4="","",ROUND(F4-G4,1))</f>
        <v>62.8</v>
      </c>
      <c r="I4" s="26" t="n">
        <f aca="false">IF(OR(G4="",F4=0),"",H4/F4)</f>
        <v>0.00686128834892055</v>
      </c>
      <c r="J4" s="31" t="n">
        <f aca="false">MAX(50,0.02*ABS(F4))</f>
        <v>183.056</v>
      </c>
      <c r="K4" s="27" t="str">
        <f aca="false">IF(G4="","NOT_RECONCILED",IF(ABS(H4)&lt;=J4,"PASS","FAIL"))</f>
        <v>PASS</v>
      </c>
      <c r="L4" s="11" t="s">
        <v>1672</v>
      </c>
    </row>
    <row r="5" customFormat="false" ht="15" hidden="false" customHeight="false" outlineLevel="0" collapsed="false">
      <c r="A5" s="10" t="s">
        <v>172</v>
      </c>
      <c r="B5" s="10" t="s">
        <v>1727</v>
      </c>
      <c r="C5" s="10" t="s">
        <v>1107</v>
      </c>
      <c r="D5" s="10" t="s">
        <v>1474</v>
      </c>
      <c r="E5" s="10" t="s">
        <v>1471</v>
      </c>
      <c r="F5" s="31" t="n">
        <f aca="false">INDEX(FUEL_TICKET!$Z:$Z,MATCH($B5,FUEL_TICKET!$B:$B,0))</f>
        <v>9151.9</v>
      </c>
      <c r="G5" s="31" t="n">
        <f aca="false">INDEX(FUEL_TICKET!$AC:$AC,MATCH($B5,FUEL_TICKET!$B:$B,0))</f>
        <v>9115</v>
      </c>
      <c r="H5" s="25" t="n">
        <f aca="false">IF(G5="","",ROUND(F5-G5,1))</f>
        <v>36.9</v>
      </c>
      <c r="I5" s="26" t="n">
        <f aca="false">IF(OR(G5="",F5=0),"",H5/F5)</f>
        <v>0.0040319496497995</v>
      </c>
      <c r="J5" s="31" t="n">
        <f aca="false">MAX(50,0.02*ABS(F5))</f>
        <v>183.038</v>
      </c>
      <c r="K5" s="27" t="str">
        <f aca="false">IF(G5="","NOT_RECONCILED",IF(ABS(H5)&lt;=J5,"PASS","FAIL"))</f>
        <v>PASS</v>
      </c>
      <c r="L5" s="11" t="s">
        <v>2308</v>
      </c>
    </row>
    <row r="6" customFormat="false" ht="15" hidden="false" customHeight="false" outlineLevel="0" collapsed="false">
      <c r="A6" s="10" t="s">
        <v>178</v>
      </c>
      <c r="B6" s="10" t="s">
        <v>1737</v>
      </c>
      <c r="C6" s="10" t="s">
        <v>1111</v>
      </c>
      <c r="D6" s="10" t="s">
        <v>1739</v>
      </c>
      <c r="E6" s="10" t="s">
        <v>1471</v>
      </c>
      <c r="F6" s="31" t="n">
        <f aca="false">INDEX(FUEL_TICKET!$Z:$Z,MATCH($B6,FUEL_TICKET!$B:$B,0))</f>
        <v>9151.9</v>
      </c>
      <c r="G6" s="31" t="n">
        <f aca="false">INDEX(FUEL_TICKET!$AC:$AC,MATCH($B6,FUEL_TICKET!$B:$B,0))</f>
        <v>8851</v>
      </c>
      <c r="H6" s="25" t="n">
        <f aca="false">IF(G6="","",ROUND(F6-G6,1))</f>
        <v>300.9</v>
      </c>
      <c r="I6" s="26" t="n">
        <f aca="false">IF(OR(G6="",F6=0),"",H6/F6)</f>
        <v>0.0328784186890154</v>
      </c>
      <c r="J6" s="31" t="n">
        <f aca="false">MAX(50,0.02*ABS(F6))</f>
        <v>183.038</v>
      </c>
      <c r="K6" s="27" t="str">
        <f aca="false">IF(G6="","NOT_RECONCILED",IF(ABS(H6)&lt;=J6,"PASS","FAIL"))</f>
        <v>FAIL</v>
      </c>
      <c r="L6" s="11" t="s">
        <v>2309</v>
      </c>
    </row>
    <row r="7" customFormat="false" ht="15" hidden="false" customHeight="false" outlineLevel="0" collapsed="false">
      <c r="A7" s="10" t="s">
        <v>183</v>
      </c>
      <c r="B7" s="10" t="s">
        <v>1748</v>
      </c>
      <c r="C7" s="10" t="s">
        <v>1115</v>
      </c>
      <c r="D7" s="10" t="s">
        <v>1739</v>
      </c>
      <c r="E7" s="10" t="s">
        <v>1471</v>
      </c>
      <c r="F7" s="31" t="n">
        <f aca="false">INDEX(FUEL_TICKET!$Z:$Z,MATCH($B7,FUEL_TICKET!$B:$B,0))</f>
        <v>9600</v>
      </c>
      <c r="G7" s="31" t="n">
        <f aca="false">INDEX(FUEL_TICKET!$AC:$AC,MATCH($B7,FUEL_TICKET!$B:$B,0))</f>
        <v>9420</v>
      </c>
      <c r="H7" s="25" t="n">
        <f aca="false">IF(G7="","",ROUND(F7-G7,1))</f>
        <v>180</v>
      </c>
      <c r="I7" s="26" t="n">
        <f aca="false">IF(OR(G7="",F7=0),"",H7/F7)</f>
        <v>0.01875</v>
      </c>
      <c r="J7" s="31" t="n">
        <f aca="false">MAX(50,0.02*ABS(F7))</f>
        <v>192</v>
      </c>
      <c r="K7" s="27" t="str">
        <f aca="false">IF(G7="","NOT_RECONCILED",IF(ABS(H7)&lt;=J7,"PASS","FAIL"))</f>
        <v>PASS</v>
      </c>
      <c r="L7" s="11" t="s">
        <v>2310</v>
      </c>
    </row>
    <row r="8" customFormat="false" ht="15" hidden="false" customHeight="false" outlineLevel="0" collapsed="false">
      <c r="A8" s="10" t="s">
        <v>188</v>
      </c>
      <c r="B8" s="10" t="s">
        <v>1758</v>
      </c>
      <c r="C8" s="10" t="s">
        <v>1120</v>
      </c>
      <c r="D8" s="10" t="s">
        <v>1474</v>
      </c>
      <c r="E8" s="10" t="s">
        <v>1471</v>
      </c>
      <c r="F8" s="31" t="n">
        <f aca="false">INDEX(FUEL_TICKET!$Z:$Z,MATCH($B8,FUEL_TICKET!$B:$B,0))</f>
        <v>399.8</v>
      </c>
      <c r="G8" s="31" t="n">
        <f aca="false">INDEX(FUEL_TICKET!$AC:$AC,MATCH($B8,FUEL_TICKET!$B:$B,0))</f>
        <v>430</v>
      </c>
      <c r="H8" s="25" t="n">
        <f aca="false">IF(G8="","",ROUND(F8-G8,1))</f>
        <v>-30.2</v>
      </c>
      <c r="I8" s="26" t="n">
        <f aca="false">IF(OR(G8="",F8=0),"",H8/F8)</f>
        <v>-0.0755377688844422</v>
      </c>
      <c r="J8" s="31" t="n">
        <f aca="false">MAX(50,0.02*ABS(F8))</f>
        <v>50</v>
      </c>
      <c r="K8" s="27" t="str">
        <f aca="false">IF(G8="","NOT_RECONCILED",IF(ABS(H8)&lt;=J8,"PASS","FAIL"))</f>
        <v>PASS</v>
      </c>
      <c r="L8" s="11" t="s">
        <v>2311</v>
      </c>
    </row>
    <row r="9" customFormat="false" ht="15" hidden="false" customHeight="false" outlineLevel="0" collapsed="false">
      <c r="A9" s="10" t="s">
        <v>193</v>
      </c>
      <c r="B9" s="10" t="s">
        <v>1768</v>
      </c>
      <c r="C9" s="10" t="s">
        <v>1124</v>
      </c>
      <c r="D9" s="10" t="s">
        <v>1474</v>
      </c>
      <c r="E9" s="10" t="s">
        <v>1471</v>
      </c>
      <c r="F9" s="31" t="n">
        <f aca="false">INDEX(FUEL_TICKET!$Z:$Z,MATCH($B9,FUEL_TICKET!$B:$B,0))</f>
        <v>9151.9</v>
      </c>
      <c r="G9" s="31" t="str">
        <f aca="false">INDEX(FUEL_TICKET!$AC:$AC,MATCH($B9,FUEL_TICKET!$B:$B,0))</f>
        <v/>
      </c>
      <c r="H9" s="25" t="str">
        <f aca="false">IF(G9="","",ROUND(F9-G9,1))</f>
        <v/>
      </c>
      <c r="I9" s="26" t="str">
        <f aca="false">IF(OR(G9="",F9=0),"",H9/F9)</f>
        <v/>
      </c>
      <c r="J9" s="31" t="n">
        <f aca="false">MAX(50,0.02*ABS(F9))</f>
        <v>183.038</v>
      </c>
      <c r="K9" s="27" t="str">
        <f aca="false">IF(G9="","NOT_RECONCILED",IF(ABS(H9)&lt;=J9,"PASS","FAIL"))</f>
        <v>NOT_RECONCILED</v>
      </c>
      <c r="L9" s="11" t="s">
        <v>2312</v>
      </c>
    </row>
    <row r="10" customFormat="false" ht="15" hidden="false" customHeight="false" outlineLevel="0" collapsed="false">
      <c r="A10" s="10" t="s">
        <v>198</v>
      </c>
      <c r="B10" s="10" t="s">
        <v>1778</v>
      </c>
      <c r="C10" s="10" t="s">
        <v>1128</v>
      </c>
      <c r="D10" s="10" t="s">
        <v>1780</v>
      </c>
      <c r="E10" s="10" t="s">
        <v>1471</v>
      </c>
      <c r="F10" s="31" t="n">
        <f aca="false">INDEX(FUEL_TICKET!$Z:$Z,MATCH($B10,FUEL_TICKET!$B:$B,0))</f>
        <v>31928</v>
      </c>
      <c r="G10" s="31" t="n">
        <f aca="false">INDEX(FUEL_TICKET!$AC:$AC,MATCH($B10,FUEL_TICKET!$B:$B,0))</f>
        <v>31350</v>
      </c>
      <c r="H10" s="25" t="n">
        <f aca="false">IF(G10="","",ROUND(F10-G10,1))</f>
        <v>578</v>
      </c>
      <c r="I10" s="26" t="n">
        <f aca="false">IF(OR(G10="",F10=0),"",H10/F10)</f>
        <v>0.0181032322726134</v>
      </c>
      <c r="J10" s="31" t="n">
        <f aca="false">MAX(50,0.02*ABS(F10))</f>
        <v>638.56</v>
      </c>
      <c r="K10" s="27" t="str">
        <f aca="false">IF(G10="","NOT_RECONCILED",IF(ABS(H10)&lt;=J10,"PASS","FAIL"))</f>
        <v>PASS</v>
      </c>
      <c r="L10" s="11" t="s">
        <v>2313</v>
      </c>
    </row>
    <row r="11" customFormat="false" ht="15" hidden="false" customHeight="false" outlineLevel="0" collapsed="false">
      <c r="A11" s="10" t="s">
        <v>198</v>
      </c>
      <c r="B11" s="10" t="s">
        <v>1789</v>
      </c>
      <c r="C11" s="10" t="s">
        <v>1128</v>
      </c>
      <c r="D11" s="10" t="s">
        <v>1780</v>
      </c>
      <c r="E11" s="10" t="s">
        <v>1471</v>
      </c>
      <c r="F11" s="31" t="n">
        <f aca="false">INDEX(FUEL_TICKET!$Z:$Z,MATCH($B11,FUEL_TICKET!$B:$B,0))</f>
        <v>27937</v>
      </c>
      <c r="G11" s="31" t="n">
        <f aca="false">INDEX(FUEL_TICKET!$AC:$AC,MATCH($B11,FUEL_TICKET!$B:$B,0))</f>
        <v>27430</v>
      </c>
      <c r="H11" s="25" t="n">
        <f aca="false">IF(G11="","",ROUND(F11-G11,1))</f>
        <v>507</v>
      </c>
      <c r="I11" s="26" t="n">
        <f aca="false">IF(OR(G11="",F11=0),"",H11/F11)</f>
        <v>0.0181479758026989</v>
      </c>
      <c r="J11" s="31" t="n">
        <f aca="false">MAX(50,0.02*ABS(F11))</f>
        <v>558.74</v>
      </c>
      <c r="K11" s="27" t="str">
        <f aca="false">IF(G11="","NOT_RECONCILED",IF(ABS(H11)&lt;=J11,"PASS","FAIL"))</f>
        <v>PASS</v>
      </c>
      <c r="L11" s="11" t="s">
        <v>2314</v>
      </c>
    </row>
    <row r="12" customFormat="false" ht="15" hidden="false" customHeight="false" outlineLevel="0" collapsed="false">
      <c r="A12" s="10" t="s">
        <v>198</v>
      </c>
      <c r="B12" s="10" t="s">
        <v>1799</v>
      </c>
      <c r="C12" s="10" t="s">
        <v>1128</v>
      </c>
      <c r="D12" s="10" t="s">
        <v>1780</v>
      </c>
      <c r="E12" s="10" t="s">
        <v>1471</v>
      </c>
      <c r="F12" s="31" t="n">
        <f aca="false">INDEX(FUEL_TICKET!$Z:$Z,MATCH($B12,FUEL_TICKET!$B:$B,0))</f>
        <v>19520.8</v>
      </c>
      <c r="G12" s="31" t="n">
        <f aca="false">INDEX(FUEL_TICKET!$AC:$AC,MATCH($B12,FUEL_TICKET!$B:$B,0))</f>
        <v>19172</v>
      </c>
      <c r="H12" s="25" t="n">
        <f aca="false">IF(G12="","",ROUND(F12-G12,1))</f>
        <v>348.8</v>
      </c>
      <c r="I12" s="26" t="n">
        <f aca="false">IF(OR(G12="",F12=0),"",H12/F12)</f>
        <v>0.0178681201590099</v>
      </c>
      <c r="J12" s="31" t="n">
        <f aca="false">MAX(50,0.02*ABS(F12))</f>
        <v>390.416</v>
      </c>
      <c r="K12" s="27" t="str">
        <f aca="false">IF(G12="","NOT_RECONCILED",IF(ABS(H12)&lt;=J12,"PASS","FAIL"))</f>
        <v>PASS</v>
      </c>
      <c r="L12" s="11" t="s">
        <v>2315</v>
      </c>
    </row>
    <row r="13" customFormat="false" ht="15" hidden="false" customHeight="false" outlineLevel="0" collapsed="false">
      <c r="A13" s="10" t="s">
        <v>203</v>
      </c>
      <c r="B13" s="10" t="s">
        <v>1809</v>
      </c>
      <c r="C13" s="10" t="s">
        <v>1133</v>
      </c>
      <c r="D13" s="10" t="s">
        <v>1474</v>
      </c>
      <c r="E13" s="10" t="s">
        <v>1471</v>
      </c>
      <c r="F13" s="31" t="n">
        <f aca="false">INDEX(FUEL_TICKET!$Z:$Z,MATCH($B13,FUEL_TICKET!$B:$B,0))</f>
        <v>9151.9</v>
      </c>
      <c r="G13" s="31" t="n">
        <f aca="false">INDEX(FUEL_TICKET!$AC:$AC,MATCH($B13,FUEL_TICKET!$B:$B,0))</f>
        <v>9151</v>
      </c>
      <c r="H13" s="25" t="n">
        <f aca="false">IF(G13="","",ROUND(F13-G13,1))</f>
        <v>0.9</v>
      </c>
      <c r="I13" s="26" t="n">
        <f aca="false">IF(OR(G13="",F13=0),"",H13/F13)</f>
        <v>9.83402353609633E-005</v>
      </c>
      <c r="J13" s="31" t="n">
        <f aca="false">MAX(50,0.02*ABS(F13))</f>
        <v>183.038</v>
      </c>
      <c r="K13" s="27" t="str">
        <f aca="false">IF(G13="","NOT_RECONCILED",IF(ABS(H13)&lt;=J13,"PASS","FAIL"))</f>
        <v>PASS</v>
      </c>
      <c r="L13" s="11" t="s">
        <v>2316</v>
      </c>
    </row>
    <row r="16" customFormat="false" ht="16.15" hidden="false" customHeight="false" outlineLevel="0" collapsed="false">
      <c r="A16" s="8" t="s">
        <v>2317</v>
      </c>
    </row>
    <row r="17" customFormat="false" ht="15" hidden="false" customHeight="false" outlineLevel="0" collapsed="false">
      <c r="A17" s="17" t="s">
        <v>1440</v>
      </c>
      <c r="B17" s="17" t="s">
        <v>2318</v>
      </c>
      <c r="C17" s="17" t="s">
        <v>2319</v>
      </c>
      <c r="D17" s="17" t="s">
        <v>2320</v>
      </c>
      <c r="E17" s="17" t="s">
        <v>2321</v>
      </c>
      <c r="F17" s="17" t="s">
        <v>2322</v>
      </c>
    </row>
    <row r="18" customFormat="false" ht="15" hidden="false" customHeight="false" outlineLevel="0" collapsed="false">
      <c r="A18" s="32" t="s">
        <v>1474</v>
      </c>
      <c r="B18" s="33" t="n">
        <f aca="false">COUNTIFS($D$3:$D$13,$A18)</f>
        <v>5</v>
      </c>
      <c r="C18" s="34" t="n">
        <f aca="false">SUMIFS($F$3:$F$13,$D$3:$D$13,$A18)</f>
        <v>37006.6</v>
      </c>
      <c r="D18" s="34" t="n">
        <f aca="false">SUMIFS($H$3:$H$13,$D$3:$D$13,$A18)</f>
        <v>7.7</v>
      </c>
      <c r="E18" s="35" t="n">
        <f aca="false">IF(C18=0,"",D18/C18)</f>
        <v>0.000208070992741835</v>
      </c>
      <c r="F18" s="33" t="str">
        <f aca="false">IF(C18=0,"NO DATA",IF(ABS(E18)&gt;0.01,"CALIBRATION REVIEW","WITHIN RANGE"))</f>
        <v>WITHIN RANGE</v>
      </c>
    </row>
    <row r="19" customFormat="false" ht="15" hidden="false" customHeight="false" outlineLevel="0" collapsed="false">
      <c r="A19" s="32" t="s">
        <v>1739</v>
      </c>
      <c r="B19" s="33" t="n">
        <f aca="false">COUNTIFS($D$3:$D$13,$A19)</f>
        <v>2</v>
      </c>
      <c r="C19" s="34" t="n">
        <f aca="false">SUMIFS($F$3:$F$13,$D$3:$D$13,$A19)</f>
        <v>18751.9</v>
      </c>
      <c r="D19" s="34" t="n">
        <f aca="false">SUMIFS($H$3:$H$13,$D$3:$D$13,$A19)</f>
        <v>480.9</v>
      </c>
      <c r="E19" s="35" t="n">
        <f aca="false">IF(C19=0,"",D19/C19)</f>
        <v>0.025645401266005</v>
      </c>
      <c r="F19" s="33" t="str">
        <f aca="false">IF(C19=0,"NO DATA",IF(ABS(E19)&gt;0.01,"CALIBRATION REVIEW","WITHIN RANGE"))</f>
        <v>CALIBRATION REVIEW</v>
      </c>
    </row>
    <row r="20" customFormat="false" ht="15" hidden="false" customHeight="false" outlineLevel="0" collapsed="false">
      <c r="A20" s="32" t="s">
        <v>1780</v>
      </c>
      <c r="B20" s="33" t="n">
        <f aca="false">COUNTIFS($D$3:$D$13,$A20)</f>
        <v>3</v>
      </c>
      <c r="C20" s="34" t="n">
        <f aca="false">SUMIFS($F$3:$F$13,$D$3:$D$13,$A20)</f>
        <v>79385.8</v>
      </c>
      <c r="D20" s="34" t="n">
        <f aca="false">SUMIFS($H$3:$H$13,$D$3:$D$13,$A20)</f>
        <v>1433.8</v>
      </c>
      <c r="E20" s="35" t="n">
        <f aca="false">IF(C20=0,"",D20/C20)</f>
        <v>0.0180611645911485</v>
      </c>
      <c r="F20" s="33" t="str">
        <f aca="false">IF(C20=0,"NO DATA",IF(ABS(E20)&gt;0.01,"CALIBRATION REVIEW","WITHIN RANGE"))</f>
        <v>CALIBRATION REVIEW</v>
      </c>
    </row>
    <row r="21" customFormat="false" ht="15" hidden="false" customHeight="false" outlineLevel="0" collapsed="false">
      <c r="A21" s="32" t="s">
        <v>1500</v>
      </c>
      <c r="B21" s="33" t="n">
        <f aca="false">COUNTIFS($D$3:$D$13,$A21)</f>
        <v>1</v>
      </c>
      <c r="C21" s="34" t="n">
        <f aca="false">SUMIFS($F$3:$F$13,$D$3:$D$13,$A21)</f>
        <v>9152.8</v>
      </c>
      <c r="D21" s="34" t="n">
        <f aca="false">SUMIFS($H$3:$H$13,$D$3:$D$13,$A21)</f>
        <v>62.8</v>
      </c>
      <c r="E21" s="35" t="n">
        <f aca="false">IF(C21=0,"",D21/C21)</f>
        <v>0.00686128834892055</v>
      </c>
      <c r="F21" s="33" t="str">
        <f aca="false">IF(C21=0,"NO DATA",IF(ABS(E21)&gt;0.01,"CALIBRATION REVIEW","WITHIN RANGE"))</f>
        <v>WITHIN RANGE</v>
      </c>
    </row>
    <row r="24" customFormat="false" ht="16.15" hidden="false" customHeight="false" outlineLevel="0" collapsed="false">
      <c r="A24" s="8" t="s">
        <v>2323</v>
      </c>
    </row>
    <row r="25" customFormat="false" ht="15" hidden="false" customHeight="false" outlineLevel="0" collapsed="false">
      <c r="A25" s="17" t="s">
        <v>42</v>
      </c>
      <c r="B25" s="17" t="s">
        <v>1169</v>
      </c>
      <c r="C25" s="17" t="s">
        <v>1430</v>
      </c>
      <c r="D25" s="17" t="s">
        <v>2324</v>
      </c>
      <c r="E25" s="17" t="s">
        <v>2325</v>
      </c>
      <c r="F25" s="17" t="s">
        <v>2326</v>
      </c>
      <c r="G25" s="17" t="s">
        <v>2327</v>
      </c>
    </row>
    <row r="26" customFormat="false" ht="15" hidden="false" customHeight="false" outlineLevel="0" collapsed="false">
      <c r="A26" s="32" t="s">
        <v>88</v>
      </c>
      <c r="B26" s="32" t="s">
        <v>1192</v>
      </c>
      <c r="C26" s="32" t="s">
        <v>1468</v>
      </c>
      <c r="D26" s="36" t="n">
        <f aca="false">INDEX(FD_FUEL_PLAN!$R:$R,MATCH($B26,FD_FUEL_PLAN!$B:$B,0))</f>
        <v>2100</v>
      </c>
      <c r="E26" s="36" t="n">
        <f aca="false">INDEX(FUEL_TICKET!$AA:$AA,MATCH($C26,FUEL_TICKET!$B:$B,0))</f>
        <v>2100</v>
      </c>
      <c r="F26" s="36" t="n">
        <f aca="false">IF(E26="","",E26-D26)</f>
        <v>0</v>
      </c>
      <c r="G26" s="37" t="str">
        <f aca="false">IF(E26="","NO DATA",IF(ABS(F26)&lt;=100,"PASS","PLAN FOB BREACH"))</f>
        <v>PASS</v>
      </c>
    </row>
    <row r="27" customFormat="false" ht="15" hidden="false" customHeight="false" outlineLevel="0" collapsed="false">
      <c r="A27" s="32" t="s">
        <v>172</v>
      </c>
      <c r="B27" s="32" t="s">
        <v>1287</v>
      </c>
      <c r="C27" s="32" t="s">
        <v>1727</v>
      </c>
      <c r="D27" s="36" t="n">
        <f aca="false">INDEX(FD_FUEL_PLAN!$R:$R,MATCH($B27,FD_FUEL_PLAN!$B:$B,0))</f>
        <v>2100</v>
      </c>
      <c r="E27" s="36" t="n">
        <f aca="false">INDEX(FUEL_TICKET!$AA:$AA,MATCH($C27,FUEL_TICKET!$B:$B,0))</f>
        <v>2100</v>
      </c>
      <c r="F27" s="36" t="n">
        <f aca="false">IF(E27="","",E27-D27)</f>
        <v>0</v>
      </c>
      <c r="G27" s="37" t="str">
        <f aca="false">IF(E27="","NO DATA",IF(ABS(F27)&lt;=100,"PASS","PLAN FOB BREACH"))</f>
        <v>PASS</v>
      </c>
    </row>
    <row r="28" customFormat="false" ht="15" hidden="false" customHeight="false" outlineLevel="0" collapsed="false">
      <c r="A28" s="32" t="s">
        <v>203</v>
      </c>
      <c r="B28" s="32" t="s">
        <v>1312</v>
      </c>
      <c r="C28" s="32" t="s">
        <v>1809</v>
      </c>
      <c r="D28" s="36" t="n">
        <f aca="false">INDEX(FD_FUEL_PLAN!$R:$R,MATCH($B28,FD_FUEL_PLAN!$B:$B,0))</f>
        <v>2100</v>
      </c>
      <c r="E28" s="36" t="n">
        <f aca="false">INDEX(FUEL_TICKET!$AA:$AA,MATCH($C28,FUEL_TICKET!$B:$B,0))</f>
        <v>1650</v>
      </c>
      <c r="F28" s="36" t="n">
        <f aca="false">IF(E28="","",E28-D28)</f>
        <v>-450</v>
      </c>
      <c r="G28" s="37" t="str">
        <f aca="false">IF(E28="","NO DATA",IF(ABS(F28)&lt;=100,"PASS","PLAN FOB BREACH"))</f>
        <v>PLAN FOB BREACH</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1"/>
    <col collapsed="false" customWidth="true" hidden="false" outlineLevel="0" max="3" min="3" style="0" width="20"/>
    <col collapsed="false" customWidth="true" hidden="false" outlineLevel="0" max="4" min="4" style="0" width="8"/>
    <col collapsed="false" customWidth="true" hidden="false" outlineLevel="0" max="6" min="5" style="0" width="12"/>
    <col collapsed="false" customWidth="true" hidden="false" outlineLevel="0" max="7" min="7" style="0" width="9"/>
    <col collapsed="false" customWidth="true" hidden="false" outlineLevel="0" max="8" min="8" style="0" width="10"/>
    <col collapsed="false" customWidth="true" hidden="false" outlineLevel="0" max="9" min="9" style="0" width="13"/>
    <col collapsed="false" customWidth="true" hidden="false" outlineLevel="0" max="10" min="10" style="0" width="16"/>
    <col collapsed="false" customWidth="true" hidden="false" outlineLevel="0" max="11" min="11" style="0" width="14"/>
    <col collapsed="false" customWidth="true" hidden="false" outlineLevel="0" max="12" min="12" style="0" width="20"/>
    <col collapsed="false" customWidth="true" hidden="false" outlineLevel="0" max="13" min="13" style="0" width="12"/>
    <col collapsed="false" customWidth="true" hidden="false" outlineLevel="0" max="14" min="14" style="0" width="19"/>
    <col collapsed="false" customWidth="true" hidden="false" outlineLevel="0" max="15" min="15" style="0" width="15"/>
    <col collapsed="false" customWidth="true" hidden="false" outlineLevel="0" max="16" min="16" style="0" width="22"/>
    <col collapsed="false" customWidth="true" hidden="false" outlineLevel="0" max="17" min="17" style="0" width="16"/>
    <col collapsed="false" customWidth="true" hidden="false" outlineLevel="0" max="18" min="18" style="0" width="15"/>
    <col collapsed="false" customWidth="true" hidden="false" outlineLevel="0" max="19" min="19" style="0" width="19"/>
    <col collapsed="false" customWidth="true" hidden="false" outlineLevel="0" max="20" min="20" style="0" width="12"/>
    <col collapsed="false" customWidth="true" hidden="false" outlineLevel="0" max="21" min="21" style="0" width="11"/>
  </cols>
  <sheetData>
    <row r="1" customFormat="false" ht="16.15" hidden="false" customHeight="false" outlineLevel="0" collapsed="false">
      <c r="A1" s="8" t="s">
        <v>2328</v>
      </c>
    </row>
    <row r="2" customFormat="false" ht="30" hidden="false" customHeight="true" outlineLevel="0" collapsed="false">
      <c r="A2" s="9" t="s">
        <v>2329</v>
      </c>
      <c r="B2" s="9" t="s">
        <v>1325</v>
      </c>
      <c r="C2" s="9" t="s">
        <v>2330</v>
      </c>
      <c r="D2" s="9" t="s">
        <v>1324</v>
      </c>
      <c r="E2" s="9" t="s">
        <v>2331</v>
      </c>
      <c r="F2" s="9" t="s">
        <v>2332</v>
      </c>
      <c r="G2" s="9" t="s">
        <v>2333</v>
      </c>
      <c r="H2" s="9" t="s">
        <v>2334</v>
      </c>
      <c r="I2" s="9" t="s">
        <v>2335</v>
      </c>
      <c r="J2" s="9" t="s">
        <v>2336</v>
      </c>
      <c r="K2" s="9" t="s">
        <v>2337</v>
      </c>
      <c r="L2" s="9" t="s">
        <v>2338</v>
      </c>
      <c r="M2" s="9" t="s">
        <v>2339</v>
      </c>
      <c r="N2" s="9" t="s">
        <v>2340</v>
      </c>
      <c r="O2" s="9" t="s">
        <v>2341</v>
      </c>
      <c r="P2" s="9" t="s">
        <v>2342</v>
      </c>
      <c r="Q2" s="9" t="s">
        <v>2343</v>
      </c>
      <c r="R2" s="9" t="s">
        <v>2344</v>
      </c>
      <c r="S2" s="9" t="s">
        <v>1191</v>
      </c>
      <c r="T2" s="9" t="s">
        <v>2345</v>
      </c>
      <c r="U2" s="9" t="s">
        <v>2346</v>
      </c>
    </row>
    <row r="3" customFormat="false" ht="15" hidden="false" customHeight="false" outlineLevel="0" collapsed="false">
      <c r="A3" s="10" t="s">
        <v>2347</v>
      </c>
      <c r="B3" s="10" t="s">
        <v>1341</v>
      </c>
      <c r="C3" s="10" t="s">
        <v>2348</v>
      </c>
      <c r="D3" s="10" t="s">
        <v>976</v>
      </c>
      <c r="E3" s="10" t="s">
        <v>973</v>
      </c>
      <c r="F3" s="10" t="s">
        <v>1091</v>
      </c>
      <c r="G3" s="10" t="s">
        <v>2349</v>
      </c>
      <c r="H3" s="24" t="n">
        <f aca="false">COUNTIFS(FUEL_INVOICE_LINE!$C:$C,$A3)</f>
        <v>8</v>
      </c>
      <c r="I3" s="38" t="n">
        <f aca="false">ROUND(SUMIFS(FUEL_INVOICE_LINE!$N:$N,FUEL_INVOICE_LINE!$C:$C,$A3),2)</f>
        <v>154475.5</v>
      </c>
      <c r="J3" s="39" t="n">
        <v>121500</v>
      </c>
      <c r="K3" s="38" t="n">
        <f aca="false">IF(J3="","",ROUND(I3-J3,2))</f>
        <v>32975.5</v>
      </c>
      <c r="L3" s="19" t="s">
        <v>68</v>
      </c>
      <c r="M3" s="10"/>
      <c r="N3" s="10"/>
      <c r="O3" s="19" t="n">
        <v>0</v>
      </c>
      <c r="P3" s="10"/>
      <c r="Q3" s="10"/>
      <c r="R3" s="10"/>
      <c r="S3" s="10" t="s">
        <v>2350</v>
      </c>
      <c r="T3" s="10" t="s">
        <v>2351</v>
      </c>
      <c r="U3" s="10" t="s">
        <v>990</v>
      </c>
    </row>
    <row r="4" customFormat="false" ht="15" hidden="false" customHeight="false" outlineLevel="0" collapsed="false">
      <c r="A4" s="10" t="s">
        <v>2352</v>
      </c>
      <c r="B4" s="10" t="s">
        <v>1341</v>
      </c>
      <c r="C4" s="10" t="s">
        <v>2353</v>
      </c>
      <c r="D4" s="10" t="s">
        <v>976</v>
      </c>
      <c r="E4" s="10" t="s">
        <v>1106</v>
      </c>
      <c r="F4" s="10" t="s">
        <v>1132</v>
      </c>
      <c r="G4" s="10" t="s">
        <v>2349</v>
      </c>
      <c r="H4" s="24" t="n">
        <f aca="false">COUNTIFS(FUEL_INVOICE_LINE!$C:$C,$A4)</f>
        <v>5</v>
      </c>
      <c r="I4" s="38" t="n">
        <f aca="false">ROUND(SUMIFS(FUEL_INVOICE_LINE!$N:$N,FUEL_INVOICE_LINE!$C:$C,$A4),2)</f>
        <v>48953.87</v>
      </c>
      <c r="J4" s="39" t="n">
        <v>47800</v>
      </c>
      <c r="K4" s="38" t="n">
        <f aca="false">IF(J4="","",ROUND(I4-J4,2))</f>
        <v>1153.87</v>
      </c>
      <c r="L4" s="19" t="s">
        <v>74</v>
      </c>
      <c r="M4" s="10" t="s">
        <v>2354</v>
      </c>
      <c r="N4" s="10" t="s">
        <v>2355</v>
      </c>
      <c r="O4" s="19" t="n">
        <v>3</v>
      </c>
      <c r="P4" s="10" t="s">
        <v>2356</v>
      </c>
      <c r="Q4" s="10"/>
      <c r="R4" s="10" t="s">
        <v>2357</v>
      </c>
      <c r="S4" s="10" t="s">
        <v>2358</v>
      </c>
      <c r="T4" s="10" t="s">
        <v>2359</v>
      </c>
      <c r="U4" s="10" t="s">
        <v>990</v>
      </c>
    </row>
    <row r="5" customFormat="false" ht="15" hidden="false" customHeight="false" outlineLevel="0" collapsed="false">
      <c r="A5" s="10" t="s">
        <v>2360</v>
      </c>
      <c r="B5" s="10" t="s">
        <v>1684</v>
      </c>
      <c r="C5" s="10" t="s">
        <v>2361</v>
      </c>
      <c r="D5" s="10" t="s">
        <v>1085</v>
      </c>
      <c r="E5" s="10" t="s">
        <v>1065</v>
      </c>
      <c r="F5" s="10" t="s">
        <v>1065</v>
      </c>
      <c r="G5" s="10" t="s">
        <v>2349</v>
      </c>
      <c r="H5" s="24" t="n">
        <f aca="false">COUNTIFS(FUEL_INVOICE_LINE!$C:$C,$A5)</f>
        <v>1</v>
      </c>
      <c r="I5" s="38" t="n">
        <f aca="false">ROUND(SUMIFS(FUEL_INVOICE_LINE!$N:$N,FUEL_INVOICE_LINE!$C:$C,$A5),2)</f>
        <v>22011.24</v>
      </c>
      <c r="J5" s="39" t="n">
        <v>22011.24</v>
      </c>
      <c r="K5" s="38" t="n">
        <f aca="false">IF(J5="","",ROUND(I5-J5,2))</f>
        <v>0</v>
      </c>
      <c r="L5" s="19" t="s">
        <v>76</v>
      </c>
      <c r="M5" s="10" t="s">
        <v>2354</v>
      </c>
      <c r="N5" s="10" t="s">
        <v>2362</v>
      </c>
      <c r="O5" s="19" t="n">
        <v>1</v>
      </c>
      <c r="P5" s="10" t="s">
        <v>2363</v>
      </c>
      <c r="Q5" s="10" t="s">
        <v>2364</v>
      </c>
      <c r="R5" s="10"/>
      <c r="S5" s="10" t="s">
        <v>2365</v>
      </c>
      <c r="T5" s="10" t="s">
        <v>2366</v>
      </c>
      <c r="U5" s="10" t="s">
        <v>978</v>
      </c>
    </row>
    <row r="6" customFormat="false" ht="15" hidden="false" customHeight="false" outlineLevel="0" collapsed="false">
      <c r="A6" s="10" t="s">
        <v>2367</v>
      </c>
      <c r="B6" s="10" t="s">
        <v>1341</v>
      </c>
      <c r="C6" s="10" t="s">
        <v>2368</v>
      </c>
      <c r="D6" s="10" t="s">
        <v>976</v>
      </c>
      <c r="E6" s="10" t="s">
        <v>1137</v>
      </c>
      <c r="F6" s="10" t="s">
        <v>1137</v>
      </c>
      <c r="G6" s="10" t="s">
        <v>2349</v>
      </c>
      <c r="H6" s="24" t="n">
        <f aca="false">COUNTIFS(FUEL_INVOICE_LINE!$C:$C,$A6)</f>
        <v>0</v>
      </c>
      <c r="I6" s="38" t="n">
        <f aca="false">ROUND(SUMIFS(FUEL_INVOICE_LINE!$N:$N,FUEL_INVOICE_LINE!$C:$C,$A6),2)</f>
        <v>0</v>
      </c>
      <c r="J6" s="39" t="n">
        <v>8100</v>
      </c>
      <c r="K6" s="38" t="n">
        <f aca="false">IF(J6="","",ROUND(I6-J6,2))</f>
        <v>-8100</v>
      </c>
      <c r="L6" s="19" t="s">
        <v>74</v>
      </c>
      <c r="M6" s="10" t="s">
        <v>2354</v>
      </c>
      <c r="N6" s="10" t="s">
        <v>2369</v>
      </c>
      <c r="O6" s="19" t="n">
        <v>1</v>
      </c>
      <c r="P6" s="10" t="s">
        <v>2356</v>
      </c>
      <c r="Q6" s="10"/>
      <c r="R6" s="10" t="s">
        <v>2370</v>
      </c>
      <c r="S6" s="10" t="s">
        <v>2371</v>
      </c>
      <c r="T6" s="10" t="s">
        <v>2372</v>
      </c>
      <c r="U6" s="10" t="s">
        <v>978</v>
      </c>
    </row>
    <row r="7" customFormat="false" ht="15" hidden="false" customHeight="false" outlineLevel="0" collapsed="false">
      <c r="A7" s="10" t="s">
        <v>2373</v>
      </c>
      <c r="B7" s="10" t="s">
        <v>1341</v>
      </c>
      <c r="C7" s="10" t="s">
        <v>2374</v>
      </c>
      <c r="D7" s="10" t="s">
        <v>976</v>
      </c>
      <c r="E7" s="10" t="s">
        <v>973</v>
      </c>
      <c r="F7" s="10" t="s">
        <v>973</v>
      </c>
      <c r="G7" s="10" t="s">
        <v>2349</v>
      </c>
      <c r="H7" s="24" t="n">
        <f aca="false">COUNTIFS(FUEL_INVOICE_LINE!$C:$C,$A7)</f>
        <v>0</v>
      </c>
      <c r="I7" s="38" t="n">
        <f aca="false">ROUND(SUMIFS(FUEL_INVOICE_LINE!$N:$N,FUEL_INVOICE_LINE!$C:$C,$A7),2)</f>
        <v>0</v>
      </c>
      <c r="J7" s="39" t="n">
        <v>9639.53</v>
      </c>
      <c r="K7" s="38" t="n">
        <f aca="false">IF(J7="","",ROUND(I7-J7,2))</f>
        <v>-9639.53</v>
      </c>
      <c r="L7" s="19" t="s">
        <v>78</v>
      </c>
      <c r="M7" s="10"/>
      <c r="N7" s="10"/>
      <c r="O7" s="19" t="n">
        <v>0</v>
      </c>
      <c r="P7" s="10"/>
      <c r="Q7" s="10"/>
      <c r="R7" s="10" t="s">
        <v>2375</v>
      </c>
      <c r="S7" s="10" t="s">
        <v>2376</v>
      </c>
      <c r="T7" s="10" t="s">
        <v>2377</v>
      </c>
      <c r="U7" s="10" t="s">
        <v>990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15"/>
    <col collapsed="false" customWidth="true" hidden="false" outlineLevel="0" max="4" min="4" style="0" width="8"/>
    <col collapsed="false" customWidth="true" hidden="false" outlineLevel="0" max="5" min="5" style="0" width="11"/>
    <col collapsed="false" customWidth="true" hidden="false" outlineLevel="0" max="7" min="6" style="0" width="12"/>
    <col collapsed="false" customWidth="true" hidden="false" outlineLevel="0" max="8" min="8" style="0" width="17"/>
    <col collapsed="false" customWidth="true" hidden="false" outlineLevel="0" max="10" min="9" style="0" width="15"/>
    <col collapsed="false" customWidth="true" hidden="false" outlineLevel="0" max="11" min="11" style="0" width="14"/>
    <col collapsed="false" customWidth="true" hidden="false" outlineLevel="0" max="12" min="12" style="0" width="15"/>
    <col collapsed="false" customWidth="true" hidden="false" outlineLevel="0" max="13" min="13" style="0" width="17"/>
    <col collapsed="false" customWidth="true" hidden="false" outlineLevel="0" max="14" min="14" style="0" width="13"/>
    <col collapsed="false" customWidth="true" hidden="false" outlineLevel="0" max="15" min="15" style="0" width="20"/>
    <col collapsed="false" customWidth="true" hidden="false" outlineLevel="0" max="16" min="16" style="0" width="13"/>
    <col collapsed="false" customWidth="true" hidden="false" outlineLevel="0" max="17" min="17" style="0" width="17"/>
    <col collapsed="false" customWidth="true" hidden="false" outlineLevel="0" max="18" min="18" style="0" width="15"/>
    <col collapsed="false" customWidth="true" hidden="false" outlineLevel="0" max="19" min="19" style="0" width="40"/>
  </cols>
  <sheetData>
    <row r="1" customFormat="false" ht="16.15" hidden="false" customHeight="false" outlineLevel="0" collapsed="false">
      <c r="A1" s="8" t="s">
        <v>2378</v>
      </c>
    </row>
    <row r="2" customFormat="false" ht="30" hidden="false" customHeight="true" outlineLevel="0" collapsed="false">
      <c r="A2" s="9" t="s">
        <v>42</v>
      </c>
      <c r="B2" s="9" t="s">
        <v>2379</v>
      </c>
      <c r="C2" s="9" t="s">
        <v>2329</v>
      </c>
      <c r="D2" s="9" t="s">
        <v>2380</v>
      </c>
      <c r="E2" s="9" t="s">
        <v>1430</v>
      </c>
      <c r="F2" s="9" t="s">
        <v>1174</v>
      </c>
      <c r="G2" s="9" t="s">
        <v>1433</v>
      </c>
      <c r="H2" s="9" t="s">
        <v>2381</v>
      </c>
      <c r="I2" s="9" t="s">
        <v>2382</v>
      </c>
      <c r="J2" s="9" t="s">
        <v>2383</v>
      </c>
      <c r="K2" s="9" t="s">
        <v>2384</v>
      </c>
      <c r="L2" s="9" t="s">
        <v>2385</v>
      </c>
      <c r="M2" s="9" t="s">
        <v>2386</v>
      </c>
      <c r="N2" s="9" t="s">
        <v>2387</v>
      </c>
      <c r="O2" s="9" t="s">
        <v>2388</v>
      </c>
      <c r="P2" s="9" t="s">
        <v>2389</v>
      </c>
      <c r="Q2" s="9" t="s">
        <v>2390</v>
      </c>
      <c r="R2" s="9" t="s">
        <v>2391</v>
      </c>
      <c r="S2" s="9" t="s">
        <v>2392</v>
      </c>
    </row>
    <row r="3" customFormat="false" ht="15" hidden="false" customHeight="false" outlineLevel="0" collapsed="false">
      <c r="A3" s="10" t="s">
        <v>208</v>
      </c>
      <c r="B3" s="10" t="s">
        <v>2393</v>
      </c>
      <c r="C3" s="10" t="s">
        <v>2347</v>
      </c>
      <c r="D3" s="10" t="n">
        <v>1</v>
      </c>
      <c r="E3" s="10" t="s">
        <v>1468</v>
      </c>
      <c r="F3" s="10" t="s">
        <v>980</v>
      </c>
      <c r="G3" s="10" t="s">
        <v>973</v>
      </c>
      <c r="H3" s="29" t="n">
        <v>11446</v>
      </c>
      <c r="I3" s="40" t="n">
        <v>0.7995</v>
      </c>
      <c r="J3" s="25" t="n">
        <f aca="false">ROUND(H3*I3,1)</f>
        <v>9151.1</v>
      </c>
      <c r="K3" s="25" t="n">
        <f aca="false">IFERROR(INDEX(FUEL_TICKET!$Z:$Z,MATCH($E3,FUEL_TICKET!$B:$B,0)),"")</f>
        <v>9151.1</v>
      </c>
      <c r="L3" s="25" t="n">
        <f aca="false">IF(K3="","",ROUND(J3-K3,1))</f>
        <v>0</v>
      </c>
      <c r="M3" s="30" t="n">
        <v>0.842</v>
      </c>
      <c r="N3" s="38" t="n">
        <f aca="false">ROUND(H3*M3,2)</f>
        <v>9637.53</v>
      </c>
      <c r="O3" s="30" t="n">
        <v>0.842</v>
      </c>
      <c r="P3" s="41" t="n">
        <f aca="false">ROUND(M3-O3,4)</f>
        <v>0</v>
      </c>
      <c r="Q3" s="27" t="str">
        <f aca="false">IF(K3="","NO_TICKET",IF(AND(ABS(L3)&lt;=MAX(50,0.02*ABS(K3)),ABS(P3)&lt;=0.0005),"MATCHED","EXCEPTION"))</f>
        <v>MATCHED</v>
      </c>
      <c r="R3" s="27" t="str">
        <f aca="false">IF(COUNTIFS($E$3:$E$16,$E3)&gt;1,"DUPLICATE","UNIQUE")</f>
        <v>DUPLICATE</v>
      </c>
      <c r="S3" s="11"/>
    </row>
    <row r="4" customFormat="false" ht="15" hidden="false" customHeight="false" outlineLevel="0" collapsed="false">
      <c r="A4" s="10" t="s">
        <v>208</v>
      </c>
      <c r="B4" s="10" t="s">
        <v>2394</v>
      </c>
      <c r="C4" s="10" t="s">
        <v>2347</v>
      </c>
      <c r="D4" s="10" t="n">
        <v>2</v>
      </c>
      <c r="E4" s="10" t="s">
        <v>1519</v>
      </c>
      <c r="F4" s="10" t="s">
        <v>980</v>
      </c>
      <c r="G4" s="10" t="s">
        <v>973</v>
      </c>
      <c r="H4" s="29" t="n">
        <v>11447</v>
      </c>
      <c r="I4" s="40" t="n">
        <v>0.7995</v>
      </c>
      <c r="J4" s="25" t="n">
        <f aca="false">ROUND(H4*I4,1)</f>
        <v>9151.9</v>
      </c>
      <c r="K4" s="25" t="n">
        <f aca="false">IFERROR(INDEX(FUEL_TICKET!$Z:$Z,MATCH($E4,FUEL_TICKET!$B:$B,0)),"")</f>
        <v>9151.9</v>
      </c>
      <c r="L4" s="25" t="n">
        <f aca="false">IF(K4="","",ROUND(J4-K4,1))</f>
        <v>0</v>
      </c>
      <c r="M4" s="30" t="n">
        <v>0.842</v>
      </c>
      <c r="N4" s="38" t="n">
        <f aca="false">ROUND(H4*M4,2)</f>
        <v>9638.37</v>
      </c>
      <c r="O4" s="30" t="n">
        <v>0.842</v>
      </c>
      <c r="P4" s="41" t="n">
        <f aca="false">ROUND(M4-O4,4)</f>
        <v>0</v>
      </c>
      <c r="Q4" s="27" t="str">
        <f aca="false">IF(K4="","NO_TICKET",IF(AND(ABS(L4)&lt;=MAX(50,0.02*ABS(K4)),ABS(P4)&lt;=0.0005),"MATCHED","EXCEPTION"))</f>
        <v>MATCHED</v>
      </c>
      <c r="R4" s="27" t="str">
        <f aca="false">IF(COUNTIFS($E$3:$E$16,$E4)&gt;1,"DUPLICATE","UNIQUE")</f>
        <v>UNIQUE</v>
      </c>
      <c r="S4" s="11"/>
    </row>
    <row r="5" customFormat="false" ht="15" hidden="false" customHeight="false" outlineLevel="0" collapsed="false">
      <c r="A5" s="10" t="s">
        <v>208</v>
      </c>
      <c r="B5" s="10" t="s">
        <v>2395</v>
      </c>
      <c r="C5" s="10" t="s">
        <v>2347</v>
      </c>
      <c r="D5" s="10" t="n">
        <v>3</v>
      </c>
      <c r="E5" s="10" t="s">
        <v>1542</v>
      </c>
      <c r="F5" s="10" t="s">
        <v>1023</v>
      </c>
      <c r="G5" s="10" t="s">
        <v>973</v>
      </c>
      <c r="H5" s="29" t="n">
        <v>75244</v>
      </c>
      <c r="I5" s="40" t="n">
        <v>0.7982</v>
      </c>
      <c r="J5" s="25" t="n">
        <f aca="false">ROUND(H5*I5,1)</f>
        <v>60059.8</v>
      </c>
      <c r="K5" s="25" t="n">
        <f aca="false">IFERROR(INDEX(FUEL_TICKET!$Z:$Z,MATCH($E5,FUEL_TICKET!$B:$B,0)),"")</f>
        <v>60059.8</v>
      </c>
      <c r="L5" s="25" t="n">
        <f aca="false">IF(K5="","",ROUND(J5-K5,1))</f>
        <v>0</v>
      </c>
      <c r="M5" s="30" t="n">
        <v>0.842</v>
      </c>
      <c r="N5" s="38" t="n">
        <f aca="false">ROUND(H5*M5,2)</f>
        <v>63355.45</v>
      </c>
      <c r="O5" s="30" t="n">
        <v>0.842</v>
      </c>
      <c r="P5" s="41" t="n">
        <f aca="false">ROUND(M5-O5,4)</f>
        <v>0</v>
      </c>
      <c r="Q5" s="27" t="str">
        <f aca="false">IF(K5="","NO_TICKET",IF(AND(ABS(L5)&lt;=MAX(50,0.02*ABS(K5)),ABS(P5)&lt;=0.0005),"MATCHED","EXCEPTION"))</f>
        <v>MATCHED</v>
      </c>
      <c r="R5" s="27" t="str">
        <f aca="false">IF(COUNTIFS($E$3:$E$16,$E5)&gt;1,"DUPLICATE","UNIQUE")</f>
        <v>UNIQUE</v>
      </c>
      <c r="S5" s="11"/>
    </row>
    <row r="6" customFormat="false" ht="15" hidden="false" customHeight="false" outlineLevel="0" collapsed="false">
      <c r="A6" s="10" t="s">
        <v>208</v>
      </c>
      <c r="B6" s="10" t="s">
        <v>2396</v>
      </c>
      <c r="C6" s="10" t="s">
        <v>2347</v>
      </c>
      <c r="D6" s="10" t="n">
        <v>4</v>
      </c>
      <c r="E6" s="10" t="s">
        <v>1552</v>
      </c>
      <c r="F6" s="10" t="s">
        <v>1023</v>
      </c>
      <c r="G6" s="10" t="s">
        <v>973</v>
      </c>
      <c r="H6" s="29" t="n">
        <v>50278</v>
      </c>
      <c r="I6" s="40" t="n">
        <v>0.7982</v>
      </c>
      <c r="J6" s="25" t="n">
        <f aca="false">ROUND(H6*I6,1)</f>
        <v>40131.9</v>
      </c>
      <c r="K6" s="25" t="n">
        <f aca="false">IFERROR(INDEX(FUEL_TICKET!$Z:$Z,MATCH($E6,FUEL_TICKET!$B:$B,0)),"")</f>
        <v>40131.9</v>
      </c>
      <c r="L6" s="25" t="n">
        <f aca="false">IF(K6="","",ROUND(J6-K6,1))</f>
        <v>0</v>
      </c>
      <c r="M6" s="30" t="n">
        <v>0.842</v>
      </c>
      <c r="N6" s="38" t="n">
        <f aca="false">ROUND(H6*M6,2)</f>
        <v>42334.08</v>
      </c>
      <c r="O6" s="30" t="n">
        <v>0.842</v>
      </c>
      <c r="P6" s="41" t="n">
        <f aca="false">ROUND(M6-O6,4)</f>
        <v>0</v>
      </c>
      <c r="Q6" s="27" t="str">
        <f aca="false">IF(K6="","NO_TICKET",IF(AND(ABS(L6)&lt;=MAX(50,0.02*ABS(K6)),ABS(P6)&lt;=0.0005),"MATCHED","EXCEPTION"))</f>
        <v>MATCHED</v>
      </c>
      <c r="R6" s="27" t="str">
        <f aca="false">IF(COUNTIFS($E$3:$E$16,$E6)&gt;1,"DUPLICATE","UNIQUE")</f>
        <v>UNIQUE</v>
      </c>
      <c r="S6" s="11"/>
    </row>
    <row r="7" customFormat="false" ht="15" hidden="false" customHeight="false" outlineLevel="0" collapsed="false">
      <c r="A7" s="10" t="s">
        <v>208</v>
      </c>
      <c r="B7" s="10" t="s">
        <v>2397</v>
      </c>
      <c r="C7" s="10" t="s">
        <v>2347</v>
      </c>
      <c r="D7" s="10" t="n">
        <v>5</v>
      </c>
      <c r="E7" s="10" t="s">
        <v>1592</v>
      </c>
      <c r="F7" s="10" t="s">
        <v>1038</v>
      </c>
      <c r="G7" s="10" t="s">
        <v>1032</v>
      </c>
      <c r="H7" s="29" t="n">
        <v>11447</v>
      </c>
      <c r="I7" s="40" t="n">
        <v>0.7995</v>
      </c>
      <c r="J7" s="25" t="n">
        <f aca="false">ROUND(H7*I7,1)</f>
        <v>9151.9</v>
      </c>
      <c r="K7" s="25" t="n">
        <f aca="false">IFERROR(INDEX(FUEL_TICKET!$Z:$Z,MATCH($E7,FUEL_TICKET!$B:$B,0)),"")</f>
        <v>9151.9</v>
      </c>
      <c r="L7" s="25" t="n">
        <f aca="false">IF(K7="","",ROUND(J7-K7,1))</f>
        <v>0</v>
      </c>
      <c r="M7" s="30" t="n">
        <v>0.842</v>
      </c>
      <c r="N7" s="38" t="n">
        <f aca="false">ROUND(H7*M7,2)</f>
        <v>9638.37</v>
      </c>
      <c r="O7" s="30" t="n">
        <v>0.842</v>
      </c>
      <c r="P7" s="41" t="n">
        <f aca="false">ROUND(M7-O7,4)</f>
        <v>0</v>
      </c>
      <c r="Q7" s="27" t="str">
        <f aca="false">IF(K7="","NO_TICKET",IF(AND(ABS(L7)&lt;=MAX(50,0.02*ABS(K7)),ABS(P7)&lt;=0.0005),"MATCHED","EXCEPTION"))</f>
        <v>MATCHED</v>
      </c>
      <c r="R7" s="27" t="str">
        <f aca="false">IF(COUNTIFS($E$3:$E$16,$E7)&gt;1,"DUPLICATE","UNIQUE")</f>
        <v>UNIQUE</v>
      </c>
      <c r="S7" s="11"/>
    </row>
    <row r="8" customFormat="false" ht="15" hidden="false" customHeight="false" outlineLevel="0" collapsed="false">
      <c r="A8" s="10" t="s">
        <v>239</v>
      </c>
      <c r="B8" s="10" t="s">
        <v>2398</v>
      </c>
      <c r="C8" s="10" t="s">
        <v>2347</v>
      </c>
      <c r="D8" s="10" t="n">
        <v>6</v>
      </c>
      <c r="E8" s="10" t="s">
        <v>1612</v>
      </c>
      <c r="F8" s="10" t="s">
        <v>1047</v>
      </c>
      <c r="G8" s="10" t="s">
        <v>1032</v>
      </c>
      <c r="H8" s="29" t="n">
        <v>-1996</v>
      </c>
      <c r="I8" s="40" t="n">
        <v>0.7995</v>
      </c>
      <c r="J8" s="25" t="n">
        <f aca="false">ROUND(H8*I8,1)</f>
        <v>-1595.8</v>
      </c>
      <c r="K8" s="25" t="n">
        <f aca="false">IFERROR(INDEX(FUEL_TICKET!$Z:$Z,MATCH($E8,FUEL_TICKET!$B:$B,0)),"")</f>
        <v>-1595.8</v>
      </c>
      <c r="L8" s="25" t="n">
        <f aca="false">IF(K8="","",ROUND(J8-K8,1))</f>
        <v>0</v>
      </c>
      <c r="M8" s="30" t="n">
        <v>0.842</v>
      </c>
      <c r="N8" s="38" t="n">
        <f aca="false">ROUND(H8*M8,2)</f>
        <v>-1680.63</v>
      </c>
      <c r="O8" s="30" t="n">
        <v>0.842</v>
      </c>
      <c r="P8" s="41" t="n">
        <f aca="false">ROUND(M8-O8,4)</f>
        <v>0</v>
      </c>
      <c r="Q8" s="27" t="str">
        <f aca="false">IF(K8="","NO_TICKET",IF(AND(ABS(L8)&lt;=MAX(50,0.02*ABS(K8)),ABS(P8)&lt;=0.0005),"MATCHED","EXCEPTION"))</f>
        <v>MATCHED</v>
      </c>
      <c r="R8" s="27" t="str">
        <f aca="false">IF(COUNTIFS($E$3:$E$16,$E8)&gt;1,"DUPLICATE","UNIQUE")</f>
        <v>UNIQUE</v>
      </c>
      <c r="S8" s="11"/>
    </row>
    <row r="9" customFormat="false" ht="15" hidden="false" customHeight="false" outlineLevel="0" collapsed="false">
      <c r="A9" s="10" t="s">
        <v>219</v>
      </c>
      <c r="B9" s="10" t="s">
        <v>2399</v>
      </c>
      <c r="C9" s="10" t="s">
        <v>2347</v>
      </c>
      <c r="D9" s="10" t="n">
        <v>7</v>
      </c>
      <c r="E9" s="10" t="s">
        <v>1697</v>
      </c>
      <c r="F9" s="10" t="s">
        <v>1092</v>
      </c>
      <c r="G9" s="10" t="s">
        <v>1091</v>
      </c>
      <c r="H9" s="29" t="n">
        <v>15448</v>
      </c>
      <c r="I9" s="40" t="n">
        <v>0.7995</v>
      </c>
      <c r="J9" s="25" t="n">
        <f aca="false">ROUND(H9*I9,1)</f>
        <v>12350.7</v>
      </c>
      <c r="K9" s="25" t="n">
        <f aca="false">IFERROR(INDEX(FUEL_TICKET!$Z:$Z,MATCH($E9,FUEL_TICKET!$B:$B,0)),"")</f>
        <v>12350.7</v>
      </c>
      <c r="L9" s="25" t="n">
        <f aca="false">IF(K9="","",ROUND(J9-K9,1))</f>
        <v>0</v>
      </c>
      <c r="M9" s="30" t="n">
        <v>0.861</v>
      </c>
      <c r="N9" s="38" t="n">
        <f aca="false">ROUND(H9*M9,2)</f>
        <v>13300.73</v>
      </c>
      <c r="O9" s="30" t="n">
        <v>0.842</v>
      </c>
      <c r="P9" s="41" t="n">
        <f aca="false">ROUND(M9-O9,4)</f>
        <v>0.019</v>
      </c>
      <c r="Q9" s="27" t="str">
        <f aca="false">IF(K9="","NO_TICKET",IF(AND(ABS(L9)&lt;=MAX(50,0.02*ABS(K9)),ABS(P9)&lt;=0.0005),"MATCHED","EXCEPTION"))</f>
        <v>EXCEPTION</v>
      </c>
      <c r="R9" s="27" t="str">
        <f aca="false">IF(COUNTIFS($E$3:$E$16,$E9)&gt;1,"DUPLICATE","UNIQUE")</f>
        <v>UNIQUE</v>
      </c>
      <c r="S9" s="11" t="s">
        <v>2400</v>
      </c>
    </row>
    <row r="10" customFormat="false" ht="15" hidden="false" customHeight="false" outlineLevel="0" collapsed="false">
      <c r="A10" s="10" t="s">
        <v>224</v>
      </c>
      <c r="B10" s="10" t="s">
        <v>2401</v>
      </c>
      <c r="C10" s="10" t="s">
        <v>2347</v>
      </c>
      <c r="D10" s="10" t="n">
        <v>8</v>
      </c>
      <c r="E10" s="10" t="s">
        <v>2402</v>
      </c>
      <c r="F10" s="10" t="s">
        <v>980</v>
      </c>
      <c r="G10" s="10" t="s">
        <v>1065</v>
      </c>
      <c r="H10" s="29" t="n">
        <v>9800</v>
      </c>
      <c r="I10" s="40" t="n">
        <v>0.7995</v>
      </c>
      <c r="J10" s="25" t="n">
        <f aca="false">ROUND(H10*I10,1)</f>
        <v>7835.1</v>
      </c>
      <c r="K10" s="25" t="str">
        <f aca="false">IFERROR(INDEX(FUEL_TICKET!$Z:$Z,MATCH($E10,FUEL_TICKET!$B:$B,0)),"")</f>
        <v/>
      </c>
      <c r="L10" s="25" t="str">
        <f aca="false">IF(K10="","",ROUND(J10-K10,1))</f>
        <v/>
      </c>
      <c r="M10" s="30" t="n">
        <v>0.842</v>
      </c>
      <c r="N10" s="38" t="n">
        <f aca="false">ROUND(H10*M10,2)</f>
        <v>8251.6</v>
      </c>
      <c r="O10" s="30" t="n">
        <v>0.842</v>
      </c>
      <c r="P10" s="41" t="n">
        <f aca="false">ROUND(M10-O10,4)</f>
        <v>0</v>
      </c>
      <c r="Q10" s="27" t="str">
        <f aca="false">IF(K10="","NO_TICKET",IF(AND(ABS(L10)&lt;=MAX(50,0.02*ABS(K10)),ABS(P10)&lt;=0.0005),"MATCHED","EXCEPTION"))</f>
        <v>NO_TICKET</v>
      </c>
      <c r="R10" s="27" t="str">
        <f aca="false">IF(COUNTIFS($E$3:$E$16,$E10)&gt;1,"DUPLICATE","UNIQUE")</f>
        <v>UNIQUE</v>
      </c>
      <c r="S10" s="11" t="s">
        <v>2403</v>
      </c>
    </row>
    <row r="11" customFormat="false" ht="15" hidden="false" customHeight="false" outlineLevel="0" collapsed="false">
      <c r="A11" s="10" t="s">
        <v>208</v>
      </c>
      <c r="B11" s="10" t="s">
        <v>2404</v>
      </c>
      <c r="C11" s="10" t="s">
        <v>2352</v>
      </c>
      <c r="D11" s="10" t="n">
        <v>1</v>
      </c>
      <c r="E11" s="10" t="s">
        <v>1727</v>
      </c>
      <c r="F11" s="10" t="s">
        <v>1107</v>
      </c>
      <c r="G11" s="10" t="s">
        <v>1106</v>
      </c>
      <c r="H11" s="29" t="n">
        <v>11447</v>
      </c>
      <c r="I11" s="40" t="n">
        <v>0.7995</v>
      </c>
      <c r="J11" s="25" t="n">
        <f aca="false">ROUND(H11*I11,1)</f>
        <v>9151.9</v>
      </c>
      <c r="K11" s="25" t="n">
        <f aca="false">IFERROR(INDEX(FUEL_TICKET!$Z:$Z,MATCH($E11,FUEL_TICKET!$B:$B,0)),"")</f>
        <v>9151.9</v>
      </c>
      <c r="L11" s="25" t="n">
        <f aca="false">IF(K11="","",ROUND(J11-K11,1))</f>
        <v>0</v>
      </c>
      <c r="M11" s="30" t="n">
        <v>0.842</v>
      </c>
      <c r="N11" s="38" t="n">
        <f aca="false">ROUND(H11*M11,2)</f>
        <v>9638.37</v>
      </c>
      <c r="O11" s="30" t="n">
        <v>0.842</v>
      </c>
      <c r="P11" s="41" t="n">
        <f aca="false">ROUND(M11-O11,4)</f>
        <v>0</v>
      </c>
      <c r="Q11" s="27" t="str">
        <f aca="false">IF(K11="","NO_TICKET",IF(AND(ABS(L11)&lt;=MAX(50,0.02*ABS(K11)),ABS(P11)&lt;=0.0005),"MATCHED","EXCEPTION"))</f>
        <v>MATCHED</v>
      </c>
      <c r="R11" s="27" t="str">
        <f aca="false">IF(COUNTIFS($E$3:$E$16,$E11)&gt;1,"DUPLICATE","UNIQUE")</f>
        <v>UNIQUE</v>
      </c>
      <c r="S11" s="11"/>
    </row>
    <row r="12" customFormat="false" ht="15" hidden="false" customHeight="false" outlineLevel="0" collapsed="false">
      <c r="A12" s="10" t="s">
        <v>214</v>
      </c>
      <c r="B12" s="10" t="s">
        <v>2405</v>
      </c>
      <c r="C12" s="10" t="s">
        <v>2352</v>
      </c>
      <c r="D12" s="10" t="n">
        <v>2</v>
      </c>
      <c r="E12" s="10" t="s">
        <v>1737</v>
      </c>
      <c r="F12" s="10" t="s">
        <v>1111</v>
      </c>
      <c r="G12" s="10" t="s">
        <v>1106</v>
      </c>
      <c r="H12" s="29" t="n">
        <v>11800</v>
      </c>
      <c r="I12" s="40" t="n">
        <v>0.7995</v>
      </c>
      <c r="J12" s="25" t="n">
        <f aca="false">ROUND(H12*I12,1)</f>
        <v>9434.1</v>
      </c>
      <c r="K12" s="25" t="n">
        <f aca="false">IFERROR(INDEX(FUEL_TICKET!$Z:$Z,MATCH($E12,FUEL_TICKET!$B:$B,0)),"")</f>
        <v>9151.9</v>
      </c>
      <c r="L12" s="25" t="n">
        <f aca="false">IF(K12="","",ROUND(J12-K12,1))</f>
        <v>282.2</v>
      </c>
      <c r="M12" s="30" t="n">
        <v>0.842</v>
      </c>
      <c r="N12" s="38" t="n">
        <f aca="false">ROUND(H12*M12,2)</f>
        <v>9935.6</v>
      </c>
      <c r="O12" s="30" t="n">
        <v>0.842</v>
      </c>
      <c r="P12" s="41" t="n">
        <f aca="false">ROUND(M12-O12,4)</f>
        <v>0</v>
      </c>
      <c r="Q12" s="27" t="str">
        <f aca="false">IF(K12="","NO_TICKET",IF(AND(ABS(L12)&lt;=MAX(50,0.02*ABS(K12)),ABS(P12)&lt;=0.0005),"MATCHED","EXCEPTION"))</f>
        <v>EXCEPTION</v>
      </c>
      <c r="R12" s="27" t="str">
        <f aca="false">IF(COUNTIFS($E$3:$E$16,$E12)&gt;1,"DUPLICATE","UNIQUE")</f>
        <v>UNIQUE</v>
      </c>
      <c r="S12" s="11" t="s">
        <v>215</v>
      </c>
    </row>
    <row r="13" customFormat="false" ht="15" hidden="false" customHeight="false" outlineLevel="0" collapsed="false">
      <c r="A13" s="10" t="s">
        <v>229</v>
      </c>
      <c r="B13" s="10" t="s">
        <v>2406</v>
      </c>
      <c r="C13" s="10" t="s">
        <v>2352</v>
      </c>
      <c r="D13" s="10" t="n">
        <v>3</v>
      </c>
      <c r="E13" s="10" t="s">
        <v>1748</v>
      </c>
      <c r="F13" s="10" t="s">
        <v>1115</v>
      </c>
      <c r="G13" s="10" t="s">
        <v>1106</v>
      </c>
      <c r="H13" s="29" t="n">
        <v>12000</v>
      </c>
      <c r="I13" s="40" t="n">
        <v>0.8</v>
      </c>
      <c r="J13" s="25" t="n">
        <f aca="false">ROUND(H13*I13,1)</f>
        <v>9600</v>
      </c>
      <c r="K13" s="25" t="n">
        <f aca="false">IFERROR(INDEX(FUEL_TICKET!$Z:$Z,MATCH($E13,FUEL_TICKET!$B:$B,0)),"")</f>
        <v>9600</v>
      </c>
      <c r="L13" s="25" t="n">
        <f aca="false">IF(K13="","",ROUND(J13-K13,1))</f>
        <v>0</v>
      </c>
      <c r="M13" s="30" t="n">
        <v>0.842</v>
      </c>
      <c r="N13" s="38" t="n">
        <f aca="false">ROUND(H13*M13,2)</f>
        <v>10104</v>
      </c>
      <c r="O13" s="30" t="n">
        <v>0.842</v>
      </c>
      <c r="P13" s="41" t="n">
        <f aca="false">ROUND(M13-O13,4)</f>
        <v>0</v>
      </c>
      <c r="Q13" s="27" t="str">
        <f aca="false">IF(K13="","NO_TICKET",IF(AND(ABS(L13)&lt;=MAX(50,0.02*ABS(K13)),ABS(P13)&lt;=0.0005),"MATCHED","EXCEPTION"))</f>
        <v>MATCHED</v>
      </c>
      <c r="R13" s="27" t="str">
        <f aca="false">IF(COUNTIFS($E$3:$E$16,$E13)&gt;1,"DUPLICATE","UNIQUE")</f>
        <v>UNIQUE</v>
      </c>
      <c r="S13" s="11" t="s">
        <v>2407</v>
      </c>
    </row>
    <row r="14" customFormat="false" ht="15" hidden="false" customHeight="false" outlineLevel="0" collapsed="false">
      <c r="A14" s="10" t="s">
        <v>208</v>
      </c>
      <c r="B14" s="10" t="s">
        <v>2408</v>
      </c>
      <c r="C14" s="10" t="s">
        <v>2352</v>
      </c>
      <c r="D14" s="10" t="n">
        <v>4</v>
      </c>
      <c r="E14" s="10" t="s">
        <v>1809</v>
      </c>
      <c r="F14" s="10" t="s">
        <v>1133</v>
      </c>
      <c r="G14" s="10" t="s">
        <v>1132</v>
      </c>
      <c r="H14" s="29" t="n">
        <v>11447</v>
      </c>
      <c r="I14" s="40" t="n">
        <v>0.7995</v>
      </c>
      <c r="J14" s="25" t="n">
        <f aca="false">ROUND(H14*I14,1)</f>
        <v>9151.9</v>
      </c>
      <c r="K14" s="25" t="n">
        <f aca="false">IFERROR(INDEX(FUEL_TICKET!$Z:$Z,MATCH($E14,FUEL_TICKET!$B:$B,0)),"")</f>
        <v>9151.9</v>
      </c>
      <c r="L14" s="25" t="n">
        <f aca="false">IF(K14="","",ROUND(J14-K14,1))</f>
        <v>0</v>
      </c>
      <c r="M14" s="30" t="n">
        <v>0.842</v>
      </c>
      <c r="N14" s="38" t="n">
        <f aca="false">ROUND(H14*M14,2)</f>
        <v>9638.37</v>
      </c>
      <c r="O14" s="30" t="n">
        <v>0.842</v>
      </c>
      <c r="P14" s="41" t="n">
        <f aca="false">ROUND(M14-O14,4)</f>
        <v>0</v>
      </c>
      <c r="Q14" s="27" t="str">
        <f aca="false">IF(K14="","NO_TICKET",IF(AND(ABS(L14)&lt;=MAX(50,0.02*ABS(K14)),ABS(P14)&lt;=0.0005),"MATCHED","EXCEPTION"))</f>
        <v>MATCHED</v>
      </c>
      <c r="R14" s="27" t="str">
        <f aca="false">IF(COUNTIFS($E$3:$E$16,$E14)&gt;1,"DUPLICATE","UNIQUE")</f>
        <v>UNIQUE</v>
      </c>
      <c r="S14" s="11"/>
    </row>
    <row r="15" customFormat="false" ht="15" hidden="false" customHeight="false" outlineLevel="0" collapsed="false">
      <c r="A15" s="10" t="s">
        <v>244</v>
      </c>
      <c r="B15" s="10" t="s">
        <v>2409</v>
      </c>
      <c r="C15" s="10" t="s">
        <v>2360</v>
      </c>
      <c r="D15" s="10" t="n">
        <v>1</v>
      </c>
      <c r="E15" s="10" t="s">
        <v>1683</v>
      </c>
      <c r="F15" s="10" t="s">
        <v>1079</v>
      </c>
      <c r="G15" s="10" t="s">
        <v>1065</v>
      </c>
      <c r="H15" s="29" t="n">
        <v>24056</v>
      </c>
      <c r="I15" s="40" t="n">
        <v>0.7975</v>
      </c>
      <c r="J15" s="25" t="n">
        <f aca="false">ROUND(H15*I15,1)</f>
        <v>19184.7</v>
      </c>
      <c r="K15" s="25" t="n">
        <f aca="false">IFERROR(INDEX(FUEL_TICKET!$Z:$Z,MATCH($E15,FUEL_TICKET!$B:$B,0)),"")</f>
        <v>19184.7</v>
      </c>
      <c r="L15" s="25" t="n">
        <f aca="false">IF(K15="","",ROUND(J15-K15,1))</f>
        <v>0</v>
      </c>
      <c r="M15" s="30" t="n">
        <v>0.915</v>
      </c>
      <c r="N15" s="38" t="n">
        <f aca="false">ROUND(H15*M15,2)</f>
        <v>22011.24</v>
      </c>
      <c r="O15" s="30" t="n">
        <v>0.915</v>
      </c>
      <c r="P15" s="41" t="n">
        <f aca="false">ROUND(M15-O15,4)</f>
        <v>0</v>
      </c>
      <c r="Q15" s="27" t="str">
        <f aca="false">IF(K15="","NO_TICKET",IF(AND(ABS(L15)&lt;=MAX(50,0.02*ABS(K15)),ABS(P15)&lt;=0.0005),"MATCHED","EXCEPTION"))</f>
        <v>MATCHED</v>
      </c>
      <c r="R15" s="27" t="str">
        <f aca="false">IF(COUNTIFS($E$3:$E$16,$E15)&gt;1,"DUPLICATE","UNIQUE")</f>
        <v>UNIQUE</v>
      </c>
      <c r="S15" s="11" t="s">
        <v>2410</v>
      </c>
    </row>
    <row r="16" customFormat="false" ht="15" hidden="false" customHeight="false" outlineLevel="0" collapsed="false">
      <c r="A16" s="10" t="s">
        <v>254</v>
      </c>
      <c r="B16" s="10" t="s">
        <v>2411</v>
      </c>
      <c r="C16" s="10" t="s">
        <v>2352</v>
      </c>
      <c r="D16" s="10" t="n">
        <v>5</v>
      </c>
      <c r="E16" s="10" t="s">
        <v>1468</v>
      </c>
      <c r="F16" s="10" t="s">
        <v>980</v>
      </c>
      <c r="G16" s="10" t="s">
        <v>973</v>
      </c>
      <c r="H16" s="29" t="n">
        <v>11446</v>
      </c>
      <c r="I16" s="40" t="n">
        <v>0.7995</v>
      </c>
      <c r="J16" s="25" t="n">
        <f aca="false">ROUND(H16*I16,1)</f>
        <v>9151.1</v>
      </c>
      <c r="K16" s="25" t="n">
        <f aca="false">IFERROR(INDEX(FUEL_TICKET!$Z:$Z,MATCH($E16,FUEL_TICKET!$B:$B,0)),"")</f>
        <v>9151.1</v>
      </c>
      <c r="L16" s="25" t="n">
        <f aca="false">IF(K16="","",ROUND(J16-K16,1))</f>
        <v>0</v>
      </c>
      <c r="M16" s="30" t="n">
        <v>0.842</v>
      </c>
      <c r="N16" s="38" t="n">
        <f aca="false">ROUND(H16*M16,2)</f>
        <v>9637.53</v>
      </c>
      <c r="O16" s="30" t="n">
        <v>0.842</v>
      </c>
      <c r="P16" s="41" t="n">
        <f aca="false">ROUND(M16-O16,4)</f>
        <v>0</v>
      </c>
      <c r="Q16" s="27" t="str">
        <f aca="false">IF(K16="","NO_TICKET",IF(AND(ABS(L16)&lt;=MAX(50,0.02*ABS(K16)),ABS(P16)&lt;=0.0005),"MATCHED","EXCEPTION"))</f>
        <v>MATCHED</v>
      </c>
      <c r="R16" s="27" t="str">
        <f aca="false">IF(COUNTIFS($E$3:$E$16,$E16)&gt;1,"DUPLICATE","UNIQUE")</f>
        <v>DUPLICATE</v>
      </c>
      <c r="S16" s="11" t="s">
        <v>2412</v>
      </c>
    </row>
    <row r="19" customFormat="false" ht="16.15" hidden="false" customHeight="false" outlineLevel="0" collapsed="false">
      <c r="A19" s="8" t="s">
        <v>2413</v>
      </c>
    </row>
    <row r="20" customFormat="false" ht="15" hidden="false" customHeight="false" outlineLevel="0" collapsed="false">
      <c r="A20" s="17" t="s">
        <v>1430</v>
      </c>
      <c r="B20" s="17" t="s">
        <v>1174</v>
      </c>
      <c r="C20" s="17" t="s">
        <v>1433</v>
      </c>
      <c r="D20" s="17" t="s">
        <v>2384</v>
      </c>
      <c r="E20" s="17" t="s">
        <v>2414</v>
      </c>
      <c r="F20" s="17" t="s">
        <v>2327</v>
      </c>
    </row>
    <row r="21" customFormat="false" ht="15" hidden="false" customHeight="false" outlineLevel="0" collapsed="false">
      <c r="A21" s="32" t="s">
        <v>1602</v>
      </c>
      <c r="B21" s="32" t="s">
        <v>1047</v>
      </c>
      <c r="C21" s="32" t="s">
        <v>1032</v>
      </c>
      <c r="D21" s="42" t="n">
        <f aca="false">IFERROR(INDEX(FUEL_TICKET!$Z:$Z,MATCH($A21,FUEL_TICKET!$B:$B,0)),"")</f>
        <v>9151.9</v>
      </c>
      <c r="E21" s="33" t="n">
        <f aca="false">COUNTIFS($E$3:$E$16,$A21)</f>
        <v>0</v>
      </c>
      <c r="F21" s="37" t="str">
        <f aca="false">IF(E21=0,"UNBILLED","BILLED")</f>
        <v>UNBILLED</v>
      </c>
    </row>
    <row r="22" customFormat="false" ht="15" hidden="false" customHeight="false" outlineLevel="0" collapsed="false">
      <c r="A22" s="32" t="s">
        <v>1642</v>
      </c>
      <c r="B22" s="32" t="s">
        <v>1066</v>
      </c>
      <c r="C22" s="32" t="s">
        <v>1065</v>
      </c>
      <c r="D22" s="42" t="n">
        <f aca="false">IFERROR(INDEX(FUEL_TICKET!$Z:$Z,MATCH($A22,FUEL_TICKET!$B:$B,0)),"")</f>
        <v>634.8</v>
      </c>
      <c r="E22" s="33" t="n">
        <f aca="false">COUNTIFS($E$3:$E$16,$A22)</f>
        <v>0</v>
      </c>
      <c r="F22" s="37" t="str">
        <f aca="false">IF(E22=0,"UNBILLED","BILLED")</f>
        <v>UNBILLED</v>
      </c>
    </row>
    <row r="23" customFormat="false" ht="15" hidden="false" customHeight="false" outlineLevel="0" collapsed="false">
      <c r="A23" s="32" t="s">
        <v>1663</v>
      </c>
      <c r="B23" s="32" t="s">
        <v>1075</v>
      </c>
      <c r="C23" s="32" t="s">
        <v>1065</v>
      </c>
      <c r="D23" s="42" t="n">
        <f aca="false">IFERROR(INDEX(FUEL_TICKET!$Z:$Z,MATCH($A23,FUEL_TICKET!$B:$B,0)),"")</f>
        <v>9152.8</v>
      </c>
      <c r="E23" s="33" t="n">
        <f aca="false">COUNTIFS($E$3:$E$16,$A23)</f>
        <v>0</v>
      </c>
      <c r="F23" s="37" t="str">
        <f aca="false">IF(E23=0,"UNBILLED","BILLED")</f>
        <v>UNBILLED</v>
      </c>
    </row>
    <row r="24" customFormat="false" ht="15" hidden="false" customHeight="false" outlineLevel="0" collapsed="false">
      <c r="A24" s="32" t="s">
        <v>1758</v>
      </c>
      <c r="B24" s="32" t="s">
        <v>1120</v>
      </c>
      <c r="C24" s="32" t="s">
        <v>1119</v>
      </c>
      <c r="D24" s="42" t="n">
        <f aca="false">IFERROR(INDEX(FUEL_TICKET!$Z:$Z,MATCH($A24,FUEL_TICKET!$B:$B,0)),"")</f>
        <v>399.8</v>
      </c>
      <c r="E24" s="33" t="n">
        <f aca="false">COUNTIFS($E$3:$E$16,$A24)</f>
        <v>0</v>
      </c>
      <c r="F24" s="37" t="str">
        <f aca="false">IF(E24=0,"UNBILLED","BILLED")</f>
        <v>UNBILLED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3" min="3" style="0" width="30"/>
    <col collapsed="false" customWidth="true" hidden="false" outlineLevel="0" max="4" min="4" style="0" width="18"/>
    <col collapsed="false" customWidth="true" hidden="false" outlineLevel="0" max="6" min="5" style="0" width="12"/>
    <col collapsed="false" customWidth="true" hidden="false" outlineLevel="0" max="7" min="7" style="0" width="11"/>
    <col collapsed="false" customWidth="true" hidden="false" outlineLevel="0" max="8" min="8" style="0" width="13"/>
    <col collapsed="false" customWidth="true" hidden="false" outlineLevel="0" max="9" min="9" style="0" width="12"/>
    <col collapsed="false" customWidth="true" hidden="false" outlineLevel="0" max="10" min="10" style="0" width="11"/>
    <col collapsed="false" customWidth="true" hidden="false" outlineLevel="0" max="13" min="11" style="0" width="13"/>
    <col collapsed="false" customWidth="true" hidden="false" outlineLevel="0" max="14" min="14" style="0" width="8"/>
    <col collapsed="false" customWidth="true" hidden="false" outlineLevel="0" max="15" min="15" style="0" width="11"/>
    <col collapsed="false" customWidth="true" hidden="false" outlineLevel="0" max="16" min="16" style="0" width="10"/>
    <col collapsed="false" customWidth="true" hidden="false" outlineLevel="0" max="18" min="17" style="0" width="13"/>
    <col collapsed="false" customWidth="true" hidden="false" outlineLevel="0" max="19" min="19" style="0" width="34"/>
  </cols>
  <sheetData>
    <row r="1" customFormat="false" ht="16.15" hidden="false" customHeight="false" outlineLevel="0" collapsed="false">
      <c r="A1" s="8" t="s">
        <v>2415</v>
      </c>
    </row>
    <row r="2" customFormat="false" ht="30" hidden="false" customHeight="true" outlineLevel="0" collapsed="false">
      <c r="A2" s="9" t="s">
        <v>2416</v>
      </c>
      <c r="B2" s="9" t="s">
        <v>2417</v>
      </c>
      <c r="C2" s="9" t="s">
        <v>2418</v>
      </c>
      <c r="D2" s="9" t="s">
        <v>2419</v>
      </c>
      <c r="E2" s="9" t="s">
        <v>2420</v>
      </c>
      <c r="F2" s="9" t="s">
        <v>2421</v>
      </c>
      <c r="G2" s="9" t="s">
        <v>1437</v>
      </c>
      <c r="H2" s="9" t="s">
        <v>2422</v>
      </c>
      <c r="I2" s="9" t="s">
        <v>2423</v>
      </c>
      <c r="J2" s="9" t="s">
        <v>2424</v>
      </c>
      <c r="K2" s="9" t="s">
        <v>2425</v>
      </c>
      <c r="L2" s="9" t="s">
        <v>2426</v>
      </c>
      <c r="M2" s="9" t="s">
        <v>2427</v>
      </c>
      <c r="N2" s="9" t="s">
        <v>2428</v>
      </c>
      <c r="O2" s="9" t="s">
        <v>2429</v>
      </c>
      <c r="P2" s="9" t="s">
        <v>2430</v>
      </c>
      <c r="Q2" s="9" t="s">
        <v>2327</v>
      </c>
      <c r="R2" s="9" t="s">
        <v>2339</v>
      </c>
      <c r="S2" s="9" t="s">
        <v>1189</v>
      </c>
    </row>
    <row r="3" customFormat="false" ht="15" hidden="false" customHeight="false" outlineLevel="0" collapsed="false">
      <c r="A3" s="12" t="s">
        <v>2431</v>
      </c>
      <c r="B3" s="12" t="s">
        <v>2432</v>
      </c>
      <c r="C3" s="12" t="s">
        <v>2433</v>
      </c>
      <c r="D3" s="12" t="s">
        <v>2434</v>
      </c>
      <c r="E3" s="12" t="s">
        <v>2435</v>
      </c>
      <c r="F3" s="12" t="n">
        <v>0</v>
      </c>
      <c r="G3" s="12" t="s">
        <v>1472</v>
      </c>
      <c r="H3" s="12"/>
      <c r="I3" s="12"/>
      <c r="J3" s="43"/>
      <c r="K3" s="44"/>
      <c r="L3" s="45" t="n">
        <v>0.8</v>
      </c>
      <c r="M3" s="12"/>
      <c r="N3" s="12" t="s">
        <v>2436</v>
      </c>
      <c r="O3" s="12" t="s">
        <v>2437</v>
      </c>
      <c r="P3" s="12"/>
      <c r="Q3" s="12" t="s">
        <v>1197</v>
      </c>
      <c r="R3" s="12" t="s">
        <v>2438</v>
      </c>
      <c r="S3" s="46" t="s">
        <v>2439</v>
      </c>
    </row>
    <row r="4" customFormat="false" ht="15" hidden="false" customHeight="false" outlineLevel="0" collapsed="false">
      <c r="A4" s="12" t="s">
        <v>2440</v>
      </c>
      <c r="B4" s="12" t="s">
        <v>2432</v>
      </c>
      <c r="C4" s="12" t="s">
        <v>2441</v>
      </c>
      <c r="D4" s="12" t="s">
        <v>2442</v>
      </c>
      <c r="E4" s="12" t="s">
        <v>2443</v>
      </c>
      <c r="F4" s="12" t="n">
        <v>40</v>
      </c>
      <c r="G4" s="12" t="s">
        <v>1472</v>
      </c>
      <c r="H4" s="12"/>
      <c r="I4" s="12"/>
      <c r="J4" s="43"/>
      <c r="K4" s="44"/>
      <c r="L4" s="45" t="n">
        <v>0.7995</v>
      </c>
      <c r="M4" s="12"/>
      <c r="N4" s="12" t="s">
        <v>2436</v>
      </c>
      <c r="O4" s="12" t="s">
        <v>2444</v>
      </c>
      <c r="P4" s="12"/>
      <c r="Q4" s="12" t="s">
        <v>1197</v>
      </c>
      <c r="R4" s="12" t="s">
        <v>2438</v>
      </c>
      <c r="S4" s="46" t="s">
        <v>2445</v>
      </c>
    </row>
    <row r="5" customFormat="false" ht="15" hidden="false" customHeight="false" outlineLevel="0" collapsed="false">
      <c r="A5" s="12" t="s">
        <v>2446</v>
      </c>
      <c r="B5" s="12" t="s">
        <v>2432</v>
      </c>
      <c r="C5" s="12" t="s">
        <v>2441</v>
      </c>
      <c r="D5" s="12" t="s">
        <v>2442</v>
      </c>
      <c r="E5" s="12" t="s">
        <v>2443</v>
      </c>
      <c r="F5" s="12" t="n">
        <v>40</v>
      </c>
      <c r="G5" s="12" t="s">
        <v>1472</v>
      </c>
      <c r="H5" s="12"/>
      <c r="I5" s="12"/>
      <c r="J5" s="43"/>
      <c r="K5" s="44"/>
      <c r="L5" s="45" t="n">
        <v>0.801</v>
      </c>
      <c r="M5" s="12"/>
      <c r="N5" s="12" t="s">
        <v>2436</v>
      </c>
      <c r="O5" s="12" t="s">
        <v>2437</v>
      </c>
      <c r="P5" s="12" t="s">
        <v>2447</v>
      </c>
      <c r="Q5" s="12" t="s">
        <v>1202</v>
      </c>
      <c r="R5" s="12" t="s">
        <v>2438</v>
      </c>
      <c r="S5" s="46" t="s">
        <v>2448</v>
      </c>
    </row>
    <row r="6" customFormat="false" ht="15" hidden="false" customHeight="false" outlineLevel="0" collapsed="false">
      <c r="A6" s="12" t="s">
        <v>2449</v>
      </c>
      <c r="B6" s="12" t="s">
        <v>2432</v>
      </c>
      <c r="C6" s="12" t="s">
        <v>2450</v>
      </c>
      <c r="D6" s="12" t="s">
        <v>2442</v>
      </c>
      <c r="E6" s="12" t="s">
        <v>2451</v>
      </c>
      <c r="F6" s="12" t="n">
        <v>40</v>
      </c>
      <c r="G6" s="12" t="s">
        <v>1472</v>
      </c>
      <c r="H6" s="12"/>
      <c r="I6" s="12"/>
      <c r="J6" s="43"/>
      <c r="K6" s="44"/>
      <c r="L6" s="45" t="n">
        <v>0.7975</v>
      </c>
      <c r="M6" s="12"/>
      <c r="N6" s="12" t="s">
        <v>2436</v>
      </c>
      <c r="O6" s="12" t="s">
        <v>2437</v>
      </c>
      <c r="P6" s="12"/>
      <c r="Q6" s="12" t="s">
        <v>1197</v>
      </c>
      <c r="R6" s="12" t="s">
        <v>2438</v>
      </c>
      <c r="S6" s="46" t="s">
        <v>2452</v>
      </c>
    </row>
    <row r="7" customFormat="false" ht="15" hidden="false" customHeight="false" outlineLevel="0" collapsed="false">
      <c r="A7" s="12" t="s">
        <v>2453</v>
      </c>
      <c r="B7" s="12" t="s">
        <v>2454</v>
      </c>
      <c r="C7" s="12" t="s">
        <v>2455</v>
      </c>
      <c r="D7" s="12" t="s">
        <v>2434</v>
      </c>
      <c r="E7" s="12" t="s">
        <v>2435</v>
      </c>
      <c r="F7" s="12" t="n">
        <v>0</v>
      </c>
      <c r="G7" s="12"/>
      <c r="H7" s="12"/>
      <c r="I7" s="12"/>
      <c r="J7" s="43" t="n">
        <v>0.02</v>
      </c>
      <c r="K7" s="44" t="n">
        <v>50</v>
      </c>
      <c r="L7" s="45"/>
      <c r="M7" s="12" t="s">
        <v>2456</v>
      </c>
      <c r="N7" s="12" t="s">
        <v>1196</v>
      </c>
      <c r="O7" s="12" t="s">
        <v>2437</v>
      </c>
      <c r="P7" s="12"/>
      <c r="Q7" s="12" t="s">
        <v>1197</v>
      </c>
      <c r="R7" s="12" t="s">
        <v>2457</v>
      </c>
      <c r="S7" s="46" t="s">
        <v>2439</v>
      </c>
    </row>
    <row r="8" customFormat="false" ht="15" hidden="false" customHeight="false" outlineLevel="0" collapsed="false">
      <c r="A8" s="12" t="s">
        <v>2458</v>
      </c>
      <c r="B8" s="12" t="s">
        <v>2454</v>
      </c>
      <c r="C8" s="12" t="s">
        <v>2459</v>
      </c>
      <c r="D8" s="12" t="s">
        <v>2460</v>
      </c>
      <c r="E8" s="12" t="s">
        <v>979</v>
      </c>
      <c r="F8" s="12" t="n">
        <v>30</v>
      </c>
      <c r="G8" s="12"/>
      <c r="H8" s="12" t="n">
        <v>0</v>
      </c>
      <c r="I8" s="12" t="n">
        <v>5000</v>
      </c>
      <c r="J8" s="43" t="n">
        <v>0.03</v>
      </c>
      <c r="K8" s="44" t="n">
        <v>50</v>
      </c>
      <c r="L8" s="45"/>
      <c r="M8" s="12" t="s">
        <v>2456</v>
      </c>
      <c r="N8" s="12" t="s">
        <v>1196</v>
      </c>
      <c r="O8" s="12" t="s">
        <v>2437</v>
      </c>
      <c r="P8" s="12"/>
      <c r="Q8" s="12" t="s">
        <v>1197</v>
      </c>
      <c r="R8" s="12" t="s">
        <v>2457</v>
      </c>
      <c r="S8" s="46" t="s">
        <v>2461</v>
      </c>
    </row>
    <row r="9" customFormat="false" ht="23.85" hidden="false" customHeight="false" outlineLevel="0" collapsed="false">
      <c r="A9" s="12" t="s">
        <v>2462</v>
      </c>
      <c r="B9" s="12" t="s">
        <v>2454</v>
      </c>
      <c r="C9" s="12" t="s">
        <v>2463</v>
      </c>
      <c r="D9" s="12" t="s">
        <v>2460</v>
      </c>
      <c r="E9" s="12" t="s">
        <v>1022</v>
      </c>
      <c r="F9" s="12" t="n">
        <v>30</v>
      </c>
      <c r="G9" s="12"/>
      <c r="H9" s="12" t="n">
        <v>50000</v>
      </c>
      <c r="I9" s="12"/>
      <c r="J9" s="43" t="n">
        <v>0.015</v>
      </c>
      <c r="K9" s="44" t="n">
        <v>500</v>
      </c>
      <c r="L9" s="45"/>
      <c r="M9" s="12" t="s">
        <v>2456</v>
      </c>
      <c r="N9" s="12" t="s">
        <v>1196</v>
      </c>
      <c r="O9" s="12" t="s">
        <v>2437</v>
      </c>
      <c r="P9" s="12"/>
      <c r="Q9" s="12" t="s">
        <v>1197</v>
      </c>
      <c r="R9" s="12" t="s">
        <v>2457</v>
      </c>
      <c r="S9" s="46" t="s">
        <v>2464</v>
      </c>
    </row>
    <row r="10" customFormat="false" ht="15" hidden="false" customHeight="false" outlineLevel="0" collapsed="false">
      <c r="A10" s="12" t="s">
        <v>2465</v>
      </c>
      <c r="B10" s="12" t="s">
        <v>2466</v>
      </c>
      <c r="C10" s="12" t="s">
        <v>2467</v>
      </c>
      <c r="D10" s="12" t="s">
        <v>2434</v>
      </c>
      <c r="E10" s="12" t="s">
        <v>2435</v>
      </c>
      <c r="F10" s="12" t="n">
        <v>0</v>
      </c>
      <c r="G10" s="12"/>
      <c r="H10" s="12"/>
      <c r="I10" s="12"/>
      <c r="J10" s="43" t="n">
        <v>0.01</v>
      </c>
      <c r="K10" s="44" t="n">
        <v>50</v>
      </c>
      <c r="L10" s="45"/>
      <c r="M10" s="12" t="s">
        <v>2456</v>
      </c>
      <c r="N10" s="12" t="s">
        <v>1196</v>
      </c>
      <c r="O10" s="12" t="s">
        <v>2437</v>
      </c>
      <c r="P10" s="12"/>
      <c r="Q10" s="12" t="s">
        <v>1197</v>
      </c>
      <c r="R10" s="12" t="s">
        <v>2457</v>
      </c>
      <c r="S10" s="46" t="s">
        <v>2439</v>
      </c>
    </row>
    <row r="11" customFormat="false" ht="15" hidden="false" customHeight="false" outlineLevel="0" collapsed="false">
      <c r="A11" s="12" t="s">
        <v>2468</v>
      </c>
      <c r="B11" s="12" t="s">
        <v>2466</v>
      </c>
      <c r="C11" s="12" t="s">
        <v>2469</v>
      </c>
      <c r="D11" s="12" t="s">
        <v>2442</v>
      </c>
      <c r="E11" s="12" t="s">
        <v>2443</v>
      </c>
      <c r="F11" s="12" t="n">
        <v>40</v>
      </c>
      <c r="G11" s="12"/>
      <c r="H11" s="12"/>
      <c r="I11" s="12"/>
      <c r="J11" s="43" t="n">
        <v>0.008</v>
      </c>
      <c r="K11" s="44" t="n">
        <v>50</v>
      </c>
      <c r="L11" s="45"/>
      <c r="M11" s="12" t="s">
        <v>2456</v>
      </c>
      <c r="N11" s="12" t="s">
        <v>1196</v>
      </c>
      <c r="O11" s="12" t="s">
        <v>2470</v>
      </c>
      <c r="P11" s="12"/>
      <c r="Q11" s="12" t="s">
        <v>1197</v>
      </c>
      <c r="R11" s="12" t="s">
        <v>2457</v>
      </c>
      <c r="S11" s="46" t="s">
        <v>2471</v>
      </c>
    </row>
    <row r="12" customFormat="false" ht="15" hidden="false" customHeight="false" outlineLevel="0" collapsed="false">
      <c r="A12" s="12" t="s">
        <v>2472</v>
      </c>
      <c r="B12" s="12" t="s">
        <v>2473</v>
      </c>
      <c r="C12" s="12" t="s">
        <v>2474</v>
      </c>
      <c r="D12" s="12" t="s">
        <v>2475</v>
      </c>
      <c r="E12" s="12" t="s">
        <v>1472</v>
      </c>
      <c r="F12" s="12" t="n">
        <v>10</v>
      </c>
      <c r="G12" s="12" t="s">
        <v>1472</v>
      </c>
      <c r="H12" s="12"/>
      <c r="I12" s="12"/>
      <c r="J12" s="43"/>
      <c r="K12" s="44"/>
      <c r="L12" s="45" t="n">
        <v>0.775</v>
      </c>
      <c r="M12" s="12" t="s">
        <v>2476</v>
      </c>
      <c r="N12" s="12" t="s">
        <v>2436</v>
      </c>
      <c r="O12" s="12" t="s">
        <v>2437</v>
      </c>
      <c r="P12" s="12"/>
      <c r="Q12" s="12" t="s">
        <v>1197</v>
      </c>
      <c r="R12" s="12" t="s">
        <v>2477</v>
      </c>
      <c r="S12" s="46" t="s">
        <v>2478</v>
      </c>
    </row>
    <row r="13" customFormat="false" ht="15" hidden="false" customHeight="false" outlineLevel="0" collapsed="false">
      <c r="A13" s="12" t="s">
        <v>2479</v>
      </c>
      <c r="B13" s="12" t="s">
        <v>2480</v>
      </c>
      <c r="C13" s="12" t="s">
        <v>2481</v>
      </c>
      <c r="D13" s="12" t="s">
        <v>2475</v>
      </c>
      <c r="E13" s="12" t="s">
        <v>1472</v>
      </c>
      <c r="F13" s="12" t="n">
        <v>10</v>
      </c>
      <c r="G13" s="12" t="s">
        <v>1472</v>
      </c>
      <c r="H13" s="12"/>
      <c r="I13" s="12"/>
      <c r="J13" s="43"/>
      <c r="K13" s="44"/>
      <c r="L13" s="45" t="n">
        <v>0.84</v>
      </c>
      <c r="M13" s="12" t="s">
        <v>2476</v>
      </c>
      <c r="N13" s="12" t="s">
        <v>2436</v>
      </c>
      <c r="O13" s="12" t="s">
        <v>2437</v>
      </c>
      <c r="P13" s="12"/>
      <c r="Q13" s="12" t="s">
        <v>1197</v>
      </c>
      <c r="R13" s="12" t="s">
        <v>2477</v>
      </c>
      <c r="S13" s="46" t="s">
        <v>2478</v>
      </c>
    </row>
    <row r="14" customFormat="false" ht="35.05" hidden="false" customHeight="false" outlineLevel="0" collapsed="false">
      <c r="A14" s="12" t="s">
        <v>2482</v>
      </c>
      <c r="B14" s="12" t="s">
        <v>2483</v>
      </c>
      <c r="C14" s="12" t="s">
        <v>2484</v>
      </c>
      <c r="D14" s="12" t="s">
        <v>2434</v>
      </c>
      <c r="E14" s="12" t="s">
        <v>2435</v>
      </c>
      <c r="F14" s="12" t="n">
        <v>0</v>
      </c>
      <c r="G14" s="12"/>
      <c r="H14" s="12"/>
      <c r="I14" s="12"/>
      <c r="J14" s="43"/>
      <c r="K14" s="44"/>
      <c r="L14" s="45"/>
      <c r="M14" s="12"/>
      <c r="N14" s="12" t="s">
        <v>2485</v>
      </c>
      <c r="O14" s="12" t="s">
        <v>2437</v>
      </c>
      <c r="P14" s="12"/>
      <c r="Q14" s="12" t="s">
        <v>1197</v>
      </c>
      <c r="R14" s="12" t="s">
        <v>2486</v>
      </c>
      <c r="S14" s="46" t="s">
        <v>2487</v>
      </c>
    </row>
    <row r="15" customFormat="false" ht="35.05" hidden="false" customHeight="false" outlineLevel="0" collapsed="false">
      <c r="A15" s="12" t="s">
        <v>2488</v>
      </c>
      <c r="B15" s="12" t="s">
        <v>2489</v>
      </c>
      <c r="C15" s="12" t="s">
        <v>2490</v>
      </c>
      <c r="D15" s="12" t="s">
        <v>2434</v>
      </c>
      <c r="E15" s="12" t="s">
        <v>2435</v>
      </c>
      <c r="F15" s="12" t="n">
        <v>0</v>
      </c>
      <c r="G15" s="12"/>
      <c r="H15" s="12"/>
      <c r="I15" s="12"/>
      <c r="J15" s="43"/>
      <c r="K15" s="44"/>
      <c r="L15" s="45"/>
      <c r="M15" s="12"/>
      <c r="N15" s="12" t="s">
        <v>2485</v>
      </c>
      <c r="O15" s="12" t="s">
        <v>2437</v>
      </c>
      <c r="P15" s="12"/>
      <c r="Q15" s="12" t="s">
        <v>1197</v>
      </c>
      <c r="R15" s="12" t="s">
        <v>2486</v>
      </c>
      <c r="S15" s="46" t="s">
        <v>2491</v>
      </c>
    </row>
    <row r="16" customFormat="false" ht="15" hidden="false" customHeight="false" outlineLevel="0" collapsed="false">
      <c r="A16" s="12" t="s">
        <v>2492</v>
      </c>
      <c r="B16" s="12" t="s">
        <v>2493</v>
      </c>
      <c r="C16" s="12" t="s">
        <v>2494</v>
      </c>
      <c r="D16" s="12" t="s">
        <v>2434</v>
      </c>
      <c r="E16" s="12" t="s">
        <v>2435</v>
      </c>
      <c r="F16" s="12" t="n">
        <v>0</v>
      </c>
      <c r="G16" s="12"/>
      <c r="H16" s="12"/>
      <c r="I16" s="12"/>
      <c r="J16" s="43"/>
      <c r="K16" s="44"/>
      <c r="L16" s="45"/>
      <c r="M16" s="12"/>
      <c r="N16" s="12" t="s">
        <v>2495</v>
      </c>
      <c r="O16" s="12" t="s">
        <v>2437</v>
      </c>
      <c r="P16" s="12"/>
      <c r="Q16" s="12" t="s">
        <v>1197</v>
      </c>
      <c r="R16" s="12" t="s">
        <v>2486</v>
      </c>
      <c r="S16" s="46" t="s">
        <v>2496</v>
      </c>
    </row>
    <row r="17" customFormat="false" ht="15" hidden="false" customHeight="false" outlineLevel="0" collapsed="false">
      <c r="A17" s="12" t="s">
        <v>2497</v>
      </c>
      <c r="B17" s="12" t="s">
        <v>2498</v>
      </c>
      <c r="C17" s="12" t="s">
        <v>2499</v>
      </c>
      <c r="D17" s="12" t="s">
        <v>2434</v>
      </c>
      <c r="E17" s="12" t="s">
        <v>2435</v>
      </c>
      <c r="F17" s="12" t="n">
        <v>0</v>
      </c>
      <c r="G17" s="12"/>
      <c r="H17" s="12"/>
      <c r="I17" s="12"/>
      <c r="J17" s="43"/>
      <c r="K17" s="44" t="n">
        <v>0.0005</v>
      </c>
      <c r="L17" s="45"/>
      <c r="M17" s="12" t="s">
        <v>2476</v>
      </c>
      <c r="N17" s="12" t="s">
        <v>2349</v>
      </c>
      <c r="O17" s="12" t="s">
        <v>2437</v>
      </c>
      <c r="P17" s="12"/>
      <c r="Q17" s="12" t="s">
        <v>1197</v>
      </c>
      <c r="R17" s="12" t="s">
        <v>2354</v>
      </c>
      <c r="S17" s="46" t="s">
        <v>2500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5"/>
    <col collapsed="false" customWidth="true" hidden="false" outlineLevel="0" max="3" min="3" style="0" width="14"/>
    <col collapsed="false" customWidth="true" hidden="false" outlineLevel="0" max="4" min="4" style="0" width="17"/>
    <col collapsed="false" customWidth="true" hidden="false" outlineLevel="0" max="5" min="5" style="0" width="13"/>
    <col collapsed="false" customWidth="true" hidden="false" outlineLevel="0" max="6" min="6" style="0" width="20"/>
    <col collapsed="false" customWidth="true" hidden="false" outlineLevel="0" max="7" min="7" style="0" width="13"/>
    <col collapsed="false" customWidth="true" hidden="false" outlineLevel="0" max="8" min="8" style="0" width="11"/>
    <col collapsed="false" customWidth="true" hidden="false" outlineLevel="0" max="11" min="9" style="0" width="13"/>
    <col collapsed="false" customWidth="true" hidden="false" outlineLevel="0" max="12" min="12" style="0" width="15"/>
    <col collapsed="false" customWidth="true" hidden="false" outlineLevel="0" max="13" min="13" style="0" width="19"/>
    <col collapsed="false" customWidth="true" hidden="false" outlineLevel="0" max="14" min="14" style="0" width="12"/>
  </cols>
  <sheetData>
    <row r="1" customFormat="false" ht="16.15" hidden="false" customHeight="false" outlineLevel="0" collapsed="false">
      <c r="A1" s="8" t="s">
        <v>2501</v>
      </c>
    </row>
    <row r="2" customFormat="false" ht="30" hidden="false" customHeight="true" outlineLevel="0" collapsed="false">
      <c r="A2" s="9" t="s">
        <v>2502</v>
      </c>
      <c r="B2" s="9" t="s">
        <v>2503</v>
      </c>
      <c r="C2" s="9" t="s">
        <v>2504</v>
      </c>
      <c r="D2" s="9" t="s">
        <v>2417</v>
      </c>
      <c r="E2" s="9" t="s">
        <v>2416</v>
      </c>
      <c r="F2" s="9" t="s">
        <v>2505</v>
      </c>
      <c r="G2" s="9" t="s">
        <v>2506</v>
      </c>
      <c r="H2" s="9" t="s">
        <v>2424</v>
      </c>
      <c r="I2" s="9" t="s">
        <v>2425</v>
      </c>
      <c r="J2" s="9" t="s">
        <v>2426</v>
      </c>
      <c r="K2" s="9" t="s">
        <v>2427</v>
      </c>
      <c r="L2" s="9" t="s">
        <v>2507</v>
      </c>
      <c r="M2" s="9" t="s">
        <v>2508</v>
      </c>
      <c r="N2" s="9" t="s">
        <v>2509</v>
      </c>
    </row>
    <row r="3" customFormat="false" ht="15" hidden="false" customHeight="false" outlineLevel="0" collapsed="false">
      <c r="A3" s="12" t="s">
        <v>2510</v>
      </c>
      <c r="B3" s="12" t="s">
        <v>2511</v>
      </c>
      <c r="C3" s="12" t="s">
        <v>1468</v>
      </c>
      <c r="D3" s="12" t="s">
        <v>2454</v>
      </c>
      <c r="E3" s="12" t="s">
        <v>2453</v>
      </c>
      <c r="F3" s="24" t="str">
        <f aca="false">INDEX(FUEL_PARAMETER!$E:$E,MATCH($E3,FUEL_PARAMETER!$A:$A,0))</f>
        <v>*</v>
      </c>
      <c r="G3" s="29" t="n">
        <v>9151.1</v>
      </c>
      <c r="H3" s="41" t="n">
        <f aca="false">INDEX(FUEL_PARAMETER!$J:$J,MATCH($E3,FUEL_PARAMETER!$A:$A,0))</f>
        <v>0.02</v>
      </c>
      <c r="I3" s="47" t="n">
        <f aca="false">INDEX(FUEL_PARAMETER!$K:$K,MATCH($E3,FUEL_PARAMETER!$A:$A,0))</f>
        <v>50</v>
      </c>
      <c r="J3" s="48" t="n">
        <f aca="false">INDEX(FUEL_PARAMETER!$L:$L,MATCH($E3,FUEL_PARAMETER!$A:$A,0))</f>
        <v>0</v>
      </c>
      <c r="K3" s="24" t="str">
        <f aca="false">INDEX(FUEL_PARAMETER!$M:$M,MATCH($E3,FUEL_PARAMETER!$A:$A,0))</f>
        <v>GREATER_OF</v>
      </c>
      <c r="L3" s="49" t="n">
        <f aca="false">IF(K3="ABS_ONLY",IF(I3="",J3,I3),IF(K3="PCT_ONLY",ROUND(H3*G3,1),IF(K3="GREATER_OF",ROUND(MAX(I3,H3*G3),1),IF(K3="LESSER_OF",ROUND(MIN(I3,H3*G3),1),J3))))</f>
        <v>183</v>
      </c>
      <c r="M3" s="10" t="s">
        <v>2512</v>
      </c>
      <c r="N3" s="12" t="s">
        <v>973</v>
      </c>
    </row>
    <row r="4" customFormat="false" ht="15" hidden="false" customHeight="false" outlineLevel="0" collapsed="false">
      <c r="A4" s="12" t="s">
        <v>2513</v>
      </c>
      <c r="B4" s="12" t="s">
        <v>2511</v>
      </c>
      <c r="C4" s="12" t="s">
        <v>1663</v>
      </c>
      <c r="D4" s="12" t="s">
        <v>2454</v>
      </c>
      <c r="E4" s="12" t="s">
        <v>2453</v>
      </c>
      <c r="F4" s="24" t="str">
        <f aca="false">INDEX(FUEL_PARAMETER!$E:$E,MATCH($E4,FUEL_PARAMETER!$A:$A,0))</f>
        <v>*</v>
      </c>
      <c r="G4" s="29" t="n">
        <v>9152.8</v>
      </c>
      <c r="H4" s="41" t="n">
        <f aca="false">INDEX(FUEL_PARAMETER!$J:$J,MATCH($E4,FUEL_PARAMETER!$A:$A,0))</f>
        <v>0.02</v>
      </c>
      <c r="I4" s="47" t="n">
        <f aca="false">INDEX(FUEL_PARAMETER!$K:$K,MATCH($E4,FUEL_PARAMETER!$A:$A,0))</f>
        <v>50</v>
      </c>
      <c r="J4" s="48" t="n">
        <f aca="false">INDEX(FUEL_PARAMETER!$L:$L,MATCH($E4,FUEL_PARAMETER!$A:$A,0))</f>
        <v>0</v>
      </c>
      <c r="K4" s="24" t="str">
        <f aca="false">INDEX(FUEL_PARAMETER!$M:$M,MATCH($E4,FUEL_PARAMETER!$A:$A,0))</f>
        <v>GREATER_OF</v>
      </c>
      <c r="L4" s="49" t="n">
        <f aca="false">IF(K4="ABS_ONLY",IF(I4="",J4,I4),IF(K4="PCT_ONLY",ROUND(H4*G4,1),IF(K4="GREATER_OF",ROUND(MAX(I4,H4*G4),1),IF(K4="LESSER_OF",ROUND(MIN(I4,H4*G4),1),J4))))</f>
        <v>183.1</v>
      </c>
      <c r="M4" s="10" t="s">
        <v>2512</v>
      </c>
      <c r="N4" s="12" t="s">
        <v>1065</v>
      </c>
    </row>
    <row r="5" customFormat="false" ht="15" hidden="false" customHeight="false" outlineLevel="0" collapsed="false">
      <c r="A5" s="12" t="s">
        <v>2514</v>
      </c>
      <c r="B5" s="12" t="s">
        <v>2511</v>
      </c>
      <c r="C5" s="12" t="s">
        <v>1727</v>
      </c>
      <c r="D5" s="12" t="s">
        <v>2454</v>
      </c>
      <c r="E5" s="12" t="s">
        <v>2453</v>
      </c>
      <c r="F5" s="24" t="str">
        <f aca="false">INDEX(FUEL_PARAMETER!$E:$E,MATCH($E5,FUEL_PARAMETER!$A:$A,0))</f>
        <v>*</v>
      </c>
      <c r="G5" s="29" t="n">
        <v>9151.9</v>
      </c>
      <c r="H5" s="41" t="n">
        <f aca="false">INDEX(FUEL_PARAMETER!$J:$J,MATCH($E5,FUEL_PARAMETER!$A:$A,0))</f>
        <v>0.02</v>
      </c>
      <c r="I5" s="47" t="n">
        <f aca="false">INDEX(FUEL_PARAMETER!$K:$K,MATCH($E5,FUEL_PARAMETER!$A:$A,0))</f>
        <v>50</v>
      </c>
      <c r="J5" s="48" t="n">
        <f aca="false">INDEX(FUEL_PARAMETER!$L:$L,MATCH($E5,FUEL_PARAMETER!$A:$A,0))</f>
        <v>0</v>
      </c>
      <c r="K5" s="24" t="str">
        <f aca="false">INDEX(FUEL_PARAMETER!$M:$M,MATCH($E5,FUEL_PARAMETER!$A:$A,0))</f>
        <v>GREATER_OF</v>
      </c>
      <c r="L5" s="49" t="n">
        <f aca="false">IF(K5="ABS_ONLY",IF(I5="",J5,I5),IF(K5="PCT_ONLY",ROUND(H5*G5,1),IF(K5="GREATER_OF",ROUND(MAX(I5,H5*G5),1),IF(K5="LESSER_OF",ROUND(MIN(I5,H5*G5),1),J5))))</f>
        <v>183</v>
      </c>
      <c r="M5" s="10" t="s">
        <v>2512</v>
      </c>
      <c r="N5" s="12" t="s">
        <v>1106</v>
      </c>
    </row>
    <row r="6" customFormat="false" ht="15" hidden="false" customHeight="false" outlineLevel="0" collapsed="false">
      <c r="A6" s="12" t="s">
        <v>2515</v>
      </c>
      <c r="B6" s="12" t="s">
        <v>2511</v>
      </c>
      <c r="C6" s="12" t="s">
        <v>1737</v>
      </c>
      <c r="D6" s="12" t="s">
        <v>2454</v>
      </c>
      <c r="E6" s="12" t="s">
        <v>2453</v>
      </c>
      <c r="F6" s="24" t="str">
        <f aca="false">INDEX(FUEL_PARAMETER!$E:$E,MATCH($E6,FUEL_PARAMETER!$A:$A,0))</f>
        <v>*</v>
      </c>
      <c r="G6" s="29" t="n">
        <v>9151.9</v>
      </c>
      <c r="H6" s="41" t="n">
        <f aca="false">INDEX(FUEL_PARAMETER!$J:$J,MATCH($E6,FUEL_PARAMETER!$A:$A,0))</f>
        <v>0.02</v>
      </c>
      <c r="I6" s="47" t="n">
        <f aca="false">INDEX(FUEL_PARAMETER!$K:$K,MATCH($E6,FUEL_PARAMETER!$A:$A,0))</f>
        <v>50</v>
      </c>
      <c r="J6" s="48" t="n">
        <f aca="false">INDEX(FUEL_PARAMETER!$L:$L,MATCH($E6,FUEL_PARAMETER!$A:$A,0))</f>
        <v>0</v>
      </c>
      <c r="K6" s="24" t="str">
        <f aca="false">INDEX(FUEL_PARAMETER!$M:$M,MATCH($E6,FUEL_PARAMETER!$A:$A,0))</f>
        <v>GREATER_OF</v>
      </c>
      <c r="L6" s="49" t="n">
        <f aca="false">IF(K6="ABS_ONLY",IF(I6="",J6,I6),IF(K6="PCT_ONLY",ROUND(H6*G6,1),IF(K6="GREATER_OF",ROUND(MAX(I6,H6*G6),1),IF(K6="LESSER_OF",ROUND(MIN(I6,H6*G6),1),J6))))</f>
        <v>183</v>
      </c>
      <c r="M6" s="10" t="s">
        <v>2512</v>
      </c>
      <c r="N6" s="12" t="s">
        <v>1106</v>
      </c>
    </row>
    <row r="7" customFormat="false" ht="15" hidden="false" customHeight="false" outlineLevel="0" collapsed="false">
      <c r="A7" s="12" t="s">
        <v>2516</v>
      </c>
      <c r="B7" s="12" t="s">
        <v>2511</v>
      </c>
      <c r="C7" s="12" t="s">
        <v>1748</v>
      </c>
      <c r="D7" s="12" t="s">
        <v>2454</v>
      </c>
      <c r="E7" s="12" t="s">
        <v>2453</v>
      </c>
      <c r="F7" s="24" t="str">
        <f aca="false">INDEX(FUEL_PARAMETER!$E:$E,MATCH($E7,FUEL_PARAMETER!$A:$A,0))</f>
        <v>*</v>
      </c>
      <c r="G7" s="29" t="n">
        <v>9600</v>
      </c>
      <c r="H7" s="41" t="n">
        <f aca="false">INDEX(FUEL_PARAMETER!$J:$J,MATCH($E7,FUEL_PARAMETER!$A:$A,0))</f>
        <v>0.02</v>
      </c>
      <c r="I7" s="47" t="n">
        <f aca="false">INDEX(FUEL_PARAMETER!$K:$K,MATCH($E7,FUEL_PARAMETER!$A:$A,0))</f>
        <v>50</v>
      </c>
      <c r="J7" s="48" t="n">
        <f aca="false">INDEX(FUEL_PARAMETER!$L:$L,MATCH($E7,FUEL_PARAMETER!$A:$A,0))</f>
        <v>0</v>
      </c>
      <c r="K7" s="24" t="str">
        <f aca="false">INDEX(FUEL_PARAMETER!$M:$M,MATCH($E7,FUEL_PARAMETER!$A:$A,0))</f>
        <v>GREATER_OF</v>
      </c>
      <c r="L7" s="49" t="n">
        <f aca="false">IF(K7="ABS_ONLY",IF(I7="",J7,I7),IF(K7="PCT_ONLY",ROUND(H7*G7,1),IF(K7="GREATER_OF",ROUND(MAX(I7,H7*G7),1),IF(K7="LESSER_OF",ROUND(MIN(I7,H7*G7),1),J7))))</f>
        <v>192</v>
      </c>
      <c r="M7" s="10" t="s">
        <v>2512</v>
      </c>
      <c r="N7" s="12" t="s">
        <v>1106</v>
      </c>
    </row>
    <row r="8" customFormat="false" ht="15" hidden="false" customHeight="false" outlineLevel="0" collapsed="false">
      <c r="A8" s="12" t="s">
        <v>2517</v>
      </c>
      <c r="B8" s="12" t="s">
        <v>2511</v>
      </c>
      <c r="C8" s="12" t="s">
        <v>1758</v>
      </c>
      <c r="D8" s="12" t="s">
        <v>2454</v>
      </c>
      <c r="E8" s="12" t="s">
        <v>2458</v>
      </c>
      <c r="F8" s="24" t="str">
        <f aca="false">INDEX(FUEL_PARAMETER!$E:$E,MATCH($E8,FUEL_PARAMETER!$A:$A,0))</f>
        <v>A321</v>
      </c>
      <c r="G8" s="29" t="n">
        <v>399.8</v>
      </c>
      <c r="H8" s="41" t="n">
        <f aca="false">INDEX(FUEL_PARAMETER!$J:$J,MATCH($E8,FUEL_PARAMETER!$A:$A,0))</f>
        <v>0.03</v>
      </c>
      <c r="I8" s="47" t="n">
        <f aca="false">INDEX(FUEL_PARAMETER!$K:$K,MATCH($E8,FUEL_PARAMETER!$A:$A,0))</f>
        <v>50</v>
      </c>
      <c r="J8" s="48" t="n">
        <f aca="false">INDEX(FUEL_PARAMETER!$L:$L,MATCH($E8,FUEL_PARAMETER!$A:$A,0))</f>
        <v>0</v>
      </c>
      <c r="K8" s="24" t="str">
        <f aca="false">INDEX(FUEL_PARAMETER!$M:$M,MATCH($E8,FUEL_PARAMETER!$A:$A,0))</f>
        <v>GREATER_OF</v>
      </c>
      <c r="L8" s="49" t="n">
        <f aca="false">IF(K8="ABS_ONLY",IF(I8="",J8,I8),IF(K8="PCT_ONLY",ROUND(H8*G8,1),IF(K8="GREATER_OF",ROUND(MAX(I8,H8*G8),1),IF(K8="LESSER_OF",ROUND(MIN(I8,H8*G8),1),J8))))</f>
        <v>50</v>
      </c>
      <c r="M8" s="10" t="s">
        <v>2512</v>
      </c>
      <c r="N8" s="12" t="s">
        <v>1119</v>
      </c>
    </row>
    <row r="9" customFormat="false" ht="15" hidden="false" customHeight="false" outlineLevel="0" collapsed="false">
      <c r="A9" s="12" t="s">
        <v>2518</v>
      </c>
      <c r="B9" s="12" t="s">
        <v>2511</v>
      </c>
      <c r="C9" s="12" t="s">
        <v>1778</v>
      </c>
      <c r="D9" s="12" t="s">
        <v>2454</v>
      </c>
      <c r="E9" s="12" t="s">
        <v>2453</v>
      </c>
      <c r="F9" s="24" t="str">
        <f aca="false">INDEX(FUEL_PARAMETER!$E:$E,MATCH($E9,FUEL_PARAMETER!$A:$A,0))</f>
        <v>*</v>
      </c>
      <c r="G9" s="29" t="n">
        <v>31928</v>
      </c>
      <c r="H9" s="41" t="n">
        <f aca="false">INDEX(FUEL_PARAMETER!$J:$J,MATCH($E9,FUEL_PARAMETER!$A:$A,0))</f>
        <v>0.02</v>
      </c>
      <c r="I9" s="47" t="n">
        <f aca="false">INDEX(FUEL_PARAMETER!$K:$K,MATCH($E9,FUEL_PARAMETER!$A:$A,0))</f>
        <v>50</v>
      </c>
      <c r="J9" s="48" t="n">
        <f aca="false">INDEX(FUEL_PARAMETER!$L:$L,MATCH($E9,FUEL_PARAMETER!$A:$A,0))</f>
        <v>0</v>
      </c>
      <c r="K9" s="24" t="str">
        <f aca="false">INDEX(FUEL_PARAMETER!$M:$M,MATCH($E9,FUEL_PARAMETER!$A:$A,0))</f>
        <v>GREATER_OF</v>
      </c>
      <c r="L9" s="49" t="n">
        <f aca="false">IF(K9="ABS_ONLY",IF(I9="",J9,I9),IF(K9="PCT_ONLY",ROUND(H9*G9,1),IF(K9="GREATER_OF",ROUND(MAX(I9,H9*G9),1),IF(K9="LESSER_OF",ROUND(MIN(I9,H9*G9),1),J9))))</f>
        <v>638.6</v>
      </c>
      <c r="M9" s="10" t="s">
        <v>2512</v>
      </c>
      <c r="N9" s="12" t="s">
        <v>1119</v>
      </c>
    </row>
    <row r="10" customFormat="false" ht="15" hidden="false" customHeight="false" outlineLevel="0" collapsed="false">
      <c r="A10" s="12" t="s">
        <v>2519</v>
      </c>
      <c r="B10" s="12" t="s">
        <v>2511</v>
      </c>
      <c r="C10" s="12" t="s">
        <v>1809</v>
      </c>
      <c r="D10" s="12" t="s">
        <v>2454</v>
      </c>
      <c r="E10" s="12" t="s">
        <v>2453</v>
      </c>
      <c r="F10" s="24" t="str">
        <f aca="false">INDEX(FUEL_PARAMETER!$E:$E,MATCH($E10,FUEL_PARAMETER!$A:$A,0))</f>
        <v>*</v>
      </c>
      <c r="G10" s="29" t="n">
        <v>9151.9</v>
      </c>
      <c r="H10" s="41" t="n">
        <f aca="false">INDEX(FUEL_PARAMETER!$J:$J,MATCH($E10,FUEL_PARAMETER!$A:$A,0))</f>
        <v>0.02</v>
      </c>
      <c r="I10" s="47" t="n">
        <f aca="false">INDEX(FUEL_PARAMETER!$K:$K,MATCH($E10,FUEL_PARAMETER!$A:$A,0))</f>
        <v>50</v>
      </c>
      <c r="J10" s="48" t="n">
        <f aca="false">INDEX(FUEL_PARAMETER!$L:$L,MATCH($E10,FUEL_PARAMETER!$A:$A,0))</f>
        <v>0</v>
      </c>
      <c r="K10" s="24" t="str">
        <f aca="false">INDEX(FUEL_PARAMETER!$M:$M,MATCH($E10,FUEL_PARAMETER!$A:$A,0))</f>
        <v>GREATER_OF</v>
      </c>
      <c r="L10" s="49" t="n">
        <f aca="false">IF(K10="ABS_ONLY",IF(I10="",J10,I10),IF(K10="PCT_ONLY",ROUND(H10*G10,1),IF(K10="GREATER_OF",ROUND(MAX(I10,H10*G10),1),IF(K10="LESSER_OF",ROUND(MIN(I10,H10*G10),1),J10))))</f>
        <v>183</v>
      </c>
      <c r="M10" s="10" t="s">
        <v>2512</v>
      </c>
      <c r="N10" s="12" t="s">
        <v>1132</v>
      </c>
    </row>
    <row r="11" customFormat="false" ht="15" hidden="false" customHeight="false" outlineLevel="0" collapsed="false">
      <c r="A11" s="12" t="s">
        <v>2520</v>
      </c>
      <c r="B11" s="12" t="s">
        <v>2511</v>
      </c>
      <c r="C11" s="12" t="s">
        <v>1819</v>
      </c>
      <c r="D11" s="12" t="s">
        <v>2454</v>
      </c>
      <c r="E11" s="12" t="s">
        <v>2453</v>
      </c>
      <c r="F11" s="24" t="str">
        <f aca="false">INDEX(FUEL_PARAMETER!$E:$E,MATCH($E11,FUEL_PARAMETER!$A:$A,0))</f>
        <v>*</v>
      </c>
      <c r="G11" s="29" t="n">
        <v>9594</v>
      </c>
      <c r="H11" s="41" t="n">
        <f aca="false">INDEX(FUEL_PARAMETER!$J:$J,MATCH($E11,FUEL_PARAMETER!$A:$A,0))</f>
        <v>0.02</v>
      </c>
      <c r="I11" s="47" t="n">
        <f aca="false">INDEX(FUEL_PARAMETER!$K:$K,MATCH($E11,FUEL_PARAMETER!$A:$A,0))</f>
        <v>50</v>
      </c>
      <c r="J11" s="48" t="n">
        <f aca="false">INDEX(FUEL_PARAMETER!$L:$L,MATCH($E11,FUEL_PARAMETER!$A:$A,0))</f>
        <v>0</v>
      </c>
      <c r="K11" s="24" t="str">
        <f aca="false">INDEX(FUEL_PARAMETER!$M:$M,MATCH($E11,FUEL_PARAMETER!$A:$A,0))</f>
        <v>GREATER_OF</v>
      </c>
      <c r="L11" s="49" t="n">
        <f aca="false">IF(K11="ABS_ONLY",IF(I11="",J11,I11),IF(K11="PCT_ONLY",ROUND(H11*G11,1),IF(K11="GREATER_OF",ROUND(MAX(I11,H11*G11),1),IF(K11="LESSER_OF",ROUND(MIN(I11,H11*G11),1),J11))))</f>
        <v>191.9</v>
      </c>
      <c r="M11" s="10" t="s">
        <v>2512</v>
      </c>
      <c r="N11" s="12" t="s">
        <v>1137</v>
      </c>
    </row>
    <row r="12" customFormat="false" ht="15" hidden="false" customHeight="false" outlineLevel="0" collapsed="false">
      <c r="A12" s="12" t="s">
        <v>2521</v>
      </c>
      <c r="B12" s="12" t="s">
        <v>2522</v>
      </c>
      <c r="C12" s="12" t="s">
        <v>1339</v>
      </c>
      <c r="D12" s="12" t="s">
        <v>2466</v>
      </c>
      <c r="E12" s="12" t="s">
        <v>2468</v>
      </c>
      <c r="F12" s="24" t="str">
        <f aca="false">INDEX(FUEL_PARAMETER!$E:$E,MATCH($E12,FUEL_PARAMETER!$A:$A,0))</f>
        <v>MNL|PPC</v>
      </c>
      <c r="G12" s="29" t="n">
        <v>9151</v>
      </c>
      <c r="H12" s="41" t="n">
        <f aca="false">INDEX(FUEL_PARAMETER!$J:$J,MATCH($E12,FUEL_PARAMETER!$A:$A,0))</f>
        <v>0.008</v>
      </c>
      <c r="I12" s="47" t="n">
        <f aca="false">INDEX(FUEL_PARAMETER!$K:$K,MATCH($E12,FUEL_PARAMETER!$A:$A,0))</f>
        <v>50</v>
      </c>
      <c r="J12" s="48" t="n">
        <f aca="false">INDEX(FUEL_PARAMETER!$L:$L,MATCH($E12,FUEL_PARAMETER!$A:$A,0))</f>
        <v>0</v>
      </c>
      <c r="K12" s="24" t="str">
        <f aca="false">INDEX(FUEL_PARAMETER!$M:$M,MATCH($E12,FUEL_PARAMETER!$A:$A,0))</f>
        <v>GREATER_OF</v>
      </c>
      <c r="L12" s="49" t="n">
        <f aca="false">IF(K12="ABS_ONLY",IF(I12="",J12,I12),IF(K12="PCT_ONLY",ROUND(H12*G12,1),IF(K12="GREATER_OF",ROUND(MAX(I12,H12*G12),1),IF(K12="LESSER_OF",ROUND(MIN(I12,H12*G12),1),J12))))</f>
        <v>73.2</v>
      </c>
      <c r="M12" s="10" t="s">
        <v>2512</v>
      </c>
      <c r="N12" s="12" t="s">
        <v>973</v>
      </c>
    </row>
    <row r="13" customFormat="false" ht="15" hidden="false" customHeight="false" outlineLevel="0" collapsed="false">
      <c r="A13" s="12" t="s">
        <v>2523</v>
      </c>
      <c r="B13" s="12" t="s">
        <v>2522</v>
      </c>
      <c r="C13" s="12" t="s">
        <v>1367</v>
      </c>
      <c r="D13" s="12" t="s">
        <v>2466</v>
      </c>
      <c r="E13" s="12" t="s">
        <v>2468</v>
      </c>
      <c r="F13" s="24" t="str">
        <f aca="false">INDEX(FUEL_PARAMETER!$E:$E,MATCH($E13,FUEL_PARAMETER!$A:$A,0))</f>
        <v>MNL|PPC</v>
      </c>
      <c r="G13" s="29" t="n">
        <v>100192</v>
      </c>
      <c r="H13" s="41" t="n">
        <f aca="false">INDEX(FUEL_PARAMETER!$J:$J,MATCH($E13,FUEL_PARAMETER!$A:$A,0))</f>
        <v>0.008</v>
      </c>
      <c r="I13" s="47" t="n">
        <f aca="false">INDEX(FUEL_PARAMETER!$K:$K,MATCH($E13,FUEL_PARAMETER!$A:$A,0))</f>
        <v>50</v>
      </c>
      <c r="J13" s="48" t="n">
        <f aca="false">INDEX(FUEL_PARAMETER!$L:$L,MATCH($E13,FUEL_PARAMETER!$A:$A,0))</f>
        <v>0</v>
      </c>
      <c r="K13" s="24" t="str">
        <f aca="false">INDEX(FUEL_PARAMETER!$M:$M,MATCH($E13,FUEL_PARAMETER!$A:$A,0))</f>
        <v>GREATER_OF</v>
      </c>
      <c r="L13" s="49" t="n">
        <f aca="false">IF(K13="ABS_ONLY",IF(I13="",J13,I13),IF(K13="PCT_ONLY",ROUND(H13*G13,1),IF(K13="GREATER_OF",ROUND(MAX(I13,H13*G13),1),IF(K13="LESSER_OF",ROUND(MIN(I13,H13*G13),1),J13))))</f>
        <v>801.5</v>
      </c>
      <c r="M13" s="10" t="s">
        <v>2512</v>
      </c>
      <c r="N13" s="12" t="s">
        <v>1032</v>
      </c>
    </row>
    <row r="14" customFormat="false" ht="15" hidden="false" customHeight="false" outlineLevel="0" collapsed="false">
      <c r="A14" s="12" t="s">
        <v>2524</v>
      </c>
      <c r="B14" s="12" t="s">
        <v>2522</v>
      </c>
      <c r="C14" s="12" t="s">
        <v>1426</v>
      </c>
      <c r="D14" s="12" t="s">
        <v>2466</v>
      </c>
      <c r="E14" s="12" t="s">
        <v>2468</v>
      </c>
      <c r="F14" s="24" t="str">
        <f aca="false">INDEX(FUEL_PARAMETER!$E:$E,MATCH($E14,FUEL_PARAMETER!$A:$A,0))</f>
        <v>MNL|PPC</v>
      </c>
      <c r="G14" s="29" t="n">
        <v>9151</v>
      </c>
      <c r="H14" s="41" t="n">
        <f aca="false">INDEX(FUEL_PARAMETER!$J:$J,MATCH($E14,FUEL_PARAMETER!$A:$A,0))</f>
        <v>0.008</v>
      </c>
      <c r="I14" s="47" t="n">
        <f aca="false">INDEX(FUEL_PARAMETER!$K:$K,MATCH($E14,FUEL_PARAMETER!$A:$A,0))</f>
        <v>50</v>
      </c>
      <c r="J14" s="48" t="n">
        <f aca="false">INDEX(FUEL_PARAMETER!$L:$L,MATCH($E14,FUEL_PARAMETER!$A:$A,0))</f>
        <v>0</v>
      </c>
      <c r="K14" s="24" t="str">
        <f aca="false">INDEX(FUEL_PARAMETER!$M:$M,MATCH($E14,FUEL_PARAMETER!$A:$A,0))</f>
        <v>GREATER_OF</v>
      </c>
      <c r="L14" s="49" t="n">
        <f aca="false">IF(K14="ABS_ONLY",IF(I14="",J14,I14),IF(K14="PCT_ONLY",ROUND(H14*G14,1),IF(K14="GREATER_OF",ROUND(MAX(I14,H14*G14),1),IF(K14="LESSER_OF",ROUND(MIN(I14,H14*G14),1),J14))))</f>
        <v>73.2</v>
      </c>
      <c r="M14" s="10" t="s">
        <v>2512</v>
      </c>
      <c r="N14" s="12" t="s">
        <v>1137</v>
      </c>
    </row>
    <row r="15" customFormat="false" ht="15" hidden="false" customHeight="false" outlineLevel="0" collapsed="false">
      <c r="A15" s="12" t="s">
        <v>2525</v>
      </c>
      <c r="B15" s="12" t="s">
        <v>2522</v>
      </c>
      <c r="C15" s="12" t="s">
        <v>1339</v>
      </c>
      <c r="D15" s="12" t="s">
        <v>2432</v>
      </c>
      <c r="E15" s="12" t="s">
        <v>2440</v>
      </c>
      <c r="F15" s="24" t="str">
        <f aca="false">INDEX(FUEL_PARAMETER!$E:$E,MATCH($E15,FUEL_PARAMETER!$A:$A,0))</f>
        <v>MNL|PPC</v>
      </c>
      <c r="G15" s="29"/>
      <c r="H15" s="41" t="n">
        <f aca="false">INDEX(FUEL_PARAMETER!$J:$J,MATCH($E15,FUEL_PARAMETER!$A:$A,0))</f>
        <v>0</v>
      </c>
      <c r="I15" s="47" t="n">
        <f aca="false">INDEX(FUEL_PARAMETER!$K:$K,MATCH($E15,FUEL_PARAMETER!$A:$A,0))</f>
        <v>0</v>
      </c>
      <c r="J15" s="48" t="n">
        <f aca="false">INDEX(FUEL_PARAMETER!$L:$L,MATCH($E15,FUEL_PARAMETER!$A:$A,0))</f>
        <v>0.7995</v>
      </c>
      <c r="K15" s="24" t="n">
        <f aca="false">INDEX(FUEL_PARAMETER!$M:$M,MATCH($E15,FUEL_PARAMETER!$A:$A,0))</f>
        <v>0</v>
      </c>
      <c r="L15" s="49" t="n">
        <f aca="false">IF(K15="ABS_ONLY",IF(I15="",J15,I15),IF(K15="PCT_ONLY",ROUND(H15*G15,1),IF(K15="GREATER_OF",ROUND(MAX(I15,H15*G15),1),IF(K15="LESSER_OF",ROUND(MIN(I15,H15*G15),1),J15))))</f>
        <v>0.7995</v>
      </c>
      <c r="M15" s="10" t="s">
        <v>2512</v>
      </c>
      <c r="N15" s="12" t="s">
        <v>973</v>
      </c>
    </row>
    <row r="16" customFormat="false" ht="15" hidden="false" customHeight="false" outlineLevel="0" collapsed="false">
      <c r="A16" s="12" t="s">
        <v>2526</v>
      </c>
      <c r="B16" s="12" t="s">
        <v>2522</v>
      </c>
      <c r="C16" s="12" t="s">
        <v>1393</v>
      </c>
      <c r="D16" s="12" t="s">
        <v>2432</v>
      </c>
      <c r="E16" s="12" t="s">
        <v>2440</v>
      </c>
      <c r="F16" s="24" t="str">
        <f aca="false">INDEX(FUEL_PARAMETER!$E:$E,MATCH($E16,FUEL_PARAMETER!$A:$A,0))</f>
        <v>MNL|PPC</v>
      </c>
      <c r="G16" s="29"/>
      <c r="H16" s="41" t="n">
        <f aca="false">INDEX(FUEL_PARAMETER!$J:$J,MATCH($E16,FUEL_PARAMETER!$A:$A,0))</f>
        <v>0</v>
      </c>
      <c r="I16" s="47" t="n">
        <f aca="false">INDEX(FUEL_PARAMETER!$K:$K,MATCH($E16,FUEL_PARAMETER!$A:$A,0))</f>
        <v>0</v>
      </c>
      <c r="J16" s="48" t="n">
        <f aca="false">INDEX(FUEL_PARAMETER!$L:$L,MATCH($E16,FUEL_PARAMETER!$A:$A,0))</f>
        <v>0.7995</v>
      </c>
      <c r="K16" s="24" t="n">
        <f aca="false">INDEX(FUEL_PARAMETER!$M:$M,MATCH($E16,FUEL_PARAMETER!$A:$A,0))</f>
        <v>0</v>
      </c>
      <c r="L16" s="49" t="n">
        <f aca="false">IF(K16="ABS_ONLY",IF(I16="",J16,I16),IF(K16="PCT_ONLY",ROUND(H16*G16,1),IF(K16="GREATER_OF",ROUND(MAX(I16,H16*G16),1),IF(K16="LESSER_OF",ROUND(MIN(I16,H16*G16),1),J16))))</f>
        <v>0.7995</v>
      </c>
      <c r="M16" s="10" t="s">
        <v>2512</v>
      </c>
      <c r="N16" s="12" t="s">
        <v>1065</v>
      </c>
    </row>
    <row r="17" customFormat="false" ht="15" hidden="false" customHeight="false" outlineLevel="0" collapsed="false">
      <c r="A17" s="12" t="s">
        <v>2527</v>
      </c>
      <c r="B17" s="12" t="s">
        <v>2511</v>
      </c>
      <c r="C17" s="12" t="s">
        <v>1683</v>
      </c>
      <c r="D17" s="12" t="s">
        <v>2432</v>
      </c>
      <c r="E17" s="12" t="s">
        <v>2449</v>
      </c>
      <c r="F17" s="24" t="str">
        <f aca="false">INDEX(FUEL_PARAMETER!$E:$E,MATCH($E17,FUEL_PARAMETER!$A:$A,0))</f>
        <v>CEB|SHL</v>
      </c>
      <c r="G17" s="29"/>
      <c r="H17" s="41" t="n">
        <f aca="false">INDEX(FUEL_PARAMETER!$J:$J,MATCH($E17,FUEL_PARAMETER!$A:$A,0))</f>
        <v>0</v>
      </c>
      <c r="I17" s="47" t="n">
        <f aca="false">INDEX(FUEL_PARAMETER!$K:$K,MATCH($E17,FUEL_PARAMETER!$A:$A,0))</f>
        <v>0</v>
      </c>
      <c r="J17" s="48" t="n">
        <f aca="false">INDEX(FUEL_PARAMETER!$L:$L,MATCH($E17,FUEL_PARAMETER!$A:$A,0))</f>
        <v>0.7975</v>
      </c>
      <c r="K17" s="24" t="n">
        <f aca="false">INDEX(FUEL_PARAMETER!$M:$M,MATCH($E17,FUEL_PARAMETER!$A:$A,0))</f>
        <v>0</v>
      </c>
      <c r="L17" s="49" t="n">
        <f aca="false">IF(K17="ABS_ONLY",IF(I17="",J17,I17),IF(K17="PCT_ONLY",ROUND(H17*G17,1),IF(K17="GREATER_OF",ROUND(MAX(I17,H17*G17),1),IF(K17="LESSER_OF",ROUND(MIN(I17,H17*G17),1),J17))))</f>
        <v>0.7975</v>
      </c>
      <c r="M17" s="10" t="s">
        <v>2512</v>
      </c>
      <c r="N17" s="12" t="s">
        <v>1065</v>
      </c>
    </row>
    <row r="18" customFormat="false" ht="15" hidden="false" customHeight="false" outlineLevel="0" collapsed="false">
      <c r="A18" s="12" t="s">
        <v>2528</v>
      </c>
      <c r="B18" s="12" t="s">
        <v>2511</v>
      </c>
      <c r="C18" s="12" t="s">
        <v>1748</v>
      </c>
      <c r="D18" s="12" t="s">
        <v>2480</v>
      </c>
      <c r="E18" s="12" t="s">
        <v>2479</v>
      </c>
      <c r="F18" s="24" t="str">
        <f aca="false">INDEX(FUEL_PARAMETER!$E:$E,MATCH($E18,FUEL_PARAMETER!$A:$A,0))</f>
        <v>JET_A1</v>
      </c>
      <c r="G18" s="29"/>
      <c r="H18" s="41" t="n">
        <f aca="false">INDEX(FUEL_PARAMETER!$J:$J,MATCH($E18,FUEL_PARAMETER!$A:$A,0))</f>
        <v>0</v>
      </c>
      <c r="I18" s="47" t="n">
        <f aca="false">INDEX(FUEL_PARAMETER!$K:$K,MATCH($E18,FUEL_PARAMETER!$A:$A,0))</f>
        <v>0</v>
      </c>
      <c r="J18" s="48" t="n">
        <f aca="false">INDEX(FUEL_PARAMETER!$L:$L,MATCH($E18,FUEL_PARAMETER!$A:$A,0))</f>
        <v>0.84</v>
      </c>
      <c r="K18" s="24" t="str">
        <f aca="false">INDEX(FUEL_PARAMETER!$M:$M,MATCH($E18,FUEL_PARAMETER!$A:$A,0))</f>
        <v>ABS_ONLY</v>
      </c>
      <c r="L18" s="49" t="n">
        <f aca="false">IF(K18="ABS_ONLY",IF(I18="",J18,I18),IF(K18="PCT_ONLY",ROUND(H18*G18,1),IF(K18="GREATER_OF",ROUND(MAX(I18,H18*G18),1),IF(K18="LESSER_OF",ROUND(MIN(I18,H18*G18),1),J18))))</f>
        <v>0.84</v>
      </c>
      <c r="M18" s="10" t="s">
        <v>2512</v>
      </c>
      <c r="N18" s="12" t="s">
        <v>1106</v>
      </c>
    </row>
    <row r="19" customFormat="false" ht="15" hidden="false" customHeight="false" outlineLevel="0" collapsed="false">
      <c r="A19" s="12" t="s">
        <v>2529</v>
      </c>
      <c r="B19" s="12" t="s">
        <v>2530</v>
      </c>
      <c r="C19" s="12" t="s">
        <v>2399</v>
      </c>
      <c r="D19" s="12" t="s">
        <v>2498</v>
      </c>
      <c r="E19" s="12" t="s">
        <v>2497</v>
      </c>
      <c r="F19" s="24" t="str">
        <f aca="false">INDEX(FUEL_PARAMETER!$E:$E,MATCH($E19,FUEL_PARAMETER!$A:$A,0))</f>
        <v>*</v>
      </c>
      <c r="G19" s="29"/>
      <c r="H19" s="41" t="n">
        <f aca="false">INDEX(FUEL_PARAMETER!$J:$J,MATCH($E19,FUEL_PARAMETER!$A:$A,0))</f>
        <v>0</v>
      </c>
      <c r="I19" s="47" t="n">
        <f aca="false">INDEX(FUEL_PARAMETER!$K:$K,MATCH($E19,FUEL_PARAMETER!$A:$A,0))</f>
        <v>0.0005</v>
      </c>
      <c r="J19" s="48" t="n">
        <f aca="false">INDEX(FUEL_PARAMETER!$L:$L,MATCH($E19,FUEL_PARAMETER!$A:$A,0))</f>
        <v>0</v>
      </c>
      <c r="K19" s="24" t="str">
        <f aca="false">INDEX(FUEL_PARAMETER!$M:$M,MATCH($E19,FUEL_PARAMETER!$A:$A,0))</f>
        <v>ABS_ONLY</v>
      </c>
      <c r="L19" s="49" t="n">
        <f aca="false">IF(K19="ABS_ONLY",IF(I19="",J19,I19),IF(K19="PCT_ONLY",ROUND(H19*G19,1),IF(K19="GREATER_OF",ROUND(MAX(I19,H19*G19),1),IF(K19="LESSER_OF",ROUND(MIN(I19,H19*G19),1),J19))))</f>
        <v>0.0005</v>
      </c>
      <c r="M19" s="10" t="s">
        <v>2512</v>
      </c>
      <c r="N19" s="12" t="s">
        <v>1091</v>
      </c>
    </row>
    <row r="20" customFormat="false" ht="15" hidden="false" customHeight="false" outlineLevel="0" collapsed="false">
      <c r="A20" s="12" t="s">
        <v>2531</v>
      </c>
      <c r="B20" s="12" t="s">
        <v>2530</v>
      </c>
      <c r="C20" s="12" t="s">
        <v>2405</v>
      </c>
      <c r="D20" s="12" t="s">
        <v>2498</v>
      </c>
      <c r="E20" s="12" t="s">
        <v>2497</v>
      </c>
      <c r="F20" s="24" t="str">
        <f aca="false">INDEX(FUEL_PARAMETER!$E:$E,MATCH($E20,FUEL_PARAMETER!$A:$A,0))</f>
        <v>*</v>
      </c>
      <c r="G20" s="29"/>
      <c r="H20" s="41" t="n">
        <f aca="false">INDEX(FUEL_PARAMETER!$J:$J,MATCH($E20,FUEL_PARAMETER!$A:$A,0))</f>
        <v>0</v>
      </c>
      <c r="I20" s="47" t="n">
        <f aca="false">INDEX(FUEL_PARAMETER!$K:$K,MATCH($E20,FUEL_PARAMETER!$A:$A,0))</f>
        <v>0.0005</v>
      </c>
      <c r="J20" s="48" t="n">
        <f aca="false">INDEX(FUEL_PARAMETER!$L:$L,MATCH($E20,FUEL_PARAMETER!$A:$A,0))</f>
        <v>0</v>
      </c>
      <c r="K20" s="24" t="str">
        <f aca="false">INDEX(FUEL_PARAMETER!$M:$M,MATCH($E20,FUEL_PARAMETER!$A:$A,0))</f>
        <v>ABS_ONLY</v>
      </c>
      <c r="L20" s="49" t="n">
        <f aca="false">IF(K20="ABS_ONLY",IF(I20="",J20,I20),IF(K20="PCT_ONLY",ROUND(H20*G20,1),IF(K20="GREATER_OF",ROUND(MAX(I20,H20*G20),1),IF(K20="LESSER_OF",ROUND(MIN(I20,H20*G20),1),J20))))</f>
        <v>0.0005</v>
      </c>
      <c r="M20" s="10" t="s">
        <v>2512</v>
      </c>
      <c r="N20" s="12" t="s">
        <v>1106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10"/>
    <col collapsed="false" customWidth="true" hidden="false" outlineLevel="0" max="4" min="4" style="0" width="15"/>
    <col collapsed="false" customWidth="true" hidden="false" outlineLevel="0" max="5" min="5" style="0" width="18"/>
    <col collapsed="false" customWidth="true" hidden="false" outlineLevel="0" max="6" min="6" style="0" width="14"/>
    <col collapsed="false" customWidth="true" hidden="false" outlineLevel="0" max="7" min="7" style="0" width="22"/>
    <col collapsed="false" customWidth="true" hidden="false" outlineLevel="0" max="8" min="8" style="0" width="62"/>
    <col collapsed="false" customWidth="true" hidden="false" outlineLevel="0" max="9" min="9" style="0" width="16"/>
    <col collapsed="false" customWidth="true" hidden="false" outlineLevel="0" max="10" min="10" style="0" width="52"/>
    <col collapsed="false" customWidth="true" hidden="false" outlineLevel="0" max="11" min="11" style="0" width="13"/>
    <col collapsed="false" customWidth="true" hidden="false" outlineLevel="0" max="13" min="12" style="0" width="10"/>
    <col collapsed="false" customWidth="true" hidden="false" outlineLevel="0" max="14" min="14" style="0" width="16"/>
    <col collapsed="false" customWidth="true" hidden="false" outlineLevel="0" max="15" min="15" style="0" width="12"/>
    <col collapsed="false" customWidth="true" hidden="false" outlineLevel="0" max="16" min="16" style="0" width="20"/>
    <col collapsed="false" customWidth="true" hidden="false" outlineLevel="0" max="17" min="17" style="0" width="14"/>
  </cols>
  <sheetData>
    <row r="1" customFormat="false" ht="16.15" hidden="false" customHeight="false" outlineLevel="0" collapsed="false">
      <c r="A1" s="8" t="s">
        <v>2532</v>
      </c>
    </row>
    <row r="2" customFormat="false" ht="30" hidden="false" customHeight="true" outlineLevel="0" collapsed="false">
      <c r="A2" s="9" t="s">
        <v>2533</v>
      </c>
      <c r="B2" s="9" t="s">
        <v>2534</v>
      </c>
      <c r="C2" s="9" t="s">
        <v>2535</v>
      </c>
      <c r="D2" s="9" t="s">
        <v>2536</v>
      </c>
      <c r="E2" s="9" t="s">
        <v>2503</v>
      </c>
      <c r="F2" s="9" t="s">
        <v>2504</v>
      </c>
      <c r="G2" s="9" t="s">
        <v>2537</v>
      </c>
      <c r="H2" s="9" t="s">
        <v>2538</v>
      </c>
      <c r="I2" s="9" t="s">
        <v>2539</v>
      </c>
      <c r="J2" s="9" t="s">
        <v>2540</v>
      </c>
      <c r="K2" s="9" t="s">
        <v>2541</v>
      </c>
      <c r="L2" s="9" t="s">
        <v>2542</v>
      </c>
      <c r="M2" s="9" t="s">
        <v>2543</v>
      </c>
      <c r="N2" s="9" t="s">
        <v>2544</v>
      </c>
      <c r="O2" s="9" t="s">
        <v>2545</v>
      </c>
      <c r="P2" s="9" t="s">
        <v>2508</v>
      </c>
      <c r="Q2" s="9" t="s">
        <v>2546</v>
      </c>
    </row>
    <row r="3" customFormat="false" ht="27.75" hidden="false" customHeight="true" outlineLevel="0" collapsed="false">
      <c r="A3" s="12" t="s">
        <v>2357</v>
      </c>
      <c r="B3" s="12" t="s">
        <v>2547</v>
      </c>
      <c r="C3" s="15" t="s">
        <v>2548</v>
      </c>
      <c r="D3" s="12" t="s">
        <v>2549</v>
      </c>
      <c r="E3" s="12" t="s">
        <v>14</v>
      </c>
      <c r="F3" s="12" t="s">
        <v>2352</v>
      </c>
      <c r="G3" s="12" t="s">
        <v>2550</v>
      </c>
      <c r="H3" s="46" t="s">
        <v>2551</v>
      </c>
      <c r="I3" s="15" t="s">
        <v>2552</v>
      </c>
      <c r="J3" s="46" t="s">
        <v>2553</v>
      </c>
      <c r="K3" s="12" t="s">
        <v>2554</v>
      </c>
      <c r="L3" s="12" t="n">
        <v>3</v>
      </c>
      <c r="M3" s="12" t="s">
        <v>990</v>
      </c>
      <c r="N3" s="15" t="s">
        <v>2555</v>
      </c>
      <c r="O3" s="12"/>
      <c r="P3" s="12"/>
      <c r="Q3" s="12" t="s">
        <v>2556</v>
      </c>
    </row>
    <row r="4" customFormat="false" ht="27.75" hidden="false" customHeight="true" outlineLevel="0" collapsed="false">
      <c r="A4" s="12" t="s">
        <v>2557</v>
      </c>
      <c r="B4" s="12" t="s">
        <v>2547</v>
      </c>
      <c r="C4" s="15" t="s">
        <v>2548</v>
      </c>
      <c r="D4" s="12" t="s">
        <v>2549</v>
      </c>
      <c r="E4" s="12" t="s">
        <v>16</v>
      </c>
      <c r="F4" s="12" t="s">
        <v>2405</v>
      </c>
      <c r="G4" s="12" t="s">
        <v>2558</v>
      </c>
      <c r="H4" s="46" t="s">
        <v>2559</v>
      </c>
      <c r="I4" s="15" t="s">
        <v>2552</v>
      </c>
      <c r="J4" s="46" t="s">
        <v>2560</v>
      </c>
      <c r="K4" s="12" t="s">
        <v>2554</v>
      </c>
      <c r="L4" s="12" t="n">
        <v>3</v>
      </c>
      <c r="M4" s="12" t="s">
        <v>990</v>
      </c>
      <c r="N4" s="15" t="s">
        <v>2555</v>
      </c>
      <c r="O4" s="12"/>
      <c r="P4" s="12"/>
      <c r="Q4" s="12" t="s">
        <v>2556</v>
      </c>
    </row>
    <row r="5" customFormat="false" ht="27.75" hidden="false" customHeight="true" outlineLevel="0" collapsed="false">
      <c r="A5" s="12" t="s">
        <v>2561</v>
      </c>
      <c r="B5" s="12" t="s">
        <v>2562</v>
      </c>
      <c r="C5" s="15" t="s">
        <v>2563</v>
      </c>
      <c r="D5" s="12" t="s">
        <v>2549</v>
      </c>
      <c r="E5" s="12" t="s">
        <v>16</v>
      </c>
      <c r="F5" s="12" t="s">
        <v>2406</v>
      </c>
      <c r="G5" s="12" t="s">
        <v>2564</v>
      </c>
      <c r="H5" s="46" t="s">
        <v>2565</v>
      </c>
      <c r="I5" s="15" t="s">
        <v>2566</v>
      </c>
      <c r="J5" s="46" t="s">
        <v>2567</v>
      </c>
      <c r="K5" s="12" t="s">
        <v>2568</v>
      </c>
      <c r="L5" s="12" t="n">
        <v>3</v>
      </c>
      <c r="M5" s="12" t="s">
        <v>978</v>
      </c>
      <c r="N5" s="15" t="s">
        <v>2555</v>
      </c>
      <c r="O5" s="12"/>
      <c r="P5" s="12"/>
      <c r="Q5" s="12" t="s">
        <v>2556</v>
      </c>
    </row>
    <row r="6" customFormat="false" ht="27.75" hidden="false" customHeight="true" outlineLevel="0" collapsed="false">
      <c r="A6" s="12" t="s">
        <v>2569</v>
      </c>
      <c r="B6" s="12" t="s">
        <v>2570</v>
      </c>
      <c r="C6" s="15" t="s">
        <v>2571</v>
      </c>
      <c r="D6" s="12" t="s">
        <v>2549</v>
      </c>
      <c r="E6" s="12" t="s">
        <v>14</v>
      </c>
      <c r="F6" s="12" t="s">
        <v>2360</v>
      </c>
      <c r="G6" s="12" t="s">
        <v>2572</v>
      </c>
      <c r="H6" s="46" t="s">
        <v>2573</v>
      </c>
      <c r="I6" s="15" t="s">
        <v>2574</v>
      </c>
      <c r="J6" s="46" t="s">
        <v>2575</v>
      </c>
      <c r="K6" s="12" t="s">
        <v>2554</v>
      </c>
      <c r="L6" s="12" t="n">
        <v>1</v>
      </c>
      <c r="M6" s="12" t="s">
        <v>978</v>
      </c>
      <c r="N6" s="15" t="s">
        <v>2576</v>
      </c>
      <c r="O6" s="12" t="s">
        <v>2577</v>
      </c>
      <c r="P6" s="12" t="s">
        <v>2570</v>
      </c>
      <c r="Q6" s="12" t="s">
        <v>2578</v>
      </c>
    </row>
    <row r="7" customFormat="false" ht="27.75" hidden="false" customHeight="true" outlineLevel="0" collapsed="false">
      <c r="A7" s="12" t="s">
        <v>2370</v>
      </c>
      <c r="B7" s="12" t="s">
        <v>2579</v>
      </c>
      <c r="C7" s="15" t="s">
        <v>2548</v>
      </c>
      <c r="D7" s="12" t="s">
        <v>2549</v>
      </c>
      <c r="E7" s="12" t="s">
        <v>14</v>
      </c>
      <c r="F7" s="12" t="s">
        <v>2367</v>
      </c>
      <c r="G7" s="12" t="s">
        <v>2580</v>
      </c>
      <c r="H7" s="46" t="s">
        <v>2581</v>
      </c>
      <c r="I7" s="15" t="s">
        <v>2582</v>
      </c>
      <c r="J7" s="46" t="s">
        <v>2583</v>
      </c>
      <c r="K7" s="12" t="s">
        <v>2554</v>
      </c>
      <c r="L7" s="12" t="n">
        <v>1</v>
      </c>
      <c r="M7" s="12" t="s">
        <v>990</v>
      </c>
      <c r="N7" s="15" t="s">
        <v>2555</v>
      </c>
      <c r="O7" s="12"/>
      <c r="P7" s="12"/>
      <c r="Q7" s="12" t="s">
        <v>2584</v>
      </c>
    </row>
    <row r="8" customFormat="false" ht="27.75" hidden="false" customHeight="true" outlineLevel="0" collapsed="false">
      <c r="A8" s="12" t="s">
        <v>2585</v>
      </c>
      <c r="B8" s="12" t="s">
        <v>2579</v>
      </c>
      <c r="C8" s="15" t="s">
        <v>2548</v>
      </c>
      <c r="D8" s="12" t="s">
        <v>2549</v>
      </c>
      <c r="E8" s="12" t="s">
        <v>14</v>
      </c>
      <c r="F8" s="12" t="s">
        <v>2352</v>
      </c>
      <c r="G8" s="12" t="s">
        <v>2586</v>
      </c>
      <c r="H8" s="46" t="s">
        <v>2587</v>
      </c>
      <c r="I8" s="15" t="s">
        <v>2552</v>
      </c>
      <c r="J8" s="46" t="s">
        <v>2588</v>
      </c>
      <c r="K8" s="12" t="s">
        <v>2554</v>
      </c>
      <c r="L8" s="12" t="n">
        <v>2</v>
      </c>
      <c r="M8" s="12" t="s">
        <v>990</v>
      </c>
      <c r="N8" s="15" t="s">
        <v>2555</v>
      </c>
      <c r="O8" s="12"/>
      <c r="P8" s="12"/>
      <c r="Q8" s="12" t="s">
        <v>2589</v>
      </c>
    </row>
    <row r="9" customFormat="false" ht="27.75" hidden="false" customHeight="true" outlineLevel="0" collapsed="false">
      <c r="A9" s="12" t="s">
        <v>2590</v>
      </c>
      <c r="B9" s="12" t="s">
        <v>2591</v>
      </c>
      <c r="C9" s="15" t="s">
        <v>2548</v>
      </c>
      <c r="D9" s="12" t="s">
        <v>2549</v>
      </c>
      <c r="E9" s="12" t="s">
        <v>14</v>
      </c>
      <c r="F9" s="12" t="s">
        <v>2352</v>
      </c>
      <c r="G9" s="12" t="s">
        <v>2592</v>
      </c>
      <c r="H9" s="46" t="s">
        <v>2593</v>
      </c>
      <c r="I9" s="15" t="s">
        <v>2594</v>
      </c>
      <c r="J9" s="46" t="s">
        <v>2595</v>
      </c>
      <c r="K9" s="12" t="s">
        <v>2554</v>
      </c>
      <c r="L9" s="12" t="n">
        <v>1</v>
      </c>
      <c r="M9" s="12" t="s">
        <v>990</v>
      </c>
      <c r="N9" s="15" t="s">
        <v>2576</v>
      </c>
      <c r="O9" s="12" t="s">
        <v>2477</v>
      </c>
      <c r="P9" s="12" t="s">
        <v>2371</v>
      </c>
      <c r="Q9" s="12" t="s">
        <v>2596</v>
      </c>
    </row>
    <row r="10" customFormat="false" ht="27.75" hidden="false" customHeight="true" outlineLevel="0" collapsed="false">
      <c r="A10" s="12" t="s">
        <v>2375</v>
      </c>
      <c r="B10" s="12" t="s">
        <v>2597</v>
      </c>
      <c r="C10" s="15" t="s">
        <v>2548</v>
      </c>
      <c r="D10" s="12" t="s">
        <v>2598</v>
      </c>
      <c r="E10" s="12" t="s">
        <v>14</v>
      </c>
      <c r="F10" s="12" t="s">
        <v>2373</v>
      </c>
      <c r="G10" s="12" t="s">
        <v>2599</v>
      </c>
      <c r="H10" s="46" t="s">
        <v>2600</v>
      </c>
      <c r="I10" s="15" t="s">
        <v>2601</v>
      </c>
      <c r="J10" s="46" t="s">
        <v>2602</v>
      </c>
      <c r="K10" s="12" t="s">
        <v>2568</v>
      </c>
      <c r="L10" s="12" t="n">
        <v>1</v>
      </c>
      <c r="M10" s="12" t="s">
        <v>978</v>
      </c>
      <c r="N10" s="15" t="s">
        <v>2555</v>
      </c>
      <c r="O10" s="12"/>
      <c r="P10" s="12"/>
      <c r="Q10" s="12" t="s">
        <v>2603</v>
      </c>
    </row>
    <row r="11" customFormat="false" ht="27.75" hidden="false" customHeight="true" outlineLevel="0" collapsed="false">
      <c r="A11" s="12" t="s">
        <v>2604</v>
      </c>
      <c r="B11" s="12" t="s">
        <v>2605</v>
      </c>
      <c r="C11" s="15" t="s">
        <v>2548</v>
      </c>
      <c r="D11" s="12" t="s">
        <v>2549</v>
      </c>
      <c r="E11" s="12" t="s">
        <v>16</v>
      </c>
      <c r="F11" s="12" t="s">
        <v>2401</v>
      </c>
      <c r="G11" s="12" t="s">
        <v>2606</v>
      </c>
      <c r="H11" s="46" t="s">
        <v>2607</v>
      </c>
      <c r="I11" s="15" t="s">
        <v>2552</v>
      </c>
      <c r="J11" s="46" t="s">
        <v>2608</v>
      </c>
      <c r="K11" s="12" t="s">
        <v>2554</v>
      </c>
      <c r="L11" s="12" t="n">
        <v>1</v>
      </c>
      <c r="M11" s="12" t="s">
        <v>990</v>
      </c>
      <c r="N11" s="15" t="s">
        <v>2555</v>
      </c>
      <c r="O11" s="12"/>
      <c r="P11" s="12"/>
      <c r="Q11" s="12" t="s">
        <v>2584</v>
      </c>
    </row>
    <row r="12" customFormat="false" ht="27.75" hidden="false" customHeight="true" outlineLevel="0" collapsed="false">
      <c r="A12" s="12" t="s">
        <v>2609</v>
      </c>
      <c r="B12" s="12" t="s">
        <v>2610</v>
      </c>
      <c r="C12" s="15" t="s">
        <v>2548</v>
      </c>
      <c r="D12" s="12" t="s">
        <v>2549</v>
      </c>
      <c r="E12" s="12" t="s">
        <v>14</v>
      </c>
      <c r="F12" s="12" t="s">
        <v>2367</v>
      </c>
      <c r="G12" s="12" t="s">
        <v>2611</v>
      </c>
      <c r="H12" s="46" t="s">
        <v>2612</v>
      </c>
      <c r="I12" s="15" t="s">
        <v>2552</v>
      </c>
      <c r="J12" s="46" t="s">
        <v>2613</v>
      </c>
      <c r="K12" s="12" t="s">
        <v>2554</v>
      </c>
      <c r="L12" s="12" t="n">
        <v>1</v>
      </c>
      <c r="M12" s="12" t="s">
        <v>990</v>
      </c>
      <c r="N12" s="15" t="s">
        <v>2555</v>
      </c>
      <c r="O12" s="12"/>
      <c r="P12" s="12"/>
      <c r="Q12" s="12" t="s">
        <v>2584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28"/>
    <col collapsed="false" customWidth="true" hidden="false" outlineLevel="0" max="4" min="4" style="0" width="38"/>
    <col collapsed="false" customWidth="true" hidden="false" outlineLevel="0" max="5" min="5" style="0" width="14"/>
    <col collapsed="false" customWidth="true" hidden="false" outlineLevel="0" max="6" min="6" style="0" width="12"/>
    <col collapsed="false" customWidth="true" hidden="false" outlineLevel="0" max="8" min="7" style="0" width="10"/>
    <col collapsed="false" customWidth="true" hidden="false" outlineLevel="0" max="9" min="9" style="0" width="13"/>
    <col collapsed="false" customWidth="true" hidden="false" outlineLevel="0" max="11" min="10" style="0" width="11"/>
    <col collapsed="false" customWidth="true" hidden="false" outlineLevel="0" max="12" min="12" style="0" width="12"/>
    <col collapsed="false" customWidth="true" hidden="false" outlineLevel="0" max="13" min="13" style="0" width="52"/>
  </cols>
  <sheetData>
    <row r="1" customFormat="false" ht="16.15" hidden="false" customHeight="false" outlineLevel="0" collapsed="false">
      <c r="A1" s="8" t="s">
        <v>2614</v>
      </c>
    </row>
    <row r="2" customFormat="false" ht="30" hidden="false" customHeight="true" outlineLevel="0" collapsed="false">
      <c r="A2" s="9" t="s">
        <v>2615</v>
      </c>
      <c r="B2" s="9" t="s">
        <v>2616</v>
      </c>
      <c r="C2" s="9" t="s">
        <v>2617</v>
      </c>
      <c r="D2" s="9" t="s">
        <v>2618</v>
      </c>
      <c r="E2" s="9" t="s">
        <v>2619</v>
      </c>
      <c r="F2" s="9" t="s">
        <v>2419</v>
      </c>
      <c r="G2" s="9" t="s">
        <v>2420</v>
      </c>
      <c r="H2" s="9" t="s">
        <v>2620</v>
      </c>
      <c r="I2" s="9" t="s">
        <v>2327</v>
      </c>
      <c r="J2" s="9" t="s">
        <v>2429</v>
      </c>
      <c r="K2" s="9" t="s">
        <v>2430</v>
      </c>
      <c r="L2" s="9" t="s">
        <v>2339</v>
      </c>
      <c r="M2" s="9" t="s">
        <v>2621</v>
      </c>
    </row>
    <row r="3" customFormat="false" ht="15" hidden="false" customHeight="false" outlineLevel="0" collapsed="false">
      <c r="A3" s="12" t="s">
        <v>2622</v>
      </c>
      <c r="B3" s="12" t="s">
        <v>2623</v>
      </c>
      <c r="C3" s="12" t="s">
        <v>2624</v>
      </c>
      <c r="D3" s="15" t="s">
        <v>2625</v>
      </c>
      <c r="E3" s="12" t="s">
        <v>2485</v>
      </c>
      <c r="F3" s="12" t="s">
        <v>2434</v>
      </c>
      <c r="G3" s="12" t="s">
        <v>2435</v>
      </c>
      <c r="H3" s="15" t="s">
        <v>978</v>
      </c>
      <c r="I3" s="12" t="s">
        <v>1197</v>
      </c>
      <c r="J3" s="12" t="s">
        <v>2437</v>
      </c>
      <c r="K3" s="12"/>
      <c r="L3" s="12" t="s">
        <v>2486</v>
      </c>
      <c r="M3" s="46" t="s">
        <v>2626</v>
      </c>
    </row>
    <row r="4" customFormat="false" ht="15" hidden="false" customHeight="false" outlineLevel="0" collapsed="false">
      <c r="A4" s="12" t="s">
        <v>2627</v>
      </c>
      <c r="B4" s="12" t="s">
        <v>2623</v>
      </c>
      <c r="C4" s="12" t="s">
        <v>2628</v>
      </c>
      <c r="D4" s="15" t="s">
        <v>2629</v>
      </c>
      <c r="E4" s="12" t="s">
        <v>2630</v>
      </c>
      <c r="F4" s="12" t="s">
        <v>2434</v>
      </c>
      <c r="G4" s="12" t="s">
        <v>2435</v>
      </c>
      <c r="H4" s="15" t="s">
        <v>978</v>
      </c>
      <c r="I4" s="12" t="s">
        <v>1197</v>
      </c>
      <c r="J4" s="12" t="s">
        <v>2437</v>
      </c>
      <c r="K4" s="12"/>
      <c r="L4" s="12" t="s">
        <v>2486</v>
      </c>
      <c r="M4" s="46" t="s">
        <v>2631</v>
      </c>
    </row>
    <row r="5" customFormat="false" ht="15" hidden="false" customHeight="false" outlineLevel="0" collapsed="false">
      <c r="A5" s="12" t="s">
        <v>2632</v>
      </c>
      <c r="B5" s="12" t="s">
        <v>2623</v>
      </c>
      <c r="C5" s="12" t="s">
        <v>2633</v>
      </c>
      <c r="D5" s="15" t="s">
        <v>2634</v>
      </c>
      <c r="E5" s="12" t="s">
        <v>2635</v>
      </c>
      <c r="F5" s="12" t="s">
        <v>2434</v>
      </c>
      <c r="G5" s="12" t="s">
        <v>2435</v>
      </c>
      <c r="H5" s="15" t="s">
        <v>978</v>
      </c>
      <c r="I5" s="12" t="s">
        <v>1197</v>
      </c>
      <c r="J5" s="12" t="s">
        <v>2437</v>
      </c>
      <c r="K5" s="12"/>
      <c r="L5" s="12" t="s">
        <v>2486</v>
      </c>
      <c r="M5" s="46" t="s">
        <v>2636</v>
      </c>
    </row>
    <row r="6" customFormat="false" ht="15" hidden="false" customHeight="false" outlineLevel="0" collapsed="false">
      <c r="A6" s="12" t="s">
        <v>2637</v>
      </c>
      <c r="B6" s="12" t="s">
        <v>2623</v>
      </c>
      <c r="C6" s="12" t="s">
        <v>2638</v>
      </c>
      <c r="D6" s="15" t="s">
        <v>2639</v>
      </c>
      <c r="E6" s="12" t="s">
        <v>2640</v>
      </c>
      <c r="F6" s="12" t="s">
        <v>2434</v>
      </c>
      <c r="G6" s="12" t="s">
        <v>2435</v>
      </c>
      <c r="H6" s="15" t="s">
        <v>990</v>
      </c>
      <c r="I6" s="12" t="s">
        <v>1197</v>
      </c>
      <c r="J6" s="12" t="s">
        <v>2437</v>
      </c>
      <c r="K6" s="12"/>
      <c r="L6" s="12" t="s">
        <v>2641</v>
      </c>
      <c r="M6" s="46" t="s">
        <v>2642</v>
      </c>
    </row>
    <row r="7" customFormat="false" ht="15" hidden="false" customHeight="false" outlineLevel="0" collapsed="false">
      <c r="A7" s="12" t="s">
        <v>2643</v>
      </c>
      <c r="B7" s="12" t="s">
        <v>2623</v>
      </c>
      <c r="C7" s="12" t="s">
        <v>2644</v>
      </c>
      <c r="D7" s="15" t="s">
        <v>2645</v>
      </c>
      <c r="E7" s="12" t="s">
        <v>2485</v>
      </c>
      <c r="F7" s="12" t="s">
        <v>2434</v>
      </c>
      <c r="G7" s="12" t="s">
        <v>2435</v>
      </c>
      <c r="H7" s="15" t="s">
        <v>978</v>
      </c>
      <c r="I7" s="12" t="s">
        <v>1197</v>
      </c>
      <c r="J7" s="12" t="s">
        <v>2437</v>
      </c>
      <c r="K7" s="12"/>
      <c r="L7" s="12" t="s">
        <v>2641</v>
      </c>
      <c r="M7" s="46" t="s">
        <v>2646</v>
      </c>
    </row>
    <row r="8" customFormat="false" ht="15" hidden="false" customHeight="false" outlineLevel="0" collapsed="false">
      <c r="A8" s="12" t="s">
        <v>2647</v>
      </c>
      <c r="B8" s="12" t="s">
        <v>2648</v>
      </c>
      <c r="C8" s="12" t="s">
        <v>2649</v>
      </c>
      <c r="D8" s="15" t="s">
        <v>2650</v>
      </c>
      <c r="E8" s="12" t="s">
        <v>2651</v>
      </c>
      <c r="F8" s="12" t="s">
        <v>2434</v>
      </c>
      <c r="G8" s="12" t="s">
        <v>2435</v>
      </c>
      <c r="H8" s="15" t="s">
        <v>978</v>
      </c>
      <c r="I8" s="12" t="s">
        <v>1197</v>
      </c>
      <c r="J8" s="12" t="s">
        <v>2437</v>
      </c>
      <c r="K8" s="12"/>
      <c r="L8" s="12" t="s">
        <v>2486</v>
      </c>
      <c r="M8" s="46" t="s">
        <v>2652</v>
      </c>
    </row>
    <row r="9" customFormat="false" ht="15" hidden="false" customHeight="false" outlineLevel="0" collapsed="false">
      <c r="A9" s="12" t="s">
        <v>2653</v>
      </c>
      <c r="B9" s="12" t="s">
        <v>2648</v>
      </c>
      <c r="C9" s="12" t="s">
        <v>2654</v>
      </c>
      <c r="D9" s="15" t="s">
        <v>2655</v>
      </c>
      <c r="E9" s="12" t="s">
        <v>2651</v>
      </c>
      <c r="F9" s="12" t="s">
        <v>2434</v>
      </c>
      <c r="G9" s="12" t="s">
        <v>2435</v>
      </c>
      <c r="H9" s="15" t="s">
        <v>978</v>
      </c>
      <c r="I9" s="12" t="s">
        <v>1197</v>
      </c>
      <c r="J9" s="12" t="s">
        <v>2437</v>
      </c>
      <c r="K9" s="12"/>
      <c r="L9" s="12" t="s">
        <v>2486</v>
      </c>
      <c r="M9" s="46" t="s">
        <v>2656</v>
      </c>
    </row>
    <row r="10" customFormat="false" ht="15" hidden="false" customHeight="false" outlineLevel="0" collapsed="false">
      <c r="A10" s="12" t="s">
        <v>2657</v>
      </c>
      <c r="B10" s="12" t="s">
        <v>2648</v>
      </c>
      <c r="C10" s="12" t="s">
        <v>2658</v>
      </c>
      <c r="D10" s="15" t="s">
        <v>2659</v>
      </c>
      <c r="E10" s="12" t="s">
        <v>2651</v>
      </c>
      <c r="F10" s="12" t="s">
        <v>2434</v>
      </c>
      <c r="G10" s="12" t="s">
        <v>2435</v>
      </c>
      <c r="H10" s="15" t="s">
        <v>978</v>
      </c>
      <c r="I10" s="12" t="s">
        <v>1197</v>
      </c>
      <c r="J10" s="12" t="s">
        <v>2437</v>
      </c>
      <c r="K10" s="12"/>
      <c r="L10" s="12" t="s">
        <v>2486</v>
      </c>
      <c r="M10" s="46" t="s">
        <v>2660</v>
      </c>
    </row>
    <row r="11" customFormat="false" ht="15" hidden="false" customHeight="false" outlineLevel="0" collapsed="false">
      <c r="A11" s="12" t="s">
        <v>2661</v>
      </c>
      <c r="B11" s="12" t="s">
        <v>2648</v>
      </c>
      <c r="C11" s="12" t="s">
        <v>2662</v>
      </c>
      <c r="D11" s="15" t="s">
        <v>2663</v>
      </c>
      <c r="E11" s="12" t="s">
        <v>2651</v>
      </c>
      <c r="F11" s="12" t="s">
        <v>2434</v>
      </c>
      <c r="G11" s="12" t="s">
        <v>2435</v>
      </c>
      <c r="H11" s="15" t="s">
        <v>978</v>
      </c>
      <c r="I11" s="12" t="s">
        <v>1197</v>
      </c>
      <c r="J11" s="12" t="s">
        <v>2437</v>
      </c>
      <c r="K11" s="12"/>
      <c r="L11" s="12" t="s">
        <v>2664</v>
      </c>
      <c r="M11" s="46" t="s">
        <v>2665</v>
      </c>
    </row>
    <row r="12" customFormat="false" ht="15" hidden="false" customHeight="false" outlineLevel="0" collapsed="false">
      <c r="A12" s="12" t="s">
        <v>2666</v>
      </c>
      <c r="B12" s="12" t="s">
        <v>2667</v>
      </c>
      <c r="C12" s="12" t="s">
        <v>2668</v>
      </c>
      <c r="D12" s="15" t="s">
        <v>990</v>
      </c>
      <c r="E12" s="12" t="s">
        <v>2495</v>
      </c>
      <c r="F12" s="12" t="s">
        <v>2434</v>
      </c>
      <c r="G12" s="12" t="s">
        <v>2435</v>
      </c>
      <c r="H12" s="15" t="s">
        <v>978</v>
      </c>
      <c r="I12" s="12" t="s">
        <v>1197</v>
      </c>
      <c r="J12" s="12" t="s">
        <v>2437</v>
      </c>
      <c r="K12" s="12"/>
      <c r="L12" s="12" t="s">
        <v>2486</v>
      </c>
      <c r="M12" s="46" t="s">
        <v>2669</v>
      </c>
    </row>
    <row r="13" customFormat="false" ht="15" hidden="false" customHeight="false" outlineLevel="0" collapsed="false">
      <c r="A13" s="12" t="s">
        <v>2670</v>
      </c>
      <c r="B13" s="12" t="s">
        <v>2667</v>
      </c>
      <c r="C13" s="12" t="s">
        <v>2671</v>
      </c>
      <c r="D13" s="15" t="s">
        <v>990</v>
      </c>
      <c r="E13" s="12" t="s">
        <v>2495</v>
      </c>
      <c r="F13" s="12" t="s">
        <v>2434</v>
      </c>
      <c r="G13" s="12" t="s">
        <v>2435</v>
      </c>
      <c r="H13" s="15" t="s">
        <v>978</v>
      </c>
      <c r="I13" s="12" t="s">
        <v>1197</v>
      </c>
      <c r="J13" s="12" t="s">
        <v>2437</v>
      </c>
      <c r="K13" s="12"/>
      <c r="L13" s="12" t="s">
        <v>2641</v>
      </c>
      <c r="M13" s="46" t="s">
        <v>2672</v>
      </c>
    </row>
    <row r="14" customFormat="false" ht="15" hidden="false" customHeight="false" outlineLevel="0" collapsed="false">
      <c r="A14" s="12" t="s">
        <v>2673</v>
      </c>
      <c r="B14" s="12" t="s">
        <v>2667</v>
      </c>
      <c r="C14" s="12" t="s">
        <v>2674</v>
      </c>
      <c r="D14" s="15" t="s">
        <v>2675</v>
      </c>
      <c r="E14" s="12" t="s">
        <v>2651</v>
      </c>
      <c r="F14" s="12" t="s">
        <v>2434</v>
      </c>
      <c r="G14" s="12" t="s">
        <v>2435</v>
      </c>
      <c r="H14" s="15" t="s">
        <v>978</v>
      </c>
      <c r="I14" s="12" t="s">
        <v>1197</v>
      </c>
      <c r="J14" s="12" t="s">
        <v>2437</v>
      </c>
      <c r="K14" s="12"/>
      <c r="L14" s="12" t="s">
        <v>2641</v>
      </c>
      <c r="M14" s="46" t="s">
        <v>2676</v>
      </c>
    </row>
    <row r="15" customFormat="false" ht="15" hidden="false" customHeight="false" outlineLevel="0" collapsed="false">
      <c r="A15" s="12" t="s">
        <v>2677</v>
      </c>
      <c r="B15" s="12" t="s">
        <v>2667</v>
      </c>
      <c r="C15" s="12" t="s">
        <v>2678</v>
      </c>
      <c r="D15" s="15" t="s">
        <v>990</v>
      </c>
      <c r="E15" s="12" t="s">
        <v>2495</v>
      </c>
      <c r="F15" s="12" t="s">
        <v>2434</v>
      </c>
      <c r="G15" s="12" t="s">
        <v>2435</v>
      </c>
      <c r="H15" s="15" t="s">
        <v>978</v>
      </c>
      <c r="I15" s="12" t="s">
        <v>1197</v>
      </c>
      <c r="J15" s="12" t="s">
        <v>2437</v>
      </c>
      <c r="K15" s="12"/>
      <c r="L15" s="12" t="s">
        <v>2664</v>
      </c>
      <c r="M15" s="46" t="s">
        <v>2679</v>
      </c>
    </row>
    <row r="16" customFormat="false" ht="15" hidden="false" customHeight="false" outlineLevel="0" collapsed="false">
      <c r="A16" s="12" t="s">
        <v>2680</v>
      </c>
      <c r="B16" s="12" t="s">
        <v>2667</v>
      </c>
      <c r="C16" s="12" t="s">
        <v>2681</v>
      </c>
      <c r="D16" s="15" t="s">
        <v>990</v>
      </c>
      <c r="E16" s="12" t="s">
        <v>2495</v>
      </c>
      <c r="F16" s="12" t="s">
        <v>2434</v>
      </c>
      <c r="G16" s="12" t="s">
        <v>2435</v>
      </c>
      <c r="H16" s="15" t="s">
        <v>978</v>
      </c>
      <c r="I16" s="12" t="s">
        <v>1197</v>
      </c>
      <c r="J16" s="12" t="s">
        <v>2437</v>
      </c>
      <c r="K16" s="12"/>
      <c r="L16" s="12" t="s">
        <v>2641</v>
      </c>
      <c r="M16" s="46" t="s">
        <v>2682</v>
      </c>
    </row>
    <row r="17" customFormat="false" ht="15" hidden="false" customHeight="false" outlineLevel="0" collapsed="false">
      <c r="A17" s="12" t="s">
        <v>2683</v>
      </c>
      <c r="B17" s="12" t="s">
        <v>2684</v>
      </c>
      <c r="C17" s="12" t="s">
        <v>2685</v>
      </c>
      <c r="D17" s="15" t="s">
        <v>2686</v>
      </c>
      <c r="E17" s="12" t="s">
        <v>2687</v>
      </c>
      <c r="F17" s="12" t="s">
        <v>2434</v>
      </c>
      <c r="G17" s="12" t="s">
        <v>2435</v>
      </c>
      <c r="H17" s="15" t="s">
        <v>978</v>
      </c>
      <c r="I17" s="12" t="s">
        <v>1197</v>
      </c>
      <c r="J17" s="12" t="s">
        <v>2688</v>
      </c>
      <c r="K17" s="12"/>
      <c r="L17" s="12" t="s">
        <v>2664</v>
      </c>
      <c r="M17" s="46" t="s">
        <v>2689</v>
      </c>
    </row>
    <row r="18" customFormat="false" ht="15" hidden="false" customHeight="false" outlineLevel="0" collapsed="false">
      <c r="A18" s="12" t="s">
        <v>2690</v>
      </c>
      <c r="B18" s="12" t="s">
        <v>2684</v>
      </c>
      <c r="C18" s="12" t="s">
        <v>2685</v>
      </c>
      <c r="D18" s="15" t="s">
        <v>2691</v>
      </c>
      <c r="E18" s="12" t="s">
        <v>2687</v>
      </c>
      <c r="F18" s="12" t="s">
        <v>2434</v>
      </c>
      <c r="G18" s="12" t="s">
        <v>2435</v>
      </c>
      <c r="H18" s="15" t="s">
        <v>978</v>
      </c>
      <c r="I18" s="12" t="s">
        <v>1202</v>
      </c>
      <c r="J18" s="12" t="s">
        <v>2437</v>
      </c>
      <c r="K18" s="12" t="s">
        <v>2692</v>
      </c>
      <c r="L18" s="12" t="s">
        <v>2664</v>
      </c>
      <c r="M18" s="46" t="s">
        <v>2693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9"/>
    <col collapsed="false" customWidth="true" hidden="false" outlineLevel="0" max="3" min="3" style="0" width="13"/>
    <col collapsed="false" customWidth="true" hidden="false" outlineLevel="0" max="4" min="4" style="0" width="34"/>
    <col collapsed="false" customWidth="true" hidden="false" outlineLevel="0" max="5" min="5" style="0" width="16"/>
    <col collapsed="false" customWidth="true" hidden="false" outlineLevel="0" max="6" min="6" style="0" width="9"/>
    <col collapsed="false" customWidth="true" hidden="false" outlineLevel="0" max="7" min="7" style="0" width="26"/>
    <col collapsed="false" customWidth="true" hidden="false" outlineLevel="0" max="8" min="8" style="0" width="16"/>
    <col collapsed="false" customWidth="true" hidden="false" outlineLevel="0" max="9" min="9" style="0" width="26"/>
    <col collapsed="false" customWidth="true" hidden="false" outlineLevel="0" max="10" min="10" style="0" width="66"/>
    <col collapsed="false" customWidth="true" hidden="false" outlineLevel="0" max="11" min="11" style="0" width="72"/>
    <col collapsed="false" customWidth="true" hidden="false" outlineLevel="0" max="12" min="12" style="0" width="16"/>
    <col collapsed="false" customWidth="true" hidden="false" outlineLevel="0" max="13" min="13" style="0" width="11"/>
    <col collapsed="false" customWidth="true" hidden="false" outlineLevel="0" max="14" min="14" style="0" width="14"/>
    <col collapsed="false" customWidth="true" hidden="false" outlineLevel="0" max="15" min="15" style="0" width="12"/>
    <col collapsed="false" customWidth="true" hidden="false" outlineLevel="0" max="16" min="16" style="0" width="19"/>
    <col collapsed="false" customWidth="true" hidden="false" outlineLevel="0" max="17" min="17" style="0" width="17"/>
    <col collapsed="false" customWidth="true" hidden="false" outlineLevel="0" max="18" min="18" style="0" width="20"/>
    <col collapsed="false" customWidth="true" hidden="false" outlineLevel="0" max="19" min="19" style="0" width="11"/>
  </cols>
  <sheetData>
    <row r="1" customFormat="false" ht="16.15" hidden="false" customHeight="false" outlineLevel="0" collapsed="false">
      <c r="A1" s="8" t="s">
        <v>2694</v>
      </c>
    </row>
    <row r="2" customFormat="false" ht="30" hidden="false" customHeight="true" outlineLevel="0" collapsed="false">
      <c r="A2" s="9" t="s">
        <v>2695</v>
      </c>
      <c r="B2" s="9" t="s">
        <v>2696</v>
      </c>
      <c r="C2" s="9" t="s">
        <v>2697</v>
      </c>
      <c r="D2" s="9" t="s">
        <v>2698</v>
      </c>
      <c r="E2" s="9" t="s">
        <v>2699</v>
      </c>
      <c r="F2" s="9" t="s">
        <v>2700</v>
      </c>
      <c r="G2" s="9" t="s">
        <v>2701</v>
      </c>
      <c r="H2" s="9" t="s">
        <v>2539</v>
      </c>
      <c r="I2" s="9" t="s">
        <v>2702</v>
      </c>
      <c r="J2" s="9" t="s">
        <v>2703</v>
      </c>
      <c r="K2" s="9" t="s">
        <v>2704</v>
      </c>
      <c r="L2" s="9" t="s">
        <v>2705</v>
      </c>
      <c r="M2" s="9" t="s">
        <v>2706</v>
      </c>
      <c r="N2" s="9" t="s">
        <v>2707</v>
      </c>
      <c r="O2" s="9" t="s">
        <v>2708</v>
      </c>
      <c r="P2" s="9" t="s">
        <v>2709</v>
      </c>
      <c r="Q2" s="9" t="s">
        <v>2710</v>
      </c>
      <c r="R2" s="9" t="s">
        <v>2711</v>
      </c>
      <c r="S2" s="9" t="s">
        <v>2712</v>
      </c>
    </row>
    <row r="3" customFormat="false" ht="72" hidden="false" customHeight="true" outlineLevel="0" collapsed="false">
      <c r="A3" s="12" t="s">
        <v>2713</v>
      </c>
      <c r="B3" s="12" t="s">
        <v>2714</v>
      </c>
      <c r="C3" s="12" t="s">
        <v>2477</v>
      </c>
      <c r="D3" s="12" t="s">
        <v>2715</v>
      </c>
      <c r="E3" s="12" t="n">
        <v>9</v>
      </c>
      <c r="F3" s="12" t="n">
        <v>1</v>
      </c>
      <c r="G3" s="15" t="s">
        <v>2716</v>
      </c>
      <c r="H3" s="12" t="s">
        <v>2552</v>
      </c>
      <c r="I3" s="12" t="s">
        <v>2717</v>
      </c>
      <c r="J3" s="46" t="s">
        <v>2718</v>
      </c>
      <c r="K3" s="46" t="s">
        <v>2719</v>
      </c>
      <c r="L3" s="12" t="s">
        <v>2720</v>
      </c>
      <c r="M3" s="15" t="s">
        <v>2721</v>
      </c>
      <c r="N3" s="15" t="s">
        <v>2722</v>
      </c>
      <c r="O3" s="12" t="s">
        <v>2477</v>
      </c>
      <c r="P3" s="12" t="s">
        <v>2723</v>
      </c>
      <c r="Q3" s="12" t="s">
        <v>2724</v>
      </c>
      <c r="R3" s="12" t="s">
        <v>2634</v>
      </c>
      <c r="S3" s="12" t="n">
        <v>1840</v>
      </c>
    </row>
    <row r="4" customFormat="false" ht="72" hidden="false" customHeight="true" outlineLevel="0" collapsed="false">
      <c r="A4" s="12" t="s">
        <v>2713</v>
      </c>
      <c r="B4" s="12" t="s">
        <v>2714</v>
      </c>
      <c r="C4" s="12" t="s">
        <v>2477</v>
      </c>
      <c r="D4" s="12" t="s">
        <v>2715</v>
      </c>
      <c r="E4" s="12" t="n">
        <v>9</v>
      </c>
      <c r="F4" s="12" t="n">
        <v>2</v>
      </c>
      <c r="G4" s="15" t="s">
        <v>2725</v>
      </c>
      <c r="H4" s="12" t="s">
        <v>2582</v>
      </c>
      <c r="I4" s="12" t="s">
        <v>2370</v>
      </c>
      <c r="J4" s="46" t="s">
        <v>2726</v>
      </c>
      <c r="K4" s="46" t="s">
        <v>2727</v>
      </c>
      <c r="L4" s="12" t="s">
        <v>2728</v>
      </c>
      <c r="M4" s="15" t="s">
        <v>2721</v>
      </c>
      <c r="N4" s="15" t="s">
        <v>2722</v>
      </c>
      <c r="O4" s="12" t="s">
        <v>2477</v>
      </c>
      <c r="P4" s="12" t="s">
        <v>2729</v>
      </c>
      <c r="Q4" s="12" t="s">
        <v>2724</v>
      </c>
      <c r="R4" s="12" t="s">
        <v>2634</v>
      </c>
      <c r="S4" s="12" t="n">
        <v>1840</v>
      </c>
    </row>
    <row r="5" customFormat="false" ht="72" hidden="false" customHeight="true" outlineLevel="0" collapsed="false">
      <c r="A5" s="12" t="s">
        <v>2713</v>
      </c>
      <c r="B5" s="12" t="s">
        <v>2714</v>
      </c>
      <c r="C5" s="12" t="s">
        <v>2477</v>
      </c>
      <c r="D5" s="12" t="s">
        <v>2715</v>
      </c>
      <c r="E5" s="12" t="n">
        <v>9</v>
      </c>
      <c r="F5" s="12" t="n">
        <v>3</v>
      </c>
      <c r="G5" s="15" t="s">
        <v>2730</v>
      </c>
      <c r="H5" s="12" t="s">
        <v>2552</v>
      </c>
      <c r="I5" s="12" t="s">
        <v>2557</v>
      </c>
      <c r="J5" s="46" t="s">
        <v>2731</v>
      </c>
      <c r="K5" s="46" t="s">
        <v>2732</v>
      </c>
      <c r="L5" s="12" t="s">
        <v>2733</v>
      </c>
      <c r="M5" s="15" t="s">
        <v>2734</v>
      </c>
      <c r="N5" s="15" t="s">
        <v>68</v>
      </c>
      <c r="O5" s="12"/>
      <c r="P5" s="12"/>
      <c r="Q5" s="12" t="s">
        <v>2724</v>
      </c>
      <c r="R5" s="12" t="s">
        <v>2634</v>
      </c>
      <c r="S5" s="12" t="n">
        <v>1840</v>
      </c>
    </row>
    <row r="6" customFormat="false" ht="72" hidden="false" customHeight="true" outlineLevel="0" collapsed="false">
      <c r="A6" s="12" t="s">
        <v>2713</v>
      </c>
      <c r="B6" s="12" t="s">
        <v>2714</v>
      </c>
      <c r="C6" s="12" t="s">
        <v>2477</v>
      </c>
      <c r="D6" s="12" t="s">
        <v>2715</v>
      </c>
      <c r="E6" s="12" t="n">
        <v>9</v>
      </c>
      <c r="F6" s="12" t="n">
        <v>4</v>
      </c>
      <c r="G6" s="15" t="s">
        <v>2735</v>
      </c>
      <c r="H6" s="12" t="s">
        <v>2552</v>
      </c>
      <c r="I6" s="12" t="s">
        <v>2604</v>
      </c>
      <c r="J6" s="46" t="s">
        <v>2736</v>
      </c>
      <c r="K6" s="46" t="s">
        <v>2737</v>
      </c>
      <c r="L6" s="12" t="s">
        <v>2738</v>
      </c>
      <c r="M6" s="15" t="s">
        <v>2721</v>
      </c>
      <c r="N6" s="15" t="s">
        <v>2722</v>
      </c>
      <c r="O6" s="12" t="s">
        <v>2477</v>
      </c>
      <c r="P6" s="12" t="s">
        <v>2739</v>
      </c>
      <c r="Q6" s="12" t="s">
        <v>2724</v>
      </c>
      <c r="R6" s="12" t="s">
        <v>2634</v>
      </c>
      <c r="S6" s="12" t="n">
        <v>1840</v>
      </c>
    </row>
    <row r="7" customFormat="false" ht="72" hidden="false" customHeight="true" outlineLevel="0" collapsed="false">
      <c r="A7" s="12" t="s">
        <v>2713</v>
      </c>
      <c r="B7" s="12" t="s">
        <v>2714</v>
      </c>
      <c r="C7" s="12" t="s">
        <v>2477</v>
      </c>
      <c r="D7" s="12" t="s">
        <v>2715</v>
      </c>
      <c r="E7" s="12" t="n">
        <v>9</v>
      </c>
      <c r="F7" s="12" t="n">
        <v>5</v>
      </c>
      <c r="G7" s="15" t="s">
        <v>2740</v>
      </c>
      <c r="H7" s="12" t="s">
        <v>2566</v>
      </c>
      <c r="I7" s="12" t="s">
        <v>2741</v>
      </c>
      <c r="J7" s="46" t="s">
        <v>2742</v>
      </c>
      <c r="K7" s="46" t="s">
        <v>2743</v>
      </c>
      <c r="L7" s="12" t="s">
        <v>2738</v>
      </c>
      <c r="M7" s="15" t="s">
        <v>2734</v>
      </c>
      <c r="N7" s="15" t="s">
        <v>68</v>
      </c>
      <c r="O7" s="12"/>
      <c r="P7" s="12"/>
      <c r="Q7" s="12" t="s">
        <v>2724</v>
      </c>
      <c r="R7" s="12" t="s">
        <v>2634</v>
      </c>
      <c r="S7" s="12" t="n">
        <v>1840</v>
      </c>
    </row>
    <row r="8" customFormat="false" ht="72" hidden="false" customHeight="true" outlineLevel="0" collapsed="false">
      <c r="A8" s="12" t="s">
        <v>2713</v>
      </c>
      <c r="B8" s="12" t="s">
        <v>2714</v>
      </c>
      <c r="C8" s="12" t="s">
        <v>2477</v>
      </c>
      <c r="D8" s="12" t="s">
        <v>2715</v>
      </c>
      <c r="E8" s="12" t="n">
        <v>9</v>
      </c>
      <c r="F8" s="12" t="n">
        <v>6</v>
      </c>
      <c r="G8" s="15" t="s">
        <v>2744</v>
      </c>
      <c r="H8" s="12" t="s">
        <v>2594</v>
      </c>
      <c r="I8" s="12" t="s">
        <v>2590</v>
      </c>
      <c r="J8" s="46" t="s">
        <v>2745</v>
      </c>
      <c r="K8" s="46" t="s">
        <v>2746</v>
      </c>
      <c r="L8" s="12" t="s">
        <v>2747</v>
      </c>
      <c r="M8" s="15" t="s">
        <v>2721</v>
      </c>
      <c r="N8" s="15" t="s">
        <v>2722</v>
      </c>
      <c r="O8" s="12" t="s">
        <v>2477</v>
      </c>
      <c r="P8" s="12" t="s">
        <v>2748</v>
      </c>
      <c r="Q8" s="12" t="s">
        <v>2724</v>
      </c>
      <c r="R8" s="12" t="s">
        <v>2634</v>
      </c>
      <c r="S8" s="12" t="n">
        <v>1840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24"/>
    <col collapsed="false" customWidth="true" hidden="false" outlineLevel="0" max="4" min="4" style="0" width="18"/>
    <col collapsed="false" customWidth="true" hidden="false" outlineLevel="0" max="5" min="5" style="0" width="46"/>
    <col collapsed="false" customWidth="true" hidden="false" outlineLevel="0" max="6" min="6" style="0" width="60"/>
    <col collapsed="false" customWidth="true" hidden="false" outlineLevel="0" max="7" min="7" style="0" width="22"/>
    <col collapsed="false" customWidth="true" hidden="false" outlineLevel="0" max="8" min="8" style="0" width="30"/>
  </cols>
  <sheetData>
    <row r="1" customFormat="false" ht="16.15" hidden="false" customHeight="false" outlineLevel="0" collapsed="false">
      <c r="A1" s="8" t="s">
        <v>2749</v>
      </c>
    </row>
    <row r="2" customFormat="false" ht="30" hidden="false" customHeight="true" outlineLevel="0" collapsed="false">
      <c r="A2" s="9" t="s">
        <v>2750</v>
      </c>
      <c r="B2" s="9" t="s">
        <v>2751</v>
      </c>
      <c r="C2" s="9" t="s">
        <v>2752</v>
      </c>
      <c r="D2" s="9" t="s">
        <v>2753</v>
      </c>
      <c r="E2" s="9" t="s">
        <v>2754</v>
      </c>
      <c r="F2" s="9" t="s">
        <v>2755</v>
      </c>
      <c r="G2" s="9" t="s">
        <v>2756</v>
      </c>
      <c r="H2" s="9" t="s">
        <v>2757</v>
      </c>
    </row>
    <row r="3" customFormat="false" ht="31.5" hidden="false" customHeight="true" outlineLevel="0" collapsed="false">
      <c r="A3" s="10" t="s">
        <v>2758</v>
      </c>
      <c r="B3" s="10" t="s">
        <v>2759</v>
      </c>
      <c r="C3" s="10" t="s">
        <v>6</v>
      </c>
      <c r="D3" s="19" t="s">
        <v>2760</v>
      </c>
      <c r="E3" s="11" t="s">
        <v>2761</v>
      </c>
      <c r="F3" s="11" t="s">
        <v>2762</v>
      </c>
      <c r="G3" s="11" t="s">
        <v>2763</v>
      </c>
      <c r="H3" s="11" t="s">
        <v>2764</v>
      </c>
    </row>
    <row r="4" customFormat="false" ht="31.5" hidden="false" customHeight="true" outlineLevel="0" collapsed="false">
      <c r="A4" s="10" t="s">
        <v>2763</v>
      </c>
      <c r="B4" s="10" t="s">
        <v>2765</v>
      </c>
      <c r="C4" s="10" t="s">
        <v>6</v>
      </c>
      <c r="D4" s="19" t="s">
        <v>2766</v>
      </c>
      <c r="E4" s="11" t="s">
        <v>2767</v>
      </c>
      <c r="F4" s="11" t="s">
        <v>2768</v>
      </c>
      <c r="G4" s="11" t="s">
        <v>2769</v>
      </c>
      <c r="H4" s="11" t="s">
        <v>2770</v>
      </c>
    </row>
    <row r="5" customFormat="false" ht="31.5" hidden="false" customHeight="true" outlineLevel="0" collapsed="false">
      <c r="A5" s="10" t="s">
        <v>2771</v>
      </c>
      <c r="B5" s="10" t="s">
        <v>2772</v>
      </c>
      <c r="C5" s="10" t="s">
        <v>8</v>
      </c>
      <c r="D5" s="19" t="s">
        <v>2773</v>
      </c>
      <c r="E5" s="11" t="s">
        <v>2774</v>
      </c>
      <c r="F5" s="11" t="s">
        <v>2775</v>
      </c>
      <c r="G5" s="11" t="s">
        <v>2776</v>
      </c>
      <c r="H5" s="11" t="s">
        <v>2770</v>
      </c>
    </row>
    <row r="6" customFormat="false" ht="31.5" hidden="false" customHeight="true" outlineLevel="0" collapsed="false">
      <c r="A6" s="10" t="s">
        <v>2776</v>
      </c>
      <c r="B6" s="10" t="s">
        <v>2777</v>
      </c>
      <c r="C6" s="10" t="s">
        <v>8</v>
      </c>
      <c r="D6" s="19" t="s">
        <v>2766</v>
      </c>
      <c r="E6" s="11" t="s">
        <v>2778</v>
      </c>
      <c r="F6" s="11" t="s">
        <v>2779</v>
      </c>
      <c r="G6" s="11" t="s">
        <v>2780</v>
      </c>
      <c r="H6" s="11" t="s">
        <v>2770</v>
      </c>
    </row>
    <row r="7" customFormat="false" ht="31.5" hidden="false" customHeight="true" outlineLevel="0" collapsed="false">
      <c r="A7" s="10" t="s">
        <v>2780</v>
      </c>
      <c r="B7" s="10" t="s">
        <v>2781</v>
      </c>
      <c r="C7" s="10" t="s">
        <v>8</v>
      </c>
      <c r="D7" s="19" t="s">
        <v>2782</v>
      </c>
      <c r="E7" s="11" t="s">
        <v>2783</v>
      </c>
      <c r="F7" s="11" t="s">
        <v>2784</v>
      </c>
      <c r="G7" s="11"/>
      <c r="H7" s="11" t="s">
        <v>2770</v>
      </c>
    </row>
    <row r="8" customFormat="false" ht="31.5" hidden="false" customHeight="true" outlineLevel="0" collapsed="false">
      <c r="A8" s="10" t="s">
        <v>2785</v>
      </c>
      <c r="B8" s="10" t="s">
        <v>2786</v>
      </c>
      <c r="C8" s="10" t="s">
        <v>10</v>
      </c>
      <c r="D8" s="19" t="s">
        <v>2760</v>
      </c>
      <c r="E8" s="11" t="s">
        <v>2787</v>
      </c>
      <c r="F8" s="11" t="s">
        <v>2788</v>
      </c>
      <c r="G8" s="11" t="s">
        <v>2789</v>
      </c>
      <c r="H8" s="11" t="s">
        <v>2790</v>
      </c>
    </row>
    <row r="9" customFormat="false" ht="31.5" hidden="false" customHeight="true" outlineLevel="0" collapsed="false">
      <c r="A9" s="10" t="s">
        <v>2789</v>
      </c>
      <c r="B9" s="10" t="s">
        <v>2791</v>
      </c>
      <c r="C9" s="10" t="s">
        <v>10</v>
      </c>
      <c r="D9" s="19" t="s">
        <v>2766</v>
      </c>
      <c r="E9" s="11" t="s">
        <v>2792</v>
      </c>
      <c r="F9" s="11" t="s">
        <v>2793</v>
      </c>
      <c r="G9" s="11" t="s">
        <v>2794</v>
      </c>
      <c r="H9" s="11" t="s">
        <v>2790</v>
      </c>
    </row>
    <row r="10" customFormat="false" ht="31.5" hidden="false" customHeight="true" outlineLevel="0" collapsed="false">
      <c r="A10" s="10" t="s">
        <v>2795</v>
      </c>
      <c r="B10" s="10" t="s">
        <v>2796</v>
      </c>
      <c r="C10" s="10" t="s">
        <v>10</v>
      </c>
      <c r="D10" s="19" t="s">
        <v>2797</v>
      </c>
      <c r="E10" s="11" t="s">
        <v>2798</v>
      </c>
      <c r="F10" s="11" t="s">
        <v>2799</v>
      </c>
      <c r="G10" s="11" t="s">
        <v>2789</v>
      </c>
      <c r="H10" s="11" t="s">
        <v>2800</v>
      </c>
    </row>
    <row r="11" customFormat="false" ht="31.5" hidden="false" customHeight="true" outlineLevel="0" collapsed="false">
      <c r="A11" s="10" t="s">
        <v>2801</v>
      </c>
      <c r="B11" s="10" t="s">
        <v>2802</v>
      </c>
      <c r="C11" s="10" t="s">
        <v>12</v>
      </c>
      <c r="D11" s="19" t="s">
        <v>2760</v>
      </c>
      <c r="E11" s="11" t="s">
        <v>2803</v>
      </c>
      <c r="F11" s="11" t="s">
        <v>2804</v>
      </c>
      <c r="G11" s="11" t="s">
        <v>2805</v>
      </c>
      <c r="H11" s="11" t="s">
        <v>2790</v>
      </c>
    </row>
    <row r="12" customFormat="false" ht="31.5" hidden="false" customHeight="true" outlineLevel="0" collapsed="false">
      <c r="A12" s="10" t="s">
        <v>2805</v>
      </c>
      <c r="B12" s="10" t="s">
        <v>2806</v>
      </c>
      <c r="C12" s="10" t="s">
        <v>12</v>
      </c>
      <c r="D12" s="19" t="s">
        <v>2766</v>
      </c>
      <c r="E12" s="11" t="s">
        <v>2807</v>
      </c>
      <c r="F12" s="11" t="s">
        <v>2808</v>
      </c>
      <c r="G12" s="11" t="s">
        <v>2809</v>
      </c>
      <c r="H12" s="11" t="s">
        <v>2790</v>
      </c>
    </row>
    <row r="13" customFormat="false" ht="31.5" hidden="false" customHeight="true" outlineLevel="0" collapsed="false">
      <c r="A13" s="10" t="s">
        <v>2810</v>
      </c>
      <c r="B13" s="10" t="s">
        <v>2811</v>
      </c>
      <c r="C13" s="10" t="s">
        <v>12</v>
      </c>
      <c r="D13" s="19" t="s">
        <v>2812</v>
      </c>
      <c r="E13" s="11" t="s">
        <v>2813</v>
      </c>
      <c r="F13" s="11" t="s">
        <v>2814</v>
      </c>
      <c r="G13" s="11" t="s">
        <v>2805</v>
      </c>
      <c r="H13" s="11" t="s">
        <v>2790</v>
      </c>
    </row>
    <row r="14" customFormat="false" ht="31.5" hidden="false" customHeight="true" outlineLevel="0" collapsed="false">
      <c r="A14" s="10" t="s">
        <v>2815</v>
      </c>
      <c r="B14" s="10" t="s">
        <v>2816</v>
      </c>
      <c r="C14" s="10" t="s">
        <v>12</v>
      </c>
      <c r="D14" s="19" t="s">
        <v>2797</v>
      </c>
      <c r="E14" s="11" t="s">
        <v>2817</v>
      </c>
      <c r="F14" s="11" t="s">
        <v>2818</v>
      </c>
      <c r="G14" s="11" t="s">
        <v>2805</v>
      </c>
      <c r="H14" s="11" t="s">
        <v>2790</v>
      </c>
    </row>
    <row r="15" customFormat="false" ht="31.5" hidden="false" customHeight="true" outlineLevel="0" collapsed="false">
      <c r="A15" s="10" t="s">
        <v>2819</v>
      </c>
      <c r="B15" s="10" t="s">
        <v>2820</v>
      </c>
      <c r="C15" s="10" t="s">
        <v>12</v>
      </c>
      <c r="D15" s="19" t="s">
        <v>2797</v>
      </c>
      <c r="E15" s="11" t="s">
        <v>2821</v>
      </c>
      <c r="F15" s="11" t="s">
        <v>2822</v>
      </c>
      <c r="G15" s="11" t="s">
        <v>2805</v>
      </c>
      <c r="H15" s="11" t="s">
        <v>2800</v>
      </c>
    </row>
    <row r="16" customFormat="false" ht="31.5" hidden="false" customHeight="true" outlineLevel="0" collapsed="false">
      <c r="A16" s="10" t="s">
        <v>2823</v>
      </c>
      <c r="B16" s="10" t="s">
        <v>2824</v>
      </c>
      <c r="C16" s="10" t="s">
        <v>12</v>
      </c>
      <c r="D16" s="19" t="s">
        <v>2825</v>
      </c>
      <c r="E16" s="11" t="s">
        <v>2826</v>
      </c>
      <c r="F16" s="11" t="s">
        <v>2827</v>
      </c>
      <c r="G16" s="11" t="s">
        <v>2819</v>
      </c>
      <c r="H16" s="11" t="s">
        <v>2800</v>
      </c>
    </row>
    <row r="17" customFormat="false" ht="31.5" hidden="false" customHeight="true" outlineLevel="0" collapsed="false">
      <c r="A17" s="10" t="s">
        <v>2828</v>
      </c>
      <c r="B17" s="10" t="s">
        <v>2829</v>
      </c>
      <c r="C17" s="10" t="s">
        <v>14</v>
      </c>
      <c r="D17" s="19" t="s">
        <v>2760</v>
      </c>
      <c r="E17" s="11" t="s">
        <v>2830</v>
      </c>
      <c r="F17" s="11" t="s">
        <v>2831</v>
      </c>
      <c r="G17" s="11" t="s">
        <v>2832</v>
      </c>
      <c r="H17" s="11" t="s">
        <v>2833</v>
      </c>
    </row>
    <row r="18" customFormat="false" ht="31.5" hidden="false" customHeight="true" outlineLevel="0" collapsed="false">
      <c r="A18" s="10" t="s">
        <v>2832</v>
      </c>
      <c r="B18" s="10" t="s">
        <v>2834</v>
      </c>
      <c r="C18" s="10" t="s">
        <v>14</v>
      </c>
      <c r="D18" s="19" t="s">
        <v>2766</v>
      </c>
      <c r="E18" s="11" t="s">
        <v>2835</v>
      </c>
      <c r="F18" s="11" t="s">
        <v>2836</v>
      </c>
      <c r="G18" s="11" t="s">
        <v>2837</v>
      </c>
      <c r="H18" s="11" t="s">
        <v>2833</v>
      </c>
    </row>
    <row r="19" customFormat="false" ht="31.5" hidden="false" customHeight="true" outlineLevel="0" collapsed="false">
      <c r="A19" s="10" t="s">
        <v>2838</v>
      </c>
      <c r="B19" s="10" t="s">
        <v>2839</v>
      </c>
      <c r="C19" s="10" t="s">
        <v>16</v>
      </c>
      <c r="D19" s="19" t="s">
        <v>2797</v>
      </c>
      <c r="E19" s="11" t="s">
        <v>2840</v>
      </c>
      <c r="F19" s="11" t="s">
        <v>2841</v>
      </c>
      <c r="G19" s="11" t="s">
        <v>2842</v>
      </c>
      <c r="H19" s="11" t="s">
        <v>2833</v>
      </c>
    </row>
    <row r="20" customFormat="false" ht="31.5" hidden="false" customHeight="true" outlineLevel="0" collapsed="false">
      <c r="A20" s="10" t="s">
        <v>2843</v>
      </c>
      <c r="B20" s="10" t="s">
        <v>2844</v>
      </c>
      <c r="C20" s="10" t="s">
        <v>14</v>
      </c>
      <c r="D20" s="19" t="s">
        <v>2845</v>
      </c>
      <c r="E20" s="11" t="s">
        <v>2846</v>
      </c>
      <c r="F20" s="11" t="s">
        <v>2847</v>
      </c>
      <c r="G20" s="11" t="s">
        <v>2848</v>
      </c>
      <c r="H20" s="11" t="s">
        <v>2849</v>
      </c>
    </row>
    <row r="21" customFormat="false" ht="31.5" hidden="false" customHeight="true" outlineLevel="0" collapsed="false">
      <c r="A21" s="10" t="s">
        <v>2850</v>
      </c>
      <c r="B21" s="10" t="s">
        <v>2851</v>
      </c>
      <c r="C21" s="10" t="s">
        <v>12</v>
      </c>
      <c r="D21" s="19" t="s">
        <v>2825</v>
      </c>
      <c r="E21" s="11" t="s">
        <v>2852</v>
      </c>
      <c r="F21" s="11" t="s">
        <v>2853</v>
      </c>
      <c r="G21" s="11" t="s">
        <v>2805</v>
      </c>
      <c r="H21" s="11" t="s">
        <v>2833</v>
      </c>
    </row>
    <row r="22" customFormat="false" ht="31.5" hidden="false" customHeight="true" outlineLevel="0" collapsed="false">
      <c r="A22" s="10" t="s">
        <v>2848</v>
      </c>
      <c r="B22" s="10" t="s">
        <v>2854</v>
      </c>
      <c r="C22" s="10" t="s">
        <v>14</v>
      </c>
      <c r="D22" s="19" t="s">
        <v>2797</v>
      </c>
      <c r="E22" s="11" t="s">
        <v>2855</v>
      </c>
      <c r="F22" s="11" t="s">
        <v>2856</v>
      </c>
      <c r="G22" s="11" t="s">
        <v>2857</v>
      </c>
      <c r="H22" s="11" t="s">
        <v>2858</v>
      </c>
    </row>
    <row r="23" customFormat="false" ht="31.5" hidden="false" customHeight="true" outlineLevel="0" collapsed="false">
      <c r="A23" s="10" t="s">
        <v>2859</v>
      </c>
      <c r="B23" s="10" t="s">
        <v>2860</v>
      </c>
      <c r="C23" s="10" t="s">
        <v>22</v>
      </c>
      <c r="D23" s="19" t="s">
        <v>2797</v>
      </c>
      <c r="E23" s="11" t="s">
        <v>2861</v>
      </c>
      <c r="F23" s="11" t="s">
        <v>2862</v>
      </c>
      <c r="G23" s="11" t="s">
        <v>2863</v>
      </c>
      <c r="H23" s="11" t="s">
        <v>2858</v>
      </c>
    </row>
    <row r="24" customFormat="false" ht="31.5" hidden="false" customHeight="true" outlineLevel="0" collapsed="false">
      <c r="A24" s="10" t="s">
        <v>2864</v>
      </c>
      <c r="B24" s="10" t="s">
        <v>2865</v>
      </c>
      <c r="C24" s="10" t="s">
        <v>22</v>
      </c>
      <c r="D24" s="19" t="s">
        <v>2760</v>
      </c>
      <c r="E24" s="11" t="s">
        <v>2866</v>
      </c>
      <c r="F24" s="11" t="s">
        <v>2867</v>
      </c>
      <c r="G24" s="11" t="s">
        <v>2859</v>
      </c>
      <c r="H24" s="11" t="s">
        <v>2868</v>
      </c>
    </row>
    <row r="25" customFormat="false" ht="31.5" hidden="false" customHeight="true" outlineLevel="0" collapsed="false">
      <c r="A25" s="10" t="s">
        <v>2869</v>
      </c>
      <c r="B25" s="10" t="s">
        <v>2870</v>
      </c>
      <c r="C25" s="10" t="s">
        <v>26</v>
      </c>
      <c r="D25" s="19" t="s">
        <v>2871</v>
      </c>
      <c r="E25" s="11" t="s">
        <v>2872</v>
      </c>
      <c r="F25" s="11" t="s">
        <v>2873</v>
      </c>
      <c r="G25" s="11" t="s">
        <v>2874</v>
      </c>
      <c r="H25" s="11" t="s">
        <v>2875</v>
      </c>
    </row>
    <row r="26" customFormat="false" ht="31.5" hidden="false" customHeight="true" outlineLevel="0" collapsed="false">
      <c r="A26" s="10" t="s">
        <v>2876</v>
      </c>
      <c r="B26" s="10" t="s">
        <v>2877</v>
      </c>
      <c r="C26" s="10" t="s">
        <v>18</v>
      </c>
      <c r="D26" s="19" t="s">
        <v>2878</v>
      </c>
      <c r="E26" s="11" t="s">
        <v>2879</v>
      </c>
      <c r="F26" s="11" t="s">
        <v>2880</v>
      </c>
      <c r="G26" s="11" t="s">
        <v>2881</v>
      </c>
      <c r="H26" s="11" t="s">
        <v>2882</v>
      </c>
    </row>
    <row r="27" customFormat="false" ht="31.5" hidden="false" customHeight="true" outlineLevel="0" collapsed="false">
      <c r="A27" s="10" t="s">
        <v>2883</v>
      </c>
      <c r="B27" s="10" t="s">
        <v>2884</v>
      </c>
      <c r="C27" s="10" t="s">
        <v>18</v>
      </c>
      <c r="D27" s="19" t="s">
        <v>2845</v>
      </c>
      <c r="E27" s="11" t="s">
        <v>2885</v>
      </c>
      <c r="F27" s="11" t="s">
        <v>2886</v>
      </c>
      <c r="G27" s="11" t="s">
        <v>2876</v>
      </c>
      <c r="H27" s="11" t="s">
        <v>2887</v>
      </c>
    </row>
    <row r="28" customFormat="false" ht="31.5" hidden="false" customHeight="true" outlineLevel="0" collapsed="false">
      <c r="A28" s="10" t="s">
        <v>2888</v>
      </c>
      <c r="B28" s="10" t="s">
        <v>2889</v>
      </c>
      <c r="C28" s="10" t="s">
        <v>20</v>
      </c>
      <c r="D28" s="19" t="s">
        <v>2890</v>
      </c>
      <c r="E28" s="11" t="s">
        <v>2891</v>
      </c>
      <c r="F28" s="11" t="s">
        <v>2892</v>
      </c>
      <c r="G28" s="11" t="s">
        <v>2876</v>
      </c>
      <c r="H28" s="11" t="s">
        <v>2893</v>
      </c>
    </row>
    <row r="29" customFormat="false" ht="31.5" hidden="false" customHeight="true" outlineLevel="0" collapsed="false">
      <c r="A29" s="10" t="s">
        <v>2894</v>
      </c>
      <c r="B29" s="10" t="s">
        <v>2895</v>
      </c>
      <c r="C29" s="10" t="s">
        <v>18</v>
      </c>
      <c r="D29" s="19" t="s">
        <v>2825</v>
      </c>
      <c r="E29" s="11" t="s">
        <v>2896</v>
      </c>
      <c r="F29" s="11" t="s">
        <v>2897</v>
      </c>
      <c r="G29" s="11" t="s">
        <v>2876</v>
      </c>
      <c r="H29" s="11" t="s">
        <v>2898</v>
      </c>
    </row>
    <row r="30" customFormat="false" ht="31.5" hidden="false" customHeight="true" outlineLevel="0" collapsed="false">
      <c r="A30" s="10" t="s">
        <v>2899</v>
      </c>
      <c r="B30" s="10" t="s">
        <v>2900</v>
      </c>
      <c r="C30" s="10" t="s">
        <v>24</v>
      </c>
      <c r="D30" s="19" t="s">
        <v>2878</v>
      </c>
      <c r="E30" s="11" t="s">
        <v>2901</v>
      </c>
      <c r="F30" s="11" t="s">
        <v>2902</v>
      </c>
      <c r="G30" s="11" t="s">
        <v>2903</v>
      </c>
      <c r="H30" s="11" t="s">
        <v>2904</v>
      </c>
    </row>
    <row r="31" customFormat="false" ht="31.5" hidden="false" customHeight="true" outlineLevel="0" collapsed="false">
      <c r="A31" s="10" t="s">
        <v>2903</v>
      </c>
      <c r="B31" s="10" t="s">
        <v>2905</v>
      </c>
      <c r="C31" s="10" t="s">
        <v>24</v>
      </c>
      <c r="D31" s="19" t="s">
        <v>2825</v>
      </c>
      <c r="E31" s="11" t="s">
        <v>2906</v>
      </c>
      <c r="F31" s="11" t="s">
        <v>2907</v>
      </c>
      <c r="G31" s="11" t="s">
        <v>2899</v>
      </c>
      <c r="H31" s="11" t="s">
        <v>2908</v>
      </c>
    </row>
    <row r="32" customFormat="false" ht="31.5" hidden="false" customHeight="true" outlineLevel="0" collapsed="false">
      <c r="A32" s="10" t="s">
        <v>2909</v>
      </c>
      <c r="B32" s="10" t="s">
        <v>2910</v>
      </c>
      <c r="C32" s="10" t="s">
        <v>2911</v>
      </c>
      <c r="D32" s="19" t="s">
        <v>2282</v>
      </c>
      <c r="E32" s="11" t="s">
        <v>2912</v>
      </c>
      <c r="F32" s="11" t="s">
        <v>2913</v>
      </c>
      <c r="G32" s="11" t="s">
        <v>2914</v>
      </c>
      <c r="H32" s="11" t="s">
        <v>2915</v>
      </c>
    </row>
    <row r="33" customFormat="false" ht="31.5" hidden="false" customHeight="true" outlineLevel="0" collapsed="false">
      <c r="A33" s="10" t="s">
        <v>2916</v>
      </c>
      <c r="B33" s="10" t="s">
        <v>2917</v>
      </c>
      <c r="C33" s="10" t="s">
        <v>2285</v>
      </c>
      <c r="D33" s="19" t="s">
        <v>2918</v>
      </c>
      <c r="E33" s="11" t="s">
        <v>2919</v>
      </c>
      <c r="F33" s="11" t="s">
        <v>2920</v>
      </c>
      <c r="G33" s="11" t="s">
        <v>2921</v>
      </c>
      <c r="H33" s="11" t="s">
        <v>2922</v>
      </c>
    </row>
    <row r="34" customFormat="false" ht="31.5" hidden="false" customHeight="true" outlineLevel="0" collapsed="false">
      <c r="A34" s="10" t="s">
        <v>2921</v>
      </c>
      <c r="B34" s="10" t="s">
        <v>2923</v>
      </c>
      <c r="C34" s="10" t="s">
        <v>1949</v>
      </c>
      <c r="D34" s="19" t="s">
        <v>2797</v>
      </c>
      <c r="E34" s="11" t="s">
        <v>2924</v>
      </c>
      <c r="F34" s="11" t="s">
        <v>2925</v>
      </c>
      <c r="G34" s="11" t="s">
        <v>2926</v>
      </c>
      <c r="H34" s="11" t="s">
        <v>2927</v>
      </c>
    </row>
    <row r="35" customFormat="false" ht="31.5" hidden="false" customHeight="true" outlineLevel="0" collapsed="false">
      <c r="A35" s="10" t="s">
        <v>2928</v>
      </c>
      <c r="B35" s="10" t="s">
        <v>2929</v>
      </c>
      <c r="C35" s="10" t="s">
        <v>1949</v>
      </c>
      <c r="D35" s="19" t="s">
        <v>2766</v>
      </c>
      <c r="E35" s="11" t="s">
        <v>2930</v>
      </c>
      <c r="F35" s="11" t="s">
        <v>2931</v>
      </c>
      <c r="G35" s="11" t="s">
        <v>2932</v>
      </c>
      <c r="H35" s="11" t="s">
        <v>2927</v>
      </c>
    </row>
    <row r="36" customFormat="false" ht="31.5" hidden="false" customHeight="true" outlineLevel="0" collapsed="false">
      <c r="A36" s="10" t="s">
        <v>2933</v>
      </c>
      <c r="B36" s="10" t="s">
        <v>2934</v>
      </c>
      <c r="C36" s="10" t="s">
        <v>1949</v>
      </c>
      <c r="D36" s="19" t="s">
        <v>2812</v>
      </c>
      <c r="E36" s="11" t="s">
        <v>2935</v>
      </c>
      <c r="F36" s="11" t="s">
        <v>2936</v>
      </c>
      <c r="G36" s="11" t="s">
        <v>2928</v>
      </c>
      <c r="H36" s="11" t="s">
        <v>2790</v>
      </c>
    </row>
    <row r="37" customFormat="false" ht="31.5" hidden="false" customHeight="true" outlineLevel="0" collapsed="false">
      <c r="A37" s="10" t="s">
        <v>2937</v>
      </c>
      <c r="B37" s="10" t="s">
        <v>2938</v>
      </c>
      <c r="C37" s="10" t="s">
        <v>6</v>
      </c>
      <c r="D37" s="19" t="s">
        <v>2797</v>
      </c>
      <c r="E37" s="11" t="s">
        <v>2939</v>
      </c>
      <c r="F37" s="11" t="s">
        <v>2940</v>
      </c>
      <c r="G37" s="11" t="s">
        <v>2941</v>
      </c>
      <c r="H37" s="11" t="s">
        <v>2800</v>
      </c>
    </row>
    <row r="38" customFormat="false" ht="31.5" hidden="false" customHeight="true" outlineLevel="0" collapsed="false">
      <c r="A38" s="10" t="s">
        <v>2942</v>
      </c>
      <c r="B38" s="10" t="s">
        <v>2943</v>
      </c>
      <c r="C38" s="10" t="s">
        <v>1966</v>
      </c>
      <c r="D38" s="19" t="s">
        <v>2878</v>
      </c>
      <c r="E38" s="11" t="s">
        <v>2944</v>
      </c>
      <c r="F38" s="11" t="s">
        <v>2945</v>
      </c>
      <c r="G38" s="11" t="s">
        <v>2883</v>
      </c>
      <c r="H38" s="11" t="s">
        <v>2882</v>
      </c>
    </row>
    <row r="39" customFormat="false" ht="31.5" hidden="false" customHeight="true" outlineLevel="0" collapsed="false">
      <c r="A39" s="10" t="s">
        <v>2946</v>
      </c>
      <c r="B39" s="10" t="s">
        <v>2947</v>
      </c>
      <c r="C39" s="10" t="s">
        <v>1975</v>
      </c>
      <c r="D39" s="19" t="s">
        <v>2760</v>
      </c>
      <c r="E39" s="11" t="s">
        <v>2948</v>
      </c>
      <c r="F39" s="11" t="s">
        <v>2949</v>
      </c>
      <c r="G39" s="11" t="s">
        <v>2950</v>
      </c>
      <c r="H39" s="11" t="s">
        <v>2951</v>
      </c>
    </row>
    <row r="40" customFormat="false" ht="31.5" hidden="false" customHeight="true" outlineLevel="0" collapsed="false">
      <c r="A40" s="10" t="s">
        <v>2950</v>
      </c>
      <c r="B40" s="10" t="s">
        <v>2952</v>
      </c>
      <c r="C40" s="10" t="s">
        <v>1975</v>
      </c>
      <c r="D40" s="19" t="s">
        <v>2766</v>
      </c>
      <c r="E40" s="11" t="s">
        <v>2953</v>
      </c>
      <c r="F40" s="11" t="s">
        <v>2954</v>
      </c>
      <c r="G40" s="11" t="s">
        <v>2955</v>
      </c>
      <c r="H40" s="11" t="s">
        <v>2956</v>
      </c>
    </row>
    <row r="41" customFormat="false" ht="31.5" hidden="false" customHeight="true" outlineLevel="0" collapsed="false">
      <c r="A41" s="10" t="s">
        <v>2955</v>
      </c>
      <c r="B41" s="10" t="s">
        <v>2957</v>
      </c>
      <c r="C41" s="10" t="s">
        <v>1975</v>
      </c>
      <c r="D41" s="19" t="s">
        <v>2845</v>
      </c>
      <c r="E41" s="11" t="s">
        <v>2958</v>
      </c>
      <c r="F41" s="11" t="s">
        <v>2959</v>
      </c>
      <c r="G41" s="11" t="s">
        <v>2950</v>
      </c>
      <c r="H41" s="11" t="s">
        <v>2956</v>
      </c>
    </row>
    <row r="42" customFormat="false" ht="31.5" hidden="false" customHeight="true" outlineLevel="0" collapsed="false">
      <c r="A42" s="10" t="s">
        <v>2960</v>
      </c>
      <c r="B42" s="10" t="s">
        <v>2961</v>
      </c>
      <c r="C42" s="10" t="s">
        <v>6</v>
      </c>
      <c r="D42" s="19" t="s">
        <v>2845</v>
      </c>
      <c r="E42" s="11" t="s">
        <v>2962</v>
      </c>
      <c r="F42" s="11" t="s">
        <v>2963</v>
      </c>
      <c r="G42" s="11" t="s">
        <v>2785</v>
      </c>
      <c r="H42" s="11" t="s">
        <v>2800</v>
      </c>
    </row>
    <row r="43" customFormat="false" ht="31.5" hidden="false" customHeight="true" outlineLevel="0" collapsed="false">
      <c r="A43" s="10" t="s">
        <v>2964</v>
      </c>
      <c r="B43" s="10" t="s">
        <v>2965</v>
      </c>
      <c r="C43" s="10" t="s">
        <v>2911</v>
      </c>
      <c r="D43" s="19" t="s">
        <v>2825</v>
      </c>
      <c r="E43" s="11" t="s">
        <v>2966</v>
      </c>
      <c r="F43" s="11" t="s">
        <v>2967</v>
      </c>
      <c r="G43" s="11" t="s">
        <v>2968</v>
      </c>
      <c r="H43" s="11" t="s">
        <v>2969</v>
      </c>
    </row>
    <row r="44" customFormat="false" ht="31.5" hidden="false" customHeight="true" outlineLevel="0" collapsed="false">
      <c r="A44" s="10" t="s">
        <v>2970</v>
      </c>
      <c r="B44" s="10" t="s">
        <v>2971</v>
      </c>
      <c r="C44" s="10" t="s">
        <v>2911</v>
      </c>
      <c r="D44" s="19" t="s">
        <v>2972</v>
      </c>
      <c r="E44" s="11" t="s">
        <v>2973</v>
      </c>
      <c r="F44" s="11" t="s">
        <v>2974</v>
      </c>
      <c r="G44" s="11" t="s">
        <v>2975</v>
      </c>
      <c r="H44" s="11" t="s">
        <v>2927</v>
      </c>
    </row>
    <row r="45" customFormat="false" ht="31.5" hidden="false" customHeight="true" outlineLevel="0" collapsed="false">
      <c r="A45" s="10" t="s">
        <v>2976</v>
      </c>
      <c r="B45" s="10" t="s">
        <v>2977</v>
      </c>
      <c r="C45" s="10" t="s">
        <v>1998</v>
      </c>
      <c r="D45" s="19" t="s">
        <v>2878</v>
      </c>
      <c r="E45" s="11" t="s">
        <v>2978</v>
      </c>
      <c r="F45" s="11" t="s">
        <v>2979</v>
      </c>
      <c r="G45" s="11" t="s">
        <v>2883</v>
      </c>
      <c r="H45" s="11" t="s">
        <v>2980</v>
      </c>
    </row>
    <row r="46" customFormat="false" ht="31.5" hidden="false" customHeight="true" outlineLevel="0" collapsed="false">
      <c r="A46" s="10" t="s">
        <v>2981</v>
      </c>
      <c r="B46" s="10" t="s">
        <v>2982</v>
      </c>
      <c r="C46" s="10" t="s">
        <v>6</v>
      </c>
      <c r="D46" s="19" t="s">
        <v>2825</v>
      </c>
      <c r="E46" s="11" t="s">
        <v>2983</v>
      </c>
      <c r="F46" s="11" t="s">
        <v>2984</v>
      </c>
      <c r="G46" s="11" t="s">
        <v>2985</v>
      </c>
      <c r="H46" s="11" t="s">
        <v>2986</v>
      </c>
    </row>
    <row r="47" customFormat="false" ht="31.5" hidden="false" customHeight="true" outlineLevel="0" collapsed="false">
      <c r="A47" s="10" t="s">
        <v>2987</v>
      </c>
      <c r="B47" s="10" t="s">
        <v>2988</v>
      </c>
      <c r="C47" s="10" t="s">
        <v>12</v>
      </c>
      <c r="D47" s="19" t="s">
        <v>2797</v>
      </c>
      <c r="E47" s="11" t="s">
        <v>2989</v>
      </c>
      <c r="F47" s="11" t="s">
        <v>2990</v>
      </c>
      <c r="G47" s="11" t="s">
        <v>2842</v>
      </c>
      <c r="H47" s="11" t="s">
        <v>2991</v>
      </c>
    </row>
    <row r="48" customFormat="false" ht="31.5" hidden="false" customHeight="true" outlineLevel="0" collapsed="false">
      <c r="A48" s="10" t="s">
        <v>2992</v>
      </c>
      <c r="B48" s="10" t="s">
        <v>2993</v>
      </c>
      <c r="C48" s="10" t="s">
        <v>12</v>
      </c>
      <c r="D48" s="19" t="s">
        <v>2797</v>
      </c>
      <c r="E48" s="11" t="s">
        <v>2994</v>
      </c>
      <c r="F48" s="11" t="s">
        <v>2995</v>
      </c>
      <c r="G48" s="11" t="s">
        <v>2996</v>
      </c>
      <c r="H48" s="11" t="s">
        <v>2986</v>
      </c>
    </row>
    <row r="49" customFormat="false" ht="31.5" hidden="false" customHeight="true" outlineLevel="0" collapsed="false">
      <c r="A49" s="10" t="s">
        <v>2997</v>
      </c>
      <c r="B49" s="10" t="s">
        <v>2998</v>
      </c>
      <c r="C49" s="10" t="s">
        <v>2285</v>
      </c>
      <c r="D49" s="19" t="s">
        <v>2797</v>
      </c>
      <c r="E49" s="11" t="s">
        <v>2999</v>
      </c>
      <c r="F49" s="11" t="s">
        <v>3000</v>
      </c>
      <c r="G49" s="11" t="s">
        <v>2941</v>
      </c>
      <c r="H49" s="11" t="s">
        <v>2922</v>
      </c>
    </row>
    <row r="50" customFormat="false" ht="31.5" hidden="false" customHeight="true" outlineLevel="0" collapsed="false">
      <c r="A50" s="10" t="s">
        <v>3001</v>
      </c>
      <c r="B50" s="10" t="s">
        <v>3002</v>
      </c>
      <c r="C50" s="10" t="s">
        <v>2285</v>
      </c>
      <c r="D50" s="19" t="s">
        <v>2282</v>
      </c>
      <c r="E50" s="11" t="s">
        <v>3003</v>
      </c>
      <c r="F50" s="11" t="s">
        <v>3004</v>
      </c>
      <c r="G50" s="11" t="s">
        <v>3005</v>
      </c>
      <c r="H50" s="11" t="s">
        <v>3006</v>
      </c>
    </row>
    <row r="51" customFormat="false" ht="31.5" hidden="false" customHeight="true" outlineLevel="0" collapsed="false">
      <c r="A51" s="10" t="s">
        <v>3007</v>
      </c>
      <c r="B51" s="10" t="s">
        <v>3008</v>
      </c>
      <c r="C51" s="10" t="s">
        <v>3009</v>
      </c>
      <c r="D51" s="19" t="s">
        <v>3010</v>
      </c>
      <c r="E51" s="11" t="s">
        <v>3011</v>
      </c>
      <c r="F51" s="11" t="s">
        <v>3012</v>
      </c>
      <c r="G51" s="11" t="s">
        <v>3013</v>
      </c>
      <c r="H51" s="11" t="s">
        <v>2833</v>
      </c>
    </row>
    <row r="52" customFormat="false" ht="31.5" hidden="false" customHeight="true" outlineLevel="0" collapsed="false">
      <c r="A52" s="10" t="s">
        <v>3014</v>
      </c>
      <c r="B52" s="10" t="s">
        <v>3015</v>
      </c>
      <c r="C52" s="10" t="s">
        <v>1998</v>
      </c>
      <c r="D52" s="19" t="s">
        <v>2890</v>
      </c>
      <c r="E52" s="11" t="s">
        <v>3016</v>
      </c>
      <c r="F52" s="11" t="s">
        <v>3017</v>
      </c>
      <c r="G52" s="11" t="s">
        <v>2985</v>
      </c>
      <c r="H52" s="11" t="s">
        <v>2893</v>
      </c>
    </row>
    <row r="53" customFormat="false" ht="31.5" hidden="false" customHeight="true" outlineLevel="0" collapsed="false">
      <c r="A53" s="10" t="s">
        <v>3018</v>
      </c>
      <c r="B53" s="10" t="s">
        <v>3019</v>
      </c>
      <c r="C53" s="10" t="s">
        <v>2030</v>
      </c>
      <c r="D53" s="19" t="s">
        <v>2797</v>
      </c>
      <c r="E53" s="11" t="s">
        <v>3020</v>
      </c>
      <c r="F53" s="11" t="s">
        <v>3021</v>
      </c>
      <c r="G53" s="11" t="s">
        <v>3022</v>
      </c>
      <c r="H53" s="11" t="s">
        <v>2927</v>
      </c>
    </row>
    <row r="54" customFormat="false" ht="31.5" hidden="false" customHeight="true" outlineLevel="0" collapsed="false">
      <c r="A54" s="10" t="s">
        <v>3023</v>
      </c>
      <c r="B54" s="10" t="s">
        <v>3024</v>
      </c>
      <c r="C54" s="10" t="s">
        <v>2030</v>
      </c>
      <c r="D54" s="19" t="s">
        <v>2797</v>
      </c>
      <c r="E54" s="11" t="s">
        <v>3025</v>
      </c>
      <c r="F54" s="11" t="s">
        <v>3026</v>
      </c>
      <c r="G54" s="11" t="s">
        <v>3027</v>
      </c>
      <c r="H54" s="11" t="s">
        <v>2927</v>
      </c>
    </row>
    <row r="55" customFormat="false" ht="31.5" hidden="false" customHeight="true" outlineLevel="0" collapsed="false">
      <c r="A55" s="10" t="s">
        <v>3028</v>
      </c>
      <c r="B55" s="10" t="s">
        <v>3029</v>
      </c>
      <c r="C55" s="10" t="s">
        <v>8</v>
      </c>
      <c r="D55" s="19" t="s">
        <v>2825</v>
      </c>
      <c r="E55" s="11" t="s">
        <v>3030</v>
      </c>
      <c r="F55" s="11" t="s">
        <v>3031</v>
      </c>
      <c r="G55" s="11" t="s">
        <v>3032</v>
      </c>
      <c r="H55" s="11" t="s">
        <v>2800</v>
      </c>
    </row>
    <row r="56" customFormat="false" ht="31.5" hidden="false" customHeight="true" outlineLevel="0" collapsed="false">
      <c r="A56" s="10" t="s">
        <v>3033</v>
      </c>
      <c r="B56" s="10" t="s">
        <v>3034</v>
      </c>
      <c r="C56" s="10" t="s">
        <v>2054</v>
      </c>
      <c r="D56" s="19" t="s">
        <v>3035</v>
      </c>
      <c r="E56" s="11" t="s">
        <v>3036</v>
      </c>
      <c r="F56" s="11" t="s">
        <v>3037</v>
      </c>
      <c r="G56" s="11" t="s">
        <v>3038</v>
      </c>
      <c r="H56" s="11" t="s">
        <v>3039</v>
      </c>
    </row>
    <row r="57" customFormat="false" ht="31.5" hidden="false" customHeight="true" outlineLevel="0" collapsed="false">
      <c r="A57" s="10" t="s">
        <v>3040</v>
      </c>
      <c r="B57" s="10" t="s">
        <v>3041</v>
      </c>
      <c r="C57" s="10" t="s">
        <v>2067</v>
      </c>
      <c r="D57" s="19" t="s">
        <v>3035</v>
      </c>
      <c r="E57" s="11" t="s">
        <v>3042</v>
      </c>
      <c r="F57" s="11" t="s">
        <v>3043</v>
      </c>
      <c r="G57" s="11" t="s">
        <v>3033</v>
      </c>
      <c r="H57" s="11" t="s">
        <v>2956</v>
      </c>
    </row>
    <row r="58" customFormat="false" ht="31.5" hidden="false" customHeight="true" outlineLevel="0" collapsed="false">
      <c r="A58" s="10" t="s">
        <v>3044</v>
      </c>
      <c r="B58" s="10" t="s">
        <v>3045</v>
      </c>
      <c r="C58" s="10" t="s">
        <v>2059</v>
      </c>
      <c r="D58" s="19" t="s">
        <v>2878</v>
      </c>
      <c r="E58" s="11" t="s">
        <v>3046</v>
      </c>
      <c r="F58" s="11" t="s">
        <v>3047</v>
      </c>
      <c r="G58" s="11" t="s">
        <v>3033</v>
      </c>
      <c r="H58" s="11" t="s">
        <v>3048</v>
      </c>
    </row>
    <row r="59" customFormat="false" ht="31.5" hidden="false" customHeight="true" outlineLevel="0" collapsed="false">
      <c r="A59" s="10" t="s">
        <v>3049</v>
      </c>
      <c r="B59" s="10" t="s">
        <v>3050</v>
      </c>
      <c r="C59" s="10" t="s">
        <v>2059</v>
      </c>
      <c r="D59" s="19" t="s">
        <v>2797</v>
      </c>
      <c r="E59" s="11" t="s">
        <v>3051</v>
      </c>
      <c r="F59" s="11" t="s">
        <v>3052</v>
      </c>
      <c r="G59" s="11" t="s">
        <v>3053</v>
      </c>
      <c r="H59" s="11" t="s">
        <v>3054</v>
      </c>
    </row>
    <row r="60" customFormat="false" ht="31.5" hidden="false" customHeight="true" outlineLevel="0" collapsed="false">
      <c r="A60" s="10" t="s">
        <v>3055</v>
      </c>
      <c r="B60" s="10" t="s">
        <v>3056</v>
      </c>
      <c r="C60" s="10" t="s">
        <v>2074</v>
      </c>
      <c r="D60" s="19" t="s">
        <v>3035</v>
      </c>
      <c r="E60" s="11" t="s">
        <v>3057</v>
      </c>
      <c r="F60" s="11" t="s">
        <v>3058</v>
      </c>
      <c r="G60" s="11" t="s">
        <v>3059</v>
      </c>
      <c r="H60" s="11" t="s">
        <v>2800</v>
      </c>
    </row>
    <row r="61" customFormat="false" ht="31.5" hidden="false" customHeight="true" outlineLevel="0" collapsed="false">
      <c r="A61" s="10" t="s">
        <v>3060</v>
      </c>
      <c r="B61" s="10" t="s">
        <v>3061</v>
      </c>
      <c r="C61" s="10" t="s">
        <v>2269</v>
      </c>
      <c r="D61" s="19" t="s">
        <v>2797</v>
      </c>
      <c r="E61" s="11" t="s">
        <v>3062</v>
      </c>
      <c r="F61" s="11" t="s">
        <v>3063</v>
      </c>
      <c r="G61" s="11" t="s">
        <v>3064</v>
      </c>
      <c r="H61" s="11" t="s">
        <v>2800</v>
      </c>
    </row>
    <row r="62" customFormat="false" ht="31.5" hidden="false" customHeight="true" outlineLevel="0" collapsed="false">
      <c r="A62" s="10" t="s">
        <v>3065</v>
      </c>
      <c r="B62" s="10" t="s">
        <v>3066</v>
      </c>
      <c r="C62" s="10" t="s">
        <v>2090</v>
      </c>
      <c r="D62" s="19" t="s">
        <v>2825</v>
      </c>
      <c r="E62" s="11" t="s">
        <v>3067</v>
      </c>
      <c r="F62" s="11" t="s">
        <v>3068</v>
      </c>
      <c r="G62" s="11" t="s">
        <v>2763</v>
      </c>
      <c r="H62" s="11" t="s">
        <v>2800</v>
      </c>
    </row>
    <row r="63" customFormat="false" ht="31.5" hidden="false" customHeight="true" outlineLevel="0" collapsed="false">
      <c r="A63" s="10" t="s">
        <v>3069</v>
      </c>
      <c r="B63" s="10" t="s">
        <v>3070</v>
      </c>
      <c r="C63" s="10" t="s">
        <v>2074</v>
      </c>
      <c r="D63" s="19" t="s">
        <v>2797</v>
      </c>
      <c r="E63" s="11" t="s">
        <v>3071</v>
      </c>
      <c r="F63" s="11" t="s">
        <v>3072</v>
      </c>
      <c r="G63" s="11" t="s">
        <v>3055</v>
      </c>
      <c r="H63" s="11" t="s">
        <v>2790</v>
      </c>
    </row>
    <row r="64" customFormat="false" ht="31.5" hidden="false" customHeight="true" outlineLevel="0" collapsed="false">
      <c r="A64" s="10" t="s">
        <v>3073</v>
      </c>
      <c r="B64" s="10" t="s">
        <v>3074</v>
      </c>
      <c r="C64" s="10" t="s">
        <v>2074</v>
      </c>
      <c r="D64" s="19" t="s">
        <v>2812</v>
      </c>
      <c r="E64" s="11" t="s">
        <v>3075</v>
      </c>
      <c r="F64" s="11" t="s">
        <v>3076</v>
      </c>
      <c r="G64" s="11" t="s">
        <v>3055</v>
      </c>
      <c r="H64" s="11" t="s">
        <v>2790</v>
      </c>
    </row>
    <row r="65" customFormat="false" ht="31.5" hidden="false" customHeight="true" outlineLevel="0" collapsed="false">
      <c r="A65" s="10" t="s">
        <v>3077</v>
      </c>
      <c r="B65" s="10" t="s">
        <v>3078</v>
      </c>
      <c r="C65" s="10" t="s">
        <v>2911</v>
      </c>
      <c r="D65" s="19" t="s">
        <v>2282</v>
      </c>
      <c r="E65" s="11" t="s">
        <v>3079</v>
      </c>
      <c r="F65" s="11" t="s">
        <v>3080</v>
      </c>
      <c r="G65" s="11" t="s">
        <v>3081</v>
      </c>
      <c r="H65" s="11" t="s">
        <v>1836</v>
      </c>
    </row>
    <row r="66" customFormat="false" ht="31.5" hidden="false" customHeight="true" outlineLevel="0" collapsed="false">
      <c r="A66" s="10" t="s">
        <v>3082</v>
      </c>
      <c r="B66" s="10" t="s">
        <v>3083</v>
      </c>
      <c r="C66" s="10" t="s">
        <v>1975</v>
      </c>
      <c r="D66" s="19" t="s">
        <v>2825</v>
      </c>
      <c r="E66" s="11" t="s">
        <v>3084</v>
      </c>
      <c r="F66" s="11" t="s">
        <v>3085</v>
      </c>
      <c r="G66" s="11" t="s">
        <v>2950</v>
      </c>
      <c r="H66" s="11" t="s">
        <v>3086</v>
      </c>
    </row>
    <row r="67" customFormat="false" ht="31.5" hidden="false" customHeight="true" outlineLevel="0" collapsed="false">
      <c r="A67" s="10" t="s">
        <v>3087</v>
      </c>
      <c r="B67" s="10" t="s">
        <v>3088</v>
      </c>
      <c r="C67" s="10" t="s">
        <v>2208</v>
      </c>
      <c r="D67" s="19" t="s">
        <v>2878</v>
      </c>
      <c r="E67" s="11" t="s">
        <v>3089</v>
      </c>
      <c r="F67" s="11" t="s">
        <v>3090</v>
      </c>
      <c r="G67" s="11" t="s">
        <v>2883</v>
      </c>
      <c r="H67" s="11" t="s">
        <v>3091</v>
      </c>
    </row>
    <row r="68" customFormat="false" ht="31.5" hidden="false" customHeight="true" outlineLevel="0" collapsed="false">
      <c r="A68" s="10" t="s">
        <v>3092</v>
      </c>
      <c r="B68" s="10" t="s">
        <v>3093</v>
      </c>
      <c r="C68" s="10" t="s">
        <v>2221</v>
      </c>
      <c r="D68" s="19" t="s">
        <v>2878</v>
      </c>
      <c r="E68" s="11" t="s">
        <v>3094</v>
      </c>
      <c r="F68" s="11" t="s">
        <v>3095</v>
      </c>
      <c r="G68" s="11" t="s">
        <v>3096</v>
      </c>
      <c r="H68" s="11" t="s">
        <v>3091</v>
      </c>
    </row>
    <row r="69" customFormat="false" ht="31.5" hidden="false" customHeight="true" outlineLevel="0" collapsed="false">
      <c r="A69" s="10" t="s">
        <v>3097</v>
      </c>
      <c r="B69" s="10" t="s">
        <v>3098</v>
      </c>
      <c r="C69" s="10" t="s">
        <v>2911</v>
      </c>
      <c r="D69" s="19" t="s">
        <v>2890</v>
      </c>
      <c r="E69" s="11" t="s">
        <v>3099</v>
      </c>
      <c r="F69" s="11" t="s">
        <v>3100</v>
      </c>
      <c r="G69" s="11" t="s">
        <v>3101</v>
      </c>
      <c r="H69" s="11" t="s">
        <v>2893</v>
      </c>
    </row>
    <row r="70" customFormat="false" ht="31.5" hidden="false" customHeight="true" outlineLevel="0" collapsed="false">
      <c r="A70" s="10" t="s">
        <v>3102</v>
      </c>
      <c r="B70" s="10" t="s">
        <v>3103</v>
      </c>
      <c r="C70" s="10" t="s">
        <v>2074</v>
      </c>
      <c r="D70" s="19" t="s">
        <v>2797</v>
      </c>
      <c r="E70" s="11" t="s">
        <v>3104</v>
      </c>
      <c r="F70" s="11" t="s">
        <v>3105</v>
      </c>
      <c r="G70" s="11" t="s">
        <v>3106</v>
      </c>
      <c r="H70" s="11" t="s">
        <v>2833</v>
      </c>
    </row>
    <row r="71" customFormat="false" ht="31.5" hidden="false" customHeight="true" outlineLevel="0" collapsed="false">
      <c r="A71" s="10" t="s">
        <v>3107</v>
      </c>
      <c r="B71" s="10" t="s">
        <v>3108</v>
      </c>
      <c r="C71" s="10" t="s">
        <v>2178</v>
      </c>
      <c r="D71" s="19" t="s">
        <v>2797</v>
      </c>
      <c r="E71" s="11" t="s">
        <v>3109</v>
      </c>
      <c r="F71" s="11" t="s">
        <v>3110</v>
      </c>
      <c r="G71" s="11" t="s">
        <v>3111</v>
      </c>
      <c r="H71" s="11" t="s">
        <v>2986</v>
      </c>
    </row>
    <row r="72" customFormat="false" ht="31.5" hidden="false" customHeight="true" outlineLevel="0" collapsed="false">
      <c r="A72" s="10" t="s">
        <v>3112</v>
      </c>
      <c r="B72" s="10" t="s">
        <v>3113</v>
      </c>
      <c r="C72" s="10" t="s">
        <v>2178</v>
      </c>
      <c r="D72" s="19" t="s">
        <v>2825</v>
      </c>
      <c r="E72" s="11" t="s">
        <v>3114</v>
      </c>
      <c r="F72" s="11" t="s">
        <v>3115</v>
      </c>
      <c r="G72" s="11" t="s">
        <v>3116</v>
      </c>
      <c r="H72" s="11" t="s">
        <v>2800</v>
      </c>
    </row>
    <row r="73" customFormat="false" ht="31.5" hidden="false" customHeight="true" outlineLevel="0" collapsed="false">
      <c r="A73" s="10" t="s">
        <v>3117</v>
      </c>
      <c r="B73" s="10" t="s">
        <v>3118</v>
      </c>
      <c r="C73" s="10" t="s">
        <v>2192</v>
      </c>
      <c r="D73" s="19" t="s">
        <v>2797</v>
      </c>
      <c r="E73" s="11" t="s">
        <v>3119</v>
      </c>
      <c r="F73" s="11" t="s">
        <v>3120</v>
      </c>
      <c r="G73" s="11" t="s">
        <v>3121</v>
      </c>
      <c r="H73" s="11" t="s">
        <v>2833</v>
      </c>
    </row>
    <row r="74" customFormat="false" ht="31.5" hidden="false" customHeight="true" outlineLevel="0" collapsed="false">
      <c r="A74" s="10" t="s">
        <v>3122</v>
      </c>
      <c r="B74" s="10" t="s">
        <v>3123</v>
      </c>
      <c r="C74" s="10" t="s">
        <v>2911</v>
      </c>
      <c r="D74" s="19" t="s">
        <v>2282</v>
      </c>
      <c r="E74" s="11" t="s">
        <v>3124</v>
      </c>
      <c r="F74" s="11" t="s">
        <v>3125</v>
      </c>
      <c r="G74" s="11" t="s">
        <v>3126</v>
      </c>
      <c r="H74" s="11" t="s">
        <v>3127</v>
      </c>
    </row>
    <row r="75" customFormat="false" ht="31.5" hidden="false" customHeight="true" outlineLevel="0" collapsed="false">
      <c r="A75" s="10" t="s">
        <v>3128</v>
      </c>
      <c r="B75" s="10" t="s">
        <v>3129</v>
      </c>
      <c r="C75" s="10" t="s">
        <v>2153</v>
      </c>
      <c r="D75" s="19" t="s">
        <v>3035</v>
      </c>
      <c r="E75" s="11" t="s">
        <v>3130</v>
      </c>
      <c r="F75" s="11" t="s">
        <v>3131</v>
      </c>
      <c r="G75" s="11" t="s">
        <v>3132</v>
      </c>
      <c r="H75" s="11" t="s">
        <v>2986</v>
      </c>
    </row>
    <row r="76" customFormat="false" ht="31.5" hidden="false" customHeight="true" outlineLevel="0" collapsed="false">
      <c r="A76" s="10" t="s">
        <v>3132</v>
      </c>
      <c r="B76" s="10" t="s">
        <v>3133</v>
      </c>
      <c r="C76" s="10" t="s">
        <v>2131</v>
      </c>
      <c r="D76" s="19" t="s">
        <v>2878</v>
      </c>
      <c r="E76" s="11" t="s">
        <v>3134</v>
      </c>
      <c r="F76" s="11" t="s">
        <v>3135</v>
      </c>
      <c r="G76" s="11" t="s">
        <v>3136</v>
      </c>
      <c r="H76" s="11" t="s">
        <v>3091</v>
      </c>
    </row>
    <row r="77" customFormat="false" ht="31.5" hidden="false" customHeight="true" outlineLevel="0" collapsed="false">
      <c r="A77" s="10" t="s">
        <v>3137</v>
      </c>
      <c r="B77" s="10" t="s">
        <v>3138</v>
      </c>
      <c r="C77" s="10" t="s">
        <v>2138</v>
      </c>
      <c r="D77" s="19" t="s">
        <v>2878</v>
      </c>
      <c r="E77" s="11" t="s">
        <v>3139</v>
      </c>
      <c r="F77" s="11" t="s">
        <v>3140</v>
      </c>
      <c r="G77" s="11" t="s">
        <v>3132</v>
      </c>
      <c r="H77" s="11" t="s">
        <v>3091</v>
      </c>
    </row>
    <row r="78" customFormat="false" ht="31.5" hidden="false" customHeight="true" outlineLevel="0" collapsed="false">
      <c r="A78" s="10" t="s">
        <v>3141</v>
      </c>
      <c r="B78" s="10" t="s">
        <v>3142</v>
      </c>
      <c r="C78" s="10" t="s">
        <v>3143</v>
      </c>
      <c r="D78" s="19" t="s">
        <v>2878</v>
      </c>
      <c r="E78" s="11" t="s">
        <v>3144</v>
      </c>
      <c r="F78" s="11" t="s">
        <v>3145</v>
      </c>
      <c r="G78" s="11" t="s">
        <v>3132</v>
      </c>
      <c r="H78" s="11" t="s">
        <v>3054</v>
      </c>
    </row>
    <row r="79" customFormat="false" ht="31.5" hidden="false" customHeight="true" outlineLevel="0" collapsed="false">
      <c r="A79" s="10" t="s">
        <v>3146</v>
      </c>
      <c r="B79" s="10" t="s">
        <v>3147</v>
      </c>
      <c r="C79" s="10" t="s">
        <v>2158</v>
      </c>
      <c r="D79" s="19" t="s">
        <v>2878</v>
      </c>
      <c r="E79" s="11" t="s">
        <v>3148</v>
      </c>
      <c r="F79" s="11" t="s">
        <v>3149</v>
      </c>
      <c r="G79" s="11" t="s">
        <v>2883</v>
      </c>
      <c r="H79" s="11" t="s">
        <v>3091</v>
      </c>
    </row>
    <row r="80" customFormat="false" ht="31.5" hidden="false" customHeight="true" outlineLevel="0" collapsed="false">
      <c r="A80" s="10" t="s">
        <v>3150</v>
      </c>
      <c r="B80" s="10" t="s">
        <v>3151</v>
      </c>
      <c r="C80" s="10" t="s">
        <v>2143</v>
      </c>
      <c r="D80" s="19" t="s">
        <v>2890</v>
      </c>
      <c r="E80" s="11" t="s">
        <v>3152</v>
      </c>
      <c r="F80" s="11" t="s">
        <v>3153</v>
      </c>
      <c r="G80" s="11" t="s">
        <v>3154</v>
      </c>
      <c r="H80" s="11" t="s">
        <v>2893</v>
      </c>
    </row>
    <row r="81" customFormat="false" ht="31.5" hidden="false" customHeight="true" outlineLevel="0" collapsed="false">
      <c r="A81" s="10" t="s">
        <v>3155</v>
      </c>
      <c r="B81" s="10" t="s">
        <v>3156</v>
      </c>
      <c r="C81" s="10" t="s">
        <v>2143</v>
      </c>
      <c r="D81" s="19" t="s">
        <v>2797</v>
      </c>
      <c r="E81" s="11" t="s">
        <v>3157</v>
      </c>
      <c r="F81" s="11" t="s">
        <v>3158</v>
      </c>
      <c r="G81" s="11" t="s">
        <v>3159</v>
      </c>
      <c r="H81" s="11" t="s">
        <v>2833</v>
      </c>
    </row>
    <row r="82" customFormat="false" ht="31.5" hidden="false" customHeight="true" outlineLevel="0" collapsed="false">
      <c r="A82" s="10" t="s">
        <v>3160</v>
      </c>
      <c r="B82" s="10" t="s">
        <v>3161</v>
      </c>
      <c r="C82" s="10" t="s">
        <v>2143</v>
      </c>
      <c r="D82" s="19" t="s">
        <v>2797</v>
      </c>
      <c r="E82" s="11" t="s">
        <v>3162</v>
      </c>
      <c r="F82" s="11" t="s">
        <v>3163</v>
      </c>
      <c r="G82" s="11" t="s">
        <v>3164</v>
      </c>
      <c r="H82" s="11" t="s">
        <v>2991</v>
      </c>
    </row>
    <row r="83" customFormat="false" ht="31.5" hidden="false" customHeight="true" outlineLevel="0" collapsed="false">
      <c r="A83" s="10" t="s">
        <v>3165</v>
      </c>
      <c r="B83" s="10" t="s">
        <v>3166</v>
      </c>
      <c r="C83" s="10" t="s">
        <v>2165</v>
      </c>
      <c r="D83" s="19" t="s">
        <v>2766</v>
      </c>
      <c r="E83" s="11" t="s">
        <v>3167</v>
      </c>
      <c r="F83" s="11" t="s">
        <v>3168</v>
      </c>
      <c r="G83" s="11" t="s">
        <v>3169</v>
      </c>
      <c r="H83" s="11" t="s">
        <v>2833</v>
      </c>
    </row>
    <row r="84" customFormat="false" ht="31.5" hidden="false" customHeight="true" outlineLevel="0" collapsed="false">
      <c r="A84" s="10" t="s">
        <v>3170</v>
      </c>
      <c r="B84" s="10" t="s">
        <v>3171</v>
      </c>
      <c r="C84" s="10" t="s">
        <v>2165</v>
      </c>
      <c r="D84" s="19" t="s">
        <v>2797</v>
      </c>
      <c r="E84" s="11" t="s">
        <v>3172</v>
      </c>
      <c r="F84" s="11" t="s">
        <v>3173</v>
      </c>
      <c r="G84" s="11" t="s">
        <v>3165</v>
      </c>
      <c r="H84" s="11" t="s">
        <v>2833</v>
      </c>
    </row>
    <row r="85" customFormat="false" ht="31.5" hidden="false" customHeight="true" outlineLevel="0" collapsed="false">
      <c r="A85" s="10" t="s">
        <v>3174</v>
      </c>
      <c r="B85" s="10" t="s">
        <v>3175</v>
      </c>
      <c r="C85" s="10" t="s">
        <v>3176</v>
      </c>
      <c r="D85" s="19" t="s">
        <v>2760</v>
      </c>
      <c r="E85" s="11" t="s">
        <v>3177</v>
      </c>
      <c r="F85" s="11" t="s">
        <v>3178</v>
      </c>
      <c r="G85" s="11" t="s">
        <v>3179</v>
      </c>
      <c r="H85" s="11" t="s">
        <v>3180</v>
      </c>
    </row>
    <row r="86" customFormat="false" ht="31.5" hidden="false" customHeight="true" outlineLevel="0" collapsed="false">
      <c r="A86" s="10" t="s">
        <v>3179</v>
      </c>
      <c r="B86" s="10" t="s">
        <v>3181</v>
      </c>
      <c r="C86" s="10" t="s">
        <v>3176</v>
      </c>
      <c r="D86" s="19" t="s">
        <v>3182</v>
      </c>
      <c r="E86" s="11" t="s">
        <v>3183</v>
      </c>
      <c r="F86" s="11" t="s">
        <v>3184</v>
      </c>
      <c r="G86" s="11" t="s">
        <v>3185</v>
      </c>
      <c r="H86" s="11" t="s">
        <v>2986</v>
      </c>
    </row>
    <row r="87" customFormat="false" ht="31.5" hidden="false" customHeight="true" outlineLevel="0" collapsed="false">
      <c r="A87" s="10" t="s">
        <v>3186</v>
      </c>
      <c r="B87" s="10" t="s">
        <v>3187</v>
      </c>
      <c r="C87" s="10" t="s">
        <v>3188</v>
      </c>
      <c r="D87" s="19" t="s">
        <v>2760</v>
      </c>
      <c r="E87" s="11" t="s">
        <v>3189</v>
      </c>
      <c r="F87" s="11" t="s">
        <v>3190</v>
      </c>
      <c r="G87" s="11" t="s">
        <v>3191</v>
      </c>
      <c r="H87" s="11" t="s">
        <v>3054</v>
      </c>
    </row>
    <row r="88" customFormat="false" ht="31.5" hidden="false" customHeight="true" outlineLevel="0" collapsed="false">
      <c r="A88" s="10" t="s">
        <v>3191</v>
      </c>
      <c r="B88" s="10" t="s">
        <v>3192</v>
      </c>
      <c r="C88" s="10" t="s">
        <v>3188</v>
      </c>
      <c r="D88" s="19" t="s">
        <v>3182</v>
      </c>
      <c r="E88" s="11" t="s">
        <v>3193</v>
      </c>
      <c r="F88" s="11" t="s">
        <v>3194</v>
      </c>
      <c r="G88" s="11" t="s">
        <v>3195</v>
      </c>
      <c r="H88" s="11" t="s">
        <v>3054</v>
      </c>
    </row>
    <row r="89" customFormat="false" ht="31.5" hidden="false" customHeight="true" outlineLevel="0" collapsed="false">
      <c r="A89" s="10" t="s">
        <v>3196</v>
      </c>
      <c r="B89" s="10" t="s">
        <v>3197</v>
      </c>
      <c r="C89" s="10" t="s">
        <v>2911</v>
      </c>
      <c r="D89" s="19" t="s">
        <v>3198</v>
      </c>
      <c r="E89" s="11" t="s">
        <v>3199</v>
      </c>
      <c r="F89" s="11" t="s">
        <v>3200</v>
      </c>
      <c r="G89" s="11" t="s">
        <v>3201</v>
      </c>
      <c r="H89" s="11" t="s">
        <v>2882</v>
      </c>
    </row>
    <row r="90" customFormat="false" ht="31.5" hidden="false" customHeight="true" outlineLevel="0" collapsed="false">
      <c r="A90" s="10" t="s">
        <v>3202</v>
      </c>
      <c r="B90" s="10" t="s">
        <v>3203</v>
      </c>
      <c r="C90" s="10" t="s">
        <v>2911</v>
      </c>
      <c r="D90" s="19" t="s">
        <v>2760</v>
      </c>
      <c r="E90" s="11" t="s">
        <v>3204</v>
      </c>
      <c r="F90" s="11" t="s">
        <v>3205</v>
      </c>
      <c r="G90" s="11" t="s">
        <v>3206</v>
      </c>
      <c r="H90" s="11" t="s">
        <v>1836</v>
      </c>
    </row>
    <row r="91" customFormat="false" ht="31.5" hidden="false" customHeight="true" outlineLevel="0" collapsed="false">
      <c r="A91" s="10" t="s">
        <v>3207</v>
      </c>
      <c r="B91" s="10" t="s">
        <v>3208</v>
      </c>
      <c r="C91" s="10" t="s">
        <v>2112</v>
      </c>
      <c r="D91" s="19" t="s">
        <v>2797</v>
      </c>
      <c r="E91" s="11" t="s">
        <v>3209</v>
      </c>
      <c r="F91" s="11" t="s">
        <v>3210</v>
      </c>
      <c r="G91" s="11" t="s">
        <v>3211</v>
      </c>
      <c r="H91" s="11" t="s">
        <v>2986</v>
      </c>
    </row>
    <row r="92" customFormat="false" ht="31.5" hidden="false" customHeight="true" outlineLevel="0" collapsed="false">
      <c r="A92" s="10" t="s">
        <v>3212</v>
      </c>
      <c r="B92" s="10" t="s">
        <v>3213</v>
      </c>
      <c r="C92" s="10" t="s">
        <v>2112</v>
      </c>
      <c r="D92" s="19" t="s">
        <v>3182</v>
      </c>
      <c r="E92" s="11" t="s">
        <v>3214</v>
      </c>
      <c r="F92" s="11" t="s">
        <v>3215</v>
      </c>
      <c r="G92" s="11" t="s">
        <v>2842</v>
      </c>
      <c r="H92" s="11" t="s">
        <v>2986</v>
      </c>
    </row>
    <row r="93" customFormat="false" ht="31.5" hidden="false" customHeight="true" outlineLevel="0" collapsed="false">
      <c r="A93" s="10" t="s">
        <v>3216</v>
      </c>
      <c r="B93" s="10" t="s">
        <v>3217</v>
      </c>
      <c r="C93" s="10" t="s">
        <v>2112</v>
      </c>
      <c r="D93" s="19" t="s">
        <v>2825</v>
      </c>
      <c r="E93" s="11" t="s">
        <v>3218</v>
      </c>
      <c r="F93" s="11" t="s">
        <v>3219</v>
      </c>
      <c r="G93" s="11" t="s">
        <v>3212</v>
      </c>
      <c r="H93" s="11" t="s">
        <v>3127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0"/>
    <col collapsed="false" customWidth="true" hidden="false" outlineLevel="0" max="4" min="4" style="0" width="16"/>
    <col collapsed="false" customWidth="true" hidden="false" outlineLevel="0" max="5" min="5" style="0" width="24"/>
    <col collapsed="false" customWidth="true" hidden="false" outlineLevel="0" max="6" min="6" style="0" width="44"/>
    <col collapsed="false" customWidth="true" hidden="false" outlineLevel="0" max="7" min="7" style="0" width="60"/>
    <col collapsed="false" customWidth="true" hidden="false" outlineLevel="0" max="8" min="8" style="0" width="22"/>
    <col collapsed="false" customWidth="true" hidden="false" outlineLevel="0" max="9" min="9" style="0" width="30"/>
  </cols>
  <sheetData>
    <row r="1" customFormat="false" ht="16.15" hidden="false" customHeight="false" outlineLevel="0" collapsed="false">
      <c r="A1" s="8" t="s">
        <v>3220</v>
      </c>
    </row>
    <row r="2" customFormat="false" ht="30" hidden="false" customHeight="true" outlineLevel="0" collapsed="false">
      <c r="A2" s="9" t="s">
        <v>3221</v>
      </c>
      <c r="B2" s="9" t="s">
        <v>3222</v>
      </c>
      <c r="C2" s="9" t="s">
        <v>2972</v>
      </c>
      <c r="D2" s="9" t="s">
        <v>85</v>
      </c>
      <c r="E2" s="9" t="s">
        <v>3223</v>
      </c>
      <c r="F2" s="9" t="s">
        <v>3224</v>
      </c>
      <c r="G2" s="9" t="s">
        <v>3225</v>
      </c>
      <c r="H2" s="9" t="s">
        <v>3226</v>
      </c>
      <c r="I2" s="9" t="s">
        <v>2757</v>
      </c>
    </row>
    <row r="3" customFormat="false" ht="31.5" hidden="false" customHeight="true" outlineLevel="0" collapsed="false">
      <c r="A3" s="10" t="s">
        <v>3227</v>
      </c>
      <c r="B3" s="10" t="s">
        <v>2785</v>
      </c>
      <c r="C3" s="10" t="s">
        <v>3228</v>
      </c>
      <c r="D3" s="10" t="s">
        <v>3229</v>
      </c>
      <c r="E3" s="19" t="s">
        <v>3230</v>
      </c>
      <c r="F3" s="11" t="s">
        <v>3231</v>
      </c>
      <c r="G3" s="11" t="s">
        <v>3232</v>
      </c>
      <c r="H3" s="11" t="s">
        <v>3233</v>
      </c>
      <c r="I3" s="11" t="s">
        <v>2790</v>
      </c>
    </row>
    <row r="4" customFormat="false" ht="31.5" hidden="false" customHeight="true" outlineLevel="0" collapsed="false">
      <c r="A4" s="10" t="s">
        <v>3234</v>
      </c>
      <c r="B4" s="10" t="s">
        <v>2785</v>
      </c>
      <c r="C4" s="10" t="s">
        <v>3235</v>
      </c>
      <c r="D4" s="10" t="s">
        <v>3229</v>
      </c>
      <c r="E4" s="19" t="s">
        <v>3236</v>
      </c>
      <c r="F4" s="11" t="s">
        <v>3237</v>
      </c>
      <c r="G4" s="11" t="s">
        <v>3238</v>
      </c>
      <c r="H4" s="11" t="s">
        <v>3239</v>
      </c>
      <c r="I4" s="11" t="s">
        <v>2790</v>
      </c>
    </row>
    <row r="5" customFormat="false" ht="31.5" hidden="false" customHeight="true" outlineLevel="0" collapsed="false">
      <c r="A5" s="10" t="s">
        <v>3240</v>
      </c>
      <c r="B5" s="10" t="s">
        <v>2789</v>
      </c>
      <c r="C5" s="10" t="s">
        <v>3241</v>
      </c>
      <c r="D5" s="10" t="s">
        <v>3229</v>
      </c>
      <c r="E5" s="19" t="s">
        <v>3230</v>
      </c>
      <c r="F5" s="11" t="s">
        <v>3242</v>
      </c>
      <c r="G5" s="11" t="s">
        <v>3243</v>
      </c>
      <c r="H5" s="11" t="s">
        <v>3233</v>
      </c>
      <c r="I5" s="11" t="s">
        <v>2790</v>
      </c>
    </row>
    <row r="6" customFormat="false" ht="31.5" hidden="false" customHeight="true" outlineLevel="0" collapsed="false">
      <c r="A6" s="10" t="s">
        <v>3244</v>
      </c>
      <c r="B6" s="10" t="s">
        <v>2795</v>
      </c>
      <c r="C6" s="10" t="s">
        <v>3245</v>
      </c>
      <c r="D6" s="10" t="s">
        <v>3229</v>
      </c>
      <c r="E6" s="19" t="s">
        <v>3236</v>
      </c>
      <c r="F6" s="11" t="s">
        <v>3246</v>
      </c>
      <c r="G6" s="11" t="s">
        <v>3247</v>
      </c>
      <c r="H6" s="11" t="s">
        <v>3239</v>
      </c>
      <c r="I6" s="11" t="s">
        <v>2790</v>
      </c>
    </row>
    <row r="7" customFormat="false" ht="31.5" hidden="false" customHeight="true" outlineLevel="0" collapsed="false">
      <c r="A7" s="10" t="s">
        <v>3248</v>
      </c>
      <c r="B7" s="10" t="s">
        <v>2801</v>
      </c>
      <c r="C7" s="10" t="s">
        <v>3249</v>
      </c>
      <c r="D7" s="10" t="s">
        <v>3250</v>
      </c>
      <c r="E7" s="19" t="s">
        <v>3251</v>
      </c>
      <c r="F7" s="11" t="s">
        <v>3252</v>
      </c>
      <c r="G7" s="11" t="s">
        <v>3253</v>
      </c>
      <c r="H7" s="11" t="s">
        <v>22</v>
      </c>
      <c r="I7" s="11" t="s">
        <v>3254</v>
      </c>
    </row>
    <row r="8" customFormat="false" ht="31.5" hidden="false" customHeight="true" outlineLevel="0" collapsed="false">
      <c r="A8" s="10" t="s">
        <v>3255</v>
      </c>
      <c r="B8" s="10" t="s">
        <v>2810</v>
      </c>
      <c r="C8" s="10" t="s">
        <v>3256</v>
      </c>
      <c r="D8" s="10" t="s">
        <v>3229</v>
      </c>
      <c r="E8" s="19" t="s">
        <v>3230</v>
      </c>
      <c r="F8" s="11" t="s">
        <v>3257</v>
      </c>
      <c r="G8" s="11" t="s">
        <v>3258</v>
      </c>
      <c r="H8" s="11" t="s">
        <v>3239</v>
      </c>
      <c r="I8" s="11" t="s">
        <v>2790</v>
      </c>
    </row>
    <row r="9" customFormat="false" ht="31.5" hidden="false" customHeight="true" outlineLevel="0" collapsed="false">
      <c r="A9" s="10" t="s">
        <v>3259</v>
      </c>
      <c r="B9" s="10" t="s">
        <v>2815</v>
      </c>
      <c r="C9" s="10" t="s">
        <v>3260</v>
      </c>
      <c r="D9" s="10" t="s">
        <v>3229</v>
      </c>
      <c r="E9" s="19" t="s">
        <v>3236</v>
      </c>
      <c r="F9" s="11" t="s">
        <v>3261</v>
      </c>
      <c r="G9" s="11" t="s">
        <v>3262</v>
      </c>
      <c r="H9" s="11" t="s">
        <v>3239</v>
      </c>
      <c r="I9" s="11" t="s">
        <v>2790</v>
      </c>
    </row>
    <row r="10" customFormat="false" ht="31.5" hidden="false" customHeight="true" outlineLevel="0" collapsed="false">
      <c r="A10" s="10" t="s">
        <v>3263</v>
      </c>
      <c r="B10" s="10" t="s">
        <v>2815</v>
      </c>
      <c r="C10" s="10" t="s">
        <v>3264</v>
      </c>
      <c r="D10" s="10" t="s">
        <v>3229</v>
      </c>
      <c r="E10" s="19" t="s">
        <v>3230</v>
      </c>
      <c r="F10" s="11" t="s">
        <v>3265</v>
      </c>
      <c r="G10" s="11" t="s">
        <v>3266</v>
      </c>
      <c r="H10" s="11" t="s">
        <v>3239</v>
      </c>
      <c r="I10" s="11" t="s">
        <v>2800</v>
      </c>
    </row>
    <row r="11" customFormat="false" ht="31.5" hidden="false" customHeight="true" outlineLevel="0" collapsed="false">
      <c r="A11" s="10" t="s">
        <v>3267</v>
      </c>
      <c r="B11" s="10" t="s">
        <v>2819</v>
      </c>
      <c r="C11" s="10" t="s">
        <v>3268</v>
      </c>
      <c r="D11" s="10" t="s">
        <v>3229</v>
      </c>
      <c r="E11" s="19" t="s">
        <v>3236</v>
      </c>
      <c r="F11" s="11" t="s">
        <v>3269</v>
      </c>
      <c r="G11" s="11" t="s">
        <v>3270</v>
      </c>
      <c r="H11" s="11" t="s">
        <v>3239</v>
      </c>
      <c r="I11" s="11" t="s">
        <v>3271</v>
      </c>
    </row>
    <row r="12" customFormat="false" ht="31.5" hidden="false" customHeight="true" outlineLevel="0" collapsed="false">
      <c r="A12" s="10" t="s">
        <v>3272</v>
      </c>
      <c r="B12" s="10" t="s">
        <v>2819</v>
      </c>
      <c r="C12" s="10" t="s">
        <v>3273</v>
      </c>
      <c r="D12" s="10" t="s">
        <v>3229</v>
      </c>
      <c r="E12" s="19" t="s">
        <v>3236</v>
      </c>
      <c r="F12" s="11" t="s">
        <v>3269</v>
      </c>
      <c r="G12" s="11" t="s">
        <v>3274</v>
      </c>
      <c r="H12" s="11" t="s">
        <v>22</v>
      </c>
      <c r="I12" s="11" t="s">
        <v>2986</v>
      </c>
    </row>
    <row r="13" customFormat="false" ht="31.5" hidden="false" customHeight="true" outlineLevel="0" collapsed="false">
      <c r="A13" s="10" t="s">
        <v>3275</v>
      </c>
      <c r="B13" s="10" t="s">
        <v>2828</v>
      </c>
      <c r="C13" s="10" t="s">
        <v>3276</v>
      </c>
      <c r="D13" s="10" t="s">
        <v>3250</v>
      </c>
      <c r="E13" s="19" t="s">
        <v>3251</v>
      </c>
      <c r="F13" s="11" t="s">
        <v>3277</v>
      </c>
      <c r="G13" s="11" t="s">
        <v>3278</v>
      </c>
      <c r="H13" s="11" t="s">
        <v>22</v>
      </c>
      <c r="I13" s="11" t="s">
        <v>3279</v>
      </c>
    </row>
    <row r="14" customFormat="false" ht="31.5" hidden="false" customHeight="true" outlineLevel="0" collapsed="false">
      <c r="A14" s="10" t="s">
        <v>3280</v>
      </c>
      <c r="B14" s="10" t="s">
        <v>2838</v>
      </c>
      <c r="C14" s="10" t="s">
        <v>3281</v>
      </c>
      <c r="D14" s="10" t="s">
        <v>3229</v>
      </c>
      <c r="E14" s="19" t="s">
        <v>3236</v>
      </c>
      <c r="F14" s="11" t="s">
        <v>3282</v>
      </c>
      <c r="G14" s="11" t="s">
        <v>3283</v>
      </c>
      <c r="H14" s="11" t="s">
        <v>22</v>
      </c>
      <c r="I14" s="11" t="s">
        <v>2833</v>
      </c>
    </row>
    <row r="15" customFormat="false" ht="31.5" hidden="false" customHeight="true" outlineLevel="0" collapsed="false">
      <c r="A15" s="10" t="s">
        <v>3284</v>
      </c>
      <c r="B15" s="10" t="s">
        <v>2838</v>
      </c>
      <c r="C15" s="10" t="s">
        <v>3285</v>
      </c>
      <c r="D15" s="10" t="s">
        <v>3229</v>
      </c>
      <c r="E15" s="19" t="s">
        <v>3236</v>
      </c>
      <c r="F15" s="11" t="s">
        <v>3286</v>
      </c>
      <c r="G15" s="11" t="s">
        <v>3287</v>
      </c>
      <c r="H15" s="11" t="s">
        <v>3239</v>
      </c>
      <c r="I15" s="11" t="s">
        <v>2991</v>
      </c>
    </row>
    <row r="16" customFormat="false" ht="31.5" hidden="false" customHeight="true" outlineLevel="0" collapsed="false">
      <c r="A16" s="10" t="s">
        <v>3288</v>
      </c>
      <c r="B16" s="10" t="s">
        <v>2843</v>
      </c>
      <c r="C16" s="10" t="s">
        <v>3289</v>
      </c>
      <c r="D16" s="10" t="s">
        <v>3229</v>
      </c>
      <c r="E16" s="19" t="s">
        <v>3236</v>
      </c>
      <c r="F16" s="11" t="s">
        <v>3290</v>
      </c>
      <c r="G16" s="11" t="s">
        <v>3291</v>
      </c>
      <c r="H16" s="11" t="s">
        <v>3292</v>
      </c>
      <c r="I16" s="11" t="s">
        <v>2849</v>
      </c>
    </row>
    <row r="17" customFormat="false" ht="31.5" hidden="false" customHeight="true" outlineLevel="0" collapsed="false">
      <c r="A17" s="10" t="s">
        <v>3293</v>
      </c>
      <c r="B17" s="10" t="s">
        <v>2843</v>
      </c>
      <c r="C17" s="10" t="s">
        <v>3294</v>
      </c>
      <c r="D17" s="10" t="s">
        <v>3229</v>
      </c>
      <c r="E17" s="19" t="s">
        <v>3236</v>
      </c>
      <c r="F17" s="11" t="s">
        <v>3295</v>
      </c>
      <c r="G17" s="11" t="s">
        <v>3296</v>
      </c>
      <c r="H17" s="11" t="s">
        <v>22</v>
      </c>
      <c r="I17" s="11" t="s">
        <v>2849</v>
      </c>
    </row>
    <row r="18" customFormat="false" ht="31.5" hidden="false" customHeight="true" outlineLevel="0" collapsed="false">
      <c r="A18" s="10" t="s">
        <v>3297</v>
      </c>
      <c r="B18" s="10" t="s">
        <v>3298</v>
      </c>
      <c r="C18" s="10" t="s">
        <v>3299</v>
      </c>
      <c r="D18" s="10" t="s">
        <v>3300</v>
      </c>
      <c r="E18" s="19" t="s">
        <v>3251</v>
      </c>
      <c r="F18" s="11" t="s">
        <v>3301</v>
      </c>
      <c r="G18" s="11" t="s">
        <v>3302</v>
      </c>
      <c r="H18" s="11" t="s">
        <v>22</v>
      </c>
      <c r="I18" s="11" t="s">
        <v>3298</v>
      </c>
    </row>
    <row r="19" customFormat="false" ht="31.5" hidden="false" customHeight="true" outlineLevel="0" collapsed="false">
      <c r="A19" s="10" t="s">
        <v>3303</v>
      </c>
      <c r="B19" s="10" t="s">
        <v>2848</v>
      </c>
      <c r="C19" s="10" t="s">
        <v>3304</v>
      </c>
      <c r="D19" s="10" t="s">
        <v>3229</v>
      </c>
      <c r="E19" s="19" t="s">
        <v>3236</v>
      </c>
      <c r="F19" s="11" t="s">
        <v>3305</v>
      </c>
      <c r="G19" s="11" t="s">
        <v>3306</v>
      </c>
      <c r="H19" s="11" t="s">
        <v>22</v>
      </c>
      <c r="I19" s="11" t="s">
        <v>2858</v>
      </c>
    </row>
    <row r="20" customFormat="false" ht="31.5" hidden="false" customHeight="true" outlineLevel="0" collapsed="false">
      <c r="A20" s="10" t="s">
        <v>3307</v>
      </c>
      <c r="B20" s="10" t="s">
        <v>2848</v>
      </c>
      <c r="C20" s="10" t="s">
        <v>3308</v>
      </c>
      <c r="D20" s="10" t="s">
        <v>3229</v>
      </c>
      <c r="E20" s="19" t="s">
        <v>3309</v>
      </c>
      <c r="F20" s="11" t="s">
        <v>3310</v>
      </c>
      <c r="G20" s="11" t="s">
        <v>3311</v>
      </c>
      <c r="H20" s="11" t="s">
        <v>22</v>
      </c>
      <c r="I20" s="11" t="s">
        <v>2858</v>
      </c>
    </row>
    <row r="21" customFormat="false" ht="31.5" hidden="false" customHeight="true" outlineLevel="0" collapsed="false">
      <c r="A21" s="10" t="s">
        <v>3312</v>
      </c>
      <c r="B21" s="10" t="s">
        <v>2848</v>
      </c>
      <c r="C21" s="10" t="s">
        <v>3313</v>
      </c>
      <c r="D21" s="10" t="s">
        <v>3229</v>
      </c>
      <c r="E21" s="19" t="s">
        <v>3236</v>
      </c>
      <c r="F21" s="11" t="s">
        <v>3314</v>
      </c>
      <c r="G21" s="11" t="s">
        <v>3315</v>
      </c>
      <c r="H21" s="11" t="s">
        <v>3239</v>
      </c>
      <c r="I21" s="11" t="s">
        <v>2991</v>
      </c>
    </row>
    <row r="22" customFormat="false" ht="31.5" hidden="false" customHeight="true" outlineLevel="0" collapsed="false">
      <c r="A22" s="10" t="s">
        <v>3316</v>
      </c>
      <c r="B22" s="10" t="s">
        <v>2859</v>
      </c>
      <c r="C22" s="10" t="s">
        <v>3317</v>
      </c>
      <c r="D22" s="10" t="s">
        <v>3229</v>
      </c>
      <c r="E22" s="19" t="s">
        <v>3230</v>
      </c>
      <c r="F22" s="11" t="s">
        <v>3318</v>
      </c>
      <c r="G22" s="11" t="s">
        <v>3319</v>
      </c>
      <c r="H22" s="11" t="s">
        <v>3320</v>
      </c>
      <c r="I22" s="11" t="s">
        <v>2858</v>
      </c>
    </row>
    <row r="23" customFormat="false" ht="31.5" hidden="false" customHeight="true" outlineLevel="0" collapsed="false">
      <c r="A23" s="10" t="s">
        <v>3321</v>
      </c>
      <c r="B23" s="10" t="s">
        <v>2859</v>
      </c>
      <c r="C23" s="10" t="s">
        <v>3322</v>
      </c>
      <c r="D23" s="10" t="s">
        <v>3229</v>
      </c>
      <c r="E23" s="19" t="s">
        <v>3230</v>
      </c>
      <c r="F23" s="11" t="s">
        <v>3318</v>
      </c>
      <c r="G23" s="11" t="s">
        <v>3323</v>
      </c>
      <c r="H23" s="11" t="s">
        <v>3320</v>
      </c>
      <c r="I23" s="11" t="s">
        <v>2858</v>
      </c>
    </row>
    <row r="24" customFormat="false" ht="31.5" hidden="false" customHeight="true" outlineLevel="0" collapsed="false">
      <c r="A24" s="10" t="s">
        <v>3324</v>
      </c>
      <c r="B24" s="10" t="s">
        <v>2859</v>
      </c>
      <c r="C24" s="10" t="s">
        <v>3325</v>
      </c>
      <c r="D24" s="10" t="s">
        <v>3229</v>
      </c>
      <c r="E24" s="19" t="s">
        <v>3236</v>
      </c>
      <c r="F24" s="11" t="s">
        <v>3326</v>
      </c>
      <c r="G24" s="11" t="s">
        <v>3327</v>
      </c>
      <c r="H24" s="11" t="s">
        <v>22</v>
      </c>
      <c r="I24" s="11" t="s">
        <v>2858</v>
      </c>
    </row>
    <row r="25" customFormat="false" ht="31.5" hidden="false" customHeight="true" outlineLevel="0" collapsed="false">
      <c r="A25" s="10" t="s">
        <v>3328</v>
      </c>
      <c r="B25" s="10" t="s">
        <v>2859</v>
      </c>
      <c r="C25" s="10" t="s">
        <v>3329</v>
      </c>
      <c r="D25" s="10" t="s">
        <v>3229</v>
      </c>
      <c r="E25" s="19" t="s">
        <v>3330</v>
      </c>
      <c r="F25" s="11" t="s">
        <v>3331</v>
      </c>
      <c r="G25" s="11" t="s">
        <v>3332</v>
      </c>
      <c r="H25" s="11" t="s">
        <v>3333</v>
      </c>
      <c r="I25" s="11" t="s">
        <v>2875</v>
      </c>
    </row>
    <row r="26" customFormat="false" ht="31.5" hidden="false" customHeight="true" outlineLevel="0" collapsed="false">
      <c r="A26" s="10" t="s">
        <v>3334</v>
      </c>
      <c r="B26" s="10" t="s">
        <v>2869</v>
      </c>
      <c r="C26" s="10" t="s">
        <v>3335</v>
      </c>
      <c r="D26" s="10" t="s">
        <v>3229</v>
      </c>
      <c r="E26" s="19" t="s">
        <v>3336</v>
      </c>
      <c r="F26" s="11" t="s">
        <v>3337</v>
      </c>
      <c r="G26" s="11" t="s">
        <v>3338</v>
      </c>
      <c r="H26" s="11" t="s">
        <v>3239</v>
      </c>
      <c r="I26" s="11" t="s">
        <v>2833</v>
      </c>
    </row>
    <row r="27" customFormat="false" ht="31.5" hidden="false" customHeight="true" outlineLevel="0" collapsed="false">
      <c r="A27" s="10" t="s">
        <v>3339</v>
      </c>
      <c r="B27" s="10" t="s">
        <v>2869</v>
      </c>
      <c r="C27" s="10" t="s">
        <v>3340</v>
      </c>
      <c r="D27" s="10" t="s">
        <v>3229</v>
      </c>
      <c r="E27" s="19" t="s">
        <v>3336</v>
      </c>
      <c r="F27" s="11" t="s">
        <v>3337</v>
      </c>
      <c r="G27" s="11" t="s">
        <v>3341</v>
      </c>
      <c r="H27" s="11" t="s">
        <v>3239</v>
      </c>
      <c r="I27" s="11" t="s">
        <v>2833</v>
      </c>
    </row>
    <row r="28" customFormat="false" ht="31.5" hidden="false" customHeight="true" outlineLevel="0" collapsed="false">
      <c r="A28" s="10" t="s">
        <v>3342</v>
      </c>
      <c r="B28" s="10" t="s">
        <v>2869</v>
      </c>
      <c r="C28" s="10" t="s">
        <v>3343</v>
      </c>
      <c r="D28" s="10" t="s">
        <v>3229</v>
      </c>
      <c r="E28" s="19" t="s">
        <v>1141</v>
      </c>
      <c r="F28" s="11" t="s">
        <v>3344</v>
      </c>
      <c r="G28" s="11" t="s">
        <v>3345</v>
      </c>
      <c r="H28" s="11" t="s">
        <v>22</v>
      </c>
      <c r="I28" s="11" t="s">
        <v>2858</v>
      </c>
    </row>
    <row r="29" customFormat="false" ht="31.5" hidden="false" customHeight="true" outlineLevel="0" collapsed="false">
      <c r="A29" s="10" t="s">
        <v>3346</v>
      </c>
      <c r="B29" s="10" t="s">
        <v>2869</v>
      </c>
      <c r="C29" s="10" t="s">
        <v>3347</v>
      </c>
      <c r="D29" s="10" t="s">
        <v>3229</v>
      </c>
      <c r="E29" s="19" t="s">
        <v>3236</v>
      </c>
      <c r="F29" s="11" t="s">
        <v>3282</v>
      </c>
      <c r="G29" s="11" t="s">
        <v>3348</v>
      </c>
      <c r="H29" s="11" t="s">
        <v>3320</v>
      </c>
      <c r="I29" s="11" t="s">
        <v>1836</v>
      </c>
    </row>
    <row r="30" customFormat="false" ht="31.5" hidden="false" customHeight="true" outlineLevel="0" collapsed="false">
      <c r="A30" s="10" t="s">
        <v>3349</v>
      </c>
      <c r="B30" s="10" t="s">
        <v>2876</v>
      </c>
      <c r="C30" s="10" t="s">
        <v>3350</v>
      </c>
      <c r="D30" s="10" t="s">
        <v>3229</v>
      </c>
      <c r="E30" s="19" t="s">
        <v>3230</v>
      </c>
      <c r="F30" s="11" t="s">
        <v>3351</v>
      </c>
      <c r="G30" s="11" t="s">
        <v>3352</v>
      </c>
      <c r="H30" s="11" t="s">
        <v>3239</v>
      </c>
      <c r="I30" s="11" t="s">
        <v>2882</v>
      </c>
    </row>
    <row r="31" customFormat="false" ht="31.5" hidden="false" customHeight="true" outlineLevel="0" collapsed="false">
      <c r="A31" s="10" t="s">
        <v>3353</v>
      </c>
      <c r="B31" s="10" t="s">
        <v>2883</v>
      </c>
      <c r="C31" s="10" t="s">
        <v>3354</v>
      </c>
      <c r="D31" s="10" t="s">
        <v>3229</v>
      </c>
      <c r="E31" s="19" t="s">
        <v>3236</v>
      </c>
      <c r="F31" s="11" t="s">
        <v>3355</v>
      </c>
      <c r="G31" s="11" t="s">
        <v>3356</v>
      </c>
      <c r="H31" s="11" t="s">
        <v>3292</v>
      </c>
      <c r="I31" s="11" t="s">
        <v>2887</v>
      </c>
    </row>
    <row r="32" customFormat="false" ht="31.5" hidden="false" customHeight="true" outlineLevel="0" collapsed="false">
      <c r="A32" s="10" t="s">
        <v>3357</v>
      </c>
      <c r="B32" s="10" t="s">
        <v>2894</v>
      </c>
      <c r="C32" s="10" t="s">
        <v>3358</v>
      </c>
      <c r="D32" s="10" t="s">
        <v>3229</v>
      </c>
      <c r="E32" s="19" t="s">
        <v>3359</v>
      </c>
      <c r="F32" s="11" t="s">
        <v>3360</v>
      </c>
      <c r="G32" s="11" t="s">
        <v>3361</v>
      </c>
      <c r="H32" s="11" t="s">
        <v>3320</v>
      </c>
      <c r="I32" s="11" t="s">
        <v>2898</v>
      </c>
    </row>
    <row r="33" customFormat="false" ht="31.5" hidden="false" customHeight="true" outlineLevel="0" collapsed="false">
      <c r="A33" s="10" t="s">
        <v>3362</v>
      </c>
      <c r="B33" s="10" t="s">
        <v>2899</v>
      </c>
      <c r="C33" s="10" t="s">
        <v>3363</v>
      </c>
      <c r="D33" s="10" t="s">
        <v>3229</v>
      </c>
      <c r="E33" s="19" t="s">
        <v>3230</v>
      </c>
      <c r="F33" s="11" t="s">
        <v>3364</v>
      </c>
      <c r="G33" s="11" t="s">
        <v>3365</v>
      </c>
      <c r="H33" s="11" t="s">
        <v>22</v>
      </c>
      <c r="I33" s="11" t="s">
        <v>2904</v>
      </c>
    </row>
    <row r="34" customFormat="false" ht="31.5" hidden="false" customHeight="true" outlineLevel="0" collapsed="false">
      <c r="A34" s="10" t="s">
        <v>3366</v>
      </c>
      <c r="B34" s="10" t="s">
        <v>2899</v>
      </c>
      <c r="C34" s="10" t="s">
        <v>3367</v>
      </c>
      <c r="D34" s="10" t="s">
        <v>3229</v>
      </c>
      <c r="E34" s="19" t="s">
        <v>3230</v>
      </c>
      <c r="F34" s="11" t="s">
        <v>3368</v>
      </c>
      <c r="G34" s="11" t="s">
        <v>3369</v>
      </c>
      <c r="H34" s="11" t="s">
        <v>3239</v>
      </c>
      <c r="I34" s="11" t="s">
        <v>2904</v>
      </c>
    </row>
    <row r="35" customFormat="false" ht="31.5" hidden="false" customHeight="true" outlineLevel="0" collapsed="false">
      <c r="A35" s="10" t="s">
        <v>3370</v>
      </c>
      <c r="B35" s="10" t="s">
        <v>3298</v>
      </c>
      <c r="C35" s="10" t="s">
        <v>3371</v>
      </c>
      <c r="D35" s="10" t="s">
        <v>3372</v>
      </c>
      <c r="E35" s="19" t="s">
        <v>3251</v>
      </c>
      <c r="F35" s="11" t="s">
        <v>3252</v>
      </c>
      <c r="G35" s="11" t="s">
        <v>3373</v>
      </c>
      <c r="H35" s="11" t="s">
        <v>3374</v>
      </c>
      <c r="I35" s="11" t="s">
        <v>3298</v>
      </c>
    </row>
    <row r="36" customFormat="false" ht="31.5" hidden="false" customHeight="true" outlineLevel="0" collapsed="false">
      <c r="A36" s="10" t="s">
        <v>3375</v>
      </c>
      <c r="B36" s="10" t="s">
        <v>3298</v>
      </c>
      <c r="C36" s="10" t="s">
        <v>3376</v>
      </c>
      <c r="D36" s="10" t="s">
        <v>3300</v>
      </c>
      <c r="E36" s="19" t="s">
        <v>3377</v>
      </c>
      <c r="F36" s="11" t="s">
        <v>3378</v>
      </c>
      <c r="G36" s="11" t="s">
        <v>3379</v>
      </c>
      <c r="H36" s="11" t="s">
        <v>22</v>
      </c>
      <c r="I36" s="11" t="s">
        <v>3298</v>
      </c>
    </row>
    <row r="37" customFormat="false" ht="31.5" hidden="false" customHeight="true" outlineLevel="0" collapsed="false">
      <c r="A37" s="10" t="s">
        <v>3380</v>
      </c>
      <c r="B37" s="10" t="s">
        <v>3298</v>
      </c>
      <c r="C37" s="10" t="s">
        <v>3381</v>
      </c>
      <c r="D37" s="10" t="s">
        <v>3300</v>
      </c>
      <c r="E37" s="19" t="s">
        <v>3377</v>
      </c>
      <c r="F37" s="11" t="s">
        <v>3382</v>
      </c>
      <c r="G37" s="11" t="s">
        <v>3383</v>
      </c>
      <c r="H37" s="11" t="s">
        <v>22</v>
      </c>
      <c r="I37" s="11" t="s">
        <v>3298</v>
      </c>
    </row>
    <row r="38" customFormat="false" ht="31.5" hidden="false" customHeight="true" outlineLevel="0" collapsed="false">
      <c r="A38" s="10" t="s">
        <v>3384</v>
      </c>
      <c r="B38" s="10" t="s">
        <v>2921</v>
      </c>
      <c r="C38" s="10" t="s">
        <v>3385</v>
      </c>
      <c r="D38" s="10" t="s">
        <v>3229</v>
      </c>
      <c r="E38" s="19" t="s">
        <v>3236</v>
      </c>
      <c r="F38" s="11" t="s">
        <v>3386</v>
      </c>
      <c r="G38" s="11" t="s">
        <v>3387</v>
      </c>
      <c r="H38" s="11" t="s">
        <v>22</v>
      </c>
      <c r="I38" s="11" t="s">
        <v>2790</v>
      </c>
    </row>
    <row r="39" customFormat="false" ht="31.5" hidden="false" customHeight="true" outlineLevel="0" collapsed="false">
      <c r="A39" s="10" t="s">
        <v>3388</v>
      </c>
      <c r="B39" s="10" t="s">
        <v>2921</v>
      </c>
      <c r="C39" s="10" t="s">
        <v>3389</v>
      </c>
      <c r="D39" s="10" t="s">
        <v>3229</v>
      </c>
      <c r="E39" s="19" t="s">
        <v>3390</v>
      </c>
      <c r="F39" s="11" t="s">
        <v>3391</v>
      </c>
      <c r="G39" s="11" t="s">
        <v>3392</v>
      </c>
      <c r="H39" s="11" t="s">
        <v>22</v>
      </c>
      <c r="I39" s="11" t="s">
        <v>2927</v>
      </c>
    </row>
    <row r="40" customFormat="false" ht="31.5" hidden="false" customHeight="true" outlineLevel="0" collapsed="false">
      <c r="A40" s="10" t="s">
        <v>3393</v>
      </c>
      <c r="B40" s="10" t="s">
        <v>2921</v>
      </c>
      <c r="C40" s="10" t="s">
        <v>3394</v>
      </c>
      <c r="D40" s="10" t="s">
        <v>3229</v>
      </c>
      <c r="E40" s="19" t="s">
        <v>3236</v>
      </c>
      <c r="F40" s="11" t="s">
        <v>3395</v>
      </c>
      <c r="G40" s="11" t="s">
        <v>3396</v>
      </c>
      <c r="H40" s="11" t="s">
        <v>3239</v>
      </c>
      <c r="I40" s="11" t="s">
        <v>2800</v>
      </c>
    </row>
    <row r="41" customFormat="false" ht="31.5" hidden="false" customHeight="true" outlineLevel="0" collapsed="false">
      <c r="A41" s="10" t="s">
        <v>3397</v>
      </c>
      <c r="B41" s="10" t="s">
        <v>2928</v>
      </c>
      <c r="C41" s="10" t="s">
        <v>3398</v>
      </c>
      <c r="D41" s="10" t="s">
        <v>3229</v>
      </c>
      <c r="E41" s="19" t="s">
        <v>3230</v>
      </c>
      <c r="F41" s="11" t="s">
        <v>3399</v>
      </c>
      <c r="G41" s="11" t="s">
        <v>3400</v>
      </c>
      <c r="H41" s="11" t="s">
        <v>3320</v>
      </c>
      <c r="I41" s="11" t="s">
        <v>1836</v>
      </c>
    </row>
    <row r="42" customFormat="false" ht="31.5" hidden="false" customHeight="true" outlineLevel="0" collapsed="false">
      <c r="A42" s="10" t="s">
        <v>3401</v>
      </c>
      <c r="B42" s="10" t="s">
        <v>2937</v>
      </c>
      <c r="C42" s="10" t="s">
        <v>3402</v>
      </c>
      <c r="D42" s="10" t="s">
        <v>3229</v>
      </c>
      <c r="E42" s="19" t="s">
        <v>3230</v>
      </c>
      <c r="F42" s="11" t="s">
        <v>3403</v>
      </c>
      <c r="G42" s="11" t="s">
        <v>3404</v>
      </c>
      <c r="H42" s="11" t="s">
        <v>22</v>
      </c>
      <c r="I42" s="11" t="s">
        <v>3271</v>
      </c>
    </row>
    <row r="43" customFormat="false" ht="31.5" hidden="false" customHeight="true" outlineLevel="0" collapsed="false">
      <c r="A43" s="10" t="s">
        <v>3405</v>
      </c>
      <c r="B43" s="10" t="s">
        <v>2955</v>
      </c>
      <c r="C43" s="10" t="s">
        <v>3406</v>
      </c>
      <c r="D43" s="10" t="s">
        <v>3229</v>
      </c>
      <c r="E43" s="19" t="s">
        <v>3230</v>
      </c>
      <c r="F43" s="11" t="s">
        <v>3407</v>
      </c>
      <c r="G43" s="11" t="s">
        <v>3408</v>
      </c>
      <c r="H43" s="11" t="s">
        <v>3292</v>
      </c>
      <c r="I43" s="11" t="s">
        <v>2956</v>
      </c>
    </row>
    <row r="44" customFormat="false" ht="31.5" hidden="false" customHeight="true" outlineLevel="0" collapsed="false">
      <c r="A44" s="10" t="s">
        <v>3409</v>
      </c>
      <c r="B44" s="10" t="s">
        <v>2950</v>
      </c>
      <c r="C44" s="10" t="s">
        <v>3410</v>
      </c>
      <c r="D44" s="10" t="s">
        <v>3411</v>
      </c>
      <c r="E44" s="19" t="s">
        <v>3412</v>
      </c>
      <c r="F44" s="11" t="s">
        <v>3413</v>
      </c>
      <c r="G44" s="11" t="s">
        <v>3414</v>
      </c>
      <c r="H44" s="11" t="s">
        <v>3239</v>
      </c>
      <c r="I44" s="11" t="s">
        <v>3415</v>
      </c>
    </row>
    <row r="45" customFormat="false" ht="31.5" hidden="false" customHeight="true" outlineLevel="0" collapsed="false">
      <c r="A45" s="10" t="s">
        <v>3416</v>
      </c>
      <c r="B45" s="10" t="s">
        <v>2960</v>
      </c>
      <c r="C45" s="10" t="s">
        <v>3417</v>
      </c>
      <c r="D45" s="10" t="s">
        <v>3229</v>
      </c>
      <c r="E45" s="19" t="s">
        <v>3236</v>
      </c>
      <c r="F45" s="11" t="s">
        <v>3418</v>
      </c>
      <c r="G45" s="11" t="s">
        <v>3419</v>
      </c>
      <c r="H45" s="11" t="s">
        <v>3292</v>
      </c>
      <c r="I45" s="11" t="s">
        <v>2800</v>
      </c>
    </row>
    <row r="46" customFormat="false" ht="31.5" hidden="false" customHeight="true" outlineLevel="0" collapsed="false">
      <c r="A46" s="10" t="s">
        <v>3420</v>
      </c>
      <c r="B46" s="10" t="s">
        <v>2970</v>
      </c>
      <c r="C46" s="10" t="s">
        <v>3421</v>
      </c>
      <c r="D46" s="10" t="s">
        <v>3229</v>
      </c>
      <c r="E46" s="19" t="s">
        <v>3422</v>
      </c>
      <c r="F46" s="11" t="s">
        <v>3423</v>
      </c>
      <c r="G46" s="11" t="s">
        <v>3424</v>
      </c>
      <c r="H46" s="11" t="s">
        <v>22</v>
      </c>
      <c r="I46" s="11" t="s">
        <v>2927</v>
      </c>
    </row>
    <row r="47" customFormat="false" ht="31.5" hidden="false" customHeight="true" outlineLevel="0" collapsed="false">
      <c r="A47" s="10" t="s">
        <v>3425</v>
      </c>
      <c r="B47" s="10" t="s">
        <v>2942</v>
      </c>
      <c r="C47" s="10" t="s">
        <v>3426</v>
      </c>
      <c r="D47" s="10" t="s">
        <v>3229</v>
      </c>
      <c r="E47" s="19" t="s">
        <v>3230</v>
      </c>
      <c r="F47" s="11" t="s">
        <v>3427</v>
      </c>
      <c r="G47" s="11" t="s">
        <v>3428</v>
      </c>
      <c r="H47" s="11" t="s">
        <v>3239</v>
      </c>
      <c r="I47" s="11" t="s">
        <v>2882</v>
      </c>
    </row>
    <row r="48" customFormat="false" ht="31.5" hidden="false" customHeight="true" outlineLevel="0" collapsed="false">
      <c r="A48" s="10" t="s">
        <v>3429</v>
      </c>
      <c r="B48" s="10" t="s">
        <v>3298</v>
      </c>
      <c r="C48" s="10" t="s">
        <v>3430</v>
      </c>
      <c r="D48" s="10" t="s">
        <v>3300</v>
      </c>
      <c r="E48" s="19" t="s">
        <v>3431</v>
      </c>
      <c r="F48" s="11" t="s">
        <v>3432</v>
      </c>
      <c r="G48" s="11" t="s">
        <v>3433</v>
      </c>
      <c r="H48" s="11" t="s">
        <v>22</v>
      </c>
      <c r="I48" s="11" t="s">
        <v>3298</v>
      </c>
    </row>
    <row r="49" customFormat="false" ht="31.5" hidden="false" customHeight="true" outlineLevel="0" collapsed="false">
      <c r="A49" s="10" t="s">
        <v>3434</v>
      </c>
      <c r="B49" s="10" t="s">
        <v>2976</v>
      </c>
      <c r="C49" s="10" t="s">
        <v>3435</v>
      </c>
      <c r="D49" s="10" t="s">
        <v>3229</v>
      </c>
      <c r="E49" s="19" t="s">
        <v>3230</v>
      </c>
      <c r="F49" s="11" t="s">
        <v>3436</v>
      </c>
      <c r="G49" s="11" t="s">
        <v>3437</v>
      </c>
      <c r="H49" s="11" t="s">
        <v>3239</v>
      </c>
      <c r="I49" s="11" t="s">
        <v>2980</v>
      </c>
    </row>
    <row r="50" customFormat="false" ht="31.5" hidden="false" customHeight="true" outlineLevel="0" collapsed="false">
      <c r="A50" s="10" t="s">
        <v>3438</v>
      </c>
      <c r="B50" s="10" t="s">
        <v>2992</v>
      </c>
      <c r="C50" s="10" t="s">
        <v>3439</v>
      </c>
      <c r="D50" s="10" t="s">
        <v>3229</v>
      </c>
      <c r="E50" s="19" t="s">
        <v>3236</v>
      </c>
      <c r="F50" s="11" t="s">
        <v>3440</v>
      </c>
      <c r="G50" s="11" t="s">
        <v>3441</v>
      </c>
      <c r="H50" s="11" t="s">
        <v>22</v>
      </c>
      <c r="I50" s="11" t="s">
        <v>2986</v>
      </c>
    </row>
    <row r="51" customFormat="false" ht="31.5" hidden="false" customHeight="true" outlineLevel="0" collapsed="false">
      <c r="A51" s="10" t="s">
        <v>3442</v>
      </c>
      <c r="B51" s="10" t="s">
        <v>2992</v>
      </c>
      <c r="C51" s="10" t="s">
        <v>3443</v>
      </c>
      <c r="D51" s="10" t="s">
        <v>3229</v>
      </c>
      <c r="E51" s="19" t="s">
        <v>3230</v>
      </c>
      <c r="F51" s="11" t="s">
        <v>3444</v>
      </c>
      <c r="G51" s="11" t="s">
        <v>3445</v>
      </c>
      <c r="H51" s="11" t="s">
        <v>22</v>
      </c>
      <c r="I51" s="11" t="s">
        <v>3271</v>
      </c>
    </row>
    <row r="52" customFormat="false" ht="31.5" hidden="false" customHeight="true" outlineLevel="0" collapsed="false">
      <c r="A52" s="10" t="s">
        <v>3446</v>
      </c>
      <c r="B52" s="10" t="s">
        <v>2987</v>
      </c>
      <c r="C52" s="10" t="s">
        <v>3447</v>
      </c>
      <c r="D52" s="10" t="s">
        <v>3229</v>
      </c>
      <c r="E52" s="19" t="s">
        <v>3236</v>
      </c>
      <c r="F52" s="11" t="s">
        <v>3448</v>
      </c>
      <c r="G52" s="11" t="s">
        <v>3449</v>
      </c>
      <c r="H52" s="11" t="s">
        <v>3239</v>
      </c>
      <c r="I52" s="11" t="s">
        <v>2991</v>
      </c>
    </row>
    <row r="53" customFormat="false" ht="31.5" hidden="false" customHeight="true" outlineLevel="0" collapsed="false">
      <c r="A53" s="10" t="s">
        <v>3450</v>
      </c>
      <c r="B53" s="10" t="s">
        <v>3298</v>
      </c>
      <c r="C53" s="10" t="s">
        <v>3451</v>
      </c>
      <c r="D53" s="10" t="s">
        <v>3300</v>
      </c>
      <c r="E53" s="19" t="s">
        <v>3452</v>
      </c>
      <c r="F53" s="11" t="s">
        <v>3453</v>
      </c>
      <c r="G53" s="11" t="s">
        <v>3454</v>
      </c>
      <c r="H53" s="11" t="s">
        <v>22</v>
      </c>
      <c r="I53" s="11" t="s">
        <v>3298</v>
      </c>
    </row>
    <row r="54" customFormat="false" ht="31.5" hidden="false" customHeight="true" outlineLevel="0" collapsed="false">
      <c r="A54" s="10" t="s">
        <v>3455</v>
      </c>
      <c r="B54" s="10" t="s">
        <v>2997</v>
      </c>
      <c r="C54" s="10" t="s">
        <v>3456</v>
      </c>
      <c r="D54" s="10" t="s">
        <v>3229</v>
      </c>
      <c r="E54" s="19" t="s">
        <v>3236</v>
      </c>
      <c r="F54" s="11" t="s">
        <v>3457</v>
      </c>
      <c r="G54" s="11" t="s">
        <v>3458</v>
      </c>
      <c r="H54" s="11" t="s">
        <v>3239</v>
      </c>
      <c r="I54" s="11" t="s">
        <v>2922</v>
      </c>
    </row>
    <row r="55" customFormat="false" ht="31.5" hidden="false" customHeight="true" outlineLevel="0" collapsed="false">
      <c r="A55" s="10" t="s">
        <v>3459</v>
      </c>
      <c r="B55" s="10" t="s">
        <v>2997</v>
      </c>
      <c r="C55" s="10" t="s">
        <v>3460</v>
      </c>
      <c r="D55" s="10" t="s">
        <v>3229</v>
      </c>
      <c r="E55" s="19" t="s">
        <v>3359</v>
      </c>
      <c r="F55" s="11" t="s">
        <v>3461</v>
      </c>
      <c r="G55" s="11" t="s">
        <v>3462</v>
      </c>
      <c r="H55" s="11" t="s">
        <v>22</v>
      </c>
      <c r="I55" s="11" t="s">
        <v>3463</v>
      </c>
    </row>
    <row r="56" customFormat="false" ht="31.5" hidden="false" customHeight="true" outlineLevel="0" collapsed="false">
      <c r="A56" s="10" t="s">
        <v>3464</v>
      </c>
      <c r="B56" s="10" t="s">
        <v>2916</v>
      </c>
      <c r="C56" s="10" t="s">
        <v>3465</v>
      </c>
      <c r="D56" s="10" t="s">
        <v>3229</v>
      </c>
      <c r="E56" s="19" t="s">
        <v>3230</v>
      </c>
      <c r="F56" s="11" t="s">
        <v>3466</v>
      </c>
      <c r="G56" s="11" t="s">
        <v>3467</v>
      </c>
      <c r="H56" s="11" t="s">
        <v>3374</v>
      </c>
      <c r="I56" s="11" t="s">
        <v>3463</v>
      </c>
    </row>
    <row r="57" customFormat="false" ht="31.5" hidden="false" customHeight="true" outlineLevel="0" collapsed="false">
      <c r="A57" s="10" t="s">
        <v>3468</v>
      </c>
      <c r="B57" s="10" t="s">
        <v>3007</v>
      </c>
      <c r="C57" s="10" t="s">
        <v>3469</v>
      </c>
      <c r="D57" s="10" t="s">
        <v>3229</v>
      </c>
      <c r="E57" s="19" t="s">
        <v>3236</v>
      </c>
      <c r="F57" s="11" t="s">
        <v>3470</v>
      </c>
      <c r="G57" s="11" t="s">
        <v>3471</v>
      </c>
      <c r="H57" s="11" t="s">
        <v>22</v>
      </c>
      <c r="I57" s="11" t="s">
        <v>2833</v>
      </c>
    </row>
    <row r="58" customFormat="false" ht="31.5" hidden="false" customHeight="true" outlineLevel="0" collapsed="false">
      <c r="A58" s="10" t="s">
        <v>3472</v>
      </c>
      <c r="B58" s="10" t="s">
        <v>3014</v>
      </c>
      <c r="C58" s="10" t="s">
        <v>3473</v>
      </c>
      <c r="D58" s="10" t="s">
        <v>3229</v>
      </c>
      <c r="E58" s="19" t="s">
        <v>3230</v>
      </c>
      <c r="F58" s="11" t="s">
        <v>3474</v>
      </c>
      <c r="G58" s="11" t="s">
        <v>3475</v>
      </c>
      <c r="H58" s="11" t="s">
        <v>3320</v>
      </c>
      <c r="I58" s="11" t="s">
        <v>1836</v>
      </c>
    </row>
    <row r="59" customFormat="false" ht="31.5" hidden="false" customHeight="true" outlineLevel="0" collapsed="false">
      <c r="A59" s="10" t="s">
        <v>3476</v>
      </c>
      <c r="B59" s="10" t="s">
        <v>3298</v>
      </c>
      <c r="C59" s="10" t="s">
        <v>3477</v>
      </c>
      <c r="D59" s="10" t="s">
        <v>3300</v>
      </c>
      <c r="E59" s="19" t="s">
        <v>3431</v>
      </c>
      <c r="F59" s="11" t="s">
        <v>3478</v>
      </c>
      <c r="G59" s="11" t="s">
        <v>3479</v>
      </c>
      <c r="H59" s="11" t="s">
        <v>22</v>
      </c>
      <c r="I59" s="11" t="s">
        <v>3298</v>
      </c>
    </row>
    <row r="60" customFormat="false" ht="31.5" hidden="false" customHeight="true" outlineLevel="0" collapsed="false">
      <c r="A60" s="10" t="s">
        <v>3480</v>
      </c>
      <c r="B60" s="10" t="s">
        <v>3298</v>
      </c>
      <c r="C60" s="10" t="s">
        <v>3481</v>
      </c>
      <c r="D60" s="10" t="s">
        <v>3482</v>
      </c>
      <c r="E60" s="19" t="s">
        <v>3251</v>
      </c>
      <c r="F60" s="11" t="s">
        <v>3252</v>
      </c>
      <c r="G60" s="11" t="s">
        <v>3483</v>
      </c>
      <c r="H60" s="11" t="s">
        <v>3374</v>
      </c>
      <c r="I60" s="11" t="s">
        <v>3298</v>
      </c>
    </row>
    <row r="61" customFormat="false" ht="31.5" hidden="false" customHeight="true" outlineLevel="0" collapsed="false">
      <c r="A61" s="10" t="s">
        <v>3484</v>
      </c>
      <c r="B61" s="10" t="s">
        <v>3298</v>
      </c>
      <c r="C61" s="10" t="s">
        <v>3485</v>
      </c>
      <c r="D61" s="10" t="s">
        <v>3300</v>
      </c>
      <c r="E61" s="19" t="s">
        <v>3251</v>
      </c>
      <c r="F61" s="11" t="s">
        <v>3486</v>
      </c>
      <c r="G61" s="11" t="s">
        <v>3487</v>
      </c>
      <c r="H61" s="11" t="s">
        <v>22</v>
      </c>
      <c r="I61" s="11" t="s">
        <v>3298</v>
      </c>
    </row>
    <row r="62" customFormat="false" ht="31.5" hidden="false" customHeight="true" outlineLevel="0" collapsed="false">
      <c r="A62" s="10" t="s">
        <v>3488</v>
      </c>
      <c r="B62" s="10" t="s">
        <v>3023</v>
      </c>
      <c r="C62" s="10" t="s">
        <v>3489</v>
      </c>
      <c r="D62" s="10" t="s">
        <v>3229</v>
      </c>
      <c r="E62" s="19" t="s">
        <v>3236</v>
      </c>
      <c r="F62" s="11" t="s">
        <v>3490</v>
      </c>
      <c r="G62" s="11" t="s">
        <v>3491</v>
      </c>
      <c r="H62" s="11" t="s">
        <v>22</v>
      </c>
      <c r="I62" s="11" t="s">
        <v>2927</v>
      </c>
    </row>
    <row r="63" customFormat="false" ht="31.5" hidden="false" customHeight="true" outlineLevel="0" collapsed="false">
      <c r="A63" s="10" t="s">
        <v>3492</v>
      </c>
      <c r="B63" s="10" t="s">
        <v>3023</v>
      </c>
      <c r="C63" s="10" t="s">
        <v>3493</v>
      </c>
      <c r="D63" s="10" t="s">
        <v>3229</v>
      </c>
      <c r="E63" s="19" t="s">
        <v>3230</v>
      </c>
      <c r="F63" s="11" t="s">
        <v>3403</v>
      </c>
      <c r="G63" s="11" t="s">
        <v>3494</v>
      </c>
      <c r="H63" s="11" t="s">
        <v>22</v>
      </c>
      <c r="I63" s="11" t="s">
        <v>3271</v>
      </c>
    </row>
    <row r="64" customFormat="false" ht="31.5" hidden="false" customHeight="true" outlineLevel="0" collapsed="false">
      <c r="A64" s="10" t="s">
        <v>3495</v>
      </c>
      <c r="B64" s="10" t="s">
        <v>3028</v>
      </c>
      <c r="C64" s="10" t="s">
        <v>3496</v>
      </c>
      <c r="D64" s="10" t="s">
        <v>3229</v>
      </c>
      <c r="E64" s="19" t="s">
        <v>3359</v>
      </c>
      <c r="F64" s="11" t="s">
        <v>3282</v>
      </c>
      <c r="G64" s="11" t="s">
        <v>3497</v>
      </c>
      <c r="H64" s="11" t="s">
        <v>3320</v>
      </c>
      <c r="I64" s="11" t="s">
        <v>2800</v>
      </c>
    </row>
    <row r="65" customFormat="false" ht="31.5" hidden="false" customHeight="true" outlineLevel="0" collapsed="false">
      <c r="A65" s="10" t="s">
        <v>3498</v>
      </c>
      <c r="B65" s="10" t="s">
        <v>3298</v>
      </c>
      <c r="C65" s="10" t="s">
        <v>3499</v>
      </c>
      <c r="D65" s="10" t="s">
        <v>3300</v>
      </c>
      <c r="E65" s="19" t="s">
        <v>3377</v>
      </c>
      <c r="F65" s="11" t="s">
        <v>3500</v>
      </c>
      <c r="G65" s="11" t="s">
        <v>3501</v>
      </c>
      <c r="H65" s="11" t="s">
        <v>22</v>
      </c>
      <c r="I65" s="11" t="s">
        <v>3298</v>
      </c>
    </row>
    <row r="66" customFormat="false" ht="31.5" hidden="false" customHeight="true" outlineLevel="0" collapsed="false">
      <c r="A66" s="10" t="s">
        <v>3502</v>
      </c>
      <c r="B66" s="10" t="s">
        <v>3298</v>
      </c>
      <c r="C66" s="10" t="s">
        <v>3503</v>
      </c>
      <c r="D66" s="10" t="s">
        <v>3300</v>
      </c>
      <c r="E66" s="19" t="s">
        <v>3377</v>
      </c>
      <c r="F66" s="11" t="s">
        <v>3504</v>
      </c>
      <c r="G66" s="11" t="s">
        <v>3505</v>
      </c>
      <c r="H66" s="11" t="s">
        <v>22</v>
      </c>
      <c r="I66" s="11" t="s">
        <v>3298</v>
      </c>
    </row>
    <row r="67" customFormat="false" ht="31.5" hidden="false" customHeight="true" outlineLevel="0" collapsed="false">
      <c r="A67" s="10" t="s">
        <v>3506</v>
      </c>
      <c r="B67" s="10" t="s">
        <v>3049</v>
      </c>
      <c r="C67" s="10" t="s">
        <v>3507</v>
      </c>
      <c r="D67" s="10" t="s">
        <v>3229</v>
      </c>
      <c r="E67" s="19" t="s">
        <v>3236</v>
      </c>
      <c r="F67" s="11" t="s">
        <v>3427</v>
      </c>
      <c r="G67" s="11" t="s">
        <v>3508</v>
      </c>
      <c r="H67" s="11" t="s">
        <v>3239</v>
      </c>
      <c r="I67" s="11" t="s">
        <v>2882</v>
      </c>
    </row>
    <row r="68" customFormat="false" ht="31.5" hidden="false" customHeight="true" outlineLevel="0" collapsed="false">
      <c r="A68" s="10" t="s">
        <v>3509</v>
      </c>
      <c r="B68" s="10" t="s">
        <v>3033</v>
      </c>
      <c r="C68" s="10" t="s">
        <v>3510</v>
      </c>
      <c r="D68" s="10" t="s">
        <v>3229</v>
      </c>
      <c r="E68" s="19" t="s">
        <v>3230</v>
      </c>
      <c r="F68" s="11" t="s">
        <v>3511</v>
      </c>
      <c r="G68" s="11" t="s">
        <v>3512</v>
      </c>
      <c r="H68" s="11" t="s">
        <v>3292</v>
      </c>
      <c r="I68" s="11" t="s">
        <v>2956</v>
      </c>
    </row>
    <row r="69" customFormat="false" ht="31.5" hidden="false" customHeight="true" outlineLevel="0" collapsed="false">
      <c r="A69" s="10" t="s">
        <v>3513</v>
      </c>
      <c r="B69" s="10" t="s">
        <v>3040</v>
      </c>
      <c r="C69" s="10" t="s">
        <v>3514</v>
      </c>
      <c r="D69" s="10" t="s">
        <v>3229</v>
      </c>
      <c r="E69" s="19" t="s">
        <v>3236</v>
      </c>
      <c r="F69" s="11" t="s">
        <v>3515</v>
      </c>
      <c r="G69" s="11" t="s">
        <v>3516</v>
      </c>
      <c r="H69" s="11" t="s">
        <v>3239</v>
      </c>
      <c r="I69" s="11" t="s">
        <v>2956</v>
      </c>
    </row>
    <row r="70" customFormat="false" ht="31.5" hidden="false" customHeight="true" outlineLevel="0" collapsed="false">
      <c r="A70" s="10" t="s">
        <v>3517</v>
      </c>
      <c r="B70" s="10" t="s">
        <v>3298</v>
      </c>
      <c r="C70" s="10" t="s">
        <v>3518</v>
      </c>
      <c r="D70" s="10" t="s">
        <v>3482</v>
      </c>
      <c r="E70" s="19" t="s">
        <v>3251</v>
      </c>
      <c r="F70" s="11" t="s">
        <v>3519</v>
      </c>
      <c r="G70" s="11" t="s">
        <v>3520</v>
      </c>
      <c r="H70" s="11" t="s">
        <v>22</v>
      </c>
      <c r="I70" s="11" t="s">
        <v>3298</v>
      </c>
    </row>
    <row r="71" customFormat="false" ht="31.5" hidden="false" customHeight="true" outlineLevel="0" collapsed="false">
      <c r="A71" s="10" t="s">
        <v>3521</v>
      </c>
      <c r="B71" s="10" t="s">
        <v>3298</v>
      </c>
      <c r="C71" s="10" t="s">
        <v>3522</v>
      </c>
      <c r="D71" s="10" t="s">
        <v>3300</v>
      </c>
      <c r="E71" s="19" t="s">
        <v>3523</v>
      </c>
      <c r="F71" s="11" t="s">
        <v>3524</v>
      </c>
      <c r="G71" s="11" t="s">
        <v>3525</v>
      </c>
      <c r="H71" s="11" t="s">
        <v>22</v>
      </c>
      <c r="I71" s="11" t="s">
        <v>3298</v>
      </c>
    </row>
    <row r="72" customFormat="false" ht="31.5" hidden="false" customHeight="true" outlineLevel="0" collapsed="false">
      <c r="A72" s="10" t="s">
        <v>3526</v>
      </c>
      <c r="B72" s="10" t="s">
        <v>3298</v>
      </c>
      <c r="C72" s="10" t="s">
        <v>3527</v>
      </c>
      <c r="D72" s="10" t="s">
        <v>3300</v>
      </c>
      <c r="E72" s="19" t="s">
        <v>3528</v>
      </c>
      <c r="F72" s="11" t="s">
        <v>3529</v>
      </c>
      <c r="G72" s="11" t="s">
        <v>3530</v>
      </c>
      <c r="H72" s="11" t="s">
        <v>22</v>
      </c>
      <c r="I72" s="11" t="s">
        <v>3298</v>
      </c>
    </row>
    <row r="73" customFormat="false" ht="31.5" hidden="false" customHeight="true" outlineLevel="0" collapsed="false">
      <c r="A73" s="10" t="s">
        <v>3531</v>
      </c>
      <c r="B73" s="10" t="s">
        <v>3298</v>
      </c>
      <c r="C73" s="10" t="s">
        <v>3532</v>
      </c>
      <c r="D73" s="10" t="s">
        <v>3300</v>
      </c>
      <c r="E73" s="19" t="s">
        <v>3533</v>
      </c>
      <c r="F73" s="11" t="s">
        <v>3534</v>
      </c>
      <c r="G73" s="11" t="s">
        <v>3535</v>
      </c>
      <c r="H73" s="11" t="s">
        <v>22</v>
      </c>
      <c r="I73" s="11" t="s">
        <v>3298</v>
      </c>
    </row>
    <row r="74" customFormat="false" ht="31.5" hidden="false" customHeight="true" outlineLevel="0" collapsed="false">
      <c r="A74" s="10" t="s">
        <v>3536</v>
      </c>
      <c r="B74" s="10" t="s">
        <v>3073</v>
      </c>
      <c r="C74" s="10" t="s">
        <v>3537</v>
      </c>
      <c r="D74" s="10" t="s">
        <v>3229</v>
      </c>
      <c r="E74" s="19" t="s">
        <v>3230</v>
      </c>
      <c r="F74" s="11" t="s">
        <v>3538</v>
      </c>
      <c r="G74" s="11" t="s">
        <v>3539</v>
      </c>
      <c r="H74" s="11" t="s">
        <v>3239</v>
      </c>
      <c r="I74" s="11" t="s">
        <v>2790</v>
      </c>
    </row>
    <row r="75" customFormat="false" ht="31.5" hidden="false" customHeight="true" outlineLevel="0" collapsed="false">
      <c r="A75" s="10" t="s">
        <v>3540</v>
      </c>
      <c r="B75" s="10" t="s">
        <v>3060</v>
      </c>
      <c r="C75" s="10" t="s">
        <v>3541</v>
      </c>
      <c r="D75" s="10" t="s">
        <v>3229</v>
      </c>
      <c r="E75" s="19" t="s">
        <v>3230</v>
      </c>
      <c r="F75" s="11" t="s">
        <v>3542</v>
      </c>
      <c r="G75" s="11" t="s">
        <v>3543</v>
      </c>
      <c r="H75" s="11" t="s">
        <v>22</v>
      </c>
      <c r="I75" s="11" t="s">
        <v>2800</v>
      </c>
    </row>
    <row r="76" customFormat="false" ht="31.5" hidden="false" customHeight="true" outlineLevel="0" collapsed="false">
      <c r="A76" s="10" t="s">
        <v>3544</v>
      </c>
      <c r="B76" s="10" t="s">
        <v>3069</v>
      </c>
      <c r="C76" s="10" t="s">
        <v>3545</v>
      </c>
      <c r="D76" s="10" t="s">
        <v>3229</v>
      </c>
      <c r="E76" s="19" t="s">
        <v>3236</v>
      </c>
      <c r="F76" s="11" t="s">
        <v>3546</v>
      </c>
      <c r="G76" s="11" t="s">
        <v>3547</v>
      </c>
      <c r="H76" s="11" t="s">
        <v>22</v>
      </c>
      <c r="I76" s="11" t="s">
        <v>2790</v>
      </c>
    </row>
    <row r="77" customFormat="false" ht="31.5" hidden="false" customHeight="true" outlineLevel="0" collapsed="false">
      <c r="A77" s="10" t="s">
        <v>3548</v>
      </c>
      <c r="B77" s="10" t="s">
        <v>3082</v>
      </c>
      <c r="C77" s="10" t="s">
        <v>3549</v>
      </c>
      <c r="D77" s="10" t="s">
        <v>3229</v>
      </c>
      <c r="E77" s="19" t="s">
        <v>3236</v>
      </c>
      <c r="F77" s="11" t="s">
        <v>3550</v>
      </c>
      <c r="G77" s="11" t="s">
        <v>3551</v>
      </c>
      <c r="H77" s="11" t="s">
        <v>3292</v>
      </c>
      <c r="I77" s="11" t="s">
        <v>3552</v>
      </c>
    </row>
    <row r="78" customFormat="false" ht="31.5" hidden="false" customHeight="true" outlineLevel="0" collapsed="false">
      <c r="A78" s="10" t="s">
        <v>3553</v>
      </c>
      <c r="B78" s="10" t="s">
        <v>3077</v>
      </c>
      <c r="C78" s="10" t="s">
        <v>3554</v>
      </c>
      <c r="D78" s="10" t="s">
        <v>3229</v>
      </c>
      <c r="E78" s="19" t="s">
        <v>3230</v>
      </c>
      <c r="F78" s="11" t="s">
        <v>3282</v>
      </c>
      <c r="G78" s="11" t="s">
        <v>3555</v>
      </c>
      <c r="H78" s="11" t="s">
        <v>3320</v>
      </c>
      <c r="I78" s="11" t="s">
        <v>1836</v>
      </c>
    </row>
    <row r="79" customFormat="false" ht="31.5" hidden="false" customHeight="true" outlineLevel="0" collapsed="false">
      <c r="A79" s="10" t="s">
        <v>3556</v>
      </c>
      <c r="B79" s="10" t="s">
        <v>3298</v>
      </c>
      <c r="C79" s="10" t="s">
        <v>3557</v>
      </c>
      <c r="D79" s="10" t="s">
        <v>3300</v>
      </c>
      <c r="E79" s="19" t="s">
        <v>3533</v>
      </c>
      <c r="F79" s="11" t="s">
        <v>3558</v>
      </c>
      <c r="G79" s="11" t="s">
        <v>3559</v>
      </c>
      <c r="H79" s="11" t="s">
        <v>22</v>
      </c>
      <c r="I79" s="11" t="s">
        <v>3298</v>
      </c>
    </row>
    <row r="80" customFormat="false" ht="31.5" hidden="false" customHeight="true" outlineLevel="0" collapsed="false">
      <c r="A80" s="10" t="s">
        <v>3560</v>
      </c>
      <c r="B80" s="10" t="s">
        <v>3298</v>
      </c>
      <c r="C80" s="10" t="s">
        <v>3561</v>
      </c>
      <c r="D80" s="10" t="s">
        <v>3300</v>
      </c>
      <c r="E80" s="19" t="s">
        <v>3251</v>
      </c>
      <c r="F80" s="11" t="s">
        <v>3562</v>
      </c>
      <c r="G80" s="11" t="s">
        <v>3563</v>
      </c>
      <c r="H80" s="11" t="s">
        <v>22</v>
      </c>
      <c r="I80" s="11" t="s">
        <v>3298</v>
      </c>
    </row>
    <row r="81" customFormat="false" ht="31.5" hidden="false" customHeight="true" outlineLevel="0" collapsed="false">
      <c r="A81" s="10" t="s">
        <v>3564</v>
      </c>
      <c r="B81" s="10" t="s">
        <v>3102</v>
      </c>
      <c r="C81" s="10" t="s">
        <v>3565</v>
      </c>
      <c r="D81" s="10" t="s">
        <v>3229</v>
      </c>
      <c r="E81" s="19" t="s">
        <v>3390</v>
      </c>
      <c r="F81" s="11" t="s">
        <v>3566</v>
      </c>
      <c r="G81" s="11" t="s">
        <v>3567</v>
      </c>
      <c r="H81" s="11" t="s">
        <v>22</v>
      </c>
      <c r="I81" s="11" t="s">
        <v>2833</v>
      </c>
    </row>
    <row r="82" customFormat="false" ht="31.5" hidden="false" customHeight="true" outlineLevel="0" collapsed="false">
      <c r="A82" s="10" t="s">
        <v>3568</v>
      </c>
      <c r="B82" s="10" t="s">
        <v>3102</v>
      </c>
      <c r="C82" s="10" t="s">
        <v>3569</v>
      </c>
      <c r="D82" s="10" t="s">
        <v>3229</v>
      </c>
      <c r="E82" s="19" t="s">
        <v>3236</v>
      </c>
      <c r="F82" s="11" t="s">
        <v>3570</v>
      </c>
      <c r="G82" s="11" t="s">
        <v>3571</v>
      </c>
      <c r="H82" s="11" t="s">
        <v>22</v>
      </c>
      <c r="I82" s="11" t="s">
        <v>2991</v>
      </c>
    </row>
    <row r="83" customFormat="false" ht="31.5" hidden="false" customHeight="true" outlineLevel="0" collapsed="false">
      <c r="A83" s="10" t="s">
        <v>3572</v>
      </c>
      <c r="B83" s="10" t="s">
        <v>3087</v>
      </c>
      <c r="C83" s="10" t="s">
        <v>3573</v>
      </c>
      <c r="D83" s="10" t="s">
        <v>3229</v>
      </c>
      <c r="E83" s="19" t="s">
        <v>3230</v>
      </c>
      <c r="F83" s="11" t="s">
        <v>3574</v>
      </c>
      <c r="G83" s="11" t="s">
        <v>3575</v>
      </c>
      <c r="H83" s="11" t="s">
        <v>3239</v>
      </c>
      <c r="I83" s="11" t="s">
        <v>3091</v>
      </c>
    </row>
    <row r="84" customFormat="false" ht="31.5" hidden="false" customHeight="true" outlineLevel="0" collapsed="false">
      <c r="A84" s="10" t="s">
        <v>3576</v>
      </c>
      <c r="B84" s="10" t="s">
        <v>3092</v>
      </c>
      <c r="C84" s="10" t="s">
        <v>3577</v>
      </c>
      <c r="D84" s="10" t="s">
        <v>3229</v>
      </c>
      <c r="E84" s="19" t="s">
        <v>3230</v>
      </c>
      <c r="F84" s="11" t="s">
        <v>3427</v>
      </c>
      <c r="G84" s="11" t="s">
        <v>3578</v>
      </c>
      <c r="H84" s="11" t="s">
        <v>3239</v>
      </c>
      <c r="I84" s="11" t="s">
        <v>3091</v>
      </c>
    </row>
    <row r="85" customFormat="false" ht="31.5" hidden="false" customHeight="true" outlineLevel="0" collapsed="false">
      <c r="A85" s="10" t="s">
        <v>3579</v>
      </c>
      <c r="B85" s="10" t="s">
        <v>3097</v>
      </c>
      <c r="C85" s="10" t="s">
        <v>3580</v>
      </c>
      <c r="D85" s="10" t="s">
        <v>3229</v>
      </c>
      <c r="E85" s="19" t="s">
        <v>3230</v>
      </c>
      <c r="F85" s="11" t="s">
        <v>3581</v>
      </c>
      <c r="G85" s="11" t="s">
        <v>3582</v>
      </c>
      <c r="H85" s="11" t="s">
        <v>3320</v>
      </c>
      <c r="I85" s="11" t="s">
        <v>1836</v>
      </c>
    </row>
    <row r="86" customFormat="false" ht="31.5" hidden="false" customHeight="true" outlineLevel="0" collapsed="false">
      <c r="A86" s="10" t="s">
        <v>3583</v>
      </c>
      <c r="B86" s="10" t="s">
        <v>3298</v>
      </c>
      <c r="C86" s="10" t="s">
        <v>3584</v>
      </c>
      <c r="D86" s="10" t="s">
        <v>3300</v>
      </c>
      <c r="E86" s="19" t="s">
        <v>3431</v>
      </c>
      <c r="F86" s="11" t="s">
        <v>3585</v>
      </c>
      <c r="G86" s="11" t="s">
        <v>3586</v>
      </c>
      <c r="H86" s="11" t="s">
        <v>22</v>
      </c>
      <c r="I86" s="11" t="s">
        <v>3298</v>
      </c>
    </row>
    <row r="87" customFormat="false" ht="31.5" hidden="false" customHeight="true" outlineLevel="0" collapsed="false">
      <c r="A87" s="10" t="s">
        <v>3587</v>
      </c>
      <c r="B87" s="10" t="s">
        <v>3107</v>
      </c>
      <c r="C87" s="10" t="s">
        <v>3588</v>
      </c>
      <c r="D87" s="10" t="s">
        <v>3229</v>
      </c>
      <c r="E87" s="19" t="s">
        <v>3236</v>
      </c>
      <c r="F87" s="11" t="s">
        <v>3589</v>
      </c>
      <c r="G87" s="11" t="s">
        <v>3590</v>
      </c>
      <c r="H87" s="11" t="s">
        <v>22</v>
      </c>
      <c r="I87" s="11" t="s">
        <v>2790</v>
      </c>
    </row>
    <row r="88" customFormat="false" ht="31.5" hidden="false" customHeight="true" outlineLevel="0" collapsed="false">
      <c r="A88" s="10" t="s">
        <v>3591</v>
      </c>
      <c r="B88" s="10" t="s">
        <v>3107</v>
      </c>
      <c r="C88" s="10" t="s">
        <v>3592</v>
      </c>
      <c r="D88" s="10" t="s">
        <v>3229</v>
      </c>
      <c r="E88" s="19" t="s">
        <v>3236</v>
      </c>
      <c r="F88" s="11" t="s">
        <v>3593</v>
      </c>
      <c r="G88" s="11" t="s">
        <v>3594</v>
      </c>
      <c r="H88" s="11" t="s">
        <v>3239</v>
      </c>
      <c r="I88" s="11" t="s">
        <v>2800</v>
      </c>
    </row>
    <row r="89" customFormat="false" ht="31.5" hidden="false" customHeight="true" outlineLevel="0" collapsed="false">
      <c r="A89" s="10" t="s">
        <v>3595</v>
      </c>
      <c r="B89" s="10" t="s">
        <v>3298</v>
      </c>
      <c r="C89" s="10" t="s">
        <v>3596</v>
      </c>
      <c r="D89" s="10" t="s">
        <v>3597</v>
      </c>
      <c r="E89" s="19" t="s">
        <v>3251</v>
      </c>
      <c r="F89" s="11" t="s">
        <v>3598</v>
      </c>
      <c r="G89" s="11" t="s">
        <v>3599</v>
      </c>
      <c r="H89" s="11" t="s">
        <v>22</v>
      </c>
      <c r="I89" s="11" t="s">
        <v>3279</v>
      </c>
    </row>
    <row r="90" customFormat="false" ht="31.5" hidden="false" customHeight="true" outlineLevel="0" collapsed="false">
      <c r="A90" s="10" t="s">
        <v>3600</v>
      </c>
      <c r="B90" s="10" t="s">
        <v>3117</v>
      </c>
      <c r="C90" s="10" t="s">
        <v>3601</v>
      </c>
      <c r="D90" s="10" t="s">
        <v>3229</v>
      </c>
      <c r="E90" s="19" t="s">
        <v>3230</v>
      </c>
      <c r="F90" s="11" t="s">
        <v>3602</v>
      </c>
      <c r="G90" s="11" t="s">
        <v>3543</v>
      </c>
      <c r="H90" s="11" t="s">
        <v>22</v>
      </c>
      <c r="I90" s="11" t="s">
        <v>2986</v>
      </c>
    </row>
    <row r="91" customFormat="false" ht="31.5" hidden="false" customHeight="true" outlineLevel="0" collapsed="false">
      <c r="A91" s="10" t="s">
        <v>3603</v>
      </c>
      <c r="B91" s="10" t="s">
        <v>3117</v>
      </c>
      <c r="C91" s="10" t="s">
        <v>3604</v>
      </c>
      <c r="D91" s="10" t="s">
        <v>3229</v>
      </c>
      <c r="E91" s="19" t="s">
        <v>3359</v>
      </c>
      <c r="F91" s="11" t="s">
        <v>3605</v>
      </c>
      <c r="G91" s="11" t="s">
        <v>3606</v>
      </c>
      <c r="H91" s="11" t="s">
        <v>3320</v>
      </c>
      <c r="I91" s="11" t="s">
        <v>2991</v>
      </c>
    </row>
    <row r="92" customFormat="false" ht="31.5" hidden="false" customHeight="true" outlineLevel="0" collapsed="false">
      <c r="A92" s="10" t="s">
        <v>3607</v>
      </c>
      <c r="B92" s="10" t="s">
        <v>3122</v>
      </c>
      <c r="C92" s="10" t="s">
        <v>3608</v>
      </c>
      <c r="D92" s="10" t="s">
        <v>3229</v>
      </c>
      <c r="E92" s="19" t="s">
        <v>3230</v>
      </c>
      <c r="F92" s="11" t="s">
        <v>3609</v>
      </c>
      <c r="G92" s="11" t="s">
        <v>3610</v>
      </c>
      <c r="H92" s="11" t="s">
        <v>3320</v>
      </c>
      <c r="I92" s="11" t="s">
        <v>3127</v>
      </c>
    </row>
    <row r="93" customFormat="false" ht="31.5" hidden="false" customHeight="true" outlineLevel="0" collapsed="false">
      <c r="A93" s="10" t="s">
        <v>3611</v>
      </c>
      <c r="B93" s="10" t="s">
        <v>3298</v>
      </c>
      <c r="C93" s="10" t="s">
        <v>3612</v>
      </c>
      <c r="D93" s="10" t="s">
        <v>3372</v>
      </c>
      <c r="E93" s="19" t="s">
        <v>3251</v>
      </c>
      <c r="F93" s="11" t="s">
        <v>3252</v>
      </c>
      <c r="G93" s="11" t="s">
        <v>3613</v>
      </c>
      <c r="H93" s="11" t="s">
        <v>22</v>
      </c>
      <c r="I93" s="11" t="s">
        <v>3298</v>
      </c>
    </row>
    <row r="94" customFormat="false" ht="31.5" hidden="false" customHeight="true" outlineLevel="0" collapsed="false">
      <c r="A94" s="10" t="s">
        <v>3614</v>
      </c>
      <c r="B94" s="10" t="s">
        <v>3128</v>
      </c>
      <c r="C94" s="10" t="s">
        <v>3615</v>
      </c>
      <c r="D94" s="10" t="s">
        <v>3229</v>
      </c>
      <c r="E94" s="19" t="s">
        <v>3236</v>
      </c>
      <c r="F94" s="11" t="s">
        <v>3616</v>
      </c>
      <c r="G94" s="11" t="s">
        <v>3617</v>
      </c>
      <c r="H94" s="11" t="s">
        <v>3239</v>
      </c>
      <c r="I94" s="11" t="s">
        <v>2986</v>
      </c>
    </row>
    <row r="95" customFormat="false" ht="31.5" hidden="false" customHeight="true" outlineLevel="0" collapsed="false">
      <c r="A95" s="10" t="s">
        <v>3618</v>
      </c>
      <c r="B95" s="10" t="s">
        <v>3298</v>
      </c>
      <c r="C95" s="10" t="s">
        <v>3619</v>
      </c>
      <c r="D95" s="10" t="s">
        <v>3300</v>
      </c>
      <c r="E95" s="19" t="s">
        <v>3620</v>
      </c>
      <c r="F95" s="11" t="s">
        <v>3621</v>
      </c>
      <c r="G95" s="11" t="s">
        <v>3622</v>
      </c>
      <c r="H95" s="11" t="s">
        <v>22</v>
      </c>
      <c r="I95" s="11" t="s">
        <v>3298</v>
      </c>
    </row>
    <row r="96" customFormat="false" ht="31.5" hidden="false" customHeight="true" outlineLevel="0" collapsed="false">
      <c r="A96" s="10" t="s">
        <v>3623</v>
      </c>
      <c r="B96" s="10" t="s">
        <v>3298</v>
      </c>
      <c r="C96" s="10" t="s">
        <v>3624</v>
      </c>
      <c r="D96" s="10" t="s">
        <v>3372</v>
      </c>
      <c r="E96" s="19" t="s">
        <v>3251</v>
      </c>
      <c r="F96" s="11" t="s">
        <v>3625</v>
      </c>
      <c r="G96" s="11" t="s">
        <v>3626</v>
      </c>
      <c r="H96" s="11" t="s">
        <v>22</v>
      </c>
      <c r="I96" s="11" t="s">
        <v>3298</v>
      </c>
    </row>
    <row r="97" customFormat="false" ht="31.5" hidden="false" customHeight="true" outlineLevel="0" collapsed="false">
      <c r="A97" s="10" t="s">
        <v>3627</v>
      </c>
      <c r="B97" s="10" t="s">
        <v>3160</v>
      </c>
      <c r="C97" s="10" t="s">
        <v>3628</v>
      </c>
      <c r="D97" s="10" t="s">
        <v>3629</v>
      </c>
      <c r="E97" s="19" t="s">
        <v>3390</v>
      </c>
      <c r="F97" s="11" t="s">
        <v>827</v>
      </c>
      <c r="G97" s="11" t="s">
        <v>3630</v>
      </c>
      <c r="H97" s="11" t="s">
        <v>22</v>
      </c>
      <c r="I97" s="11" t="s">
        <v>2991</v>
      </c>
    </row>
    <row r="98" customFormat="false" ht="31.5" hidden="false" customHeight="true" outlineLevel="0" collapsed="false">
      <c r="A98" s="10" t="s">
        <v>3631</v>
      </c>
      <c r="B98" s="10" t="s">
        <v>3150</v>
      </c>
      <c r="C98" s="10" t="s">
        <v>3632</v>
      </c>
      <c r="D98" s="10" t="s">
        <v>3229</v>
      </c>
      <c r="E98" s="19" t="s">
        <v>3230</v>
      </c>
      <c r="F98" s="11" t="s">
        <v>3282</v>
      </c>
      <c r="G98" s="11" t="s">
        <v>3633</v>
      </c>
      <c r="H98" s="11" t="s">
        <v>3320</v>
      </c>
      <c r="I98" s="11" t="s">
        <v>2986</v>
      </c>
    </row>
    <row r="99" customFormat="false" ht="31.5" hidden="false" customHeight="true" outlineLevel="0" collapsed="false">
      <c r="A99" s="10" t="s">
        <v>3634</v>
      </c>
      <c r="B99" s="10" t="s">
        <v>3298</v>
      </c>
      <c r="C99" s="10" t="s">
        <v>3635</v>
      </c>
      <c r="D99" s="10" t="s">
        <v>3300</v>
      </c>
      <c r="E99" s="19" t="s">
        <v>3620</v>
      </c>
      <c r="F99" s="11" t="s">
        <v>3636</v>
      </c>
      <c r="G99" s="11" t="s">
        <v>3637</v>
      </c>
      <c r="H99" s="11" t="s">
        <v>22</v>
      </c>
      <c r="I99" s="11" t="s">
        <v>3298</v>
      </c>
    </row>
    <row r="100" customFormat="false" ht="31.5" hidden="false" customHeight="true" outlineLevel="0" collapsed="false">
      <c r="A100" s="10" t="s">
        <v>3638</v>
      </c>
      <c r="B100" s="10" t="s">
        <v>3298</v>
      </c>
      <c r="C100" s="10" t="s">
        <v>3639</v>
      </c>
      <c r="D100" s="10" t="s">
        <v>3300</v>
      </c>
      <c r="E100" s="19" t="s">
        <v>3620</v>
      </c>
      <c r="F100" s="11" t="s">
        <v>3640</v>
      </c>
      <c r="G100" s="11" t="s">
        <v>3641</v>
      </c>
      <c r="H100" s="11" t="s">
        <v>22</v>
      </c>
      <c r="I100" s="11" t="s">
        <v>3298</v>
      </c>
    </row>
    <row r="101" customFormat="false" ht="31.5" hidden="false" customHeight="true" outlineLevel="0" collapsed="false">
      <c r="A101" s="10" t="s">
        <v>3642</v>
      </c>
      <c r="B101" s="10" t="s">
        <v>3298</v>
      </c>
      <c r="C101" s="10" t="s">
        <v>3643</v>
      </c>
      <c r="D101" s="10" t="s">
        <v>3300</v>
      </c>
      <c r="E101" s="19" t="s">
        <v>3644</v>
      </c>
      <c r="F101" s="11" t="s">
        <v>3645</v>
      </c>
      <c r="G101" s="11" t="s">
        <v>3646</v>
      </c>
      <c r="H101" s="11" t="s">
        <v>22</v>
      </c>
      <c r="I101" s="11" t="s">
        <v>3298</v>
      </c>
    </row>
    <row r="102" customFormat="false" ht="31.5" hidden="false" customHeight="true" outlineLevel="0" collapsed="false">
      <c r="A102" s="10" t="s">
        <v>3647</v>
      </c>
      <c r="B102" s="10" t="s">
        <v>3170</v>
      </c>
      <c r="C102" s="10" t="s">
        <v>3648</v>
      </c>
      <c r="D102" s="10" t="s">
        <v>3229</v>
      </c>
      <c r="E102" s="19" t="s">
        <v>3236</v>
      </c>
      <c r="F102" s="11" t="s">
        <v>3649</v>
      </c>
      <c r="G102" s="11" t="s">
        <v>3650</v>
      </c>
      <c r="H102" s="11" t="s">
        <v>3292</v>
      </c>
      <c r="I102" s="11" t="s">
        <v>2833</v>
      </c>
    </row>
    <row r="103" customFormat="false" ht="31.5" hidden="false" customHeight="true" outlineLevel="0" collapsed="false">
      <c r="A103" s="10" t="s">
        <v>3651</v>
      </c>
      <c r="B103" s="10" t="s">
        <v>3165</v>
      </c>
      <c r="C103" s="10" t="s">
        <v>3652</v>
      </c>
      <c r="D103" s="10" t="s">
        <v>3229</v>
      </c>
      <c r="E103" s="19" t="s">
        <v>3230</v>
      </c>
      <c r="F103" s="11" t="s">
        <v>3653</v>
      </c>
      <c r="G103" s="11" t="s">
        <v>3654</v>
      </c>
      <c r="H103" s="11" t="s">
        <v>22</v>
      </c>
      <c r="I103" s="11" t="s">
        <v>2991</v>
      </c>
    </row>
    <row r="104" customFormat="false" ht="31.5" hidden="false" customHeight="true" outlineLevel="0" collapsed="false">
      <c r="A104" s="10" t="s">
        <v>3655</v>
      </c>
      <c r="B104" s="10" t="s">
        <v>3174</v>
      </c>
      <c r="C104" s="10" t="s">
        <v>3656</v>
      </c>
      <c r="D104" s="10" t="s">
        <v>3229</v>
      </c>
      <c r="E104" s="19" t="s">
        <v>3230</v>
      </c>
      <c r="F104" s="11" t="s">
        <v>3657</v>
      </c>
      <c r="G104" s="11" t="s">
        <v>3658</v>
      </c>
      <c r="H104" s="11" t="s">
        <v>3239</v>
      </c>
      <c r="I104" s="11" t="s">
        <v>3054</v>
      </c>
    </row>
    <row r="105" customFormat="false" ht="31.5" hidden="false" customHeight="true" outlineLevel="0" collapsed="false">
      <c r="A105" s="10" t="s">
        <v>3659</v>
      </c>
      <c r="B105" s="10" t="s">
        <v>3179</v>
      </c>
      <c r="C105" s="10" t="s">
        <v>3660</v>
      </c>
      <c r="D105" s="10" t="s">
        <v>3229</v>
      </c>
      <c r="E105" s="19" t="s">
        <v>3230</v>
      </c>
      <c r="F105" s="11" t="s">
        <v>3661</v>
      </c>
      <c r="G105" s="11" t="s">
        <v>3662</v>
      </c>
      <c r="H105" s="11" t="s">
        <v>3292</v>
      </c>
      <c r="I105" s="11" t="s">
        <v>2986</v>
      </c>
    </row>
    <row r="106" customFormat="false" ht="31.5" hidden="false" customHeight="true" outlineLevel="0" collapsed="false">
      <c r="A106" s="10" t="s">
        <v>3663</v>
      </c>
      <c r="B106" s="10" t="s">
        <v>3179</v>
      </c>
      <c r="C106" s="10" t="s">
        <v>3664</v>
      </c>
      <c r="D106" s="10" t="s">
        <v>3229</v>
      </c>
      <c r="E106" s="19" t="s">
        <v>3236</v>
      </c>
      <c r="F106" s="11" t="s">
        <v>3665</v>
      </c>
      <c r="G106" s="11" t="s">
        <v>3666</v>
      </c>
      <c r="H106" s="11" t="s">
        <v>3239</v>
      </c>
      <c r="I106" s="11" t="s">
        <v>2882</v>
      </c>
    </row>
    <row r="107" customFormat="false" ht="31.5" hidden="false" customHeight="true" outlineLevel="0" collapsed="false">
      <c r="A107" s="10" t="s">
        <v>3667</v>
      </c>
      <c r="B107" s="10" t="s">
        <v>3191</v>
      </c>
      <c r="C107" s="10" t="s">
        <v>3668</v>
      </c>
      <c r="D107" s="10" t="s">
        <v>3229</v>
      </c>
      <c r="E107" s="19" t="s">
        <v>3230</v>
      </c>
      <c r="F107" s="11" t="s">
        <v>3427</v>
      </c>
      <c r="G107" s="11" t="s">
        <v>3669</v>
      </c>
      <c r="H107" s="11" t="s">
        <v>3239</v>
      </c>
      <c r="I107" s="11" t="s">
        <v>2882</v>
      </c>
    </row>
    <row r="108" customFormat="false" ht="31.5" hidden="false" customHeight="true" outlineLevel="0" collapsed="false">
      <c r="A108" s="10" t="s">
        <v>3670</v>
      </c>
      <c r="B108" s="10" t="s">
        <v>3196</v>
      </c>
      <c r="C108" s="10" t="s">
        <v>3671</v>
      </c>
      <c r="D108" s="10" t="s">
        <v>3229</v>
      </c>
      <c r="E108" s="19" t="s">
        <v>3230</v>
      </c>
      <c r="F108" s="11" t="s">
        <v>3282</v>
      </c>
      <c r="G108" s="11" t="s">
        <v>3672</v>
      </c>
      <c r="H108" s="11" t="s">
        <v>3320</v>
      </c>
      <c r="I108" s="11" t="s">
        <v>2882</v>
      </c>
    </row>
    <row r="109" customFormat="false" ht="31.5" hidden="false" customHeight="true" outlineLevel="0" collapsed="false">
      <c r="A109" s="10" t="s">
        <v>3673</v>
      </c>
      <c r="B109" s="10" t="s">
        <v>3202</v>
      </c>
      <c r="C109" s="10" t="s">
        <v>3674</v>
      </c>
      <c r="D109" s="10" t="s">
        <v>3229</v>
      </c>
      <c r="E109" s="19" t="s">
        <v>3230</v>
      </c>
      <c r="F109" s="11" t="s">
        <v>3282</v>
      </c>
      <c r="G109" s="11" t="s">
        <v>3675</v>
      </c>
      <c r="H109" s="11" t="s">
        <v>3320</v>
      </c>
      <c r="I109" s="11" t="s">
        <v>1836</v>
      </c>
    </row>
    <row r="110" customFormat="false" ht="31.5" hidden="false" customHeight="true" outlineLevel="0" collapsed="false">
      <c r="A110" s="10" t="s">
        <v>3676</v>
      </c>
      <c r="B110" s="10" t="s">
        <v>3202</v>
      </c>
      <c r="C110" s="10" t="s">
        <v>3677</v>
      </c>
      <c r="D110" s="10" t="s">
        <v>3229</v>
      </c>
      <c r="E110" s="19" t="s">
        <v>3230</v>
      </c>
      <c r="F110" s="11" t="s">
        <v>3282</v>
      </c>
      <c r="G110" s="11" t="s">
        <v>3678</v>
      </c>
      <c r="H110" s="11" t="s">
        <v>3239</v>
      </c>
      <c r="I110" s="11" t="s">
        <v>1836</v>
      </c>
    </row>
    <row r="111" customFormat="false" ht="31.5" hidden="false" customHeight="true" outlineLevel="0" collapsed="false">
      <c r="A111" s="10" t="s">
        <v>3679</v>
      </c>
      <c r="B111" s="10" t="s">
        <v>3298</v>
      </c>
      <c r="C111" s="10" t="s">
        <v>3680</v>
      </c>
      <c r="D111" s="10" t="s">
        <v>3300</v>
      </c>
      <c r="E111" s="19" t="s">
        <v>3681</v>
      </c>
      <c r="F111" s="11" t="s">
        <v>3682</v>
      </c>
      <c r="G111" s="11" t="s">
        <v>3683</v>
      </c>
      <c r="H111" s="11" t="s">
        <v>22</v>
      </c>
      <c r="I111" s="11" t="s">
        <v>3298</v>
      </c>
    </row>
    <row r="112" customFormat="false" ht="31.5" hidden="false" customHeight="true" outlineLevel="0" collapsed="false">
      <c r="A112" s="10" t="s">
        <v>3684</v>
      </c>
      <c r="B112" s="10" t="s">
        <v>3212</v>
      </c>
      <c r="C112" s="10" t="s">
        <v>3685</v>
      </c>
      <c r="D112" s="10" t="s">
        <v>3229</v>
      </c>
      <c r="E112" s="19" t="s">
        <v>3230</v>
      </c>
      <c r="F112" s="11" t="s">
        <v>3686</v>
      </c>
      <c r="G112" s="11" t="s">
        <v>3687</v>
      </c>
      <c r="H112" s="11" t="s">
        <v>3239</v>
      </c>
      <c r="I112" s="11" t="s">
        <v>2790</v>
      </c>
    </row>
    <row r="113" customFormat="false" ht="31.5" hidden="false" customHeight="true" outlineLevel="0" collapsed="false">
      <c r="A113" s="10" t="s">
        <v>3688</v>
      </c>
      <c r="B113" s="10" t="s">
        <v>3207</v>
      </c>
      <c r="C113" s="10" t="s">
        <v>3689</v>
      </c>
      <c r="D113" s="10" t="s">
        <v>3229</v>
      </c>
      <c r="E113" s="19" t="s">
        <v>3236</v>
      </c>
      <c r="F113" s="11" t="s">
        <v>3690</v>
      </c>
      <c r="G113" s="11" t="s">
        <v>3691</v>
      </c>
      <c r="H113" s="11" t="s">
        <v>22</v>
      </c>
      <c r="I113" s="11" t="s">
        <v>2986</v>
      </c>
    </row>
    <row r="114" customFormat="false" ht="31.5" hidden="false" customHeight="true" outlineLevel="0" collapsed="false">
      <c r="A114" s="10" t="s">
        <v>3692</v>
      </c>
      <c r="B114" s="10" t="s">
        <v>3207</v>
      </c>
      <c r="C114" s="10" t="s">
        <v>3693</v>
      </c>
      <c r="D114" s="10" t="s">
        <v>3229</v>
      </c>
      <c r="E114" s="19" t="s">
        <v>3230</v>
      </c>
      <c r="F114" s="11" t="s">
        <v>3694</v>
      </c>
      <c r="G114" s="11" t="s">
        <v>3695</v>
      </c>
      <c r="H114" s="11" t="s">
        <v>3292</v>
      </c>
      <c r="I114" s="11" t="s">
        <v>2991</v>
      </c>
    </row>
    <row r="115" customFormat="false" ht="31.5" hidden="false" customHeight="true" outlineLevel="0" collapsed="false">
      <c r="A115" s="10" t="s">
        <v>3696</v>
      </c>
      <c r="B115" s="10" t="s">
        <v>3298</v>
      </c>
      <c r="C115" s="10" t="s">
        <v>3697</v>
      </c>
      <c r="D115" s="10" t="s">
        <v>3300</v>
      </c>
      <c r="E115" s="19" t="s">
        <v>3251</v>
      </c>
      <c r="F115" s="11" t="s">
        <v>3698</v>
      </c>
      <c r="G115" s="11" t="s">
        <v>3699</v>
      </c>
      <c r="H115" s="11" t="s">
        <v>22</v>
      </c>
      <c r="I115" s="11" t="s">
        <v>3298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22"/>
    <col collapsed="false" customWidth="true" hidden="false" outlineLevel="0" max="4" min="4" style="0" width="11"/>
    <col collapsed="false" customWidth="true" hidden="false" outlineLevel="0" max="5" min="5" style="0" width="18"/>
    <col collapsed="false" customWidth="true" hidden="false" outlineLevel="0" max="6" min="6" style="0" width="21"/>
    <col collapsed="false" customWidth="true" hidden="false" outlineLevel="0" max="7" min="7" style="0" width="38"/>
    <col collapsed="false" customWidth="true" hidden="false" outlineLevel="0" max="8" min="8" style="0" width="28"/>
    <col collapsed="false" customWidth="true" hidden="false" outlineLevel="0" max="9" min="9" style="0" width="52"/>
    <col collapsed="false" customWidth="true" hidden="false" outlineLevel="0" max="10" min="10" style="0" width="11"/>
    <col collapsed="false" customWidth="true" hidden="false" outlineLevel="0" max="11" min="11" style="0" width="10"/>
  </cols>
  <sheetData>
    <row r="1" customFormat="false" ht="16.15" hidden="false" customHeight="false" outlineLevel="0" collapsed="false">
      <c r="A1" s="8" t="s">
        <v>3700</v>
      </c>
    </row>
    <row r="2" customFormat="false" ht="30" hidden="false" customHeight="true" outlineLevel="0" collapsed="false">
      <c r="A2" s="9" t="s">
        <v>3701</v>
      </c>
      <c r="B2" s="9" t="s">
        <v>3702</v>
      </c>
      <c r="C2" s="9" t="s">
        <v>3703</v>
      </c>
      <c r="D2" s="9" t="s">
        <v>3704</v>
      </c>
      <c r="E2" s="9" t="s">
        <v>3705</v>
      </c>
      <c r="F2" s="9" t="s">
        <v>3706</v>
      </c>
      <c r="G2" s="9" t="s">
        <v>3707</v>
      </c>
      <c r="H2" s="9" t="s">
        <v>3708</v>
      </c>
      <c r="I2" s="9" t="s">
        <v>3709</v>
      </c>
      <c r="J2" s="9" t="s">
        <v>2429</v>
      </c>
      <c r="K2" s="9" t="s">
        <v>2327</v>
      </c>
    </row>
    <row r="3" customFormat="false" ht="27.75" hidden="false" customHeight="true" outlineLevel="0" collapsed="false">
      <c r="A3" s="12" t="s">
        <v>3710</v>
      </c>
      <c r="B3" s="12" t="s">
        <v>6</v>
      </c>
      <c r="C3" s="12" t="s">
        <v>930</v>
      </c>
      <c r="D3" s="15" t="s">
        <v>990</v>
      </c>
      <c r="E3" s="15" t="s">
        <v>3711</v>
      </c>
      <c r="F3" s="12" t="s">
        <v>990</v>
      </c>
      <c r="G3" s="46" t="s">
        <v>3712</v>
      </c>
      <c r="H3" s="46" t="s">
        <v>3713</v>
      </c>
      <c r="I3" s="46" t="s">
        <v>3714</v>
      </c>
      <c r="J3" s="12" t="s">
        <v>2437</v>
      </c>
      <c r="K3" s="12" t="s">
        <v>1197</v>
      </c>
    </row>
    <row r="4" customFormat="false" ht="27.75" hidden="false" customHeight="true" outlineLevel="0" collapsed="false">
      <c r="A4" s="12" t="s">
        <v>3715</v>
      </c>
      <c r="B4" s="12" t="s">
        <v>6</v>
      </c>
      <c r="C4" s="12" t="s">
        <v>3716</v>
      </c>
      <c r="D4" s="15" t="s">
        <v>990</v>
      </c>
      <c r="E4" s="15" t="s">
        <v>3711</v>
      </c>
      <c r="F4" s="12" t="s">
        <v>990</v>
      </c>
      <c r="G4" s="46" t="s">
        <v>3717</v>
      </c>
      <c r="H4" s="46" t="s">
        <v>8</v>
      </c>
      <c r="I4" s="46" t="s">
        <v>3718</v>
      </c>
      <c r="J4" s="12" t="s">
        <v>2437</v>
      </c>
      <c r="K4" s="12" t="s">
        <v>1197</v>
      </c>
    </row>
    <row r="5" customFormat="false" ht="27.75" hidden="false" customHeight="true" outlineLevel="0" collapsed="false">
      <c r="A5" s="12" t="s">
        <v>3719</v>
      </c>
      <c r="B5" s="12" t="s">
        <v>6</v>
      </c>
      <c r="C5" s="12" t="s">
        <v>909</v>
      </c>
      <c r="D5" s="15" t="s">
        <v>990</v>
      </c>
      <c r="E5" s="15" t="s">
        <v>3711</v>
      </c>
      <c r="F5" s="12" t="s">
        <v>990</v>
      </c>
      <c r="G5" s="46" t="s">
        <v>3720</v>
      </c>
      <c r="H5" s="46" t="s">
        <v>10</v>
      </c>
      <c r="I5" s="46" t="s">
        <v>3721</v>
      </c>
      <c r="J5" s="12" t="s">
        <v>2437</v>
      </c>
      <c r="K5" s="12" t="s">
        <v>1197</v>
      </c>
    </row>
    <row r="6" customFormat="false" ht="27.75" hidden="false" customHeight="true" outlineLevel="0" collapsed="false">
      <c r="A6" s="12" t="s">
        <v>3722</v>
      </c>
      <c r="B6" s="12" t="s">
        <v>6</v>
      </c>
      <c r="C6" s="12" t="s">
        <v>910</v>
      </c>
      <c r="D6" s="15" t="s">
        <v>990</v>
      </c>
      <c r="E6" s="15" t="s">
        <v>3711</v>
      </c>
      <c r="F6" s="12" t="s">
        <v>978</v>
      </c>
      <c r="G6" s="46"/>
      <c r="H6" s="46" t="s">
        <v>8</v>
      </c>
      <c r="I6" s="46" t="s">
        <v>3723</v>
      </c>
      <c r="J6" s="12" t="s">
        <v>2437</v>
      </c>
      <c r="K6" s="12" t="s">
        <v>1197</v>
      </c>
    </row>
    <row r="7" customFormat="false" ht="27.75" hidden="false" customHeight="true" outlineLevel="0" collapsed="false">
      <c r="A7" s="12" t="s">
        <v>3724</v>
      </c>
      <c r="B7" s="12" t="s">
        <v>6</v>
      </c>
      <c r="C7" s="12" t="s">
        <v>915</v>
      </c>
      <c r="D7" s="15" t="s">
        <v>990</v>
      </c>
      <c r="E7" s="15" t="s">
        <v>3711</v>
      </c>
      <c r="F7" s="12" t="s">
        <v>978</v>
      </c>
      <c r="G7" s="46" t="s">
        <v>3725</v>
      </c>
      <c r="H7" s="46" t="s">
        <v>10</v>
      </c>
      <c r="I7" s="46" t="s">
        <v>3726</v>
      </c>
      <c r="J7" s="12" t="s">
        <v>2437</v>
      </c>
      <c r="K7" s="12" t="s">
        <v>1197</v>
      </c>
    </row>
    <row r="8" customFormat="false" ht="27.75" hidden="false" customHeight="true" outlineLevel="0" collapsed="false">
      <c r="A8" s="12" t="s">
        <v>3727</v>
      </c>
      <c r="B8" s="12" t="s">
        <v>6</v>
      </c>
      <c r="C8" s="12" t="s">
        <v>916</v>
      </c>
      <c r="D8" s="15" t="s">
        <v>978</v>
      </c>
      <c r="E8" s="15" t="s">
        <v>3728</v>
      </c>
      <c r="F8" s="12" t="s">
        <v>978</v>
      </c>
      <c r="G8" s="46"/>
      <c r="H8" s="46"/>
      <c r="I8" s="46" t="s">
        <v>3729</v>
      </c>
      <c r="J8" s="12" t="s">
        <v>2437</v>
      </c>
      <c r="K8" s="12" t="s">
        <v>1197</v>
      </c>
    </row>
    <row r="9" customFormat="false" ht="27.75" hidden="false" customHeight="true" outlineLevel="0" collapsed="false">
      <c r="A9" s="12" t="s">
        <v>3730</v>
      </c>
      <c r="B9" s="12" t="s">
        <v>6</v>
      </c>
      <c r="C9" s="12" t="s">
        <v>938</v>
      </c>
      <c r="D9" s="15" t="s">
        <v>990</v>
      </c>
      <c r="E9" s="15" t="s">
        <v>3711</v>
      </c>
      <c r="F9" s="12" t="s">
        <v>978</v>
      </c>
      <c r="G9" s="46"/>
      <c r="H9" s="46" t="s">
        <v>3731</v>
      </c>
      <c r="I9" s="46" t="s">
        <v>3732</v>
      </c>
      <c r="J9" s="12" t="s">
        <v>2437</v>
      </c>
      <c r="K9" s="12" t="s">
        <v>1197</v>
      </c>
    </row>
    <row r="10" customFormat="false" ht="27.75" hidden="false" customHeight="true" outlineLevel="0" collapsed="false">
      <c r="A10" s="12" t="s">
        <v>3733</v>
      </c>
      <c r="B10" s="12" t="s">
        <v>6</v>
      </c>
      <c r="C10" s="12" t="s">
        <v>907</v>
      </c>
      <c r="D10" s="15" t="s">
        <v>990</v>
      </c>
      <c r="E10" s="15" t="s">
        <v>3711</v>
      </c>
      <c r="F10" s="12" t="s">
        <v>978</v>
      </c>
      <c r="G10" s="46" t="s">
        <v>3717</v>
      </c>
      <c r="H10" s="46"/>
      <c r="I10" s="46" t="s">
        <v>3734</v>
      </c>
      <c r="J10" s="12" t="s">
        <v>2437</v>
      </c>
      <c r="K10" s="12" t="s">
        <v>1197</v>
      </c>
    </row>
    <row r="11" customFormat="false" ht="27.75" hidden="false" customHeight="true" outlineLevel="0" collapsed="false">
      <c r="A11" s="12" t="s">
        <v>3735</v>
      </c>
      <c r="B11" s="12" t="s">
        <v>6</v>
      </c>
      <c r="C11" s="12" t="s">
        <v>904</v>
      </c>
      <c r="D11" s="15" t="s">
        <v>990</v>
      </c>
      <c r="E11" s="15" t="s">
        <v>3711</v>
      </c>
      <c r="F11" s="12" t="s">
        <v>990</v>
      </c>
      <c r="G11" s="46" t="s">
        <v>3736</v>
      </c>
      <c r="H11" s="46" t="s">
        <v>3737</v>
      </c>
      <c r="I11" s="46" t="s">
        <v>3738</v>
      </c>
      <c r="J11" s="12" t="s">
        <v>2437</v>
      </c>
      <c r="K11" s="12" t="s">
        <v>1197</v>
      </c>
    </row>
    <row r="12" customFormat="false" ht="27.75" hidden="false" customHeight="true" outlineLevel="0" collapsed="false">
      <c r="A12" s="12" t="s">
        <v>3739</v>
      </c>
      <c r="B12" s="12" t="s">
        <v>6</v>
      </c>
      <c r="C12" s="12" t="s">
        <v>945</v>
      </c>
      <c r="D12" s="15" t="s">
        <v>978</v>
      </c>
      <c r="E12" s="15" t="s">
        <v>3728</v>
      </c>
      <c r="F12" s="12" t="s">
        <v>978</v>
      </c>
      <c r="G12" s="46"/>
      <c r="H12" s="46"/>
      <c r="I12" s="46" t="s">
        <v>3740</v>
      </c>
      <c r="J12" s="12" t="s">
        <v>2437</v>
      </c>
      <c r="K12" s="12" t="s">
        <v>1197</v>
      </c>
    </row>
    <row r="13" customFormat="false" ht="27.75" hidden="false" customHeight="true" outlineLevel="0" collapsed="false">
      <c r="A13" s="12" t="s">
        <v>3741</v>
      </c>
      <c r="B13" s="12" t="s">
        <v>6</v>
      </c>
      <c r="C13" s="12" t="s">
        <v>3742</v>
      </c>
      <c r="D13" s="15" t="s">
        <v>978</v>
      </c>
      <c r="E13" s="15" t="s">
        <v>3728</v>
      </c>
      <c r="F13" s="12" t="s">
        <v>978</v>
      </c>
      <c r="G13" s="46"/>
      <c r="H13" s="46"/>
      <c r="I13" s="46" t="s">
        <v>3743</v>
      </c>
      <c r="J13" s="12" t="s">
        <v>2437</v>
      </c>
      <c r="K13" s="12" t="s">
        <v>1197</v>
      </c>
    </row>
    <row r="14" customFormat="false" ht="27.75" hidden="false" customHeight="true" outlineLevel="0" collapsed="false">
      <c r="A14" s="12" t="s">
        <v>3744</v>
      </c>
      <c r="B14" s="12" t="s">
        <v>6</v>
      </c>
      <c r="C14" s="12" t="s">
        <v>3745</v>
      </c>
      <c r="D14" s="15" t="s">
        <v>978</v>
      </c>
      <c r="E14" s="15" t="s">
        <v>3728</v>
      </c>
      <c r="F14" s="12" t="s">
        <v>978</v>
      </c>
      <c r="G14" s="46"/>
      <c r="H14" s="46"/>
      <c r="I14" s="46" t="s">
        <v>3743</v>
      </c>
      <c r="J14" s="12" t="s">
        <v>2437</v>
      </c>
      <c r="K14" s="12" t="s">
        <v>1197</v>
      </c>
    </row>
    <row r="15" customFormat="false" ht="27.75" hidden="false" customHeight="true" outlineLevel="0" collapsed="false">
      <c r="A15" s="12" t="s">
        <v>3746</v>
      </c>
      <c r="B15" s="12" t="s">
        <v>6</v>
      </c>
      <c r="C15" s="12" t="s">
        <v>939</v>
      </c>
      <c r="D15" s="15" t="s">
        <v>978</v>
      </c>
      <c r="E15" s="15" t="s">
        <v>3728</v>
      </c>
      <c r="F15" s="12" t="s">
        <v>978</v>
      </c>
      <c r="G15" s="46"/>
      <c r="H15" s="46"/>
      <c r="I15" s="46" t="s">
        <v>3747</v>
      </c>
      <c r="J15" s="12" t="s">
        <v>2437</v>
      </c>
      <c r="K15" s="12" t="s">
        <v>1197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1"/>
    <col collapsed="false" customWidth="true" hidden="false" outlineLevel="0" max="4" min="4" style="0" width="13"/>
    <col collapsed="false" customWidth="true" hidden="false" outlineLevel="0" max="5" min="5" style="0" width="18"/>
    <col collapsed="false" customWidth="true" hidden="false" outlineLevel="0" max="7" min="6" style="0" width="20"/>
    <col collapsed="false" customWidth="true" hidden="false" outlineLevel="0" max="8" min="8" style="0" width="11"/>
    <col collapsed="false" customWidth="true" hidden="false" outlineLevel="0" max="9" min="9" style="0" width="22"/>
    <col collapsed="false" customWidth="true" hidden="false" outlineLevel="0" max="10" min="10" style="0" width="20"/>
    <col collapsed="false" customWidth="true" hidden="false" outlineLevel="0" max="11" min="11" style="0" width="14"/>
    <col collapsed="false" customWidth="true" hidden="false" outlineLevel="0" max="12" min="12" style="0" width="18"/>
    <col collapsed="false" customWidth="true" hidden="false" outlineLevel="0" max="13" min="13" style="0" width="11"/>
    <col collapsed="false" customWidth="true" hidden="false" outlineLevel="0" max="14" min="14" style="0" width="14"/>
    <col collapsed="false" customWidth="true" hidden="false" outlineLevel="0" max="15" min="15" style="0" width="17"/>
    <col collapsed="false" customWidth="true" hidden="false" outlineLevel="0" max="16" min="16" style="0" width="13"/>
    <col collapsed="false" customWidth="true" hidden="false" outlineLevel="0" max="17" min="17" style="0" width="20"/>
    <col collapsed="false" customWidth="true" hidden="false" outlineLevel="0" max="18" min="18" style="0" width="13"/>
    <col collapsed="false" customWidth="true" hidden="false" outlineLevel="0" max="19" min="19" style="0" width="18"/>
    <col collapsed="false" customWidth="true" hidden="false" outlineLevel="0" max="20" min="20" style="0" width="17"/>
    <col collapsed="false" customWidth="true" hidden="false" outlineLevel="0" max="21" min="21" style="0" width="19"/>
    <col collapsed="false" customWidth="true" hidden="false" outlineLevel="0" max="22" min="22" style="0" width="16"/>
    <col collapsed="false" customWidth="true" hidden="false" outlineLevel="0" max="23" min="23" style="0" width="20"/>
    <col collapsed="false" customWidth="true" hidden="false" outlineLevel="0" max="24" min="24" style="0" width="16"/>
    <col collapsed="false" customWidth="true" hidden="false" outlineLevel="0" max="25" min="25" style="0" width="18"/>
    <col collapsed="false" customWidth="true" hidden="false" outlineLevel="0" max="26" min="26" style="0" width="22"/>
    <col collapsed="false" customWidth="true" hidden="false" outlineLevel="0" max="27" min="27" style="0" width="20"/>
    <col collapsed="false" customWidth="true" hidden="false" outlineLevel="0" max="28" min="28" style="0" width="11"/>
    <col collapsed="false" customWidth="true" hidden="false" outlineLevel="0" max="29" min="29" style="0" width="18"/>
    <col collapsed="false" customWidth="true" hidden="false" outlineLevel="0" max="30" min="30" style="0" width="62"/>
  </cols>
  <sheetData>
    <row r="1" customFormat="false" ht="16.15" hidden="false" customHeight="false" outlineLevel="0" collapsed="false">
      <c r="A1" s="8" t="s">
        <v>3748</v>
      </c>
    </row>
    <row r="2" customFormat="false" ht="30" hidden="false" customHeight="true" outlineLevel="0" collapsed="false">
      <c r="A2" s="9" t="s">
        <v>42</v>
      </c>
      <c r="B2" s="9" t="s">
        <v>3749</v>
      </c>
      <c r="C2" s="9" t="s">
        <v>3750</v>
      </c>
      <c r="D2" s="9" t="s">
        <v>1172</v>
      </c>
      <c r="E2" s="9" t="s">
        <v>3751</v>
      </c>
      <c r="F2" s="9" t="s">
        <v>3752</v>
      </c>
      <c r="G2" s="9" t="s">
        <v>1191</v>
      </c>
      <c r="H2" s="9" t="s">
        <v>3753</v>
      </c>
      <c r="I2" s="9" t="s">
        <v>3754</v>
      </c>
      <c r="J2" s="9" t="s">
        <v>3755</v>
      </c>
      <c r="K2" s="9" t="s">
        <v>3756</v>
      </c>
      <c r="L2" s="9" t="s">
        <v>3757</v>
      </c>
      <c r="M2" s="9" t="s">
        <v>3758</v>
      </c>
      <c r="N2" s="9" t="s">
        <v>3759</v>
      </c>
      <c r="O2" s="9" t="s">
        <v>3760</v>
      </c>
      <c r="P2" s="9" t="s">
        <v>3761</v>
      </c>
      <c r="Q2" s="9" t="s">
        <v>3762</v>
      </c>
      <c r="R2" s="9" t="s">
        <v>3763</v>
      </c>
      <c r="S2" s="9" t="s">
        <v>3764</v>
      </c>
      <c r="T2" s="9" t="s">
        <v>3765</v>
      </c>
      <c r="U2" s="9" t="s">
        <v>3766</v>
      </c>
      <c r="V2" s="9" t="s">
        <v>3767</v>
      </c>
      <c r="W2" s="9" t="s">
        <v>3768</v>
      </c>
      <c r="X2" s="9" t="s">
        <v>3769</v>
      </c>
      <c r="Y2" s="9" t="s">
        <v>3770</v>
      </c>
      <c r="Z2" s="9" t="s">
        <v>3771</v>
      </c>
      <c r="AA2" s="9" t="s">
        <v>3772</v>
      </c>
      <c r="AB2" s="9" t="s">
        <v>3773</v>
      </c>
      <c r="AC2" s="9" t="s">
        <v>3774</v>
      </c>
      <c r="AD2" s="9" t="s">
        <v>3775</v>
      </c>
    </row>
    <row r="3" customFormat="false" ht="27.75" hidden="false" customHeight="true" outlineLevel="0" collapsed="false">
      <c r="A3" s="12" t="s">
        <v>265</v>
      </c>
      <c r="B3" s="12" t="s">
        <v>3776</v>
      </c>
      <c r="C3" s="12" t="s">
        <v>3777</v>
      </c>
      <c r="D3" s="12" t="s">
        <v>3778</v>
      </c>
      <c r="E3" s="12" t="s">
        <v>3779</v>
      </c>
      <c r="F3" s="12" t="s">
        <v>3780</v>
      </c>
      <c r="G3" s="12" t="s">
        <v>3781</v>
      </c>
      <c r="H3" s="12" t="s">
        <v>3782</v>
      </c>
      <c r="I3" s="12" t="s">
        <v>3783</v>
      </c>
      <c r="J3" s="12" t="s">
        <v>1010</v>
      </c>
      <c r="K3" s="12" t="s">
        <v>980</v>
      </c>
      <c r="L3" s="12" t="s">
        <v>976</v>
      </c>
      <c r="M3" s="12" t="s">
        <v>3784</v>
      </c>
      <c r="N3" s="12" t="s">
        <v>974</v>
      </c>
      <c r="O3" s="12" t="s">
        <v>971</v>
      </c>
      <c r="P3" s="12"/>
      <c r="Q3" s="12" t="s">
        <v>930</v>
      </c>
      <c r="R3" s="12" t="s">
        <v>3785</v>
      </c>
      <c r="S3" s="12"/>
      <c r="T3" s="12"/>
      <c r="U3" s="12"/>
      <c r="V3" s="27" t="str">
        <f aca="false">IF(T3="","INITIAL",IF(R3=T3,"NO_CHANGE",IF(AND(U3&lt;&gt;"",R3=U3),"REVERSAL","CHANGE")))</f>
        <v>INITIAL</v>
      </c>
      <c r="W3" s="15" t="s">
        <v>3786</v>
      </c>
      <c r="X3" s="15" t="s">
        <v>978</v>
      </c>
      <c r="Y3" s="12" t="s">
        <v>3787</v>
      </c>
      <c r="Z3" s="12"/>
      <c r="AA3" s="12"/>
      <c r="AB3" s="12" t="n">
        <v>1</v>
      </c>
      <c r="AC3" s="15" t="s">
        <v>986</v>
      </c>
      <c r="AD3" s="46" t="s">
        <v>3788</v>
      </c>
    </row>
    <row r="4" customFormat="false" ht="27.75" hidden="false" customHeight="true" outlineLevel="0" collapsed="false">
      <c r="A4" s="12" t="s">
        <v>265</v>
      </c>
      <c r="B4" s="12" t="s">
        <v>3787</v>
      </c>
      <c r="C4" s="12" t="s">
        <v>3789</v>
      </c>
      <c r="D4" s="12" t="s">
        <v>3778</v>
      </c>
      <c r="E4" s="12" t="s">
        <v>3779</v>
      </c>
      <c r="F4" s="12" t="s">
        <v>3790</v>
      </c>
      <c r="G4" s="12" t="s">
        <v>3791</v>
      </c>
      <c r="H4" s="12" t="s">
        <v>3782</v>
      </c>
      <c r="I4" s="12" t="s">
        <v>3783</v>
      </c>
      <c r="J4" s="12" t="s">
        <v>1010</v>
      </c>
      <c r="K4" s="12" t="s">
        <v>1012</v>
      </c>
      <c r="L4" s="12" t="s">
        <v>976</v>
      </c>
      <c r="M4" s="12" t="s">
        <v>3784</v>
      </c>
      <c r="N4" s="12" t="s">
        <v>974</v>
      </c>
      <c r="O4" s="12" t="s">
        <v>971</v>
      </c>
      <c r="P4" s="12"/>
      <c r="Q4" s="12" t="s">
        <v>930</v>
      </c>
      <c r="R4" s="12" t="s">
        <v>3792</v>
      </c>
      <c r="S4" s="12" t="s">
        <v>3776</v>
      </c>
      <c r="T4" s="12" t="s">
        <v>3785</v>
      </c>
      <c r="U4" s="12" t="s">
        <v>3785</v>
      </c>
      <c r="V4" s="27" t="str">
        <f aca="false">IF(T4="","INITIAL",IF(R4=T4,"NO_CHANGE",IF(AND(U4&lt;&gt;"",R4=U4),"REVERSAL","CHANGE")))</f>
        <v>CHANGE</v>
      </c>
      <c r="W4" s="15" t="s">
        <v>3793</v>
      </c>
      <c r="X4" s="15" t="s">
        <v>978</v>
      </c>
      <c r="Y4" s="12" t="s">
        <v>3794</v>
      </c>
      <c r="Z4" s="12" t="s">
        <v>3795</v>
      </c>
      <c r="AA4" s="12" t="s">
        <v>930</v>
      </c>
      <c r="AB4" s="12" t="n">
        <v>1</v>
      </c>
      <c r="AC4" s="15" t="s">
        <v>3711</v>
      </c>
      <c r="AD4" s="46" t="s">
        <v>3796</v>
      </c>
    </row>
    <row r="5" customFormat="false" ht="27.75" hidden="false" customHeight="true" outlineLevel="0" collapsed="false">
      <c r="A5" s="12" t="s">
        <v>265</v>
      </c>
      <c r="B5" s="12" t="s">
        <v>3794</v>
      </c>
      <c r="C5" s="12" t="s">
        <v>3797</v>
      </c>
      <c r="D5" s="12" t="s">
        <v>3778</v>
      </c>
      <c r="E5" s="12" t="s">
        <v>3779</v>
      </c>
      <c r="F5" s="12" t="s">
        <v>3798</v>
      </c>
      <c r="G5" s="12" t="s">
        <v>3799</v>
      </c>
      <c r="H5" s="12" t="s">
        <v>3782</v>
      </c>
      <c r="I5" s="12" t="s">
        <v>3783</v>
      </c>
      <c r="J5" s="12" t="s">
        <v>1010</v>
      </c>
      <c r="K5" s="12" t="s">
        <v>1012</v>
      </c>
      <c r="L5" s="12" t="s">
        <v>976</v>
      </c>
      <c r="M5" s="12" t="s">
        <v>3784</v>
      </c>
      <c r="N5" s="12" t="s">
        <v>974</v>
      </c>
      <c r="O5" s="12" t="s">
        <v>971</v>
      </c>
      <c r="P5" s="12"/>
      <c r="Q5" s="12" t="s">
        <v>930</v>
      </c>
      <c r="R5" s="12" t="s">
        <v>3792</v>
      </c>
      <c r="S5" s="12" t="s">
        <v>3787</v>
      </c>
      <c r="T5" s="12" t="s">
        <v>3792</v>
      </c>
      <c r="U5" s="12" t="s">
        <v>3785</v>
      </c>
      <c r="V5" s="27" t="str">
        <f aca="false">IF(T5="","INITIAL",IF(R5=T5,"NO_CHANGE",IF(AND(U5&lt;&gt;"",R5=U5),"REVERSAL","CHANGE")))</f>
        <v>NO_CHANGE</v>
      </c>
      <c r="W5" s="15" t="s">
        <v>3793</v>
      </c>
      <c r="X5" s="15" t="s">
        <v>978</v>
      </c>
      <c r="Y5" s="12" t="s">
        <v>3800</v>
      </c>
      <c r="Z5" s="12" t="s">
        <v>3795</v>
      </c>
      <c r="AA5" s="12" t="s">
        <v>930</v>
      </c>
      <c r="AB5" s="12" t="n">
        <v>1</v>
      </c>
      <c r="AC5" s="15" t="s">
        <v>3711</v>
      </c>
      <c r="AD5" s="46" t="s">
        <v>3801</v>
      </c>
    </row>
    <row r="6" customFormat="false" ht="27.75" hidden="false" customHeight="true" outlineLevel="0" collapsed="false">
      <c r="A6" s="12" t="s">
        <v>265</v>
      </c>
      <c r="B6" s="12" t="s">
        <v>3800</v>
      </c>
      <c r="C6" s="12" t="s">
        <v>3802</v>
      </c>
      <c r="D6" s="12" t="s">
        <v>3778</v>
      </c>
      <c r="E6" s="12" t="s">
        <v>3779</v>
      </c>
      <c r="F6" s="12" t="s">
        <v>3803</v>
      </c>
      <c r="G6" s="12" t="s">
        <v>3804</v>
      </c>
      <c r="H6" s="12" t="s">
        <v>3782</v>
      </c>
      <c r="I6" s="12" t="s">
        <v>3783</v>
      </c>
      <c r="J6" s="12" t="s">
        <v>1010</v>
      </c>
      <c r="K6" s="12" t="s">
        <v>1012</v>
      </c>
      <c r="L6" s="12" t="s">
        <v>976</v>
      </c>
      <c r="M6" s="12" t="s">
        <v>3784</v>
      </c>
      <c r="N6" s="12" t="s">
        <v>974</v>
      </c>
      <c r="O6" s="12" t="s">
        <v>971</v>
      </c>
      <c r="P6" s="12"/>
      <c r="Q6" s="12" t="s">
        <v>930</v>
      </c>
      <c r="R6" s="12" t="s">
        <v>3792</v>
      </c>
      <c r="S6" s="12" t="s">
        <v>3794</v>
      </c>
      <c r="T6" s="12" t="s">
        <v>3792</v>
      </c>
      <c r="U6" s="12" t="s">
        <v>3785</v>
      </c>
      <c r="V6" s="27" t="str">
        <f aca="false">IF(T6="","INITIAL",IF(R6=T6,"NO_CHANGE",IF(AND(U6&lt;&gt;"",R6=U6),"REVERSAL","CHANGE")))</f>
        <v>NO_CHANGE</v>
      </c>
      <c r="W6" s="15" t="s">
        <v>2548</v>
      </c>
      <c r="X6" s="15" t="s">
        <v>990</v>
      </c>
      <c r="Y6" s="12"/>
      <c r="Z6" s="12" t="s">
        <v>3795</v>
      </c>
      <c r="AA6" s="12" t="s">
        <v>930</v>
      </c>
      <c r="AB6" s="12" t="n">
        <v>3</v>
      </c>
      <c r="AC6" s="15" t="s">
        <v>3805</v>
      </c>
      <c r="AD6" s="46" t="s">
        <v>3806</v>
      </c>
    </row>
    <row r="7" customFormat="false" ht="27.75" hidden="false" customHeight="true" outlineLevel="0" collapsed="false">
      <c r="A7" s="12" t="s">
        <v>271</v>
      </c>
      <c r="B7" s="12" t="s">
        <v>3807</v>
      </c>
      <c r="C7" s="12" t="s">
        <v>3777</v>
      </c>
      <c r="D7" s="12" t="s">
        <v>3778</v>
      </c>
      <c r="E7" s="12" t="s">
        <v>3808</v>
      </c>
      <c r="F7" s="12" t="s">
        <v>3780</v>
      </c>
      <c r="G7" s="12" t="s">
        <v>3781</v>
      </c>
      <c r="H7" s="12" t="s">
        <v>3782</v>
      </c>
      <c r="I7" s="12" t="s">
        <v>3809</v>
      </c>
      <c r="J7" s="12" t="s">
        <v>970</v>
      </c>
      <c r="K7" s="12" t="s">
        <v>980</v>
      </c>
      <c r="L7" s="12" t="s">
        <v>976</v>
      </c>
      <c r="M7" s="12" t="s">
        <v>3810</v>
      </c>
      <c r="N7" s="12" t="s">
        <v>974</v>
      </c>
      <c r="O7" s="12" t="s">
        <v>971</v>
      </c>
      <c r="P7" s="12"/>
      <c r="Q7" s="12"/>
      <c r="R7" s="12" t="s">
        <v>3811</v>
      </c>
      <c r="S7" s="12"/>
      <c r="T7" s="12"/>
      <c r="U7" s="12"/>
      <c r="V7" s="27" t="str">
        <f aca="false">IF(T7="","INITIAL",IF(R7=T7,"NO_CHANGE",IF(AND(U7&lt;&gt;"",R7=U7),"REVERSAL","CHANGE")))</f>
        <v>INITIAL</v>
      </c>
      <c r="W7" s="15" t="s">
        <v>3786</v>
      </c>
      <c r="X7" s="15" t="s">
        <v>978</v>
      </c>
      <c r="Y7" s="12" t="s">
        <v>3812</v>
      </c>
      <c r="Z7" s="12"/>
      <c r="AA7" s="12"/>
      <c r="AB7" s="12" t="n">
        <v>1</v>
      </c>
      <c r="AC7" s="15" t="s">
        <v>986</v>
      </c>
      <c r="AD7" s="46" t="s">
        <v>3813</v>
      </c>
    </row>
    <row r="8" customFormat="false" ht="27.75" hidden="false" customHeight="true" outlineLevel="0" collapsed="false">
      <c r="A8" s="12" t="s">
        <v>271</v>
      </c>
      <c r="B8" s="12" t="s">
        <v>3812</v>
      </c>
      <c r="C8" s="12" t="s">
        <v>3789</v>
      </c>
      <c r="D8" s="12" t="s">
        <v>3778</v>
      </c>
      <c r="E8" s="12" t="s">
        <v>3808</v>
      </c>
      <c r="F8" s="12" t="s">
        <v>3814</v>
      </c>
      <c r="G8" s="12" t="s">
        <v>3815</v>
      </c>
      <c r="H8" s="12" t="s">
        <v>3782</v>
      </c>
      <c r="I8" s="12" t="s">
        <v>3809</v>
      </c>
      <c r="J8" s="12" t="s">
        <v>970</v>
      </c>
      <c r="K8" s="12" t="s">
        <v>980</v>
      </c>
      <c r="L8" s="12" t="s">
        <v>976</v>
      </c>
      <c r="M8" s="12" t="s">
        <v>3810</v>
      </c>
      <c r="N8" s="12" t="s">
        <v>974</v>
      </c>
      <c r="O8" s="12" t="s">
        <v>971</v>
      </c>
      <c r="P8" s="12"/>
      <c r="Q8" s="12"/>
      <c r="R8" s="12" t="s">
        <v>3811</v>
      </c>
      <c r="S8" s="12" t="s">
        <v>3807</v>
      </c>
      <c r="T8" s="12" t="s">
        <v>3811</v>
      </c>
      <c r="U8" s="12" t="s">
        <v>3811</v>
      </c>
      <c r="V8" s="27" t="str">
        <f aca="false">IF(T8="","INITIAL",IF(R8=T8,"NO_CHANGE",IF(AND(U8&lt;&gt;"",R8=U8),"REVERSAL","CHANGE")))</f>
        <v>NO_CHANGE</v>
      </c>
      <c r="W8" s="15" t="s">
        <v>3816</v>
      </c>
      <c r="X8" s="15" t="s">
        <v>990</v>
      </c>
      <c r="Y8" s="12"/>
      <c r="Z8" s="12"/>
      <c r="AA8" s="12"/>
      <c r="AB8" s="12" t="n">
        <v>0</v>
      </c>
      <c r="AC8" s="15" t="s">
        <v>986</v>
      </c>
      <c r="AD8" s="46" t="s">
        <v>3817</v>
      </c>
    </row>
    <row r="9" customFormat="false" ht="27.75" hidden="false" customHeight="true" outlineLevel="0" collapsed="false">
      <c r="A9" s="12" t="s">
        <v>276</v>
      </c>
      <c r="B9" s="12" t="s">
        <v>3818</v>
      </c>
      <c r="C9" s="12" t="s">
        <v>3819</v>
      </c>
      <c r="D9" s="12" t="s">
        <v>3778</v>
      </c>
      <c r="E9" s="12" t="s">
        <v>3820</v>
      </c>
      <c r="F9" s="12" t="s">
        <v>3821</v>
      </c>
      <c r="G9" s="12" t="s">
        <v>3822</v>
      </c>
      <c r="H9" s="12" t="s">
        <v>3782</v>
      </c>
      <c r="I9" s="12" t="s">
        <v>3823</v>
      </c>
      <c r="J9" s="12" t="s">
        <v>1104</v>
      </c>
      <c r="K9" s="12" t="s">
        <v>1107</v>
      </c>
      <c r="L9" s="12" t="s">
        <v>976</v>
      </c>
      <c r="M9" s="12" t="s">
        <v>3810</v>
      </c>
      <c r="N9" s="12" t="s">
        <v>974</v>
      </c>
      <c r="O9" s="12" t="s">
        <v>971</v>
      </c>
      <c r="P9" s="12"/>
      <c r="Q9" s="12"/>
      <c r="R9" s="12" t="s">
        <v>3824</v>
      </c>
      <c r="S9" s="12"/>
      <c r="T9" s="12"/>
      <c r="U9" s="12"/>
      <c r="V9" s="27" t="str">
        <f aca="false">IF(T9="","INITIAL",IF(R9=T9,"NO_CHANGE",IF(AND(U9&lt;&gt;"",R9=U9),"REVERSAL","CHANGE")))</f>
        <v>INITIAL</v>
      </c>
      <c r="W9" s="15" t="s">
        <v>3786</v>
      </c>
      <c r="X9" s="15" t="s">
        <v>978</v>
      </c>
      <c r="Y9" s="12" t="s">
        <v>3825</v>
      </c>
      <c r="Z9" s="12"/>
      <c r="AA9" s="12"/>
      <c r="AB9" s="12" t="n">
        <v>1</v>
      </c>
      <c r="AC9" s="15" t="s">
        <v>986</v>
      </c>
      <c r="AD9" s="46" t="s">
        <v>3826</v>
      </c>
    </row>
    <row r="10" customFormat="false" ht="27.75" hidden="false" customHeight="true" outlineLevel="0" collapsed="false">
      <c r="A10" s="12" t="s">
        <v>276</v>
      </c>
      <c r="B10" s="12" t="s">
        <v>3825</v>
      </c>
      <c r="C10" s="12" t="s">
        <v>3827</v>
      </c>
      <c r="D10" s="12" t="s">
        <v>3778</v>
      </c>
      <c r="E10" s="12" t="s">
        <v>3820</v>
      </c>
      <c r="F10" s="12" t="s">
        <v>3828</v>
      </c>
      <c r="G10" s="12" t="s">
        <v>3829</v>
      </c>
      <c r="H10" s="12" t="s">
        <v>3782</v>
      </c>
      <c r="I10" s="12" t="s">
        <v>3823</v>
      </c>
      <c r="J10" s="12" t="s">
        <v>1104</v>
      </c>
      <c r="K10" s="12" t="s">
        <v>3830</v>
      </c>
      <c r="L10" s="12" t="s">
        <v>976</v>
      </c>
      <c r="M10" s="12" t="s">
        <v>3810</v>
      </c>
      <c r="N10" s="12" t="s">
        <v>974</v>
      </c>
      <c r="O10" s="12" t="s">
        <v>971</v>
      </c>
      <c r="P10" s="12"/>
      <c r="Q10" s="12" t="s">
        <v>930</v>
      </c>
      <c r="R10" s="12" t="s">
        <v>3831</v>
      </c>
      <c r="S10" s="12" t="s">
        <v>3818</v>
      </c>
      <c r="T10" s="12" t="s">
        <v>3824</v>
      </c>
      <c r="U10" s="12" t="s">
        <v>3824</v>
      </c>
      <c r="V10" s="27" t="str">
        <f aca="false">IF(T10="","INITIAL",IF(R10=T10,"NO_CHANGE",IF(AND(U10&lt;&gt;"",R10=U10),"REVERSAL","CHANGE")))</f>
        <v>CHANGE</v>
      </c>
      <c r="W10" s="15" t="s">
        <v>3793</v>
      </c>
      <c r="X10" s="15" t="s">
        <v>978</v>
      </c>
      <c r="Y10" s="12" t="s">
        <v>3832</v>
      </c>
      <c r="Z10" s="12" t="s">
        <v>3795</v>
      </c>
      <c r="AA10" s="12" t="s">
        <v>930</v>
      </c>
      <c r="AB10" s="12" t="n">
        <v>1</v>
      </c>
      <c r="AC10" s="15" t="s">
        <v>3711</v>
      </c>
      <c r="AD10" s="46" t="s">
        <v>3833</v>
      </c>
    </row>
    <row r="11" customFormat="false" ht="27.75" hidden="false" customHeight="true" outlineLevel="0" collapsed="false">
      <c r="A11" s="12" t="s">
        <v>276</v>
      </c>
      <c r="B11" s="12" t="s">
        <v>3832</v>
      </c>
      <c r="C11" s="12" t="s">
        <v>3834</v>
      </c>
      <c r="D11" s="12" t="s">
        <v>3778</v>
      </c>
      <c r="E11" s="12" t="s">
        <v>3820</v>
      </c>
      <c r="F11" s="12" t="s">
        <v>3835</v>
      </c>
      <c r="G11" s="12" t="s">
        <v>3836</v>
      </c>
      <c r="H11" s="12" t="s">
        <v>3782</v>
      </c>
      <c r="I11" s="12" t="s">
        <v>3823</v>
      </c>
      <c r="J11" s="12" t="s">
        <v>1104</v>
      </c>
      <c r="K11" s="12" t="s">
        <v>1107</v>
      </c>
      <c r="L11" s="12" t="s">
        <v>976</v>
      </c>
      <c r="M11" s="12" t="s">
        <v>3810</v>
      </c>
      <c r="N11" s="12" t="s">
        <v>974</v>
      </c>
      <c r="O11" s="12" t="s">
        <v>971</v>
      </c>
      <c r="P11" s="12"/>
      <c r="Q11" s="12" t="s">
        <v>930</v>
      </c>
      <c r="R11" s="12" t="s">
        <v>3824</v>
      </c>
      <c r="S11" s="12" t="s">
        <v>3825</v>
      </c>
      <c r="T11" s="12" t="s">
        <v>3831</v>
      </c>
      <c r="U11" s="12" t="s">
        <v>3824</v>
      </c>
      <c r="V11" s="27" t="str">
        <f aca="false">IF(T11="","INITIAL",IF(R11=T11,"NO_CHANGE",IF(AND(U11&lt;&gt;"",R11=U11),"REVERSAL","CHANGE")))</f>
        <v>REVERSAL</v>
      </c>
      <c r="W11" s="15" t="s">
        <v>3786</v>
      </c>
      <c r="X11" s="15" t="s">
        <v>990</v>
      </c>
      <c r="Y11" s="12"/>
      <c r="Z11" s="12"/>
      <c r="AA11" s="12"/>
      <c r="AB11" s="12" t="n">
        <v>1</v>
      </c>
      <c r="AC11" s="15" t="s">
        <v>986</v>
      </c>
      <c r="AD11" s="46" t="s">
        <v>3837</v>
      </c>
    </row>
    <row r="12" customFormat="false" ht="27.75" hidden="false" customHeight="true" outlineLevel="0" collapsed="false">
      <c r="A12" s="12" t="s">
        <v>281</v>
      </c>
      <c r="B12" s="12" t="s">
        <v>3838</v>
      </c>
      <c r="C12" s="12" t="s">
        <v>3839</v>
      </c>
      <c r="D12" s="12" t="s">
        <v>3778</v>
      </c>
      <c r="E12" s="12" t="s">
        <v>3808</v>
      </c>
      <c r="F12" s="12" t="s">
        <v>3840</v>
      </c>
      <c r="G12" s="12" t="s">
        <v>3841</v>
      </c>
      <c r="H12" s="12" t="s">
        <v>3782</v>
      </c>
      <c r="I12" s="12" t="s">
        <v>3809</v>
      </c>
      <c r="J12" s="12" t="s">
        <v>970</v>
      </c>
      <c r="K12" s="12" t="s">
        <v>3842</v>
      </c>
      <c r="L12" s="12" t="s">
        <v>976</v>
      </c>
      <c r="M12" s="12" t="s">
        <v>3810</v>
      </c>
      <c r="N12" s="12" t="s">
        <v>974</v>
      </c>
      <c r="O12" s="12" t="s">
        <v>971</v>
      </c>
      <c r="P12" s="12"/>
      <c r="Q12" s="12" t="s">
        <v>930</v>
      </c>
      <c r="R12" s="12" t="s">
        <v>3843</v>
      </c>
      <c r="S12" s="12" t="s">
        <v>3812</v>
      </c>
      <c r="T12" s="12" t="s">
        <v>3811</v>
      </c>
      <c r="U12" s="12" t="s">
        <v>3811</v>
      </c>
      <c r="V12" s="27" t="str">
        <f aca="false">IF(T12="","INITIAL",IF(R12=T12,"NO_CHANGE",IF(AND(U12&lt;&gt;"",R12=U12),"REVERSAL","CHANGE")))</f>
        <v>CHANGE</v>
      </c>
      <c r="W12" s="15" t="s">
        <v>3844</v>
      </c>
      <c r="X12" s="15" t="s">
        <v>978</v>
      </c>
      <c r="Y12" s="12"/>
      <c r="Z12" s="12"/>
      <c r="AA12" s="12"/>
      <c r="AB12" s="12" t="n">
        <v>0</v>
      </c>
      <c r="AC12" s="15" t="s">
        <v>986</v>
      </c>
      <c r="AD12" s="46" t="s">
        <v>3845</v>
      </c>
    </row>
    <row r="13" customFormat="false" ht="27.75" hidden="false" customHeight="true" outlineLevel="0" collapsed="false">
      <c r="A13" s="12" t="s">
        <v>286</v>
      </c>
      <c r="B13" s="12" t="s">
        <v>3846</v>
      </c>
      <c r="C13" s="12" t="s">
        <v>3847</v>
      </c>
      <c r="D13" s="12" t="s">
        <v>3778</v>
      </c>
      <c r="E13" s="12" t="s">
        <v>3848</v>
      </c>
      <c r="F13" s="12" t="s">
        <v>3849</v>
      </c>
      <c r="G13" s="12" t="s">
        <v>3850</v>
      </c>
      <c r="H13" s="12" t="s">
        <v>3851</v>
      </c>
      <c r="I13" s="12" t="s">
        <v>3852</v>
      </c>
      <c r="J13" s="12"/>
      <c r="K13" s="12" t="s">
        <v>3853</v>
      </c>
      <c r="L13" s="12" t="s">
        <v>3854</v>
      </c>
      <c r="M13" s="12" t="s">
        <v>3810</v>
      </c>
      <c r="N13" s="12" t="s">
        <v>974</v>
      </c>
      <c r="O13" s="12" t="s">
        <v>971</v>
      </c>
      <c r="P13" s="12"/>
      <c r="Q13" s="12" t="s">
        <v>909</v>
      </c>
      <c r="R13" s="12" t="s">
        <v>3855</v>
      </c>
      <c r="S13" s="12"/>
      <c r="T13" s="12"/>
      <c r="U13" s="12"/>
      <c r="V13" s="27" t="str">
        <f aca="false">IF(T13="","INITIAL",IF(R13=T13,"NO_CHANGE",IF(AND(U13&lt;&gt;"",R13=U13),"REVERSAL","CHANGE")))</f>
        <v>INITIAL</v>
      </c>
      <c r="W13" s="15" t="s">
        <v>2548</v>
      </c>
      <c r="X13" s="15" t="s">
        <v>990</v>
      </c>
      <c r="Y13" s="12"/>
      <c r="Z13" s="12" t="s">
        <v>3856</v>
      </c>
      <c r="AA13" s="12" t="s">
        <v>909</v>
      </c>
      <c r="AB13" s="12" t="n">
        <v>2</v>
      </c>
      <c r="AC13" s="15"/>
      <c r="AD13" s="46" t="s">
        <v>3857</v>
      </c>
    </row>
    <row r="14" customFormat="false" ht="27.75" hidden="false" customHeight="true" outlineLevel="0" collapsed="false">
      <c r="A14" s="12" t="s">
        <v>291</v>
      </c>
      <c r="B14" s="12" t="s">
        <v>3858</v>
      </c>
      <c r="C14" s="12" t="s">
        <v>3859</v>
      </c>
      <c r="D14" s="12" t="s">
        <v>3778</v>
      </c>
      <c r="E14" s="12" t="s">
        <v>3808</v>
      </c>
      <c r="F14" s="12" t="s">
        <v>3860</v>
      </c>
      <c r="G14" s="12" t="s">
        <v>3861</v>
      </c>
      <c r="H14" s="12" t="s">
        <v>3782</v>
      </c>
      <c r="I14" s="12" t="s">
        <v>3809</v>
      </c>
      <c r="J14" s="12" t="s">
        <v>970</v>
      </c>
      <c r="K14" s="12" t="s">
        <v>980</v>
      </c>
      <c r="L14" s="12" t="s">
        <v>976</v>
      </c>
      <c r="M14" s="12" t="s">
        <v>3810</v>
      </c>
      <c r="N14" s="12" t="s">
        <v>974</v>
      </c>
      <c r="O14" s="12" t="s">
        <v>971</v>
      </c>
      <c r="P14" s="12" t="s">
        <v>1034</v>
      </c>
      <c r="Q14" s="12"/>
      <c r="R14" s="12" t="s">
        <v>3862</v>
      </c>
      <c r="S14" s="12" t="s">
        <v>3812</v>
      </c>
      <c r="T14" s="12" t="s">
        <v>3811</v>
      </c>
      <c r="U14" s="12" t="s">
        <v>3811</v>
      </c>
      <c r="V14" s="27" t="str">
        <f aca="false">IF(T14="","INITIAL",IF(R14=T14,"NO_CHANGE",IF(AND(U14&lt;&gt;"",R14=U14),"REVERSAL","CHANGE")))</f>
        <v>CHANGE</v>
      </c>
      <c r="W14" s="15" t="s">
        <v>3863</v>
      </c>
      <c r="X14" s="15" t="s">
        <v>990</v>
      </c>
      <c r="Y14" s="12"/>
      <c r="Z14" s="12"/>
      <c r="AA14" s="12"/>
      <c r="AB14" s="12" t="n">
        <v>1</v>
      </c>
      <c r="AC14" s="15" t="s">
        <v>986</v>
      </c>
      <c r="AD14" s="46" t="s">
        <v>3864</v>
      </c>
    </row>
    <row r="15" customFormat="false" ht="27.75" hidden="false" customHeight="true" outlineLevel="0" collapsed="false">
      <c r="A15" s="12" t="s">
        <v>296</v>
      </c>
      <c r="B15" s="12" t="s">
        <v>3865</v>
      </c>
      <c r="C15" s="12" t="s">
        <v>3866</v>
      </c>
      <c r="D15" s="12" t="s">
        <v>3778</v>
      </c>
      <c r="E15" s="12" t="s">
        <v>3867</v>
      </c>
      <c r="F15" s="12" t="s">
        <v>3868</v>
      </c>
      <c r="G15" s="12" t="s">
        <v>3869</v>
      </c>
      <c r="H15" s="12" t="s">
        <v>3782</v>
      </c>
      <c r="I15" s="12" t="s">
        <v>3870</v>
      </c>
      <c r="J15" s="12" t="s">
        <v>1135</v>
      </c>
      <c r="K15" s="12" t="s">
        <v>1138</v>
      </c>
      <c r="L15" s="12" t="s">
        <v>976</v>
      </c>
      <c r="M15" s="12" t="s">
        <v>3810</v>
      </c>
      <c r="N15" s="12" t="s">
        <v>974</v>
      </c>
      <c r="O15" s="12" t="s">
        <v>971</v>
      </c>
      <c r="P15" s="12"/>
      <c r="Q15" s="12" t="s">
        <v>930</v>
      </c>
      <c r="R15" s="12" t="s">
        <v>3871</v>
      </c>
      <c r="S15" s="12"/>
      <c r="T15" s="12"/>
      <c r="U15" s="12"/>
      <c r="V15" s="27" t="str">
        <f aca="false">IF(T15="","INITIAL",IF(R15=T15,"NO_CHANGE",IF(AND(U15&lt;&gt;"",R15=U15),"REVERSAL","CHANGE")))</f>
        <v>INITIAL</v>
      </c>
      <c r="W15" s="15" t="s">
        <v>3786</v>
      </c>
      <c r="X15" s="15" t="s">
        <v>990</v>
      </c>
      <c r="Y15" s="12"/>
      <c r="Z15" s="12"/>
      <c r="AA15" s="12"/>
      <c r="AB15" s="12" t="n">
        <v>1</v>
      </c>
      <c r="AC15" s="15" t="s">
        <v>986</v>
      </c>
      <c r="AD15" s="46" t="s">
        <v>3872</v>
      </c>
    </row>
    <row r="16" customFormat="false" ht="27.75" hidden="false" customHeight="true" outlineLevel="0" collapsed="false">
      <c r="A16" s="12" t="s">
        <v>302</v>
      </c>
      <c r="B16" s="12" t="s">
        <v>3873</v>
      </c>
      <c r="C16" s="12" t="s">
        <v>3874</v>
      </c>
      <c r="D16" s="12" t="s">
        <v>3778</v>
      </c>
      <c r="E16" s="12" t="s">
        <v>3875</v>
      </c>
      <c r="F16" s="12" t="s">
        <v>3876</v>
      </c>
      <c r="G16" s="12" t="s">
        <v>3877</v>
      </c>
      <c r="H16" s="12" t="s">
        <v>3782</v>
      </c>
      <c r="I16" s="12" t="s">
        <v>3878</v>
      </c>
      <c r="J16" s="12" t="s">
        <v>3879</v>
      </c>
      <c r="K16" s="12" t="s">
        <v>3880</v>
      </c>
      <c r="L16" s="12" t="s">
        <v>976</v>
      </c>
      <c r="M16" s="12" t="s">
        <v>3810</v>
      </c>
      <c r="N16" s="12" t="s">
        <v>974</v>
      </c>
      <c r="O16" s="12" t="s">
        <v>3881</v>
      </c>
      <c r="P16" s="12"/>
      <c r="Q16" s="12" t="s">
        <v>904</v>
      </c>
      <c r="R16" s="12" t="s">
        <v>3882</v>
      </c>
      <c r="S16" s="12"/>
      <c r="T16" s="12"/>
      <c r="U16" s="12"/>
      <c r="V16" s="27" t="str">
        <f aca="false">IF(T16="","INITIAL",IF(R16=T16,"NO_CHANGE",IF(AND(U16&lt;&gt;"",R16=U16),"REVERSAL","CHANGE")))</f>
        <v>INITIAL</v>
      </c>
      <c r="W16" s="15" t="s">
        <v>2548</v>
      </c>
      <c r="X16" s="15" t="s">
        <v>990</v>
      </c>
      <c r="Y16" s="12"/>
      <c r="Z16" s="12" t="s">
        <v>3883</v>
      </c>
      <c r="AA16" s="12" t="s">
        <v>904</v>
      </c>
      <c r="AB16" s="12" t="n">
        <v>1</v>
      </c>
      <c r="AC16" s="15" t="s">
        <v>3711</v>
      </c>
      <c r="AD16" s="46" t="s">
        <v>3884</v>
      </c>
    </row>
    <row r="17" customFormat="false" ht="27.75" hidden="false" customHeight="true" outlineLevel="0" collapsed="false">
      <c r="A17" s="12" t="s">
        <v>307</v>
      </c>
      <c r="B17" s="12" t="s">
        <v>3885</v>
      </c>
      <c r="C17" s="12" t="s">
        <v>3886</v>
      </c>
      <c r="D17" s="12" t="s">
        <v>3778</v>
      </c>
      <c r="E17" s="12" t="s">
        <v>3887</v>
      </c>
      <c r="F17" s="12" t="s">
        <v>3888</v>
      </c>
      <c r="G17" s="12" t="s">
        <v>3889</v>
      </c>
      <c r="H17" s="12" t="s">
        <v>3851</v>
      </c>
      <c r="I17" s="12" t="s">
        <v>3890</v>
      </c>
      <c r="J17" s="12" t="s">
        <v>3891</v>
      </c>
      <c r="K17" s="12" t="s">
        <v>3892</v>
      </c>
      <c r="L17" s="12" t="s">
        <v>976</v>
      </c>
      <c r="M17" s="12" t="s">
        <v>3893</v>
      </c>
      <c r="N17" s="12" t="s">
        <v>3894</v>
      </c>
      <c r="O17" s="12" t="s">
        <v>971</v>
      </c>
      <c r="P17" s="12"/>
      <c r="Q17" s="12" t="s">
        <v>907</v>
      </c>
      <c r="R17" s="12" t="s">
        <v>3895</v>
      </c>
      <c r="S17" s="12"/>
      <c r="T17" s="12"/>
      <c r="U17" s="12"/>
      <c r="V17" s="27" t="str">
        <f aca="false">IF(T17="","INITIAL",IF(R17=T17,"NO_CHANGE",IF(AND(U17&lt;&gt;"",R17=U17),"REVERSAL","CHANGE")))</f>
        <v>INITIAL</v>
      </c>
      <c r="W17" s="15" t="s">
        <v>3786</v>
      </c>
      <c r="X17" s="15" t="s">
        <v>990</v>
      </c>
      <c r="Y17" s="12"/>
      <c r="Z17" s="12"/>
      <c r="AA17" s="12"/>
      <c r="AB17" s="12" t="n">
        <v>1</v>
      </c>
      <c r="AC17" s="15" t="s">
        <v>986</v>
      </c>
      <c r="AD17" s="46" t="s">
        <v>3896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7"/>
    <col collapsed="false" customWidth="true" hidden="false" outlineLevel="0" max="4" min="4" style="0" width="18"/>
    <col collapsed="false" customWidth="true" hidden="false" outlineLevel="0" max="5" min="5" style="0" width="20"/>
    <col collapsed="false" customWidth="true" hidden="false" outlineLevel="0" max="7" min="6" style="0" width="12"/>
    <col collapsed="false" customWidth="true" hidden="false" outlineLevel="0" max="8" min="8" style="0" width="13"/>
    <col collapsed="false" customWidth="true" hidden="false" outlineLevel="0" max="9" min="9" style="0" width="16"/>
    <col collapsed="false" customWidth="true" hidden="false" outlineLevel="0" max="10" min="10" style="0" width="8"/>
    <col collapsed="false" customWidth="true" hidden="false" outlineLevel="0" max="11" min="11" style="0" width="11"/>
    <col collapsed="false" customWidth="true" hidden="false" outlineLevel="0" max="12" min="12" style="0" width="14"/>
    <col collapsed="false" customWidth="true" hidden="false" outlineLevel="0" max="13" min="13" style="0" width="9"/>
    <col collapsed="false" customWidth="true" hidden="false" outlineLevel="0" max="16" min="14" style="0" width="18"/>
    <col collapsed="false" customWidth="true" hidden="false" outlineLevel="0" max="17" min="17" style="0" width="19"/>
    <col collapsed="false" customWidth="true" hidden="false" outlineLevel="0" max="18" min="18" style="0" width="18"/>
    <col collapsed="false" customWidth="true" hidden="false" outlineLevel="0" max="20" min="19" style="0" width="19"/>
    <col collapsed="false" customWidth="true" hidden="false" outlineLevel="0" max="21" min="21" style="0" width="17"/>
    <col collapsed="false" customWidth="true" hidden="false" outlineLevel="0" max="22" min="22" style="0" width="16"/>
    <col collapsed="false" customWidth="true" hidden="false" outlineLevel="0" max="23" min="23" style="0" width="13"/>
    <col collapsed="false" customWidth="true" hidden="false" outlineLevel="0" max="24" min="24" style="0" width="15"/>
    <col collapsed="false" customWidth="true" hidden="false" outlineLevel="0" max="25" min="25" style="0" width="13"/>
    <col collapsed="false" customWidth="true" hidden="false" outlineLevel="0" max="26" min="26" style="0" width="20"/>
    <col collapsed="false" customWidth="true" hidden="false" outlineLevel="0" max="27" min="27" style="0" width="13"/>
    <col collapsed="false" customWidth="true" hidden="false" outlineLevel="0" max="28" min="28" style="0" width="20"/>
    <col collapsed="false" customWidth="true" hidden="false" outlineLevel="0" max="29" min="29" style="0" width="14"/>
  </cols>
  <sheetData>
    <row r="1" customFormat="false" ht="16.15" hidden="false" customHeight="false" outlineLevel="0" collapsed="false">
      <c r="A1" s="8" t="s">
        <v>3897</v>
      </c>
    </row>
    <row r="2" customFormat="false" ht="30" hidden="false" customHeight="true" outlineLevel="0" collapsed="false">
      <c r="A2" s="9" t="s">
        <v>1174</v>
      </c>
      <c r="B2" s="9" t="s">
        <v>3768</v>
      </c>
      <c r="C2" s="9" t="s">
        <v>3898</v>
      </c>
      <c r="D2" s="9" t="s">
        <v>3899</v>
      </c>
      <c r="E2" s="9" t="s">
        <v>3900</v>
      </c>
      <c r="F2" s="9" t="s">
        <v>3716</v>
      </c>
      <c r="G2" s="9" t="s">
        <v>3901</v>
      </c>
      <c r="H2" s="9" t="s">
        <v>3902</v>
      </c>
      <c r="I2" s="9" t="s">
        <v>3903</v>
      </c>
      <c r="J2" s="9" t="s">
        <v>3904</v>
      </c>
      <c r="K2" s="9" t="s">
        <v>3905</v>
      </c>
      <c r="L2" s="9" t="s">
        <v>3906</v>
      </c>
      <c r="M2" s="9" t="s">
        <v>2327</v>
      </c>
      <c r="N2" s="9" t="s">
        <v>3907</v>
      </c>
      <c r="O2" s="9" t="s">
        <v>3908</v>
      </c>
      <c r="P2" s="9" t="s">
        <v>3909</v>
      </c>
      <c r="Q2" s="9" t="s">
        <v>3910</v>
      </c>
      <c r="R2" s="9" t="s">
        <v>3911</v>
      </c>
      <c r="S2" s="9" t="s">
        <v>3912</v>
      </c>
      <c r="T2" s="9" t="s">
        <v>3913</v>
      </c>
      <c r="U2" s="9" t="s">
        <v>3914</v>
      </c>
      <c r="V2" s="9" t="s">
        <v>3915</v>
      </c>
      <c r="W2" s="9" t="s">
        <v>3916</v>
      </c>
      <c r="X2" s="9" t="s">
        <v>3917</v>
      </c>
      <c r="Y2" s="9" t="s">
        <v>3918</v>
      </c>
      <c r="Z2" s="9" t="s">
        <v>3919</v>
      </c>
      <c r="AA2" s="9" t="s">
        <v>3920</v>
      </c>
      <c r="AB2" s="9" t="s">
        <v>3921</v>
      </c>
      <c r="AC2" s="9" t="s">
        <v>3922</v>
      </c>
    </row>
    <row r="3" customFormat="false" ht="15" hidden="false" customHeight="false" outlineLevel="0" collapsed="false">
      <c r="A3" s="12" t="s">
        <v>980</v>
      </c>
      <c r="B3" s="15" t="s">
        <v>993</v>
      </c>
      <c r="C3" s="12" t="s">
        <v>3923</v>
      </c>
      <c r="D3" s="12"/>
      <c r="E3" s="12" t="s">
        <v>3924</v>
      </c>
      <c r="F3" s="12" t="s">
        <v>979</v>
      </c>
      <c r="G3" s="12" t="s">
        <v>971</v>
      </c>
      <c r="H3" s="12" t="s">
        <v>3925</v>
      </c>
      <c r="I3" s="12" t="s">
        <v>3926</v>
      </c>
      <c r="J3" s="12" t="s">
        <v>3927</v>
      </c>
      <c r="K3" s="12" t="s">
        <v>3928</v>
      </c>
      <c r="L3" s="12" t="s">
        <v>3929</v>
      </c>
      <c r="M3" s="12" t="s">
        <v>1197</v>
      </c>
      <c r="N3" s="50" t="n">
        <v>50100</v>
      </c>
      <c r="O3" s="50" t="n">
        <v>97000</v>
      </c>
      <c r="P3" s="50" t="n">
        <v>79200</v>
      </c>
      <c r="Q3" s="50" t="n">
        <v>75600</v>
      </c>
      <c r="R3" s="50" t="n">
        <v>24500</v>
      </c>
      <c r="S3" s="51" t="n">
        <v>1.8</v>
      </c>
      <c r="T3" s="51" t="n">
        <v>105</v>
      </c>
      <c r="U3" s="51" t="n">
        <v>1.5</v>
      </c>
      <c r="V3" s="12" t="s">
        <v>978</v>
      </c>
      <c r="W3" s="12" t="s">
        <v>990</v>
      </c>
      <c r="X3" s="12" t="s">
        <v>978</v>
      </c>
      <c r="Y3" s="12" t="s">
        <v>2457</v>
      </c>
      <c r="Z3" s="12" t="s">
        <v>3930</v>
      </c>
      <c r="AA3" s="12" t="s">
        <v>2457</v>
      </c>
      <c r="AB3" s="12" t="s">
        <v>3931</v>
      </c>
      <c r="AC3" s="27" t="str">
        <f aca="false">IF(N3="","PROVISIONAL_OR_CONFIRMED",IF(COUNT(N3:U3)=8,"COMPLETE","PARTIAL"))</f>
        <v>COMPLETE</v>
      </c>
    </row>
    <row r="4" customFormat="false" ht="15" hidden="false" customHeight="false" outlineLevel="0" collapsed="false">
      <c r="A4" s="12" t="s">
        <v>1023</v>
      </c>
      <c r="B4" s="15" t="s">
        <v>993</v>
      </c>
      <c r="C4" s="12" t="s">
        <v>3923</v>
      </c>
      <c r="D4" s="12"/>
      <c r="E4" s="12" t="s">
        <v>3932</v>
      </c>
      <c r="F4" s="12" t="s">
        <v>1022</v>
      </c>
      <c r="G4" s="12" t="s">
        <v>971</v>
      </c>
      <c r="H4" s="12" t="s">
        <v>3933</v>
      </c>
      <c r="I4" s="12" t="s">
        <v>3934</v>
      </c>
      <c r="J4" s="12" t="s">
        <v>3935</v>
      </c>
      <c r="K4" s="12" t="s">
        <v>3936</v>
      </c>
      <c r="L4" s="12" t="s">
        <v>3937</v>
      </c>
      <c r="M4" s="12" t="s">
        <v>1197</v>
      </c>
      <c r="N4" s="50" t="n">
        <v>145200</v>
      </c>
      <c r="O4" s="50" t="n">
        <v>280000</v>
      </c>
      <c r="P4" s="50" t="n">
        <v>207000</v>
      </c>
      <c r="Q4" s="50" t="n">
        <v>195700</v>
      </c>
      <c r="R4" s="50" t="n">
        <v>110500</v>
      </c>
      <c r="S4" s="51" t="n">
        <v>2.4</v>
      </c>
      <c r="T4" s="51" t="n">
        <v>132</v>
      </c>
      <c r="U4" s="51" t="n">
        <v>1.2</v>
      </c>
      <c r="V4" s="12" t="s">
        <v>990</v>
      </c>
      <c r="W4" s="12" t="s">
        <v>990</v>
      </c>
      <c r="X4" s="12" t="s">
        <v>990</v>
      </c>
      <c r="Y4" s="12" t="s">
        <v>2457</v>
      </c>
      <c r="Z4" s="12" t="s">
        <v>3938</v>
      </c>
      <c r="AA4" s="12" t="s">
        <v>2457</v>
      </c>
      <c r="AB4" s="12" t="s">
        <v>3939</v>
      </c>
      <c r="AC4" s="27" t="str">
        <f aca="false">IF(N4="","PROVISIONAL_OR_CONFIRMED",IF(COUNT(N4:U4)=8,"COMPLETE","PARTIAL"))</f>
        <v>COMPLETE</v>
      </c>
    </row>
    <row r="5" customFormat="false" ht="15" hidden="false" customHeight="false" outlineLevel="0" collapsed="false">
      <c r="A5" s="12" t="s">
        <v>1012</v>
      </c>
      <c r="B5" s="15" t="s">
        <v>3940</v>
      </c>
      <c r="C5" s="12" t="s">
        <v>3941</v>
      </c>
      <c r="D5" s="12" t="s">
        <v>3800</v>
      </c>
      <c r="E5" s="12" t="s">
        <v>3804</v>
      </c>
      <c r="F5" s="12" t="s">
        <v>979</v>
      </c>
      <c r="G5" s="12" t="s">
        <v>971</v>
      </c>
      <c r="H5" s="12" t="s">
        <v>3925</v>
      </c>
      <c r="I5" s="12" t="s">
        <v>3926</v>
      </c>
      <c r="J5" s="12" t="s">
        <v>3942</v>
      </c>
      <c r="K5" s="12" t="s">
        <v>3928</v>
      </c>
      <c r="L5" s="12" t="s">
        <v>3929</v>
      </c>
      <c r="M5" s="12" t="s">
        <v>1197</v>
      </c>
      <c r="N5" s="50"/>
      <c r="O5" s="50"/>
      <c r="P5" s="50"/>
      <c r="Q5" s="50"/>
      <c r="R5" s="50"/>
      <c r="S5" s="51"/>
      <c r="T5" s="51"/>
      <c r="U5" s="51"/>
      <c r="V5" s="12" t="s">
        <v>978</v>
      </c>
      <c r="W5" s="12" t="s">
        <v>990</v>
      </c>
      <c r="X5" s="12" t="s">
        <v>978</v>
      </c>
      <c r="Y5" s="12" t="s">
        <v>2457</v>
      </c>
      <c r="Z5" s="12" t="s">
        <v>1389</v>
      </c>
      <c r="AA5" s="12"/>
      <c r="AB5" s="12"/>
      <c r="AC5" s="27" t="str">
        <f aca="false">IF(N5="","PROVISIONAL_OR_CONFIRMED",IF(COUNT(N5:U5)=8,"COMPLETE","PARTIAL"))</f>
        <v>PROVISIONAL_OR_CONFIRMED</v>
      </c>
    </row>
    <row r="6" customFormat="false" ht="15" hidden="false" customHeight="false" outlineLevel="0" collapsed="false">
      <c r="A6" s="12" t="s">
        <v>1138</v>
      </c>
      <c r="B6" s="15" t="s">
        <v>3943</v>
      </c>
      <c r="C6" s="12" t="s">
        <v>3941</v>
      </c>
      <c r="D6" s="12" t="s">
        <v>3865</v>
      </c>
      <c r="E6" s="12" t="s">
        <v>3869</v>
      </c>
      <c r="F6" s="12" t="s">
        <v>979</v>
      </c>
      <c r="G6" s="12" t="s">
        <v>971</v>
      </c>
      <c r="H6" s="12"/>
      <c r="I6" s="12"/>
      <c r="J6" s="12"/>
      <c r="K6" s="12"/>
      <c r="L6" s="12"/>
      <c r="M6" s="12"/>
      <c r="N6" s="50"/>
      <c r="O6" s="50"/>
      <c r="P6" s="50"/>
      <c r="Q6" s="50"/>
      <c r="R6" s="50"/>
      <c r="S6" s="51"/>
      <c r="T6" s="51"/>
      <c r="U6" s="51"/>
      <c r="V6" s="12"/>
      <c r="W6" s="12"/>
      <c r="X6" s="12"/>
      <c r="Y6" s="12"/>
      <c r="Z6" s="12"/>
      <c r="AA6" s="12"/>
      <c r="AB6" s="12"/>
      <c r="AC6" s="27" t="str">
        <f aca="false">IF(N6="","PROVISIONAL_OR_CONFIRMED",IF(COUNT(N6:U6)=8,"COMPLETE","PARTIAL"))</f>
        <v>PROVISIONAL_OR_CONFIRMED</v>
      </c>
    </row>
    <row r="7" customFormat="false" ht="15" hidden="false" customHeight="false" outlineLevel="0" collapsed="false">
      <c r="A7" s="12" t="s">
        <v>3830</v>
      </c>
      <c r="B7" s="15" t="s">
        <v>3943</v>
      </c>
      <c r="C7" s="12" t="s">
        <v>3941</v>
      </c>
      <c r="D7" s="12" t="s">
        <v>3825</v>
      </c>
      <c r="E7" s="12" t="s">
        <v>3829</v>
      </c>
      <c r="F7" s="12" t="s">
        <v>979</v>
      </c>
      <c r="G7" s="12" t="s">
        <v>971</v>
      </c>
      <c r="H7" s="12"/>
      <c r="I7" s="12"/>
      <c r="J7" s="12"/>
      <c r="K7" s="12"/>
      <c r="L7" s="12"/>
      <c r="M7" s="12"/>
      <c r="N7" s="50"/>
      <c r="O7" s="50"/>
      <c r="P7" s="50"/>
      <c r="Q7" s="50"/>
      <c r="R7" s="50"/>
      <c r="S7" s="51"/>
      <c r="T7" s="51"/>
      <c r="U7" s="51"/>
      <c r="V7" s="12"/>
      <c r="W7" s="12"/>
      <c r="X7" s="12"/>
      <c r="Y7" s="12"/>
      <c r="Z7" s="12"/>
      <c r="AA7" s="12"/>
      <c r="AB7" s="12"/>
      <c r="AC7" s="27" t="str">
        <f aca="false">IF(N7="","PROVISIONAL_OR_CONFIRMED",IF(COUNT(N7:U7)=8,"COMPLETE","PARTIAL"))</f>
        <v>PROVISIONAL_OR_CONFIRMED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22"/>
    <col collapsed="false" customWidth="true" hidden="false" outlineLevel="0" max="4" min="4" style="0" width="13"/>
    <col collapsed="false" customWidth="true" hidden="false" outlineLevel="0" max="5" min="5" style="0" width="18"/>
    <col collapsed="false" customWidth="true" hidden="false" outlineLevel="0" max="6" min="6" style="0" width="15"/>
    <col collapsed="false" customWidth="true" hidden="false" outlineLevel="0" max="8" min="7" style="0" width="13"/>
    <col collapsed="false" customWidth="true" hidden="false" outlineLevel="0" max="9" min="9" style="0" width="21"/>
    <col collapsed="false" customWidth="true" hidden="false" outlineLevel="0" max="10" min="10" style="0" width="16"/>
    <col collapsed="false" customWidth="true" hidden="false" outlineLevel="0" max="11" min="11" style="0" width="15"/>
    <col collapsed="false" customWidth="true" hidden="false" outlineLevel="0" max="12" min="12" style="0" width="16"/>
    <col collapsed="false" customWidth="true" hidden="false" outlineLevel="0" max="13" min="13" style="0" width="24"/>
    <col collapsed="false" customWidth="true" hidden="false" outlineLevel="0" max="14" min="14" style="0" width="27"/>
    <col collapsed="false" customWidth="true" hidden="false" outlineLevel="0" max="15" min="15" style="0" width="17"/>
    <col collapsed="false" customWidth="true" hidden="false" outlineLevel="0" max="16" min="16" style="0" width="21"/>
    <col collapsed="false" customWidth="true" hidden="false" outlineLevel="0" max="17" min="17" style="0" width="20"/>
    <col collapsed="false" customWidth="true" hidden="false" outlineLevel="0" max="18" min="18" style="0" width="16"/>
    <col collapsed="false" customWidth="true" hidden="false" outlineLevel="0" max="19" min="19" style="0" width="13"/>
    <col collapsed="false" customWidth="true" hidden="false" outlineLevel="0" max="21" min="20" style="0" width="11"/>
    <col collapsed="false" customWidth="true" hidden="false" outlineLevel="0" max="22" min="22" style="0" width="9"/>
    <col collapsed="false" customWidth="true" hidden="false" outlineLevel="0" max="23" min="23" style="0" width="68"/>
  </cols>
  <sheetData>
    <row r="1" customFormat="false" ht="16.15" hidden="false" customHeight="false" outlineLevel="0" collapsed="false">
      <c r="A1" s="8" t="s">
        <v>3944</v>
      </c>
    </row>
    <row r="2" customFormat="false" ht="30" hidden="false" customHeight="true" outlineLevel="0" collapsed="false">
      <c r="A2" s="9" t="s">
        <v>3945</v>
      </c>
      <c r="B2" s="9" t="s">
        <v>3946</v>
      </c>
      <c r="C2" s="9" t="s">
        <v>2419</v>
      </c>
      <c r="D2" s="9" t="s">
        <v>2421</v>
      </c>
      <c r="E2" s="9" t="s">
        <v>2420</v>
      </c>
      <c r="F2" s="9" t="s">
        <v>3947</v>
      </c>
      <c r="G2" s="9" t="s">
        <v>3948</v>
      </c>
      <c r="H2" s="9" t="s">
        <v>3949</v>
      </c>
      <c r="I2" s="9" t="s">
        <v>965</v>
      </c>
      <c r="J2" s="9" t="s">
        <v>3950</v>
      </c>
      <c r="K2" s="9" t="s">
        <v>3951</v>
      </c>
      <c r="L2" s="9" t="s">
        <v>3952</v>
      </c>
      <c r="M2" s="9" t="s">
        <v>3953</v>
      </c>
      <c r="N2" s="9" t="s">
        <v>3954</v>
      </c>
      <c r="O2" s="9" t="s">
        <v>3955</v>
      </c>
      <c r="P2" s="9" t="s">
        <v>3956</v>
      </c>
      <c r="Q2" s="9" t="s">
        <v>1460</v>
      </c>
      <c r="R2" s="9" t="s">
        <v>3957</v>
      </c>
      <c r="S2" s="9" t="s">
        <v>3958</v>
      </c>
      <c r="T2" s="9" t="s">
        <v>2429</v>
      </c>
      <c r="U2" s="9" t="s">
        <v>2430</v>
      </c>
      <c r="V2" s="9" t="s">
        <v>2327</v>
      </c>
      <c r="W2" s="9" t="s">
        <v>3775</v>
      </c>
    </row>
    <row r="3" customFormat="false" ht="27.75" hidden="false" customHeight="true" outlineLevel="0" collapsed="false">
      <c r="A3" s="12" t="s">
        <v>992</v>
      </c>
      <c r="B3" s="12" t="s">
        <v>3959</v>
      </c>
      <c r="C3" s="12" t="s">
        <v>2434</v>
      </c>
      <c r="D3" s="12" t="n">
        <v>0</v>
      </c>
      <c r="E3" s="12" t="s">
        <v>2435</v>
      </c>
      <c r="F3" s="12"/>
      <c r="G3" s="15" t="s">
        <v>3960</v>
      </c>
      <c r="H3" s="15" t="s">
        <v>3960</v>
      </c>
      <c r="I3" s="27" t="str">
        <f aca="false">IF(AND(G3="SELF",H3="SELF"),"FULL",IF(AND(G3="SELF",H3="COUNTERPARTY"),"RECHARGE_OUT",IF(AND(G3="COUNTERPARTY",H3="SELF"),"RECHARGE_IN","NONE")))</f>
        <v>FULL</v>
      </c>
      <c r="J3" s="24" t="str">
        <f aca="false">IF(G3="SELF","Y","N")</f>
        <v>Y</v>
      </c>
      <c r="K3" s="24" t="str">
        <f aca="false">IF(G3="SELF","Y","N")</f>
        <v>Y</v>
      </c>
      <c r="L3" s="24" t="str">
        <f aca="false">IF(G3="SELF","Y","N")</f>
        <v>Y</v>
      </c>
      <c r="M3" s="24" t="str">
        <f aca="false">IF(G3="SELF","Y","N")</f>
        <v>Y</v>
      </c>
      <c r="N3" s="24" t="str">
        <f aca="false">IF(I3="RECHARGE_IN","Y","N")</f>
        <v>N</v>
      </c>
      <c r="O3" s="24" t="str">
        <f aca="false">IF(I3="RECHARGE_OUT","Y","N")</f>
        <v>N</v>
      </c>
      <c r="P3" s="12" t="s">
        <v>990</v>
      </c>
      <c r="Q3" s="12" t="s">
        <v>1482</v>
      </c>
      <c r="R3" s="12"/>
      <c r="S3" s="12"/>
      <c r="T3" s="12" t="s">
        <v>2437</v>
      </c>
      <c r="U3" s="12"/>
      <c r="V3" s="12" t="s">
        <v>1197</v>
      </c>
      <c r="W3" s="46" t="s">
        <v>3961</v>
      </c>
    </row>
    <row r="4" customFormat="false" ht="27.75" hidden="false" customHeight="true" outlineLevel="0" collapsed="false">
      <c r="A4" s="12" t="s">
        <v>3962</v>
      </c>
      <c r="B4" s="12" t="s">
        <v>3963</v>
      </c>
      <c r="C4" s="12" t="s">
        <v>3964</v>
      </c>
      <c r="D4" s="12" t="n">
        <v>10</v>
      </c>
      <c r="E4" s="12" t="s">
        <v>3965</v>
      </c>
      <c r="F4" s="12" t="s">
        <v>3881</v>
      </c>
      <c r="G4" s="15" t="s">
        <v>3966</v>
      </c>
      <c r="H4" s="15" t="s">
        <v>3966</v>
      </c>
      <c r="I4" s="27" t="str">
        <f aca="false">IF(AND(G4="SELF",H4="SELF"),"FULL",IF(AND(G4="SELF",H4="COUNTERPARTY"),"RECHARGE_OUT",IF(AND(G4="COUNTERPARTY",H4="SELF"),"RECHARGE_IN","NONE")))</f>
        <v>NONE</v>
      </c>
      <c r="J4" s="24" t="str">
        <f aca="false">IF(G4="SELF","Y","N")</f>
        <v>N</v>
      </c>
      <c r="K4" s="24" t="str">
        <f aca="false">IF(G4="SELF","Y","N")</f>
        <v>N</v>
      </c>
      <c r="L4" s="24" t="str">
        <f aca="false">IF(G4="SELF","Y","N")</f>
        <v>N</v>
      </c>
      <c r="M4" s="24" t="str">
        <f aca="false">IF(G4="SELF","Y","N")</f>
        <v>N</v>
      </c>
      <c r="N4" s="24" t="str">
        <f aca="false">IF(I4="RECHARGE_IN","Y","N")</f>
        <v>N</v>
      </c>
      <c r="O4" s="24" t="str">
        <f aca="false">IF(I4="RECHARGE_OUT","Y","N")</f>
        <v>N</v>
      </c>
      <c r="P4" s="12" t="s">
        <v>978</v>
      </c>
      <c r="Q4" s="12" t="s">
        <v>3967</v>
      </c>
      <c r="R4" s="12"/>
      <c r="S4" s="12" t="s">
        <v>3968</v>
      </c>
      <c r="T4" s="12" t="s">
        <v>2437</v>
      </c>
      <c r="U4" s="12"/>
      <c r="V4" s="12" t="s">
        <v>1197</v>
      </c>
      <c r="W4" s="46" t="s">
        <v>3969</v>
      </c>
    </row>
    <row r="5" customFormat="false" ht="27.75" hidden="false" customHeight="true" outlineLevel="0" collapsed="false">
      <c r="A5" s="12" t="s">
        <v>3970</v>
      </c>
      <c r="B5" s="12" t="s">
        <v>3971</v>
      </c>
      <c r="C5" s="12" t="s">
        <v>3964</v>
      </c>
      <c r="D5" s="12" t="n">
        <v>10</v>
      </c>
      <c r="E5" s="12" t="s">
        <v>3972</v>
      </c>
      <c r="F5" s="12" t="s">
        <v>3973</v>
      </c>
      <c r="G5" s="15" t="s">
        <v>3960</v>
      </c>
      <c r="H5" s="15" t="s">
        <v>3960</v>
      </c>
      <c r="I5" s="27" t="str">
        <f aca="false">IF(AND(G5="SELF",H5="SELF"),"FULL",IF(AND(G5="SELF",H5="COUNTERPARTY"),"RECHARGE_OUT",IF(AND(G5="COUNTERPARTY",H5="SELF"),"RECHARGE_IN","NONE")))</f>
        <v>FULL</v>
      </c>
      <c r="J5" s="24" t="str">
        <f aca="false">IF(G5="SELF","Y","N")</f>
        <v>Y</v>
      </c>
      <c r="K5" s="24" t="str">
        <f aca="false">IF(G5="SELF","Y","N")</f>
        <v>Y</v>
      </c>
      <c r="L5" s="24" t="str">
        <f aca="false">IF(G5="SELF","Y","N")</f>
        <v>Y</v>
      </c>
      <c r="M5" s="24" t="str">
        <f aca="false">IF(G5="SELF","Y","N")</f>
        <v>Y</v>
      </c>
      <c r="N5" s="24" t="str">
        <f aca="false">IF(I5="RECHARGE_IN","Y","N")</f>
        <v>N</v>
      </c>
      <c r="O5" s="24" t="str">
        <f aca="false">IF(I5="RECHARGE_OUT","Y","N")</f>
        <v>N</v>
      </c>
      <c r="P5" s="12" t="s">
        <v>990</v>
      </c>
      <c r="Q5" s="12" t="s">
        <v>1482</v>
      </c>
      <c r="R5" s="12"/>
      <c r="S5" s="12" t="s">
        <v>3974</v>
      </c>
      <c r="T5" s="12" t="s">
        <v>2437</v>
      </c>
      <c r="U5" s="12"/>
      <c r="V5" s="12" t="s">
        <v>1197</v>
      </c>
      <c r="W5" s="46" t="s">
        <v>3975</v>
      </c>
    </row>
    <row r="6" customFormat="false" ht="27.75" hidden="false" customHeight="true" outlineLevel="0" collapsed="false">
      <c r="A6" s="12" t="s">
        <v>3976</v>
      </c>
      <c r="B6" s="12" t="s">
        <v>3977</v>
      </c>
      <c r="C6" s="12" t="s">
        <v>3978</v>
      </c>
      <c r="D6" s="12" t="n">
        <v>50</v>
      </c>
      <c r="E6" s="12" t="s">
        <v>3979</v>
      </c>
      <c r="F6" s="12" t="s">
        <v>3980</v>
      </c>
      <c r="G6" s="15" t="s">
        <v>3960</v>
      </c>
      <c r="H6" s="15" t="s">
        <v>3960</v>
      </c>
      <c r="I6" s="27" t="str">
        <f aca="false">IF(AND(G6="SELF",H6="SELF"),"FULL",IF(AND(G6="SELF",H6="COUNTERPARTY"),"RECHARGE_OUT",IF(AND(G6="COUNTERPARTY",H6="SELF"),"RECHARGE_IN","NONE")))</f>
        <v>FULL</v>
      </c>
      <c r="J6" s="24" t="str">
        <f aca="false">IF(G6="SELF","Y","N")</f>
        <v>Y</v>
      </c>
      <c r="K6" s="24" t="str">
        <f aca="false">IF(G6="SELF","Y","N")</f>
        <v>Y</v>
      </c>
      <c r="L6" s="24" t="str">
        <f aca="false">IF(G6="SELF","Y","N")</f>
        <v>Y</v>
      </c>
      <c r="M6" s="24" t="str">
        <f aca="false">IF(G6="SELF","Y","N")</f>
        <v>Y</v>
      </c>
      <c r="N6" s="24" t="str">
        <f aca="false">IF(I6="RECHARGE_IN","Y","N")</f>
        <v>N</v>
      </c>
      <c r="O6" s="24" t="str">
        <f aca="false">IF(I6="RECHARGE_OUT","Y","N")</f>
        <v>N</v>
      </c>
      <c r="P6" s="12" t="s">
        <v>978</v>
      </c>
      <c r="Q6" s="12" t="s">
        <v>1482</v>
      </c>
      <c r="R6" s="12"/>
      <c r="S6" s="12" t="s">
        <v>3981</v>
      </c>
      <c r="T6" s="12" t="s">
        <v>2688</v>
      </c>
      <c r="U6" s="12" t="s">
        <v>3982</v>
      </c>
      <c r="V6" s="12" t="s">
        <v>1197</v>
      </c>
      <c r="W6" s="46" t="s">
        <v>3983</v>
      </c>
    </row>
    <row r="7" customFormat="false" ht="27.75" hidden="false" customHeight="true" outlineLevel="0" collapsed="false">
      <c r="A7" s="12" t="s">
        <v>3984</v>
      </c>
      <c r="B7" s="12" t="s">
        <v>3977</v>
      </c>
      <c r="C7" s="12" t="s">
        <v>3978</v>
      </c>
      <c r="D7" s="12" t="n">
        <v>50</v>
      </c>
      <c r="E7" s="12" t="s">
        <v>3985</v>
      </c>
      <c r="F7" s="12" t="s">
        <v>3980</v>
      </c>
      <c r="G7" s="15" t="s">
        <v>3960</v>
      </c>
      <c r="H7" s="15" t="s">
        <v>3966</v>
      </c>
      <c r="I7" s="27" t="str">
        <f aca="false">IF(AND(G7="SELF",H7="SELF"),"FULL",IF(AND(G7="SELF",H7="COUNTERPARTY"),"RECHARGE_OUT",IF(AND(G7="COUNTERPARTY",H7="SELF"),"RECHARGE_IN","NONE")))</f>
        <v>RECHARGE_OUT</v>
      </c>
      <c r="J7" s="24" t="str">
        <f aca="false">IF(G7="SELF","Y","N")</f>
        <v>Y</v>
      </c>
      <c r="K7" s="24" t="str">
        <f aca="false">IF(G7="SELF","Y","N")</f>
        <v>Y</v>
      </c>
      <c r="L7" s="24" t="str">
        <f aca="false">IF(G7="SELF","Y","N")</f>
        <v>Y</v>
      </c>
      <c r="M7" s="24" t="str">
        <f aca="false">IF(G7="SELF","Y","N")</f>
        <v>Y</v>
      </c>
      <c r="N7" s="24" t="str">
        <f aca="false">IF(I7="RECHARGE_IN","Y","N")</f>
        <v>N</v>
      </c>
      <c r="O7" s="24" t="str">
        <f aca="false">IF(I7="RECHARGE_OUT","Y","N")</f>
        <v>Y</v>
      </c>
      <c r="P7" s="12" t="s">
        <v>978</v>
      </c>
      <c r="Q7" s="12" t="s">
        <v>3986</v>
      </c>
      <c r="R7" s="12" t="s">
        <v>3980</v>
      </c>
      <c r="S7" s="12" t="s">
        <v>3987</v>
      </c>
      <c r="T7" s="12" t="s">
        <v>2688</v>
      </c>
      <c r="U7" s="12" t="s">
        <v>3982</v>
      </c>
      <c r="V7" s="12" t="s">
        <v>1197</v>
      </c>
      <c r="W7" s="46" t="s">
        <v>3988</v>
      </c>
    </row>
    <row r="8" customFormat="false" ht="27.75" hidden="false" customHeight="true" outlineLevel="0" collapsed="false">
      <c r="A8" s="12" t="s">
        <v>3989</v>
      </c>
      <c r="B8" s="12" t="s">
        <v>3977</v>
      </c>
      <c r="C8" s="12" t="s">
        <v>3978</v>
      </c>
      <c r="D8" s="12" t="n">
        <v>50</v>
      </c>
      <c r="E8" s="12" t="s">
        <v>3990</v>
      </c>
      <c r="F8" s="12" t="s">
        <v>3980</v>
      </c>
      <c r="G8" s="15" t="s">
        <v>3966</v>
      </c>
      <c r="H8" s="15" t="s">
        <v>3960</v>
      </c>
      <c r="I8" s="27" t="str">
        <f aca="false">IF(AND(G8="SELF",H8="SELF"),"FULL",IF(AND(G8="SELF",H8="COUNTERPARTY"),"RECHARGE_OUT",IF(AND(G8="COUNTERPARTY",H8="SELF"),"RECHARGE_IN","NONE")))</f>
        <v>RECHARGE_IN</v>
      </c>
      <c r="J8" s="24" t="str">
        <f aca="false">IF(G8="SELF","Y","N")</f>
        <v>N</v>
      </c>
      <c r="K8" s="24" t="str">
        <f aca="false">IF(G8="SELF","Y","N")</f>
        <v>N</v>
      </c>
      <c r="L8" s="24" t="str">
        <f aca="false">IF(G8="SELF","Y","N")</f>
        <v>N</v>
      </c>
      <c r="M8" s="24" t="str">
        <f aca="false">IF(G8="SELF","Y","N")</f>
        <v>N</v>
      </c>
      <c r="N8" s="24" t="str">
        <f aca="false">IF(I8="RECHARGE_IN","Y","N")</f>
        <v>Y</v>
      </c>
      <c r="O8" s="24" t="str">
        <f aca="false">IF(I8="RECHARGE_OUT","Y","N")</f>
        <v>N</v>
      </c>
      <c r="P8" s="12" t="s">
        <v>978</v>
      </c>
      <c r="Q8" s="12" t="s">
        <v>1482</v>
      </c>
      <c r="R8" s="12" t="s">
        <v>3980</v>
      </c>
      <c r="S8" s="12" t="s">
        <v>3991</v>
      </c>
      <c r="T8" s="12" t="s">
        <v>2688</v>
      </c>
      <c r="U8" s="12" t="s">
        <v>3982</v>
      </c>
      <c r="V8" s="12" t="s">
        <v>1197</v>
      </c>
      <c r="W8" s="46" t="s">
        <v>3992</v>
      </c>
    </row>
    <row r="9" customFormat="false" ht="27.75" hidden="false" customHeight="true" outlineLevel="0" collapsed="false">
      <c r="A9" s="12" t="s">
        <v>3993</v>
      </c>
      <c r="B9" s="12" t="s">
        <v>3977</v>
      </c>
      <c r="C9" s="12" t="s">
        <v>3978</v>
      </c>
      <c r="D9" s="12" t="n">
        <v>50</v>
      </c>
      <c r="E9" s="12" t="s">
        <v>3994</v>
      </c>
      <c r="F9" s="12" t="s">
        <v>3980</v>
      </c>
      <c r="G9" s="15" t="s">
        <v>3966</v>
      </c>
      <c r="H9" s="15" t="s">
        <v>3966</v>
      </c>
      <c r="I9" s="27" t="str">
        <f aca="false">IF(AND(G9="SELF",H9="SELF"),"FULL",IF(AND(G9="SELF",H9="COUNTERPARTY"),"RECHARGE_OUT",IF(AND(G9="COUNTERPARTY",H9="SELF"),"RECHARGE_IN","NONE")))</f>
        <v>NONE</v>
      </c>
      <c r="J9" s="24" t="str">
        <f aca="false">IF(G9="SELF","Y","N")</f>
        <v>N</v>
      </c>
      <c r="K9" s="24" t="str">
        <f aca="false">IF(G9="SELF","Y","N")</f>
        <v>N</v>
      </c>
      <c r="L9" s="24" t="str">
        <f aca="false">IF(G9="SELF","Y","N")</f>
        <v>N</v>
      </c>
      <c r="M9" s="24" t="str">
        <f aca="false">IF(G9="SELF","Y","N")</f>
        <v>N</v>
      </c>
      <c r="N9" s="24" t="str">
        <f aca="false">IF(I9="RECHARGE_IN","Y","N")</f>
        <v>N</v>
      </c>
      <c r="O9" s="24" t="str">
        <f aca="false">IF(I9="RECHARGE_OUT","Y","N")</f>
        <v>N</v>
      </c>
      <c r="P9" s="12" t="s">
        <v>978</v>
      </c>
      <c r="Q9" s="12" t="s">
        <v>3967</v>
      </c>
      <c r="R9" s="12"/>
      <c r="S9" s="12" t="s">
        <v>3995</v>
      </c>
      <c r="T9" s="12" t="s">
        <v>2688</v>
      </c>
      <c r="U9" s="12" t="s">
        <v>3982</v>
      </c>
      <c r="V9" s="12" t="s">
        <v>1197</v>
      </c>
      <c r="W9" s="46" t="s">
        <v>3996</v>
      </c>
    </row>
    <row r="10" customFormat="false" ht="27.75" hidden="false" customHeight="true" outlineLevel="0" collapsed="false">
      <c r="A10" s="12" t="s">
        <v>3997</v>
      </c>
      <c r="B10" s="12" t="s">
        <v>3998</v>
      </c>
      <c r="C10" s="12" t="s">
        <v>3978</v>
      </c>
      <c r="D10" s="12" t="n">
        <v>50</v>
      </c>
      <c r="E10" s="12" t="s">
        <v>1097</v>
      </c>
      <c r="F10" s="12" t="s">
        <v>3999</v>
      </c>
      <c r="G10" s="15" t="s">
        <v>3960</v>
      </c>
      <c r="H10" s="15" t="s">
        <v>3966</v>
      </c>
      <c r="I10" s="27" t="str">
        <f aca="false">IF(AND(G10="SELF",H10="SELF"),"FULL",IF(AND(G10="SELF",H10="COUNTERPARTY"),"RECHARGE_OUT",IF(AND(G10="COUNTERPARTY",H10="SELF"),"RECHARGE_IN","NONE")))</f>
        <v>RECHARGE_OUT</v>
      </c>
      <c r="J10" s="24" t="str">
        <f aca="false">IF(G10="SELF","Y","N")</f>
        <v>Y</v>
      </c>
      <c r="K10" s="24" t="str">
        <f aca="false">IF(G10="SELF","Y","N")</f>
        <v>Y</v>
      </c>
      <c r="L10" s="24" t="str">
        <f aca="false">IF(G10="SELF","Y","N")</f>
        <v>Y</v>
      </c>
      <c r="M10" s="24" t="str">
        <f aca="false">IF(G10="SELF","Y","N")</f>
        <v>Y</v>
      </c>
      <c r="N10" s="24" t="str">
        <f aca="false">IF(I10="RECHARGE_IN","Y","N")</f>
        <v>N</v>
      </c>
      <c r="O10" s="24" t="str">
        <f aca="false">IF(I10="RECHARGE_OUT","Y","N")</f>
        <v>Y</v>
      </c>
      <c r="P10" s="12" t="s">
        <v>990</v>
      </c>
      <c r="Q10" s="12" t="s">
        <v>3986</v>
      </c>
      <c r="R10" s="12" t="s">
        <v>3999</v>
      </c>
      <c r="S10" s="12" t="s">
        <v>4000</v>
      </c>
      <c r="T10" s="12" t="s">
        <v>4001</v>
      </c>
      <c r="U10" s="12" t="s">
        <v>4002</v>
      </c>
      <c r="V10" s="12" t="s">
        <v>1197</v>
      </c>
      <c r="W10" s="46" t="s">
        <v>4003</v>
      </c>
    </row>
    <row r="11" customFormat="false" ht="27.75" hidden="false" customHeight="true" outlineLevel="0" collapsed="false">
      <c r="A11" s="12" t="s">
        <v>4004</v>
      </c>
      <c r="B11" s="12" t="s">
        <v>3998</v>
      </c>
      <c r="C11" s="12" t="s">
        <v>3978</v>
      </c>
      <c r="D11" s="12" t="n">
        <v>50</v>
      </c>
      <c r="E11" s="12" t="s">
        <v>1107</v>
      </c>
      <c r="F11" s="12" t="s">
        <v>3999</v>
      </c>
      <c r="G11" s="15" t="s">
        <v>3966</v>
      </c>
      <c r="H11" s="15" t="s">
        <v>3966</v>
      </c>
      <c r="I11" s="27" t="str">
        <f aca="false">IF(AND(G11="SELF",H11="SELF"),"FULL",IF(AND(G11="SELF",H11="COUNTERPARTY"),"RECHARGE_OUT",IF(AND(G11="COUNTERPARTY",H11="SELF"),"RECHARGE_IN","NONE")))</f>
        <v>NONE</v>
      </c>
      <c r="J11" s="24" t="str">
        <f aca="false">IF(G11="SELF","Y","N")</f>
        <v>N</v>
      </c>
      <c r="K11" s="24" t="str">
        <f aca="false">IF(G11="SELF","Y","N")</f>
        <v>N</v>
      </c>
      <c r="L11" s="24" t="str">
        <f aca="false">IF(G11="SELF","Y","N")</f>
        <v>N</v>
      </c>
      <c r="M11" s="24" t="str">
        <f aca="false">IF(G11="SELF","Y","N")</f>
        <v>N</v>
      </c>
      <c r="N11" s="24" t="str">
        <f aca="false">IF(I11="RECHARGE_IN","Y","N")</f>
        <v>N</v>
      </c>
      <c r="O11" s="24" t="str">
        <f aca="false">IF(I11="RECHARGE_OUT","Y","N")</f>
        <v>N</v>
      </c>
      <c r="P11" s="12" t="s">
        <v>990</v>
      </c>
      <c r="Q11" s="12" t="s">
        <v>3967</v>
      </c>
      <c r="R11" s="12"/>
      <c r="S11" s="12" t="s">
        <v>4005</v>
      </c>
      <c r="T11" s="12" t="s">
        <v>4001</v>
      </c>
      <c r="U11" s="12" t="s">
        <v>4002</v>
      </c>
      <c r="V11" s="12" t="s">
        <v>1197</v>
      </c>
      <c r="W11" s="46" t="s">
        <v>4006</v>
      </c>
    </row>
    <row r="12" customFormat="false" ht="27.75" hidden="false" customHeight="true" outlineLevel="0" collapsed="false">
      <c r="A12" s="12" t="s">
        <v>4007</v>
      </c>
      <c r="B12" s="12" t="s">
        <v>4008</v>
      </c>
      <c r="C12" s="12" t="s">
        <v>3978</v>
      </c>
      <c r="D12" s="12" t="n">
        <v>50</v>
      </c>
      <c r="E12" s="12" t="s">
        <v>4009</v>
      </c>
      <c r="F12" s="12" t="s">
        <v>3980</v>
      </c>
      <c r="G12" s="15" t="s">
        <v>3960</v>
      </c>
      <c r="H12" s="15" t="s">
        <v>3960</v>
      </c>
      <c r="I12" s="27" t="str">
        <f aca="false">IF(AND(G12="SELF",H12="SELF"),"FULL",IF(AND(G12="SELF",H12="COUNTERPARTY"),"RECHARGE_OUT",IF(AND(G12="COUNTERPARTY",H12="SELF"),"RECHARGE_IN","NONE")))</f>
        <v>FULL</v>
      </c>
      <c r="J12" s="24" t="str">
        <f aca="false">IF(G12="SELF","Y","N")</f>
        <v>Y</v>
      </c>
      <c r="K12" s="24" t="str">
        <f aca="false">IF(G12="SELF","Y","N")</f>
        <v>Y</v>
      </c>
      <c r="L12" s="24" t="str">
        <f aca="false">IF(G12="SELF","Y","N")</f>
        <v>Y</v>
      </c>
      <c r="M12" s="24" t="str">
        <f aca="false">IF(G12="SELF","Y","N")</f>
        <v>Y</v>
      </c>
      <c r="N12" s="24" t="str">
        <f aca="false">IF(I12="RECHARGE_IN","Y","N")</f>
        <v>N</v>
      </c>
      <c r="O12" s="24" t="str">
        <f aca="false">IF(I12="RECHARGE_OUT","Y","N")</f>
        <v>N</v>
      </c>
      <c r="P12" s="12" t="s">
        <v>978</v>
      </c>
      <c r="Q12" s="12" t="s">
        <v>1482</v>
      </c>
      <c r="R12" s="12"/>
      <c r="S12" s="12" t="s">
        <v>4010</v>
      </c>
      <c r="T12" s="12" t="s">
        <v>2444</v>
      </c>
      <c r="U12" s="12" t="s">
        <v>4011</v>
      </c>
      <c r="V12" s="12" t="s">
        <v>1197</v>
      </c>
      <c r="W12" s="46" t="s">
        <v>4012</v>
      </c>
    </row>
    <row r="13" customFormat="false" ht="27.75" hidden="false" customHeight="true" outlineLevel="0" collapsed="false">
      <c r="A13" s="12" t="s">
        <v>4013</v>
      </c>
      <c r="B13" s="12" t="s">
        <v>4014</v>
      </c>
      <c r="C13" s="12" t="s">
        <v>2434</v>
      </c>
      <c r="D13" s="12" t="n">
        <v>0</v>
      </c>
      <c r="E13" s="12" t="s">
        <v>2435</v>
      </c>
      <c r="F13" s="12"/>
      <c r="G13" s="15" t="s">
        <v>3960</v>
      </c>
      <c r="H13" s="15" t="s">
        <v>3960</v>
      </c>
      <c r="I13" s="27" t="str">
        <f aca="false">IF(AND(G13="SELF",H13="SELF"),"FULL",IF(AND(G13="SELF",H13="COUNTERPARTY"),"RECHARGE_OUT",IF(AND(G13="COUNTERPARTY",H13="SELF"),"RECHARGE_IN","NONE")))</f>
        <v>FULL</v>
      </c>
      <c r="J13" s="24" t="str">
        <f aca="false">IF(G13="SELF","Y","N")</f>
        <v>Y</v>
      </c>
      <c r="K13" s="24" t="str">
        <f aca="false">IF(G13="SELF","Y","N")</f>
        <v>Y</v>
      </c>
      <c r="L13" s="24" t="str">
        <f aca="false">IF(G13="SELF","Y","N")</f>
        <v>Y</v>
      </c>
      <c r="M13" s="24" t="str">
        <f aca="false">IF(G13="SELF","Y","N")</f>
        <v>Y</v>
      </c>
      <c r="N13" s="24" t="str">
        <f aca="false">IF(I13="RECHARGE_IN","Y","N")</f>
        <v>N</v>
      </c>
      <c r="O13" s="24" t="str">
        <f aca="false">IF(I13="RECHARGE_OUT","Y","N")</f>
        <v>N</v>
      </c>
      <c r="P13" s="12" t="s">
        <v>990</v>
      </c>
      <c r="Q13" s="12" t="s">
        <v>1482</v>
      </c>
      <c r="R13" s="12"/>
      <c r="S13" s="12"/>
      <c r="T13" s="12" t="s">
        <v>2437</v>
      </c>
      <c r="U13" s="12"/>
      <c r="V13" s="12" t="s">
        <v>1197</v>
      </c>
      <c r="W13" s="46" t="s">
        <v>4015</v>
      </c>
    </row>
    <row r="14" customFormat="false" ht="27.75" hidden="false" customHeight="true" outlineLevel="0" collapsed="false">
      <c r="A14" s="12" t="s">
        <v>4016</v>
      </c>
      <c r="B14" s="12" t="s">
        <v>4017</v>
      </c>
      <c r="C14" s="12" t="s">
        <v>4018</v>
      </c>
      <c r="D14" s="12" t="n">
        <v>30</v>
      </c>
      <c r="E14" s="12" t="s">
        <v>4019</v>
      </c>
      <c r="F14" s="12"/>
      <c r="G14" s="15" t="s">
        <v>3960</v>
      </c>
      <c r="H14" s="15" t="s">
        <v>3960</v>
      </c>
      <c r="I14" s="27" t="str">
        <f aca="false">IF(AND(G14="SELF",H14="SELF"),"FULL",IF(AND(G14="SELF",H14="COUNTERPARTY"),"RECHARGE_OUT",IF(AND(G14="COUNTERPARTY",H14="SELF"),"RECHARGE_IN","NONE")))</f>
        <v>FULL</v>
      </c>
      <c r="J14" s="24" t="str">
        <f aca="false">IF(G14="SELF","Y","N")</f>
        <v>Y</v>
      </c>
      <c r="K14" s="24" t="str">
        <f aca="false">IF(G14="SELF","Y","N")</f>
        <v>Y</v>
      </c>
      <c r="L14" s="24" t="str">
        <f aca="false">IF(G14="SELF","Y","N")</f>
        <v>Y</v>
      </c>
      <c r="M14" s="24" t="str">
        <f aca="false">IF(G14="SELF","Y","N")</f>
        <v>Y</v>
      </c>
      <c r="N14" s="24" t="str">
        <f aca="false">IF(I14="RECHARGE_IN","Y","N")</f>
        <v>N</v>
      </c>
      <c r="O14" s="24" t="str">
        <f aca="false">IF(I14="RECHARGE_OUT","Y","N")</f>
        <v>N</v>
      </c>
      <c r="P14" s="12" t="s">
        <v>990</v>
      </c>
      <c r="Q14" s="12" t="s">
        <v>1482</v>
      </c>
      <c r="R14" s="12"/>
      <c r="S14" s="12"/>
      <c r="T14" s="12" t="s">
        <v>2437</v>
      </c>
      <c r="U14" s="12"/>
      <c r="V14" s="12" t="s">
        <v>1197</v>
      </c>
      <c r="W14" s="46" t="s">
        <v>4020</v>
      </c>
    </row>
    <row r="15" customFormat="false" ht="27.75" hidden="false" customHeight="true" outlineLevel="0" collapsed="false">
      <c r="A15" s="12" t="s">
        <v>4021</v>
      </c>
      <c r="B15" s="12" t="s">
        <v>4017</v>
      </c>
      <c r="C15" s="12" t="s">
        <v>4022</v>
      </c>
      <c r="D15" s="12" t="n">
        <v>40</v>
      </c>
      <c r="E15" s="12" t="s">
        <v>4023</v>
      </c>
      <c r="F15" s="12"/>
      <c r="G15" s="15" t="s">
        <v>3960</v>
      </c>
      <c r="H15" s="15" t="s">
        <v>3966</v>
      </c>
      <c r="I15" s="27" t="str">
        <f aca="false">IF(AND(G15="SELF",H15="SELF"),"FULL",IF(AND(G15="SELF",H15="COUNTERPARTY"),"RECHARGE_OUT",IF(AND(G15="COUNTERPARTY",H15="SELF"),"RECHARGE_IN","NONE")))</f>
        <v>RECHARGE_OUT</v>
      </c>
      <c r="J15" s="24" t="str">
        <f aca="false">IF(G15="SELF","Y","N")</f>
        <v>Y</v>
      </c>
      <c r="K15" s="24" t="str">
        <f aca="false">IF(G15="SELF","Y","N")</f>
        <v>Y</v>
      </c>
      <c r="L15" s="24" t="str">
        <f aca="false">IF(G15="SELF","Y","N")</f>
        <v>Y</v>
      </c>
      <c r="M15" s="24" t="str">
        <f aca="false">IF(G15="SELF","Y","N")</f>
        <v>Y</v>
      </c>
      <c r="N15" s="24" t="str">
        <f aca="false">IF(I15="RECHARGE_IN","Y","N")</f>
        <v>N</v>
      </c>
      <c r="O15" s="24" t="str">
        <f aca="false">IF(I15="RECHARGE_OUT","Y","N")</f>
        <v>Y</v>
      </c>
      <c r="P15" s="12" t="s">
        <v>990</v>
      </c>
      <c r="Q15" s="12" t="s">
        <v>3986</v>
      </c>
      <c r="R15" s="12" t="s">
        <v>4024</v>
      </c>
      <c r="S15" s="12" t="s">
        <v>4025</v>
      </c>
      <c r="T15" s="12" t="s">
        <v>4026</v>
      </c>
      <c r="U15" s="12" t="s">
        <v>4027</v>
      </c>
      <c r="V15" s="12" t="s">
        <v>1197</v>
      </c>
      <c r="W15" s="46" t="s">
        <v>4028</v>
      </c>
    </row>
    <row r="16" customFormat="false" ht="27.75" hidden="false" customHeight="true" outlineLevel="0" collapsed="false">
      <c r="A16" s="12" t="s">
        <v>4029</v>
      </c>
      <c r="B16" s="12" t="s">
        <v>4030</v>
      </c>
      <c r="C16" s="12" t="s">
        <v>3964</v>
      </c>
      <c r="D16" s="12" t="n">
        <v>10</v>
      </c>
      <c r="E16" s="12" t="s">
        <v>4031</v>
      </c>
      <c r="F16" s="12" t="s">
        <v>4032</v>
      </c>
      <c r="G16" s="15" t="s">
        <v>3960</v>
      </c>
      <c r="H16" s="15" t="s">
        <v>3960</v>
      </c>
      <c r="I16" s="27" t="str">
        <f aca="false">IF(AND(G16="SELF",H16="SELF"),"FULL",IF(AND(G16="SELF",H16="COUNTERPARTY"),"RECHARGE_OUT",IF(AND(G16="COUNTERPARTY",H16="SELF"),"RECHARGE_IN","NONE")))</f>
        <v>FULL</v>
      </c>
      <c r="J16" s="24" t="str">
        <f aca="false">IF(G16="SELF","Y","N")</f>
        <v>Y</v>
      </c>
      <c r="K16" s="24" t="str">
        <f aca="false">IF(G16="SELF","Y","N")</f>
        <v>Y</v>
      </c>
      <c r="L16" s="24" t="str">
        <f aca="false">IF(G16="SELF","Y","N")</f>
        <v>Y</v>
      </c>
      <c r="M16" s="24" t="str">
        <f aca="false">IF(G16="SELF","Y","N")</f>
        <v>Y</v>
      </c>
      <c r="N16" s="24" t="str">
        <f aca="false">IF(I16="RECHARGE_IN","Y","N")</f>
        <v>N</v>
      </c>
      <c r="O16" s="24" t="str">
        <f aca="false">IF(I16="RECHARGE_OUT","Y","N")</f>
        <v>N</v>
      </c>
      <c r="P16" s="12" t="s">
        <v>978</v>
      </c>
      <c r="Q16" s="12" t="s">
        <v>1482</v>
      </c>
      <c r="R16" s="12"/>
      <c r="S16" s="12" t="s">
        <v>4033</v>
      </c>
      <c r="T16" s="12" t="s">
        <v>2437</v>
      </c>
      <c r="U16" s="12"/>
      <c r="V16" s="12" t="s">
        <v>1197</v>
      </c>
      <c r="W16" s="46" t="s">
        <v>4034</v>
      </c>
    </row>
    <row r="17" customFormat="false" ht="27.75" hidden="false" customHeight="true" outlineLevel="0" collapsed="false">
      <c r="A17" s="12" t="s">
        <v>4035</v>
      </c>
      <c r="B17" s="12" t="s">
        <v>4036</v>
      </c>
      <c r="C17" s="12" t="s">
        <v>4037</v>
      </c>
      <c r="D17" s="12" t="n">
        <v>60</v>
      </c>
      <c r="E17" s="12" t="s">
        <v>4038</v>
      </c>
      <c r="F17" s="12" t="s">
        <v>4039</v>
      </c>
      <c r="G17" s="15" t="s">
        <v>3966</v>
      </c>
      <c r="H17" s="15" t="s">
        <v>3966</v>
      </c>
      <c r="I17" s="27" t="str">
        <f aca="false">IF(AND(G17="SELF",H17="SELF"),"FULL",IF(AND(G17="SELF",H17="COUNTERPARTY"),"RECHARGE_OUT",IF(AND(G17="COUNTERPARTY",H17="SELF"),"RECHARGE_IN","NONE")))</f>
        <v>NONE</v>
      </c>
      <c r="J17" s="24" t="str">
        <f aca="false">IF(G17="SELF","Y","N")</f>
        <v>N</v>
      </c>
      <c r="K17" s="24" t="str">
        <f aca="false">IF(G17="SELF","Y","N")</f>
        <v>N</v>
      </c>
      <c r="L17" s="24" t="str">
        <f aca="false">IF(G17="SELF","Y","N")</f>
        <v>N</v>
      </c>
      <c r="M17" s="24" t="str">
        <f aca="false">IF(G17="SELF","Y","N")</f>
        <v>N</v>
      </c>
      <c r="N17" s="24" t="str">
        <f aca="false">IF(I17="RECHARGE_IN","Y","N")</f>
        <v>N</v>
      </c>
      <c r="O17" s="24" t="str">
        <f aca="false">IF(I17="RECHARGE_OUT","Y","N")</f>
        <v>N</v>
      </c>
      <c r="P17" s="12" t="s">
        <v>978</v>
      </c>
      <c r="Q17" s="12" t="s">
        <v>3967</v>
      </c>
      <c r="R17" s="12"/>
      <c r="S17" s="12" t="s">
        <v>4040</v>
      </c>
      <c r="T17" s="12" t="s">
        <v>4041</v>
      </c>
      <c r="U17" s="12" t="s">
        <v>4041</v>
      </c>
      <c r="V17" s="12" t="s">
        <v>1197</v>
      </c>
      <c r="W17" s="46" t="s">
        <v>4042</v>
      </c>
    </row>
    <row r="18" customFormat="false" ht="27.75" hidden="false" customHeight="true" outlineLevel="0" collapsed="false">
      <c r="A18" s="12" t="s">
        <v>4043</v>
      </c>
      <c r="B18" s="12" t="s">
        <v>3959</v>
      </c>
      <c r="C18" s="12" t="s">
        <v>4044</v>
      </c>
      <c r="D18" s="12" t="n">
        <v>20</v>
      </c>
      <c r="E18" s="12" t="s">
        <v>4045</v>
      </c>
      <c r="F18" s="12"/>
      <c r="G18" s="15" t="s">
        <v>3960</v>
      </c>
      <c r="H18" s="15" t="s">
        <v>3960</v>
      </c>
      <c r="I18" s="27" t="str">
        <f aca="false">IF(AND(G18="SELF",H18="SELF"),"FULL",IF(AND(G18="SELF",H18="COUNTERPARTY"),"RECHARGE_OUT",IF(AND(G18="COUNTERPARTY",H18="SELF"),"RECHARGE_IN","NONE")))</f>
        <v>FULL</v>
      </c>
      <c r="J18" s="24" t="str">
        <f aca="false">IF(G18="SELF","Y","N")</f>
        <v>Y</v>
      </c>
      <c r="K18" s="24" t="str">
        <f aca="false">IF(G18="SELF","Y","N")</f>
        <v>Y</v>
      </c>
      <c r="L18" s="24" t="str">
        <f aca="false">IF(G18="SELF","Y","N")</f>
        <v>Y</v>
      </c>
      <c r="M18" s="24" t="str">
        <f aca="false">IF(G18="SELF","Y","N")</f>
        <v>Y</v>
      </c>
      <c r="N18" s="24" t="str">
        <f aca="false">IF(I18="RECHARGE_IN","Y","N")</f>
        <v>N</v>
      </c>
      <c r="O18" s="24" t="str">
        <f aca="false">IF(I18="RECHARGE_OUT","Y","N")</f>
        <v>N</v>
      </c>
      <c r="P18" s="12" t="s">
        <v>990</v>
      </c>
      <c r="Q18" s="12" t="s">
        <v>1482</v>
      </c>
      <c r="R18" s="12"/>
      <c r="S18" s="12"/>
      <c r="T18" s="12" t="s">
        <v>2437</v>
      </c>
      <c r="U18" s="12"/>
      <c r="V18" s="12" t="s">
        <v>1197</v>
      </c>
      <c r="W18" s="46" t="s">
        <v>4046</v>
      </c>
    </row>
    <row r="21" customFormat="false" ht="16.15" hidden="false" customHeight="false" outlineLevel="0" collapsed="false">
      <c r="A21" s="8" t="s">
        <v>4047</v>
      </c>
    </row>
    <row r="22" customFormat="false" ht="15" hidden="false" customHeight="false" outlineLevel="0" collapsed="false">
      <c r="A22" s="17" t="s">
        <v>2421</v>
      </c>
      <c r="B22" s="17" t="s">
        <v>2419</v>
      </c>
      <c r="C22" s="17" t="s">
        <v>4048</v>
      </c>
      <c r="D22" s="17" t="s">
        <v>4049</v>
      </c>
    </row>
    <row r="23" customFormat="false" ht="15" hidden="false" customHeight="false" outlineLevel="0" collapsed="false">
      <c r="A23" s="33" t="n">
        <v>0</v>
      </c>
      <c r="B23" s="52" t="s">
        <v>2434</v>
      </c>
      <c r="C23" s="52" t="s">
        <v>2435</v>
      </c>
      <c r="D23" s="52" t="s">
        <v>4050</v>
      </c>
    </row>
    <row r="24" customFormat="false" ht="15" hidden="false" customHeight="false" outlineLevel="0" collapsed="false">
      <c r="A24" s="33" t="n">
        <v>10</v>
      </c>
      <c r="B24" s="52" t="s">
        <v>3964</v>
      </c>
      <c r="C24" s="52" t="s">
        <v>4051</v>
      </c>
      <c r="D24" s="52" t="s">
        <v>4052</v>
      </c>
    </row>
    <row r="25" customFormat="false" ht="15" hidden="false" customHeight="false" outlineLevel="0" collapsed="false">
      <c r="A25" s="33" t="n">
        <v>20</v>
      </c>
      <c r="B25" s="52" t="s">
        <v>4044</v>
      </c>
      <c r="C25" s="52" t="s">
        <v>4053</v>
      </c>
      <c r="D25" s="52" t="s">
        <v>4054</v>
      </c>
    </row>
    <row r="26" customFormat="false" ht="15" hidden="false" customHeight="false" outlineLevel="0" collapsed="false">
      <c r="A26" s="33" t="n">
        <v>30</v>
      </c>
      <c r="B26" s="52" t="s">
        <v>4018</v>
      </c>
      <c r="C26" s="52" t="s">
        <v>4055</v>
      </c>
      <c r="D26" s="52" t="s">
        <v>4056</v>
      </c>
    </row>
    <row r="27" customFormat="false" ht="15" hidden="false" customHeight="false" outlineLevel="0" collapsed="false">
      <c r="A27" s="33" t="n">
        <v>40</v>
      </c>
      <c r="B27" s="52" t="s">
        <v>4022</v>
      </c>
      <c r="C27" s="52" t="s">
        <v>4057</v>
      </c>
      <c r="D27" s="52" t="s">
        <v>4058</v>
      </c>
    </row>
    <row r="28" customFormat="false" ht="15" hidden="false" customHeight="false" outlineLevel="0" collapsed="false">
      <c r="A28" s="33" t="n">
        <v>50</v>
      </c>
      <c r="B28" s="52" t="s">
        <v>3978</v>
      </c>
      <c r="C28" s="52" t="s">
        <v>4059</v>
      </c>
      <c r="D28" s="52" t="s">
        <v>4060</v>
      </c>
    </row>
    <row r="29" customFormat="false" ht="15" hidden="false" customHeight="false" outlineLevel="0" collapsed="false">
      <c r="A29" s="33" t="n">
        <v>60</v>
      </c>
      <c r="B29" s="52" t="s">
        <v>4037</v>
      </c>
      <c r="C29" s="52" t="s">
        <v>899</v>
      </c>
      <c r="D29" s="52" t="s">
        <v>4061</v>
      </c>
    </row>
    <row r="32" customFormat="false" ht="16.15" hidden="false" customHeight="false" outlineLevel="0" collapsed="false">
      <c r="A32" s="8" t="s">
        <v>4062</v>
      </c>
    </row>
    <row r="33" customFormat="false" ht="15" hidden="false" customHeight="false" outlineLevel="0" collapsed="false">
      <c r="A33" s="17" t="s">
        <v>3948</v>
      </c>
      <c r="B33" s="17" t="s">
        <v>3949</v>
      </c>
      <c r="C33" s="17" t="s">
        <v>965</v>
      </c>
      <c r="D33" s="17" t="s">
        <v>4063</v>
      </c>
      <c r="E33" s="17" t="s">
        <v>4064</v>
      </c>
      <c r="F33" s="17" t="s">
        <v>4065</v>
      </c>
      <c r="G33" s="17" t="s">
        <v>4066</v>
      </c>
      <c r="H33" s="17" t="s">
        <v>4067</v>
      </c>
    </row>
    <row r="34" customFormat="false" ht="15" hidden="false" customHeight="false" outlineLevel="0" collapsed="false">
      <c r="A34" s="33" t="s">
        <v>3960</v>
      </c>
      <c r="B34" s="33" t="s">
        <v>3960</v>
      </c>
      <c r="C34" s="37" t="s">
        <v>991</v>
      </c>
      <c r="D34" s="52" t="s">
        <v>4068</v>
      </c>
      <c r="E34" s="52" t="s">
        <v>4068</v>
      </c>
      <c r="F34" s="52" t="s">
        <v>4068</v>
      </c>
      <c r="G34" s="52" t="s">
        <v>4069</v>
      </c>
      <c r="H34" s="52" t="s">
        <v>3320</v>
      </c>
    </row>
    <row r="35" customFormat="false" ht="15" hidden="false" customHeight="false" outlineLevel="0" collapsed="false">
      <c r="A35" s="33" t="s">
        <v>3960</v>
      </c>
      <c r="B35" s="33" t="s">
        <v>3966</v>
      </c>
      <c r="C35" s="37" t="s">
        <v>4070</v>
      </c>
      <c r="D35" s="52" t="s">
        <v>4068</v>
      </c>
      <c r="E35" s="52" t="s">
        <v>4068</v>
      </c>
      <c r="F35" s="52" t="s">
        <v>4068</v>
      </c>
      <c r="G35" s="52" t="s">
        <v>4069</v>
      </c>
      <c r="H35" s="52" t="s">
        <v>4071</v>
      </c>
    </row>
    <row r="36" customFormat="false" ht="15" hidden="false" customHeight="false" outlineLevel="0" collapsed="false">
      <c r="A36" s="33" t="s">
        <v>3966</v>
      </c>
      <c r="B36" s="33" t="s">
        <v>3960</v>
      </c>
      <c r="C36" s="37" t="s">
        <v>4072</v>
      </c>
      <c r="D36" s="52" t="s">
        <v>4069</v>
      </c>
      <c r="E36" s="52" t="s">
        <v>4069</v>
      </c>
      <c r="F36" s="52" t="s">
        <v>4069</v>
      </c>
      <c r="G36" s="52" t="s">
        <v>4068</v>
      </c>
      <c r="H36" s="52" t="s">
        <v>4073</v>
      </c>
    </row>
    <row r="37" customFormat="false" ht="15" hidden="false" customHeight="false" outlineLevel="0" collapsed="false">
      <c r="A37" s="33" t="s">
        <v>3966</v>
      </c>
      <c r="B37" s="33" t="s">
        <v>3966</v>
      </c>
      <c r="C37" s="37" t="s">
        <v>2574</v>
      </c>
      <c r="D37" s="52" t="s">
        <v>4069</v>
      </c>
      <c r="E37" s="52" t="s">
        <v>4069</v>
      </c>
      <c r="F37" s="52" t="s">
        <v>4069</v>
      </c>
      <c r="G37" s="52" t="s">
        <v>4069</v>
      </c>
      <c r="H37" s="52" t="s">
        <v>3320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66"/>
    <col collapsed="false" customWidth="true" hidden="false" outlineLevel="0" max="4" min="4" style="0" width="84"/>
    <col collapsed="false" customWidth="true" hidden="false" outlineLevel="0" max="5" min="5" style="0" width="18"/>
    <col collapsed="false" customWidth="true" hidden="false" outlineLevel="0" max="6" min="6" style="0" width="12"/>
  </cols>
  <sheetData>
    <row r="1" customFormat="false" ht="16.15" hidden="false" customHeight="false" outlineLevel="0" collapsed="false">
      <c r="A1" s="8" t="s">
        <v>4074</v>
      </c>
    </row>
    <row r="2" customFormat="false" ht="30" hidden="false" customHeight="true" outlineLevel="0" collapsed="false">
      <c r="A2" s="9" t="s">
        <v>4075</v>
      </c>
      <c r="B2" s="9" t="s">
        <v>4076</v>
      </c>
      <c r="C2" s="9" t="s">
        <v>4077</v>
      </c>
      <c r="D2" s="9" t="s">
        <v>4078</v>
      </c>
      <c r="E2" s="9" t="s">
        <v>4079</v>
      </c>
      <c r="F2" s="9" t="s">
        <v>4080</v>
      </c>
    </row>
    <row r="3" customFormat="false" ht="43.5" hidden="false" customHeight="true" outlineLevel="0" collapsed="false">
      <c r="A3" s="10" t="s">
        <v>4081</v>
      </c>
      <c r="B3" s="10" t="s">
        <v>4082</v>
      </c>
      <c r="C3" s="11" t="s">
        <v>4083</v>
      </c>
      <c r="D3" s="11" t="s">
        <v>4084</v>
      </c>
      <c r="E3" s="27" t="s">
        <v>2574</v>
      </c>
      <c r="F3" s="27" t="s">
        <v>4085</v>
      </c>
    </row>
    <row r="4" customFormat="false" ht="43.5" hidden="false" customHeight="true" outlineLevel="0" collapsed="false">
      <c r="A4" s="10" t="s">
        <v>4086</v>
      </c>
      <c r="B4" s="10" t="s">
        <v>4082</v>
      </c>
      <c r="C4" s="11" t="s">
        <v>4087</v>
      </c>
      <c r="D4" s="11" t="s">
        <v>4088</v>
      </c>
      <c r="E4" s="27" t="s">
        <v>2574</v>
      </c>
      <c r="F4" s="27" t="s">
        <v>4085</v>
      </c>
    </row>
    <row r="5" customFormat="false" ht="43.5" hidden="false" customHeight="true" outlineLevel="0" collapsed="false">
      <c r="A5" s="10" t="s">
        <v>4089</v>
      </c>
      <c r="B5" s="10" t="s">
        <v>4082</v>
      </c>
      <c r="C5" s="11" t="s">
        <v>4090</v>
      </c>
      <c r="D5" s="11" t="s">
        <v>4091</v>
      </c>
      <c r="E5" s="27" t="s">
        <v>2574</v>
      </c>
      <c r="F5" s="27" t="s">
        <v>4085</v>
      </c>
    </row>
    <row r="6" customFormat="false" ht="43.5" hidden="false" customHeight="true" outlineLevel="0" collapsed="false">
      <c r="A6" s="10" t="s">
        <v>4092</v>
      </c>
      <c r="B6" s="10" t="s">
        <v>4082</v>
      </c>
      <c r="C6" s="11" t="s">
        <v>4093</v>
      </c>
      <c r="D6" s="11" t="s">
        <v>4094</v>
      </c>
      <c r="E6" s="27" t="s">
        <v>2574</v>
      </c>
      <c r="F6" s="27" t="s">
        <v>4085</v>
      </c>
    </row>
    <row r="7" customFormat="false" ht="43.5" hidden="false" customHeight="true" outlineLevel="0" collapsed="false">
      <c r="A7" s="10" t="s">
        <v>4095</v>
      </c>
      <c r="B7" s="10" t="s">
        <v>4082</v>
      </c>
      <c r="C7" s="11" t="s">
        <v>4096</v>
      </c>
      <c r="D7" s="11" t="s">
        <v>4097</v>
      </c>
      <c r="E7" s="27" t="s">
        <v>2574</v>
      </c>
      <c r="F7" s="27" t="s">
        <v>4085</v>
      </c>
    </row>
    <row r="8" customFormat="false" ht="43.5" hidden="false" customHeight="true" outlineLevel="0" collapsed="false">
      <c r="A8" s="10" t="s">
        <v>4098</v>
      </c>
      <c r="B8" s="10" t="s">
        <v>4082</v>
      </c>
      <c r="C8" s="11" t="s">
        <v>4099</v>
      </c>
      <c r="D8" s="11" t="s">
        <v>4100</v>
      </c>
      <c r="E8" s="27" t="s">
        <v>2574</v>
      </c>
      <c r="F8" s="27" t="s">
        <v>4085</v>
      </c>
    </row>
    <row r="9" customFormat="false" ht="43.5" hidden="false" customHeight="true" outlineLevel="0" collapsed="false">
      <c r="A9" s="10" t="s">
        <v>4101</v>
      </c>
      <c r="B9" s="10" t="s">
        <v>4082</v>
      </c>
      <c r="C9" s="11" t="s">
        <v>4102</v>
      </c>
      <c r="D9" s="11" t="s">
        <v>4103</v>
      </c>
      <c r="E9" s="27" t="s">
        <v>2574</v>
      </c>
      <c r="F9" s="27" t="s">
        <v>4085</v>
      </c>
    </row>
    <row r="10" customFormat="false" ht="43.5" hidden="false" customHeight="true" outlineLevel="0" collapsed="false">
      <c r="A10" s="10" t="s">
        <v>4104</v>
      </c>
      <c r="B10" s="10" t="s">
        <v>4082</v>
      </c>
      <c r="C10" s="11" t="s">
        <v>4105</v>
      </c>
      <c r="D10" s="11" t="s">
        <v>4106</v>
      </c>
      <c r="E10" s="27" t="s">
        <v>2574</v>
      </c>
      <c r="F10" s="27" t="s">
        <v>4085</v>
      </c>
    </row>
    <row r="11" customFormat="false" ht="43.5" hidden="false" customHeight="true" outlineLevel="0" collapsed="false">
      <c r="A11" s="10" t="s">
        <v>4107</v>
      </c>
      <c r="B11" s="10" t="s">
        <v>4082</v>
      </c>
      <c r="C11" s="11" t="s">
        <v>4108</v>
      </c>
      <c r="D11" s="11" t="s">
        <v>4109</v>
      </c>
      <c r="E11" s="27" t="s">
        <v>2574</v>
      </c>
      <c r="F11" s="27" t="s">
        <v>4085</v>
      </c>
    </row>
    <row r="12" customFormat="false" ht="43.5" hidden="false" customHeight="true" outlineLevel="0" collapsed="false">
      <c r="A12" s="10" t="s">
        <v>4110</v>
      </c>
      <c r="B12" s="10" t="s">
        <v>4111</v>
      </c>
      <c r="C12" s="11" t="s">
        <v>4112</v>
      </c>
      <c r="D12" s="11" t="s">
        <v>4113</v>
      </c>
      <c r="E12" s="27" t="s">
        <v>4114</v>
      </c>
      <c r="F12" s="27" t="s">
        <v>4115</v>
      </c>
    </row>
    <row r="13" customFormat="false" ht="43.5" hidden="false" customHeight="true" outlineLevel="0" collapsed="false">
      <c r="A13" s="10" t="s">
        <v>4116</v>
      </c>
      <c r="B13" s="10" t="s">
        <v>4111</v>
      </c>
      <c r="C13" s="11" t="s">
        <v>4117</v>
      </c>
      <c r="D13" s="11" t="s">
        <v>4118</v>
      </c>
      <c r="E13" s="27" t="s">
        <v>2574</v>
      </c>
      <c r="F13" s="27" t="s">
        <v>4085</v>
      </c>
    </row>
    <row r="14" customFormat="false" ht="43.5" hidden="false" customHeight="true" outlineLevel="0" collapsed="false">
      <c r="A14" s="10" t="s">
        <v>4119</v>
      </c>
      <c r="B14" s="10" t="s">
        <v>4111</v>
      </c>
      <c r="C14" s="11" t="s">
        <v>4120</v>
      </c>
      <c r="D14" s="11" t="s">
        <v>4121</v>
      </c>
      <c r="E14" s="27" t="s">
        <v>2574</v>
      </c>
      <c r="F14" s="27" t="s">
        <v>4085</v>
      </c>
    </row>
    <row r="15" customFormat="false" ht="43.5" hidden="false" customHeight="true" outlineLevel="0" collapsed="false">
      <c r="A15" s="10" t="s">
        <v>4122</v>
      </c>
      <c r="B15" s="10" t="s">
        <v>4123</v>
      </c>
      <c r="C15" s="11" t="s">
        <v>4124</v>
      </c>
      <c r="D15" s="11" t="s">
        <v>4125</v>
      </c>
      <c r="E15" s="27" t="s">
        <v>2574</v>
      </c>
      <c r="F15" s="27" t="s">
        <v>4085</v>
      </c>
    </row>
    <row r="16" customFormat="false" ht="43.5" hidden="false" customHeight="true" outlineLevel="0" collapsed="false">
      <c r="A16" s="10" t="s">
        <v>4126</v>
      </c>
      <c r="B16" s="10" t="s">
        <v>4127</v>
      </c>
      <c r="C16" s="11" t="s">
        <v>4128</v>
      </c>
      <c r="D16" s="11" t="s">
        <v>4129</v>
      </c>
      <c r="E16" s="27" t="s">
        <v>2574</v>
      </c>
      <c r="F16" s="27" t="s">
        <v>4085</v>
      </c>
    </row>
    <row r="17" customFormat="false" ht="43.5" hidden="false" customHeight="true" outlineLevel="0" collapsed="false">
      <c r="A17" s="10" t="s">
        <v>4130</v>
      </c>
      <c r="B17" s="10" t="s">
        <v>4131</v>
      </c>
      <c r="C17" s="11" t="s">
        <v>4132</v>
      </c>
      <c r="D17" s="11" t="s">
        <v>4133</v>
      </c>
      <c r="E17" s="27" t="s">
        <v>2574</v>
      </c>
      <c r="F17" s="27" t="s">
        <v>4085</v>
      </c>
    </row>
    <row r="18" customFormat="false" ht="43.5" hidden="false" customHeight="true" outlineLevel="0" collapsed="false">
      <c r="A18" s="10" t="s">
        <v>4134</v>
      </c>
      <c r="B18" s="10" t="s">
        <v>4131</v>
      </c>
      <c r="C18" s="11" t="s">
        <v>4135</v>
      </c>
      <c r="D18" s="11" t="s">
        <v>4136</v>
      </c>
      <c r="E18" s="27" t="s">
        <v>2574</v>
      </c>
      <c r="F18" s="27" t="s">
        <v>4085</v>
      </c>
    </row>
    <row r="19" customFormat="false" ht="43.5" hidden="false" customHeight="true" outlineLevel="0" collapsed="false">
      <c r="A19" s="10" t="s">
        <v>4137</v>
      </c>
      <c r="B19" s="10" t="s">
        <v>4138</v>
      </c>
      <c r="C19" s="11" t="s">
        <v>4139</v>
      </c>
      <c r="D19" s="11" t="s">
        <v>4140</v>
      </c>
      <c r="E19" s="27" t="s">
        <v>2574</v>
      </c>
      <c r="F19" s="27" t="s">
        <v>4085</v>
      </c>
    </row>
    <row r="20" customFormat="false" ht="43.5" hidden="false" customHeight="true" outlineLevel="0" collapsed="false">
      <c r="A20" s="10" t="s">
        <v>4141</v>
      </c>
      <c r="B20" s="10" t="s">
        <v>4138</v>
      </c>
      <c r="C20" s="11" t="s">
        <v>4142</v>
      </c>
      <c r="D20" s="11" t="s">
        <v>4143</v>
      </c>
      <c r="E20" s="27" t="s">
        <v>2574</v>
      </c>
      <c r="F20" s="27" t="s">
        <v>4085</v>
      </c>
    </row>
    <row r="21" customFormat="false" ht="43.5" hidden="false" customHeight="true" outlineLevel="0" collapsed="false">
      <c r="A21" s="10" t="s">
        <v>4144</v>
      </c>
      <c r="B21" s="10" t="s">
        <v>4138</v>
      </c>
      <c r="C21" s="11" t="s">
        <v>4145</v>
      </c>
      <c r="D21" s="11" t="s">
        <v>4146</v>
      </c>
      <c r="E21" s="27" t="s">
        <v>2574</v>
      </c>
      <c r="F21" s="27" t="s">
        <v>4085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1"/>
    <col collapsed="false" customWidth="true" hidden="false" outlineLevel="0" max="4" min="4" style="0" width="12"/>
    <col collapsed="false" customWidth="true" hidden="false" outlineLevel="0" max="9" min="5" style="0" width="20"/>
    <col collapsed="false" customWidth="true" hidden="false" outlineLevel="0" max="10" min="10" style="0" width="17"/>
    <col collapsed="false" customWidth="true" hidden="false" outlineLevel="0" max="11" min="11" style="0" width="13"/>
    <col collapsed="false" customWidth="true" hidden="false" outlineLevel="0" max="12" min="12" style="0" width="14"/>
    <col collapsed="false" customWidth="true" hidden="false" outlineLevel="0" max="13" min="13" style="0" width="13"/>
    <col collapsed="false" customWidth="true" hidden="false" outlineLevel="0" max="14" min="14" style="0" width="15"/>
    <col collapsed="false" customWidth="true" hidden="false" outlineLevel="0" max="15" min="15" style="0" width="18"/>
    <col collapsed="false" customWidth="true" hidden="false" outlineLevel="0" max="16" min="16" style="0" width="13"/>
    <col collapsed="false" customWidth="true" hidden="false" outlineLevel="0" max="17" min="17" style="0" width="20"/>
    <col collapsed="false" customWidth="true" hidden="false" outlineLevel="0" max="18" min="18" style="0" width="12"/>
    <col collapsed="false" customWidth="true" hidden="false" outlineLevel="0" max="19" min="19" style="0" width="15"/>
    <col collapsed="false" customWidth="true" hidden="false" outlineLevel="0" max="20" min="20" style="0" width="21"/>
    <col collapsed="false" customWidth="true" hidden="false" outlineLevel="0" max="21" min="21" style="0" width="16"/>
    <col collapsed="false" customWidth="true" hidden="false" outlineLevel="0" max="22" min="22" style="0" width="18"/>
    <col collapsed="false" customWidth="true" hidden="false" outlineLevel="0" max="23" min="23" style="0" width="24"/>
    <col collapsed="false" customWidth="true" hidden="false" outlineLevel="0" max="25" min="24" style="0" width="14"/>
    <col collapsed="false" customWidth="true" hidden="false" outlineLevel="0" max="26" min="26" style="0" width="11"/>
    <col collapsed="false" customWidth="true" hidden="false" outlineLevel="0" max="27" min="27" style="0" width="74"/>
  </cols>
  <sheetData>
    <row r="1" customFormat="false" ht="16.15" hidden="false" customHeight="false" outlineLevel="0" collapsed="false">
      <c r="A1" s="8" t="s">
        <v>4147</v>
      </c>
    </row>
    <row r="2" customFormat="false" ht="30" hidden="false" customHeight="true" outlineLevel="0" collapsed="false">
      <c r="A2" s="9" t="s">
        <v>42</v>
      </c>
      <c r="B2" s="9" t="s">
        <v>3749</v>
      </c>
      <c r="C2" s="9" t="s">
        <v>3750</v>
      </c>
      <c r="D2" s="9" t="s">
        <v>1172</v>
      </c>
      <c r="E2" s="9" t="s">
        <v>3751</v>
      </c>
      <c r="F2" s="9" t="s">
        <v>3752</v>
      </c>
      <c r="G2" s="9" t="s">
        <v>1191</v>
      </c>
      <c r="H2" s="9" t="s">
        <v>3754</v>
      </c>
      <c r="I2" s="9" t="s">
        <v>3755</v>
      </c>
      <c r="J2" s="9" t="s">
        <v>4148</v>
      </c>
      <c r="K2" s="9" t="s">
        <v>4149</v>
      </c>
      <c r="L2" s="9" t="s">
        <v>3756</v>
      </c>
      <c r="M2" s="9" t="s">
        <v>4150</v>
      </c>
      <c r="N2" s="9" t="s">
        <v>4151</v>
      </c>
      <c r="O2" s="9" t="s">
        <v>4152</v>
      </c>
      <c r="P2" s="9" t="s">
        <v>3763</v>
      </c>
      <c r="Q2" s="9" t="s">
        <v>4153</v>
      </c>
      <c r="R2" s="9" t="s">
        <v>4154</v>
      </c>
      <c r="S2" s="9" t="s">
        <v>4155</v>
      </c>
      <c r="T2" s="9" t="s">
        <v>3768</v>
      </c>
      <c r="U2" s="9" t="s">
        <v>3769</v>
      </c>
      <c r="V2" s="9" t="s">
        <v>3770</v>
      </c>
      <c r="W2" s="9" t="s">
        <v>3771</v>
      </c>
      <c r="X2" s="9" t="s">
        <v>3772</v>
      </c>
      <c r="Y2" s="9" t="s">
        <v>4156</v>
      </c>
      <c r="Z2" s="9" t="s">
        <v>3773</v>
      </c>
      <c r="AA2" s="9" t="s">
        <v>3775</v>
      </c>
    </row>
    <row r="3" customFormat="false" ht="27.75" hidden="false" customHeight="true" outlineLevel="0" collapsed="false">
      <c r="A3" s="12" t="s">
        <v>433</v>
      </c>
      <c r="B3" s="12" t="s">
        <v>4157</v>
      </c>
      <c r="C3" s="12" t="s">
        <v>4158</v>
      </c>
      <c r="D3" s="12" t="s">
        <v>1194</v>
      </c>
      <c r="E3" s="12" t="s">
        <v>4159</v>
      </c>
      <c r="F3" s="12" t="s">
        <v>1198</v>
      </c>
      <c r="G3" s="12" t="s">
        <v>4160</v>
      </c>
      <c r="H3" s="12" t="s">
        <v>4161</v>
      </c>
      <c r="I3" s="12" t="s">
        <v>970</v>
      </c>
      <c r="J3" s="12" t="s">
        <v>1195</v>
      </c>
      <c r="K3" s="12" t="n">
        <v>1</v>
      </c>
      <c r="L3" s="12" t="s">
        <v>980</v>
      </c>
      <c r="M3" s="20" t="n">
        <v>11251</v>
      </c>
      <c r="N3" s="20" t="n">
        <v>2100</v>
      </c>
      <c r="O3" s="12"/>
      <c r="P3" s="12" t="s">
        <v>4162</v>
      </c>
      <c r="Q3" s="12"/>
      <c r="R3" s="27" t="str">
        <f aca="false">IF(Q3="","N/A",IF(K3-Q3&gt;1,"Y","N"))</f>
        <v>N/A</v>
      </c>
      <c r="S3" s="27" t="n">
        <f aca="false">IF(R3="Y",K3-Q3-1,0)</f>
        <v>0</v>
      </c>
      <c r="T3" s="15" t="s">
        <v>3786</v>
      </c>
      <c r="U3" s="12" t="s">
        <v>990</v>
      </c>
      <c r="V3" s="12"/>
      <c r="W3" s="12"/>
      <c r="X3" s="12"/>
      <c r="Y3" s="12"/>
      <c r="Z3" s="12" t="n">
        <v>1</v>
      </c>
      <c r="AA3" s="46" t="s">
        <v>4163</v>
      </c>
    </row>
    <row r="4" customFormat="false" ht="27.75" hidden="false" customHeight="true" outlineLevel="0" collapsed="false">
      <c r="A4" s="12" t="s">
        <v>439</v>
      </c>
      <c r="B4" s="12" t="s">
        <v>4164</v>
      </c>
      <c r="C4" s="12" t="s">
        <v>4165</v>
      </c>
      <c r="D4" s="12" t="s">
        <v>1194</v>
      </c>
      <c r="E4" s="12" t="s">
        <v>4166</v>
      </c>
      <c r="F4" s="12" t="s">
        <v>1207</v>
      </c>
      <c r="G4" s="12" t="s">
        <v>4167</v>
      </c>
      <c r="H4" s="12" t="s">
        <v>4168</v>
      </c>
      <c r="I4" s="12" t="s">
        <v>994</v>
      </c>
      <c r="J4" s="12" t="s">
        <v>1205</v>
      </c>
      <c r="K4" s="12" t="n">
        <v>2</v>
      </c>
      <c r="L4" s="12" t="s">
        <v>996</v>
      </c>
      <c r="M4" s="20" t="n">
        <v>11535</v>
      </c>
      <c r="N4" s="20" t="n">
        <v>2050</v>
      </c>
      <c r="O4" s="12" t="s">
        <v>1206</v>
      </c>
      <c r="P4" s="12" t="s">
        <v>4169</v>
      </c>
      <c r="Q4" s="12" t="n">
        <v>1</v>
      </c>
      <c r="R4" s="27" t="str">
        <f aca="false">IF(Q4="","N/A",IF(K4-Q4&gt;1,"Y","N"))</f>
        <v>N</v>
      </c>
      <c r="S4" s="27" t="n">
        <f aca="false">IF(R4="Y",K4-Q4-1,0)</f>
        <v>0</v>
      </c>
      <c r="T4" s="15" t="s">
        <v>3786</v>
      </c>
      <c r="U4" s="12" t="s">
        <v>990</v>
      </c>
      <c r="V4" s="12"/>
      <c r="W4" s="12"/>
      <c r="X4" s="12"/>
      <c r="Y4" s="12"/>
      <c r="Z4" s="12" t="n">
        <v>1</v>
      </c>
      <c r="AA4" s="46" t="s">
        <v>4170</v>
      </c>
    </row>
    <row r="5" customFormat="false" ht="27.75" hidden="false" customHeight="true" outlineLevel="0" collapsed="false">
      <c r="A5" s="12" t="s">
        <v>444</v>
      </c>
      <c r="B5" s="12" t="s">
        <v>4171</v>
      </c>
      <c r="C5" s="12" t="s">
        <v>4172</v>
      </c>
      <c r="D5" s="12" t="s">
        <v>1194</v>
      </c>
      <c r="E5" s="12" t="s">
        <v>4173</v>
      </c>
      <c r="F5" s="12" t="s">
        <v>1217</v>
      </c>
      <c r="G5" s="12" t="s">
        <v>4174</v>
      </c>
      <c r="H5" s="12" t="s">
        <v>4175</v>
      </c>
      <c r="I5" s="12" t="s">
        <v>1002</v>
      </c>
      <c r="J5" s="12" t="s">
        <v>4176</v>
      </c>
      <c r="K5" s="12" t="n">
        <v>5</v>
      </c>
      <c r="L5" s="12" t="s">
        <v>1004</v>
      </c>
      <c r="M5" s="20" t="n">
        <v>12287</v>
      </c>
      <c r="N5" s="20" t="n">
        <v>11540</v>
      </c>
      <c r="O5" s="12" t="s">
        <v>1215</v>
      </c>
      <c r="P5" s="12" t="s">
        <v>4177</v>
      </c>
      <c r="Q5" s="12" t="n">
        <v>2</v>
      </c>
      <c r="R5" s="27" t="str">
        <f aca="false">IF(Q5="","N/A",IF(K5-Q5&gt;1,"Y","N"))</f>
        <v>Y</v>
      </c>
      <c r="S5" s="27" t="n">
        <f aca="false">IF(R5="Y",K5-Q5-1,0)</f>
        <v>2</v>
      </c>
      <c r="T5" s="15" t="s">
        <v>4178</v>
      </c>
      <c r="U5" s="12" t="s">
        <v>990</v>
      </c>
      <c r="V5" s="12"/>
      <c r="W5" s="12" t="s">
        <v>4179</v>
      </c>
      <c r="X5" s="12" t="s">
        <v>1171</v>
      </c>
      <c r="Y5" s="12"/>
      <c r="Z5" s="12" t="n">
        <v>1</v>
      </c>
      <c r="AA5" s="46" t="s">
        <v>4180</v>
      </c>
    </row>
    <row r="6" customFormat="false" ht="27.75" hidden="false" customHeight="true" outlineLevel="0" collapsed="false">
      <c r="A6" s="12" t="s">
        <v>449</v>
      </c>
      <c r="B6" s="12" t="s">
        <v>4181</v>
      </c>
      <c r="C6" s="12" t="s">
        <v>4182</v>
      </c>
      <c r="D6" s="12" t="s">
        <v>1194</v>
      </c>
      <c r="E6" s="12" t="s">
        <v>4173</v>
      </c>
      <c r="F6" s="12" t="s">
        <v>1217</v>
      </c>
      <c r="G6" s="12" t="s">
        <v>1221</v>
      </c>
      <c r="H6" s="12" t="s">
        <v>4175</v>
      </c>
      <c r="I6" s="12" t="s">
        <v>1002</v>
      </c>
      <c r="J6" s="12" t="s">
        <v>4176</v>
      </c>
      <c r="K6" s="12" t="n">
        <v>5</v>
      </c>
      <c r="L6" s="12" t="s">
        <v>1004</v>
      </c>
      <c r="M6" s="20" t="n">
        <v>12287</v>
      </c>
      <c r="N6" s="20" t="n">
        <v>11540</v>
      </c>
      <c r="O6" s="12" t="s">
        <v>1215</v>
      </c>
      <c r="P6" s="12" t="s">
        <v>4177</v>
      </c>
      <c r="Q6" s="12" t="n">
        <v>5</v>
      </c>
      <c r="R6" s="27" t="str">
        <f aca="false">IF(Q6="","N/A",IF(K6-Q6&gt;1,"Y","N"))</f>
        <v>N</v>
      </c>
      <c r="S6" s="27" t="n">
        <f aca="false">IF(R6="Y",K6-Q6-1,0)</f>
        <v>0</v>
      </c>
      <c r="T6" s="15" t="s">
        <v>4183</v>
      </c>
      <c r="U6" s="12" t="s">
        <v>978</v>
      </c>
      <c r="V6" s="12"/>
      <c r="W6" s="12"/>
      <c r="X6" s="12"/>
      <c r="Y6" s="12"/>
      <c r="Z6" s="12" t="n">
        <v>0</v>
      </c>
      <c r="AA6" s="46" t="s">
        <v>4184</v>
      </c>
    </row>
    <row r="7" customFormat="false" ht="27.75" hidden="false" customHeight="true" outlineLevel="0" collapsed="false">
      <c r="A7" s="12" t="s">
        <v>454</v>
      </c>
      <c r="B7" s="12" t="s">
        <v>4185</v>
      </c>
      <c r="C7" s="12" t="s">
        <v>4186</v>
      </c>
      <c r="D7" s="12" t="s">
        <v>1194</v>
      </c>
      <c r="E7" s="12" t="s">
        <v>4187</v>
      </c>
      <c r="F7" s="12" t="s">
        <v>4188</v>
      </c>
      <c r="G7" s="12" t="s">
        <v>4189</v>
      </c>
      <c r="H7" s="12" t="s">
        <v>4190</v>
      </c>
      <c r="I7" s="12"/>
      <c r="J7" s="12" t="s">
        <v>4191</v>
      </c>
      <c r="K7" s="12" t="n">
        <v>1</v>
      </c>
      <c r="L7" s="12" t="s">
        <v>4192</v>
      </c>
      <c r="M7" s="20" t="n">
        <v>11251</v>
      </c>
      <c r="N7" s="20" t="n">
        <v>2100</v>
      </c>
      <c r="O7" s="12"/>
      <c r="P7" s="12" t="s">
        <v>4193</v>
      </c>
      <c r="Q7" s="12"/>
      <c r="R7" s="27" t="str">
        <f aca="false">IF(Q7="","N/A",IF(K7-Q7&gt;1,"Y","N"))</f>
        <v>N/A</v>
      </c>
      <c r="S7" s="27" t="n">
        <f aca="false">IF(R7="Y",K7-Q7-1,0)</f>
        <v>0</v>
      </c>
      <c r="T7" s="15" t="s">
        <v>4194</v>
      </c>
      <c r="U7" s="12" t="s">
        <v>990</v>
      </c>
      <c r="V7" s="12"/>
      <c r="W7" s="12" t="s">
        <v>4195</v>
      </c>
      <c r="X7" s="12" t="s">
        <v>899</v>
      </c>
      <c r="Y7" s="12"/>
      <c r="Z7" s="12" t="n">
        <v>1</v>
      </c>
      <c r="AA7" s="46" t="s">
        <v>4196</v>
      </c>
    </row>
    <row r="8" customFormat="false" ht="27.75" hidden="false" customHeight="true" outlineLevel="0" collapsed="false">
      <c r="A8" s="12" t="s">
        <v>459</v>
      </c>
      <c r="B8" s="12" t="s">
        <v>4197</v>
      </c>
      <c r="C8" s="12" t="s">
        <v>4198</v>
      </c>
      <c r="D8" s="12" t="s">
        <v>1194</v>
      </c>
      <c r="E8" s="12" t="s">
        <v>4199</v>
      </c>
      <c r="F8" s="12" t="s">
        <v>4200</v>
      </c>
      <c r="G8" s="12" t="s">
        <v>4201</v>
      </c>
      <c r="H8" s="12" t="s">
        <v>4202</v>
      </c>
      <c r="I8" s="12" t="s">
        <v>1010</v>
      </c>
      <c r="J8" s="12" t="s">
        <v>1223</v>
      </c>
      <c r="K8" s="12" t="n">
        <v>2</v>
      </c>
      <c r="L8" s="12" t="s">
        <v>1012</v>
      </c>
      <c r="M8" s="20" t="n">
        <v>11346</v>
      </c>
      <c r="N8" s="20" t="n">
        <v>4900</v>
      </c>
      <c r="O8" s="12" t="s">
        <v>1015</v>
      </c>
      <c r="P8" s="12" t="s">
        <v>4203</v>
      </c>
      <c r="Q8" s="12" t="n">
        <v>1</v>
      </c>
      <c r="R8" s="27" t="str">
        <f aca="false">IF(Q8="","N/A",IF(K8-Q8&gt;1,"Y","N"))</f>
        <v>N</v>
      </c>
      <c r="S8" s="27" t="n">
        <f aca="false">IF(R8="Y",K8-Q8-1,0)</f>
        <v>0</v>
      </c>
      <c r="T8" s="15" t="s">
        <v>4204</v>
      </c>
      <c r="U8" s="12" t="s">
        <v>990</v>
      </c>
      <c r="V8" s="12"/>
      <c r="W8" s="12" t="s">
        <v>4205</v>
      </c>
      <c r="X8" s="12" t="s">
        <v>1174</v>
      </c>
      <c r="Y8" s="12" t="s">
        <v>3800</v>
      </c>
      <c r="Z8" s="12" t="n">
        <v>1</v>
      </c>
      <c r="AA8" s="46" t="s">
        <v>4206</v>
      </c>
    </row>
    <row r="9" customFormat="false" ht="27.75" hidden="false" customHeight="true" outlineLevel="0" collapsed="false">
      <c r="A9" s="12" t="s">
        <v>464</v>
      </c>
      <c r="B9" s="12" t="s">
        <v>4207</v>
      </c>
      <c r="C9" s="12" t="s">
        <v>4208</v>
      </c>
      <c r="D9" s="12" t="s">
        <v>1194</v>
      </c>
      <c r="E9" s="12" t="s">
        <v>4209</v>
      </c>
      <c r="F9" s="12" t="s">
        <v>4210</v>
      </c>
      <c r="G9" s="12" t="s">
        <v>4211</v>
      </c>
      <c r="H9" s="12" t="s">
        <v>4212</v>
      </c>
      <c r="I9" s="12" t="s">
        <v>1002</v>
      </c>
      <c r="J9" s="12" t="s">
        <v>4213</v>
      </c>
      <c r="K9" s="12" t="n">
        <v>4</v>
      </c>
      <c r="L9" s="12" t="s">
        <v>1004</v>
      </c>
      <c r="M9" s="20" t="n">
        <v>12100</v>
      </c>
      <c r="N9" s="20" t="n">
        <v>11540</v>
      </c>
      <c r="O9" s="12" t="s">
        <v>1215</v>
      </c>
      <c r="P9" s="12" t="s">
        <v>4214</v>
      </c>
      <c r="Q9" s="12" t="n">
        <v>5</v>
      </c>
      <c r="R9" s="27" t="str">
        <f aca="false">IF(Q9="","N/A",IF(K9-Q9&gt;1,"Y","N"))</f>
        <v>N</v>
      </c>
      <c r="S9" s="27" t="n">
        <f aca="false">IF(R9="Y",K9-Q9-1,0)</f>
        <v>0</v>
      </c>
      <c r="T9" s="15" t="s">
        <v>3844</v>
      </c>
      <c r="U9" s="12" t="s">
        <v>978</v>
      </c>
      <c r="V9" s="12"/>
      <c r="W9" s="12"/>
      <c r="X9" s="12"/>
      <c r="Y9" s="12"/>
      <c r="Z9" s="12" t="n">
        <v>0</v>
      </c>
      <c r="AA9" s="46" t="s">
        <v>4215</v>
      </c>
    </row>
    <row r="10" customFormat="false" ht="27.75" hidden="false" customHeight="true" outlineLevel="0" collapsed="false">
      <c r="A10" s="12" t="s">
        <v>469</v>
      </c>
      <c r="B10" s="12" t="s">
        <v>4216</v>
      </c>
      <c r="C10" s="12" t="s">
        <v>4217</v>
      </c>
      <c r="D10" s="12" t="s">
        <v>1194</v>
      </c>
      <c r="E10" s="12" t="s">
        <v>4218</v>
      </c>
      <c r="F10" s="12" t="s">
        <v>1290</v>
      </c>
      <c r="G10" s="12" t="s">
        <v>4219</v>
      </c>
      <c r="H10" s="12" t="s">
        <v>4220</v>
      </c>
      <c r="I10" s="12" t="s">
        <v>1104</v>
      </c>
      <c r="J10" s="12" t="s">
        <v>1289</v>
      </c>
      <c r="K10" s="12" t="n">
        <v>1</v>
      </c>
      <c r="L10" s="12" t="s">
        <v>1107</v>
      </c>
      <c r="M10" s="20" t="n">
        <v>99999</v>
      </c>
      <c r="N10" s="20" t="n">
        <v>2100</v>
      </c>
      <c r="O10" s="12"/>
      <c r="P10" s="12" t="s">
        <v>4221</v>
      </c>
      <c r="Q10" s="12"/>
      <c r="R10" s="27" t="str">
        <f aca="false">IF(Q10="","N/A",IF(K10-Q10&gt;1,"Y","N"))</f>
        <v>N/A</v>
      </c>
      <c r="S10" s="27" t="n">
        <f aca="false">IF(R10="Y",K10-Q10-1,0)</f>
        <v>0</v>
      </c>
      <c r="T10" s="15" t="s">
        <v>2548</v>
      </c>
      <c r="U10" s="12" t="s">
        <v>990</v>
      </c>
      <c r="V10" s="12"/>
      <c r="W10" s="12" t="s">
        <v>4222</v>
      </c>
      <c r="X10" s="12" t="s">
        <v>1183</v>
      </c>
      <c r="Y10" s="12"/>
      <c r="Z10" s="12" t="n">
        <v>2</v>
      </c>
      <c r="AA10" s="46" t="s">
        <v>4223</v>
      </c>
    </row>
    <row r="11" customFormat="false" ht="27.75" hidden="false" customHeight="true" outlineLevel="0" collapsed="false">
      <c r="A11" s="12" t="s">
        <v>474</v>
      </c>
      <c r="B11" s="12" t="s">
        <v>4224</v>
      </c>
      <c r="C11" s="12" t="s">
        <v>4225</v>
      </c>
      <c r="D11" s="12" t="s">
        <v>1194</v>
      </c>
      <c r="E11" s="12" t="s">
        <v>4226</v>
      </c>
      <c r="F11" s="12" t="s">
        <v>4227</v>
      </c>
      <c r="G11" s="12" t="s">
        <v>4228</v>
      </c>
      <c r="H11" s="12" t="s">
        <v>4229</v>
      </c>
      <c r="I11" s="12" t="s">
        <v>1109</v>
      </c>
      <c r="J11" s="12" t="s">
        <v>4230</v>
      </c>
      <c r="K11" s="12" t="n">
        <v>3</v>
      </c>
      <c r="L11" s="12" t="s">
        <v>1111</v>
      </c>
      <c r="M11" s="20" t="n">
        <v>11400</v>
      </c>
      <c r="N11" s="20" t="n">
        <v>2100</v>
      </c>
      <c r="O11" s="12" t="s">
        <v>1235</v>
      </c>
      <c r="P11" s="12" t="s">
        <v>4231</v>
      </c>
      <c r="Q11" s="12" t="n">
        <v>1</v>
      </c>
      <c r="R11" s="27" t="str">
        <f aca="false">IF(Q11="","N/A",IF(K11-Q11&gt;1,"Y","N"))</f>
        <v>Y</v>
      </c>
      <c r="S11" s="27" t="n">
        <f aca="false">IF(R11="Y",K11-Q11-1,0)</f>
        <v>1</v>
      </c>
      <c r="T11" s="15" t="s">
        <v>4178</v>
      </c>
      <c r="U11" s="12" t="s">
        <v>990</v>
      </c>
      <c r="V11" s="12"/>
      <c r="W11" s="12" t="s">
        <v>4179</v>
      </c>
      <c r="X11" s="12" t="s">
        <v>1171</v>
      </c>
      <c r="Y11" s="12"/>
      <c r="Z11" s="12" t="n">
        <v>1</v>
      </c>
      <c r="AA11" s="46" t="s">
        <v>4232</v>
      </c>
    </row>
    <row r="14" customFormat="false" ht="16.15" hidden="false" customHeight="false" outlineLevel="0" collapsed="false">
      <c r="A14" s="8" t="s">
        <v>4233</v>
      </c>
    </row>
    <row r="15" customFormat="false" ht="15" hidden="false" customHeight="false" outlineLevel="0" collapsed="false">
      <c r="A15" s="17" t="s">
        <v>3768</v>
      </c>
      <c r="B15" s="17" t="s">
        <v>4234</v>
      </c>
      <c r="C15" s="17" t="s">
        <v>4235</v>
      </c>
      <c r="D15" s="17" t="s">
        <v>4236</v>
      </c>
    </row>
    <row r="16" customFormat="false" ht="15" hidden="false" customHeight="false" outlineLevel="0" collapsed="false">
      <c r="A16" s="33" t="s">
        <v>3786</v>
      </c>
      <c r="B16" s="52" t="s">
        <v>4069</v>
      </c>
      <c r="C16" s="52" t="s">
        <v>3320</v>
      </c>
      <c r="D16" s="52" t="s">
        <v>4237</v>
      </c>
    </row>
    <row r="17" customFormat="false" ht="15" hidden="false" customHeight="false" outlineLevel="0" collapsed="false">
      <c r="A17" s="33" t="s">
        <v>4178</v>
      </c>
      <c r="B17" s="52" t="s">
        <v>4069</v>
      </c>
      <c r="C17" s="52" t="s">
        <v>4238</v>
      </c>
      <c r="D17" s="52" t="s">
        <v>4239</v>
      </c>
    </row>
    <row r="18" customFormat="false" ht="15" hidden="false" customHeight="false" outlineLevel="0" collapsed="false">
      <c r="A18" s="33" t="s">
        <v>4194</v>
      </c>
      <c r="B18" s="52" t="s">
        <v>4240</v>
      </c>
      <c r="C18" s="52" t="s">
        <v>4241</v>
      </c>
      <c r="D18" s="52" t="s">
        <v>4242</v>
      </c>
    </row>
    <row r="19" customFormat="false" ht="15" hidden="false" customHeight="false" outlineLevel="0" collapsed="false">
      <c r="A19" s="33" t="s">
        <v>4204</v>
      </c>
      <c r="B19" s="52" t="s">
        <v>4240</v>
      </c>
      <c r="C19" s="52" t="s">
        <v>4241</v>
      </c>
      <c r="D19" s="52" t="s">
        <v>4243</v>
      </c>
    </row>
    <row r="20" customFormat="false" ht="15" hidden="false" customHeight="false" outlineLevel="0" collapsed="false">
      <c r="A20" s="33" t="s">
        <v>2548</v>
      </c>
      <c r="B20" s="52" t="s">
        <v>4068</v>
      </c>
      <c r="C20" s="52" t="s">
        <v>4244</v>
      </c>
      <c r="D20" s="52" t="s">
        <v>4245</v>
      </c>
    </row>
    <row r="21" customFormat="false" ht="15" hidden="false" customHeight="false" outlineLevel="0" collapsed="false">
      <c r="A21" s="33" t="s">
        <v>3793</v>
      </c>
      <c r="B21" s="52" t="s">
        <v>4069</v>
      </c>
      <c r="C21" s="52" t="s">
        <v>4246</v>
      </c>
      <c r="D21" s="52" t="s">
        <v>4247</v>
      </c>
    </row>
    <row r="22" customFormat="false" ht="15" hidden="false" customHeight="false" outlineLevel="0" collapsed="false">
      <c r="A22" s="33" t="s">
        <v>4183</v>
      </c>
      <c r="B22" s="52" t="s">
        <v>4069</v>
      </c>
      <c r="C22" s="52" t="s">
        <v>3320</v>
      </c>
      <c r="D22" s="52" t="s">
        <v>4248</v>
      </c>
    </row>
    <row r="23" customFormat="false" ht="15" hidden="false" customHeight="false" outlineLevel="0" collapsed="false">
      <c r="A23" s="33" t="s">
        <v>3844</v>
      </c>
      <c r="B23" s="52" t="s">
        <v>4069</v>
      </c>
      <c r="C23" s="52" t="s">
        <v>3320</v>
      </c>
      <c r="D23" s="52" t="s">
        <v>4249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4" min="3" style="0" width="15"/>
    <col collapsed="false" customWidth="true" hidden="false" outlineLevel="0" max="5" min="5" style="0" width="18"/>
    <col collapsed="false" customWidth="true" hidden="false" outlineLevel="0" max="6" min="6" style="0" width="13"/>
    <col collapsed="false" customWidth="true" hidden="false" outlineLevel="0" max="7" min="7" style="0" width="9"/>
    <col collapsed="false" customWidth="true" hidden="false" outlineLevel="0" max="8" min="8" style="0" width="11"/>
    <col collapsed="false" customWidth="true" hidden="false" outlineLevel="0" max="9" min="9" style="0" width="12"/>
    <col collapsed="false" customWidth="true" hidden="false" outlineLevel="0" max="10" min="10" style="0" width="14"/>
    <col collapsed="false" customWidth="true" hidden="false" outlineLevel="0" max="11" min="11" style="0" width="25"/>
    <col collapsed="false" customWidth="true" hidden="false" outlineLevel="0" max="12" min="12" style="0" width="27"/>
    <col collapsed="false" customWidth="true" hidden="false" outlineLevel="0" max="13" min="13" style="0" width="21"/>
    <col collapsed="false" customWidth="true" hidden="false" outlineLevel="0" max="14" min="14" style="0" width="25"/>
    <col collapsed="false" customWidth="true" hidden="false" outlineLevel="0" max="15" min="15" style="0" width="22"/>
    <col collapsed="false" customWidth="true" hidden="false" outlineLevel="0" max="16" min="16" style="0" width="16"/>
    <col collapsed="false" customWidth="true" hidden="false" outlineLevel="0" max="17" min="17" style="0" width="15"/>
    <col collapsed="false" customWidth="true" hidden="false" outlineLevel="0" max="18" min="18" style="0" width="24"/>
    <col collapsed="false" customWidth="true" hidden="false" outlineLevel="0" max="19" min="19" style="0" width="27"/>
    <col collapsed="false" customWidth="true" hidden="false" outlineLevel="0" max="20" min="20" style="0" width="18"/>
    <col collapsed="false" customWidth="true" hidden="false" outlineLevel="0" max="21" min="21" style="0" width="13"/>
    <col collapsed="false" customWidth="true" hidden="false" outlineLevel="0" max="22" min="22" style="0" width="20"/>
    <col collapsed="false" customWidth="true" hidden="false" outlineLevel="0" max="23" min="23" style="0" width="60"/>
  </cols>
  <sheetData>
    <row r="1" customFormat="false" ht="16.15" hidden="false" customHeight="false" outlineLevel="0" collapsed="false">
      <c r="A1" s="8" t="s">
        <v>4250</v>
      </c>
    </row>
    <row r="2" customFormat="false" ht="30" hidden="false" customHeight="true" outlineLevel="0" collapsed="false">
      <c r="A2" s="9" t="s">
        <v>927</v>
      </c>
      <c r="B2" s="9" t="s">
        <v>3768</v>
      </c>
      <c r="C2" s="9" t="s">
        <v>3902</v>
      </c>
      <c r="D2" s="9" t="s">
        <v>4251</v>
      </c>
      <c r="E2" s="9" t="s">
        <v>4252</v>
      </c>
      <c r="F2" s="9" t="s">
        <v>4253</v>
      </c>
      <c r="G2" s="9" t="s">
        <v>4254</v>
      </c>
      <c r="H2" s="9" t="s">
        <v>4255</v>
      </c>
      <c r="I2" s="9" t="s">
        <v>3905</v>
      </c>
      <c r="J2" s="9" t="s">
        <v>4256</v>
      </c>
      <c r="K2" s="9" t="s">
        <v>4257</v>
      </c>
      <c r="L2" s="9" t="s">
        <v>4258</v>
      </c>
      <c r="M2" s="9" t="s">
        <v>4259</v>
      </c>
      <c r="N2" s="9" t="s">
        <v>4260</v>
      </c>
      <c r="O2" s="9" t="s">
        <v>4261</v>
      </c>
      <c r="P2" s="9" t="s">
        <v>3917</v>
      </c>
      <c r="Q2" s="9" t="s">
        <v>3916</v>
      </c>
      <c r="R2" s="9" t="s">
        <v>4262</v>
      </c>
      <c r="S2" s="9" t="s">
        <v>4263</v>
      </c>
      <c r="T2" s="9" t="s">
        <v>3899</v>
      </c>
      <c r="U2" s="9" t="s">
        <v>3918</v>
      </c>
      <c r="V2" s="9" t="s">
        <v>3919</v>
      </c>
      <c r="W2" s="9" t="s">
        <v>3775</v>
      </c>
    </row>
    <row r="3" customFormat="false" ht="15" hidden="false" customHeight="false" outlineLevel="0" collapsed="false">
      <c r="A3" s="12" t="s">
        <v>4264</v>
      </c>
      <c r="B3" s="15" t="s">
        <v>3940</v>
      </c>
      <c r="C3" s="15" t="s">
        <v>3925</v>
      </c>
      <c r="D3" s="12" t="s">
        <v>4265</v>
      </c>
      <c r="E3" s="15" t="s">
        <v>3926</v>
      </c>
      <c r="F3" s="12" t="s">
        <v>4266</v>
      </c>
      <c r="G3" s="12" t="s">
        <v>1096</v>
      </c>
      <c r="H3" s="12" t="s">
        <v>4267</v>
      </c>
      <c r="I3" s="12" t="s">
        <v>4268</v>
      </c>
      <c r="J3" s="12" t="s">
        <v>4269</v>
      </c>
      <c r="K3" s="50" t="n">
        <v>24500</v>
      </c>
      <c r="L3" s="51" t="n">
        <v>1.8</v>
      </c>
      <c r="M3" s="50" t="n">
        <v>105</v>
      </c>
      <c r="N3" s="51" t="n">
        <v>1.5</v>
      </c>
      <c r="O3" s="12" t="n">
        <v>0</v>
      </c>
      <c r="P3" s="12" t="s">
        <v>978</v>
      </c>
      <c r="Q3" s="12" t="s">
        <v>990</v>
      </c>
      <c r="R3" s="15" t="s">
        <v>990</v>
      </c>
      <c r="S3" s="15" t="s">
        <v>4270</v>
      </c>
      <c r="T3" s="12"/>
      <c r="U3" s="12" t="s">
        <v>2457</v>
      </c>
      <c r="V3" s="12" t="s">
        <v>3930</v>
      </c>
      <c r="W3" s="46" t="s">
        <v>4271</v>
      </c>
    </row>
    <row r="4" customFormat="false" ht="15" hidden="false" customHeight="false" outlineLevel="0" collapsed="false">
      <c r="A4" s="12" t="s">
        <v>4272</v>
      </c>
      <c r="B4" s="15" t="s">
        <v>3940</v>
      </c>
      <c r="C4" s="15" t="s">
        <v>3925</v>
      </c>
      <c r="D4" s="12" t="s">
        <v>4265</v>
      </c>
      <c r="E4" s="15" t="s">
        <v>4273</v>
      </c>
      <c r="F4" s="12" t="s">
        <v>4266</v>
      </c>
      <c r="G4" s="12" t="s">
        <v>1096</v>
      </c>
      <c r="H4" s="12" t="s">
        <v>4267</v>
      </c>
      <c r="I4" s="12" t="s">
        <v>4268</v>
      </c>
      <c r="J4" s="12" t="s">
        <v>4274</v>
      </c>
      <c r="K4" s="50" t="n">
        <v>24500</v>
      </c>
      <c r="L4" s="51" t="n">
        <v>2.1</v>
      </c>
      <c r="M4" s="50" t="n">
        <v>105</v>
      </c>
      <c r="N4" s="51" t="n">
        <v>1.5</v>
      </c>
      <c r="O4" s="12" t="n">
        <v>0</v>
      </c>
      <c r="P4" s="12" t="s">
        <v>978</v>
      </c>
      <c r="Q4" s="12" t="s">
        <v>990</v>
      </c>
      <c r="R4" s="15" t="s">
        <v>990</v>
      </c>
      <c r="S4" s="15" t="s">
        <v>4270</v>
      </c>
      <c r="T4" s="12"/>
      <c r="U4" s="12" t="s">
        <v>2457</v>
      </c>
      <c r="V4" s="12" t="s">
        <v>3930</v>
      </c>
      <c r="W4" s="46" t="s">
        <v>4275</v>
      </c>
    </row>
    <row r="5" customFormat="false" ht="23.85" hidden="false" customHeight="false" outlineLevel="0" collapsed="false">
      <c r="A5" s="12" t="s">
        <v>4276</v>
      </c>
      <c r="B5" s="15" t="s">
        <v>3940</v>
      </c>
      <c r="C5" s="15" t="s">
        <v>1096</v>
      </c>
      <c r="D5" s="12" t="s">
        <v>1087</v>
      </c>
      <c r="E5" s="15" t="s">
        <v>4277</v>
      </c>
      <c r="F5" s="12" t="s">
        <v>4266</v>
      </c>
      <c r="G5" s="12" t="s">
        <v>1096</v>
      </c>
      <c r="H5" s="12" t="s">
        <v>4267</v>
      </c>
      <c r="I5" s="12" t="s">
        <v>4278</v>
      </c>
      <c r="J5" s="12" t="s">
        <v>4279</v>
      </c>
      <c r="K5" s="50" t="n">
        <v>18730</v>
      </c>
      <c r="L5" s="51" t="n">
        <v>3.2</v>
      </c>
      <c r="M5" s="50" t="n">
        <v>100</v>
      </c>
      <c r="N5" s="51" t="n">
        <v>1.6</v>
      </c>
      <c r="O5" s="12" t="n">
        <v>0</v>
      </c>
      <c r="P5" s="12" t="s">
        <v>978</v>
      </c>
      <c r="Q5" s="12" t="s">
        <v>990</v>
      </c>
      <c r="R5" s="15" t="s">
        <v>978</v>
      </c>
      <c r="S5" s="15" t="s">
        <v>4280</v>
      </c>
      <c r="T5" s="12"/>
      <c r="U5" s="12" t="s">
        <v>2457</v>
      </c>
      <c r="V5" s="12" t="s">
        <v>4281</v>
      </c>
      <c r="W5" s="46" t="s">
        <v>4282</v>
      </c>
    </row>
    <row r="6" customFormat="false" ht="15" hidden="false" customHeight="false" outlineLevel="0" collapsed="false">
      <c r="A6" s="12" t="s">
        <v>4283</v>
      </c>
      <c r="B6" s="15" t="s">
        <v>3940</v>
      </c>
      <c r="C6" s="15" t="s">
        <v>3933</v>
      </c>
      <c r="D6" s="12" t="s">
        <v>4284</v>
      </c>
      <c r="E6" s="15" t="s">
        <v>3934</v>
      </c>
      <c r="F6" s="12" t="s">
        <v>4266</v>
      </c>
      <c r="G6" s="12" t="s">
        <v>4285</v>
      </c>
      <c r="H6" s="12" t="s">
        <v>4286</v>
      </c>
      <c r="I6" s="12" t="s">
        <v>4285</v>
      </c>
      <c r="J6" s="12" t="s">
        <v>4287</v>
      </c>
      <c r="K6" s="50" t="n">
        <v>110500</v>
      </c>
      <c r="L6" s="51" t="n">
        <v>2.4</v>
      </c>
      <c r="M6" s="50" t="n">
        <v>132</v>
      </c>
      <c r="N6" s="51" t="n">
        <v>1.2</v>
      </c>
      <c r="O6" s="12" t="n">
        <v>180</v>
      </c>
      <c r="P6" s="12" t="s">
        <v>990</v>
      </c>
      <c r="Q6" s="12" t="s">
        <v>990</v>
      </c>
      <c r="R6" s="15" t="s">
        <v>990</v>
      </c>
      <c r="S6" s="15" t="s">
        <v>4270</v>
      </c>
      <c r="T6" s="12"/>
      <c r="U6" s="12" t="s">
        <v>2457</v>
      </c>
      <c r="V6" s="12" t="s">
        <v>3938</v>
      </c>
      <c r="W6" s="46" t="s">
        <v>4288</v>
      </c>
    </row>
    <row r="7" customFormat="false" ht="15" hidden="false" customHeight="false" outlineLevel="0" collapsed="false">
      <c r="A7" s="12" t="s">
        <v>4289</v>
      </c>
      <c r="B7" s="15" t="s">
        <v>3943</v>
      </c>
      <c r="C7" s="15"/>
      <c r="D7" s="12"/>
      <c r="E7" s="15"/>
      <c r="F7" s="12"/>
      <c r="G7" s="12"/>
      <c r="H7" s="12"/>
      <c r="I7" s="12"/>
      <c r="J7" s="12"/>
      <c r="K7" s="50"/>
      <c r="L7" s="51"/>
      <c r="M7" s="50"/>
      <c r="N7" s="51"/>
      <c r="O7" s="12"/>
      <c r="P7" s="12"/>
      <c r="Q7" s="12"/>
      <c r="R7" s="15" t="s">
        <v>4290</v>
      </c>
      <c r="S7" s="15" t="s">
        <v>1637</v>
      </c>
      <c r="T7" s="12" t="s">
        <v>4291</v>
      </c>
      <c r="U7" s="12"/>
      <c r="V7" s="12"/>
      <c r="W7" s="46" t="s">
        <v>4292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7"/>
    <col collapsed="false" customWidth="true" hidden="false" outlineLevel="0" max="3" min="3" style="0" width="21"/>
    <col collapsed="false" customWidth="true" hidden="false" outlineLevel="0" max="4" min="4" style="0" width="30"/>
    <col collapsed="false" customWidth="true" hidden="false" outlineLevel="0" max="5" min="5" style="0" width="12"/>
    <col collapsed="false" customWidth="true" hidden="false" outlineLevel="0" max="8" min="6" style="0" width="15"/>
    <col collapsed="false" customWidth="true" hidden="false" outlineLevel="0" max="9" min="9" style="0" width="12"/>
    <col collapsed="false" customWidth="true" hidden="false" outlineLevel="0" max="11" min="10" style="0" width="21"/>
    <col collapsed="false" customWidth="true" hidden="false" outlineLevel="0" max="13" min="12" style="0" width="19"/>
    <col collapsed="false" customWidth="true" hidden="false" outlineLevel="0" max="14" min="14" style="0" width="12"/>
    <col collapsed="false" customWidth="true" hidden="false" outlineLevel="0" max="15" min="15" style="0" width="16"/>
    <col collapsed="false" customWidth="true" hidden="false" outlineLevel="0" max="16" min="16" style="0" width="18"/>
    <col collapsed="false" customWidth="true" hidden="false" outlineLevel="0" max="17" min="17" style="0" width="9"/>
    <col collapsed="false" customWidth="true" hidden="false" outlineLevel="0" max="18" min="18" style="0" width="52"/>
  </cols>
  <sheetData>
    <row r="1" customFormat="false" ht="16.15" hidden="false" customHeight="false" outlineLevel="0" collapsed="false">
      <c r="A1" s="8" t="s">
        <v>4293</v>
      </c>
    </row>
    <row r="2" customFormat="false" ht="30" hidden="false" customHeight="true" outlineLevel="0" collapsed="false">
      <c r="A2" s="9" t="s">
        <v>3701</v>
      </c>
      <c r="B2" s="9" t="s">
        <v>927</v>
      </c>
      <c r="C2" s="9" t="s">
        <v>4294</v>
      </c>
      <c r="D2" s="9" t="s">
        <v>4295</v>
      </c>
      <c r="E2" s="9" t="s">
        <v>4296</v>
      </c>
      <c r="F2" s="9" t="s">
        <v>4297</v>
      </c>
      <c r="G2" s="9" t="s">
        <v>4298</v>
      </c>
      <c r="H2" s="9" t="s">
        <v>4299</v>
      </c>
      <c r="I2" s="9" t="s">
        <v>4300</v>
      </c>
      <c r="J2" s="9" t="s">
        <v>3907</v>
      </c>
      <c r="K2" s="9" t="s">
        <v>3910</v>
      </c>
      <c r="L2" s="9" t="s">
        <v>3908</v>
      </c>
      <c r="M2" s="9" t="s">
        <v>3909</v>
      </c>
      <c r="N2" s="9" t="s">
        <v>4301</v>
      </c>
      <c r="O2" s="9" t="s">
        <v>4302</v>
      </c>
      <c r="P2" s="9" t="s">
        <v>4303</v>
      </c>
      <c r="Q2" s="9" t="s">
        <v>2327</v>
      </c>
      <c r="R2" s="9" t="s">
        <v>3775</v>
      </c>
    </row>
    <row r="3" customFormat="false" ht="15" hidden="false" customHeight="false" outlineLevel="0" collapsed="false">
      <c r="A3" s="12" t="s">
        <v>4304</v>
      </c>
      <c r="B3" s="12" t="s">
        <v>4264</v>
      </c>
      <c r="C3" s="12" t="s">
        <v>4305</v>
      </c>
      <c r="D3" s="12" t="s">
        <v>4306</v>
      </c>
      <c r="E3" s="12" t="n">
        <v>0</v>
      </c>
      <c r="F3" s="12" t="n">
        <v>12</v>
      </c>
      <c r="G3" s="12" t="n">
        <v>0</v>
      </c>
      <c r="H3" s="12" t="n">
        <v>187</v>
      </c>
      <c r="I3" s="27" t="n">
        <f aca="false">SUM(E3:H3)</f>
        <v>199</v>
      </c>
      <c r="J3" s="53" t="n">
        <v>50100</v>
      </c>
      <c r="K3" s="50" t="n">
        <v>75600</v>
      </c>
      <c r="L3" s="50" t="n">
        <v>97000</v>
      </c>
      <c r="M3" s="50" t="n">
        <v>79200</v>
      </c>
      <c r="N3" s="12" t="s">
        <v>4307</v>
      </c>
      <c r="O3" s="12" t="s">
        <v>4308</v>
      </c>
      <c r="P3" s="12" t="s">
        <v>4309</v>
      </c>
      <c r="Q3" s="12" t="s">
        <v>1197</v>
      </c>
      <c r="R3" s="46" t="s">
        <v>4310</v>
      </c>
    </row>
    <row r="4" customFormat="false" ht="15" hidden="false" customHeight="false" outlineLevel="0" collapsed="false">
      <c r="A4" s="12" t="s">
        <v>4311</v>
      </c>
      <c r="B4" s="12" t="s">
        <v>4264</v>
      </c>
      <c r="C4" s="12" t="s">
        <v>4312</v>
      </c>
      <c r="D4" s="12" t="s">
        <v>4313</v>
      </c>
      <c r="E4" s="12" t="n">
        <v>0</v>
      </c>
      <c r="F4" s="12" t="n">
        <v>12</v>
      </c>
      <c r="G4" s="12" t="n">
        <v>24</v>
      </c>
      <c r="H4" s="12" t="n">
        <v>132</v>
      </c>
      <c r="I4" s="27" t="n">
        <f aca="false">SUM(E4:H4)</f>
        <v>168</v>
      </c>
      <c r="J4" s="53" t="n">
        <v>51400</v>
      </c>
      <c r="K4" s="50" t="n">
        <v>75600</v>
      </c>
      <c r="L4" s="50" t="n">
        <v>97000</v>
      </c>
      <c r="M4" s="50" t="n">
        <v>79200</v>
      </c>
      <c r="N4" s="12" t="s">
        <v>4314</v>
      </c>
      <c r="O4" s="12" t="s">
        <v>4315</v>
      </c>
      <c r="P4" s="12" t="s">
        <v>4316</v>
      </c>
      <c r="Q4" s="12" t="s">
        <v>1197</v>
      </c>
      <c r="R4" s="46" t="s">
        <v>4317</v>
      </c>
    </row>
    <row r="5" customFormat="false" ht="15" hidden="false" customHeight="false" outlineLevel="0" collapsed="false">
      <c r="A5" s="12" t="s">
        <v>4318</v>
      </c>
      <c r="B5" s="12" t="s">
        <v>4276</v>
      </c>
      <c r="C5" s="12" t="s">
        <v>4319</v>
      </c>
      <c r="D5" s="12" t="s">
        <v>4320</v>
      </c>
      <c r="E5" s="12" t="n">
        <v>0</v>
      </c>
      <c r="F5" s="12" t="n">
        <v>12</v>
      </c>
      <c r="G5" s="12" t="n">
        <v>0</v>
      </c>
      <c r="H5" s="12" t="n">
        <v>156</v>
      </c>
      <c r="I5" s="27" t="n">
        <f aca="false">SUM(E5:H5)</f>
        <v>168</v>
      </c>
      <c r="J5" s="53" t="n">
        <v>42600</v>
      </c>
      <c r="K5" s="50" t="n">
        <v>62800</v>
      </c>
      <c r="L5" s="50" t="n">
        <v>78000</v>
      </c>
      <c r="M5" s="50" t="n">
        <v>66000</v>
      </c>
      <c r="N5" s="12" t="s">
        <v>4307</v>
      </c>
      <c r="O5" s="12" t="s">
        <v>4321</v>
      </c>
      <c r="P5" s="12" t="s">
        <v>4322</v>
      </c>
      <c r="Q5" s="12" t="s">
        <v>1197</v>
      </c>
      <c r="R5" s="46"/>
    </row>
    <row r="6" customFormat="false" ht="15" hidden="false" customHeight="false" outlineLevel="0" collapsed="false">
      <c r="A6" s="12" t="s">
        <v>4323</v>
      </c>
      <c r="B6" s="12" t="s">
        <v>4283</v>
      </c>
      <c r="C6" s="12" t="s">
        <v>4324</v>
      </c>
      <c r="D6" s="12" t="s">
        <v>4325</v>
      </c>
      <c r="E6" s="12" t="n">
        <v>0</v>
      </c>
      <c r="F6" s="12" t="n">
        <v>30</v>
      </c>
      <c r="G6" s="12" t="n">
        <v>24</v>
      </c>
      <c r="H6" s="12" t="n">
        <v>241</v>
      </c>
      <c r="I6" s="27" t="n">
        <f aca="false">SUM(E6:H6)</f>
        <v>295</v>
      </c>
      <c r="J6" s="53" t="n">
        <v>145200</v>
      </c>
      <c r="K6" s="50" t="n">
        <v>195700</v>
      </c>
      <c r="L6" s="50" t="n">
        <v>280000</v>
      </c>
      <c r="M6" s="50" t="n">
        <v>207000</v>
      </c>
      <c r="N6" s="12" t="s">
        <v>4326</v>
      </c>
      <c r="O6" s="12" t="s">
        <v>4327</v>
      </c>
      <c r="P6" s="12" t="s">
        <v>4328</v>
      </c>
      <c r="Q6" s="12" t="s">
        <v>1197</v>
      </c>
      <c r="R6" s="4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7"/>
    <col collapsed="false" customWidth="true" hidden="false" outlineLevel="0" max="3" min="3" style="0" width="14"/>
    <col collapsed="false" customWidth="true" hidden="false" outlineLevel="0" max="5" min="4" style="0" width="16"/>
    <col collapsed="false" customWidth="true" hidden="false" outlineLevel="0" max="7" min="6" style="0" width="11"/>
    <col collapsed="false" customWidth="true" hidden="false" outlineLevel="0" max="8" min="8" style="0" width="9"/>
    <col collapsed="false" customWidth="true" hidden="false" outlineLevel="0" max="9" min="9" style="0" width="74"/>
  </cols>
  <sheetData>
    <row r="1" customFormat="false" ht="16.15" hidden="false" customHeight="false" outlineLevel="0" collapsed="false">
      <c r="A1" s="8" t="s">
        <v>4329</v>
      </c>
    </row>
    <row r="2" customFormat="false" ht="30" hidden="false" customHeight="true" outlineLevel="0" collapsed="false">
      <c r="A2" s="9" t="s">
        <v>4330</v>
      </c>
      <c r="B2" s="9" t="s">
        <v>927</v>
      </c>
      <c r="C2" s="9" t="s">
        <v>1172</v>
      </c>
      <c r="D2" s="9" t="s">
        <v>4331</v>
      </c>
      <c r="E2" s="9" t="s">
        <v>4332</v>
      </c>
      <c r="F2" s="9" t="s">
        <v>4333</v>
      </c>
      <c r="G2" s="9" t="s">
        <v>2429</v>
      </c>
      <c r="H2" s="9" t="s">
        <v>2327</v>
      </c>
      <c r="I2" s="9" t="s">
        <v>3775</v>
      </c>
    </row>
    <row r="3" customFormat="false" ht="15" hidden="false" customHeight="false" outlineLevel="0" collapsed="false">
      <c r="A3" s="12" t="s">
        <v>4334</v>
      </c>
      <c r="B3" s="12" t="s">
        <v>4264</v>
      </c>
      <c r="C3" s="12" t="s">
        <v>3778</v>
      </c>
      <c r="D3" s="15" t="s">
        <v>4335</v>
      </c>
      <c r="E3" s="15" t="s">
        <v>4265</v>
      </c>
      <c r="F3" s="12" t="s">
        <v>990</v>
      </c>
      <c r="G3" s="12" t="s">
        <v>2437</v>
      </c>
      <c r="H3" s="12" t="s">
        <v>1197</v>
      </c>
      <c r="I3" s="46" t="s">
        <v>4336</v>
      </c>
    </row>
    <row r="4" customFormat="false" ht="15" hidden="false" customHeight="false" outlineLevel="0" collapsed="false">
      <c r="A4" s="12" t="s">
        <v>4337</v>
      </c>
      <c r="B4" s="12" t="s">
        <v>4264</v>
      </c>
      <c r="C4" s="12" t="s">
        <v>4338</v>
      </c>
      <c r="D4" s="15" t="s">
        <v>4339</v>
      </c>
      <c r="E4" s="15" t="s">
        <v>3925</v>
      </c>
      <c r="F4" s="12" t="s">
        <v>978</v>
      </c>
      <c r="G4" s="12" t="s">
        <v>2437</v>
      </c>
      <c r="H4" s="12" t="s">
        <v>1197</v>
      </c>
      <c r="I4" s="46" t="s">
        <v>4340</v>
      </c>
    </row>
    <row r="5" customFormat="false" ht="15" hidden="false" customHeight="false" outlineLevel="0" collapsed="false">
      <c r="A5" s="12" t="s">
        <v>4341</v>
      </c>
      <c r="B5" s="12" t="s">
        <v>4264</v>
      </c>
      <c r="C5" s="12" t="s">
        <v>4338</v>
      </c>
      <c r="D5" s="15" t="s">
        <v>4342</v>
      </c>
      <c r="E5" s="15" t="s">
        <v>3926</v>
      </c>
      <c r="F5" s="12" t="s">
        <v>978</v>
      </c>
      <c r="G5" s="12" t="s">
        <v>2437</v>
      </c>
      <c r="H5" s="12" t="s">
        <v>1197</v>
      </c>
      <c r="I5" s="46" t="s">
        <v>4343</v>
      </c>
    </row>
    <row r="6" customFormat="false" ht="15" hidden="false" customHeight="false" outlineLevel="0" collapsed="false">
      <c r="A6" s="12" t="s">
        <v>4344</v>
      </c>
      <c r="B6" s="12" t="s">
        <v>4264</v>
      </c>
      <c r="C6" s="12" t="s">
        <v>4345</v>
      </c>
      <c r="D6" s="15" t="s">
        <v>4346</v>
      </c>
      <c r="E6" s="15" t="s">
        <v>4268</v>
      </c>
      <c r="F6" s="12" t="s">
        <v>978</v>
      </c>
      <c r="G6" s="12" t="s">
        <v>2437</v>
      </c>
      <c r="H6" s="12" t="s">
        <v>1197</v>
      </c>
      <c r="I6" s="46" t="s">
        <v>4347</v>
      </c>
    </row>
    <row r="7" customFormat="false" ht="15" hidden="false" customHeight="false" outlineLevel="0" collapsed="false">
      <c r="A7" s="12" t="s">
        <v>4348</v>
      </c>
      <c r="B7" s="12" t="s">
        <v>4272</v>
      </c>
      <c r="C7" s="12" t="s">
        <v>3778</v>
      </c>
      <c r="D7" s="15" t="s">
        <v>4335</v>
      </c>
      <c r="E7" s="15" t="s">
        <v>4265</v>
      </c>
      <c r="F7" s="12" t="s">
        <v>978</v>
      </c>
      <c r="G7" s="12" t="s">
        <v>2437</v>
      </c>
      <c r="H7" s="12" t="s">
        <v>1197</v>
      </c>
      <c r="I7" s="46" t="s">
        <v>4349</v>
      </c>
    </row>
    <row r="8" customFormat="false" ht="15" hidden="false" customHeight="false" outlineLevel="0" collapsed="false">
      <c r="A8" s="12" t="s">
        <v>4350</v>
      </c>
      <c r="B8" s="12" t="s">
        <v>4272</v>
      </c>
      <c r="C8" s="12" t="s">
        <v>4338</v>
      </c>
      <c r="D8" s="15" t="s">
        <v>4342</v>
      </c>
      <c r="E8" s="15" t="s">
        <v>4273</v>
      </c>
      <c r="F8" s="12" t="s">
        <v>990</v>
      </c>
      <c r="G8" s="12" t="s">
        <v>2437</v>
      </c>
      <c r="H8" s="12" t="s">
        <v>1197</v>
      </c>
      <c r="I8" s="46" t="s">
        <v>4351</v>
      </c>
    </row>
    <row r="9" customFormat="false" ht="15" hidden="false" customHeight="false" outlineLevel="0" collapsed="false">
      <c r="A9" s="12" t="s">
        <v>4352</v>
      </c>
      <c r="B9" s="12" t="s">
        <v>4283</v>
      </c>
      <c r="C9" s="12" t="s">
        <v>3778</v>
      </c>
      <c r="D9" s="15" t="s">
        <v>4335</v>
      </c>
      <c r="E9" s="15" t="s">
        <v>4284</v>
      </c>
      <c r="F9" s="12" t="s">
        <v>990</v>
      </c>
      <c r="G9" s="12" t="s">
        <v>2437</v>
      </c>
      <c r="H9" s="12" t="s">
        <v>1197</v>
      </c>
      <c r="I9" s="46"/>
    </row>
    <row r="10" customFormat="false" ht="15" hidden="false" customHeight="false" outlineLevel="0" collapsed="false">
      <c r="A10" s="12" t="s">
        <v>4353</v>
      </c>
      <c r="B10" s="12" t="s">
        <v>4283</v>
      </c>
      <c r="C10" s="12" t="s">
        <v>4338</v>
      </c>
      <c r="D10" s="15" t="s">
        <v>4339</v>
      </c>
      <c r="E10" s="15" t="s">
        <v>3933</v>
      </c>
      <c r="F10" s="12" t="s">
        <v>978</v>
      </c>
      <c r="G10" s="12" t="s">
        <v>2437</v>
      </c>
      <c r="H10" s="12" t="s">
        <v>1197</v>
      </c>
      <c r="I10" s="46"/>
    </row>
    <row r="11" customFormat="false" ht="15" hidden="false" customHeight="false" outlineLevel="0" collapsed="false">
      <c r="A11" s="12" t="s">
        <v>4354</v>
      </c>
      <c r="B11" s="12" t="s">
        <v>4276</v>
      </c>
      <c r="C11" s="12" t="s">
        <v>3778</v>
      </c>
      <c r="D11" s="15" t="s">
        <v>4355</v>
      </c>
      <c r="E11" s="15" t="s">
        <v>4356</v>
      </c>
      <c r="F11" s="12" t="s">
        <v>990</v>
      </c>
      <c r="G11" s="12" t="s">
        <v>2437</v>
      </c>
      <c r="H11" s="12" t="s">
        <v>1197</v>
      </c>
      <c r="I11" s="46" t="s">
        <v>4357</v>
      </c>
    </row>
    <row r="14" customFormat="false" ht="16.15" hidden="false" customHeight="false" outlineLevel="0" collapsed="false">
      <c r="A14" s="8" t="s">
        <v>4358</v>
      </c>
    </row>
    <row r="15" customFormat="false" ht="15" hidden="false" customHeight="false" outlineLevel="0" collapsed="false">
      <c r="A15" s="17" t="s">
        <v>4359</v>
      </c>
      <c r="B15" s="17" t="s">
        <v>4360</v>
      </c>
      <c r="C15" s="17" t="s">
        <v>3225</v>
      </c>
    </row>
    <row r="16" customFormat="false" ht="27.75" hidden="false" customHeight="true" outlineLevel="0" collapsed="false">
      <c r="A16" s="18" t="s">
        <v>4361</v>
      </c>
      <c r="B16" s="11" t="s">
        <v>4362</v>
      </c>
      <c r="C16" s="11" t="s">
        <v>4363</v>
      </c>
    </row>
    <row r="17" customFormat="false" ht="27.75" hidden="false" customHeight="true" outlineLevel="0" collapsed="false">
      <c r="A17" s="18" t="s">
        <v>4364</v>
      </c>
      <c r="B17" s="11" t="s">
        <v>4365</v>
      </c>
      <c r="C17" s="11" t="s">
        <v>4366</v>
      </c>
    </row>
    <row r="18" customFormat="false" ht="27.75" hidden="false" customHeight="true" outlineLevel="0" collapsed="false">
      <c r="A18" s="18" t="s">
        <v>4367</v>
      </c>
      <c r="B18" s="11" t="s">
        <v>4368</v>
      </c>
      <c r="C18" s="11" t="s">
        <v>4369</v>
      </c>
    </row>
    <row r="19" customFormat="false" ht="27.75" hidden="false" customHeight="true" outlineLevel="0" collapsed="false">
      <c r="A19" s="18" t="s">
        <v>4370</v>
      </c>
      <c r="B19" s="11" t="s">
        <v>2059</v>
      </c>
      <c r="C19" s="11" t="s">
        <v>4371</v>
      </c>
    </row>
    <row r="20" customFormat="false" ht="27.75" hidden="false" customHeight="true" outlineLevel="0" collapsed="false">
      <c r="A20" s="18" t="s">
        <v>4372</v>
      </c>
      <c r="B20" s="11" t="s">
        <v>4373</v>
      </c>
      <c r="C20" s="11" t="s">
        <v>4374</v>
      </c>
    </row>
    <row r="21" customFormat="false" ht="27.75" hidden="false" customHeight="true" outlineLevel="0" collapsed="false">
      <c r="A21" s="18" t="s">
        <v>4375</v>
      </c>
      <c r="B21" s="11" t="s">
        <v>4376</v>
      </c>
      <c r="C21" s="11" t="s">
        <v>4377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15"/>
    <col collapsed="false" customWidth="true" hidden="false" outlineLevel="0" max="4" min="4" style="0" width="13"/>
    <col collapsed="false" customWidth="true" hidden="false" outlineLevel="0" max="6" min="5" style="0" width="15"/>
    <col collapsed="false" customWidth="true" hidden="false" outlineLevel="0" max="7" min="7" style="0" width="11"/>
    <col collapsed="false" customWidth="true" hidden="false" outlineLevel="0" max="8" min="8" style="0" width="18"/>
    <col collapsed="false" customWidth="true" hidden="false" outlineLevel="0" max="9" min="9" style="0" width="16"/>
    <col collapsed="false" customWidth="true" hidden="false" outlineLevel="0" max="10" min="10" style="0" width="18"/>
    <col collapsed="false" customWidth="true" hidden="false" outlineLevel="0" max="11" min="11" style="0" width="17"/>
    <col collapsed="false" customWidth="true" hidden="false" outlineLevel="0" max="12" min="12" style="0" width="15"/>
    <col collapsed="false" customWidth="true" hidden="false" outlineLevel="0" max="13" min="13" style="0" width="14"/>
    <col collapsed="false" customWidth="true" hidden="false" outlineLevel="0" max="14" min="14" style="0" width="17"/>
    <col collapsed="false" customWidth="true" hidden="false" outlineLevel="0" max="15" min="15" style="0" width="16"/>
    <col collapsed="false" customWidth="true" hidden="false" outlineLevel="0" max="16" min="16" style="0" width="13"/>
    <col collapsed="false" customWidth="true" hidden="false" outlineLevel="0" max="17" min="17" style="0" width="16"/>
    <col collapsed="false" customWidth="true" hidden="false" outlineLevel="0" max="18" min="18" style="0" width="21"/>
    <col collapsed="false" customWidth="true" hidden="false" outlineLevel="0" max="19" min="19" style="0" width="18"/>
    <col collapsed="false" customWidth="true" hidden="false" outlineLevel="0" max="20" min="20" style="0" width="19"/>
    <col collapsed="false" customWidth="true" hidden="false" outlineLevel="0" max="21" min="21" style="0" width="17"/>
    <col collapsed="false" customWidth="true" hidden="false" outlineLevel="0" max="22" min="22" style="0" width="19"/>
    <col collapsed="false" customWidth="true" hidden="false" outlineLevel="0" max="23" min="23" style="0" width="20"/>
    <col collapsed="false" customWidth="true" hidden="false" outlineLevel="0" max="24" min="24" style="0" width="66"/>
  </cols>
  <sheetData>
    <row r="1" customFormat="false" ht="16.15" hidden="false" customHeight="false" outlineLevel="0" collapsed="false">
      <c r="A1" s="8" t="s">
        <v>4378</v>
      </c>
    </row>
    <row r="2" customFormat="false" ht="30" hidden="false" customHeight="true" outlineLevel="0" collapsed="false">
      <c r="A2" s="9" t="s">
        <v>42</v>
      </c>
      <c r="B2" s="9" t="s">
        <v>4379</v>
      </c>
      <c r="C2" s="9" t="s">
        <v>899</v>
      </c>
      <c r="D2" s="9" t="s">
        <v>1174</v>
      </c>
      <c r="E2" s="9" t="s">
        <v>4380</v>
      </c>
      <c r="F2" s="9" t="s">
        <v>4381</v>
      </c>
      <c r="G2" s="9" t="s">
        <v>4333</v>
      </c>
      <c r="H2" s="9" t="s">
        <v>4382</v>
      </c>
      <c r="I2" s="9" t="s">
        <v>4383</v>
      </c>
      <c r="J2" s="9" t="s">
        <v>4384</v>
      </c>
      <c r="K2" s="9" t="s">
        <v>4385</v>
      </c>
      <c r="L2" s="9" t="s">
        <v>4386</v>
      </c>
      <c r="M2" s="9" t="s">
        <v>4387</v>
      </c>
      <c r="N2" s="9" t="s">
        <v>4388</v>
      </c>
      <c r="O2" s="9" t="s">
        <v>4389</v>
      </c>
      <c r="P2" s="9" t="s">
        <v>4390</v>
      </c>
      <c r="Q2" s="9" t="s">
        <v>4391</v>
      </c>
      <c r="R2" s="9" t="s">
        <v>4392</v>
      </c>
      <c r="S2" s="9" t="s">
        <v>4393</v>
      </c>
      <c r="T2" s="9" t="s">
        <v>4394</v>
      </c>
      <c r="U2" s="9" t="s">
        <v>4395</v>
      </c>
      <c r="V2" s="9" t="s">
        <v>4396</v>
      </c>
      <c r="W2" s="9" t="s">
        <v>4397</v>
      </c>
      <c r="X2" s="9" t="s">
        <v>3775</v>
      </c>
    </row>
    <row r="3" customFormat="false" ht="27.75" hidden="false" customHeight="true" outlineLevel="0" collapsed="false">
      <c r="A3" s="12" t="s">
        <v>510</v>
      </c>
      <c r="B3" s="12" t="s">
        <v>4398</v>
      </c>
      <c r="C3" s="12" t="s">
        <v>970</v>
      </c>
      <c r="D3" s="12" t="s">
        <v>980</v>
      </c>
      <c r="E3" s="15" t="s">
        <v>4399</v>
      </c>
      <c r="F3" s="12" t="n">
        <v>1</v>
      </c>
      <c r="G3" s="15" t="s">
        <v>990</v>
      </c>
      <c r="H3" s="54" t="n">
        <v>11251</v>
      </c>
      <c r="I3" s="54" t="n">
        <v>11071</v>
      </c>
      <c r="J3" s="54" t="n">
        <v>2790</v>
      </c>
      <c r="K3" s="54" t="n">
        <v>2610</v>
      </c>
      <c r="L3" s="55" t="n">
        <f aca="false">IF(OR(H3="",K3=""),"",H3-K3)</f>
        <v>8641</v>
      </c>
      <c r="M3" s="55" t="n">
        <f aca="false">IF(OR(I3="",J3=""),"",I3-J3)</f>
        <v>8281</v>
      </c>
      <c r="N3" s="55" t="n">
        <f aca="false">IF(OR(H3="",I3=""),"",H3-I3)</f>
        <v>180</v>
      </c>
      <c r="O3" s="55" t="n">
        <f aca="false">IF(OR(J3="",K3=""),"",J3-K3)</f>
        <v>180</v>
      </c>
      <c r="P3" s="54" t="n">
        <v>148</v>
      </c>
      <c r="Q3" s="55" t="n">
        <f aca="false">IF(L3="","",L3-P3)</f>
        <v>8493</v>
      </c>
      <c r="R3" s="54" t="n">
        <v>8420</v>
      </c>
      <c r="S3" s="56" t="n">
        <f aca="false">IF(M3="","",M3-R3)</f>
        <v>-139</v>
      </c>
      <c r="T3" s="26" t="n">
        <f aca="false">IF(OR(M3="",R3=0),"",S3/R3)</f>
        <v>-0.0165083135391924</v>
      </c>
      <c r="U3" s="15" t="s">
        <v>2721</v>
      </c>
      <c r="V3" s="12" t="s">
        <v>993</v>
      </c>
      <c r="W3" s="12" t="s">
        <v>4400</v>
      </c>
      <c r="X3" s="46" t="s">
        <v>4401</v>
      </c>
    </row>
    <row r="4" customFormat="false" ht="27.75" hidden="false" customHeight="true" outlineLevel="0" collapsed="false">
      <c r="A4" s="12" t="s">
        <v>510</v>
      </c>
      <c r="B4" s="12" t="s">
        <v>4402</v>
      </c>
      <c r="C4" s="12" t="s">
        <v>970</v>
      </c>
      <c r="D4" s="12" t="s">
        <v>980</v>
      </c>
      <c r="E4" s="15" t="s">
        <v>4403</v>
      </c>
      <c r="F4" s="12" t="n">
        <v>2</v>
      </c>
      <c r="G4" s="15" t="s">
        <v>978</v>
      </c>
      <c r="H4" s="54" t="n">
        <v>11251</v>
      </c>
      <c r="I4" s="54" t="n">
        <v>11050</v>
      </c>
      <c r="J4" s="54" t="n">
        <v>2800</v>
      </c>
      <c r="K4" s="54" t="n">
        <v>2600</v>
      </c>
      <c r="L4" s="55" t="n">
        <f aca="false">IF(OR(H4="",K4=""),"",H4-K4)</f>
        <v>8651</v>
      </c>
      <c r="M4" s="55" t="n">
        <f aca="false">IF(OR(I4="",J4=""),"",I4-J4)</f>
        <v>8250</v>
      </c>
      <c r="N4" s="55" t="n">
        <f aca="false">IF(OR(H4="",I4=""),"",H4-I4)</f>
        <v>201</v>
      </c>
      <c r="O4" s="55" t="n">
        <f aca="false">IF(OR(J4="",K4=""),"",J4-K4)</f>
        <v>200</v>
      </c>
      <c r="P4" s="54" t="n">
        <v>148</v>
      </c>
      <c r="Q4" s="55" t="n">
        <f aca="false">IF(L4="","",L4-P4)</f>
        <v>8503</v>
      </c>
      <c r="R4" s="54" t="n">
        <v>8420</v>
      </c>
      <c r="S4" s="56" t="n">
        <f aca="false">IF(M4="","",M4-R4)</f>
        <v>-170</v>
      </c>
      <c r="T4" s="26" t="n">
        <f aca="false">IF(OR(M4="",R4=0),"",S4/R4)</f>
        <v>-0.0201900237529691</v>
      </c>
      <c r="U4" s="15" t="s">
        <v>2734</v>
      </c>
      <c r="V4" s="12" t="s">
        <v>993</v>
      </c>
      <c r="W4" s="12" t="s">
        <v>4404</v>
      </c>
      <c r="X4" s="46" t="s">
        <v>4405</v>
      </c>
    </row>
    <row r="5" customFormat="false" ht="27.75" hidden="false" customHeight="true" outlineLevel="0" collapsed="false">
      <c r="A5" s="12" t="s">
        <v>516</v>
      </c>
      <c r="B5" s="12" t="s">
        <v>4406</v>
      </c>
      <c r="C5" s="12" t="s">
        <v>1018</v>
      </c>
      <c r="D5" s="12" t="s">
        <v>1023</v>
      </c>
      <c r="E5" s="15" t="s">
        <v>4399</v>
      </c>
      <c r="F5" s="12" t="n">
        <v>1</v>
      </c>
      <c r="G5" s="15" t="s">
        <v>990</v>
      </c>
      <c r="H5" s="54" t="n">
        <v>105392</v>
      </c>
      <c r="I5" s="54" t="n">
        <v>104792</v>
      </c>
      <c r="J5" s="54" t="n">
        <v>9800</v>
      </c>
      <c r="K5" s="54" t="n">
        <v>9200</v>
      </c>
      <c r="L5" s="55" t="n">
        <f aca="false">IF(OR(H5="",K5=""),"",H5-K5)</f>
        <v>96192</v>
      </c>
      <c r="M5" s="55" t="n">
        <f aca="false">IF(OR(I5="",J5=""),"",I5-J5)</f>
        <v>94992</v>
      </c>
      <c r="N5" s="55" t="n">
        <f aca="false">IF(OR(H5="",I5=""),"",H5-I5)</f>
        <v>600</v>
      </c>
      <c r="O5" s="55" t="n">
        <f aca="false">IF(OR(J5="",K5=""),"",J5-K5)</f>
        <v>600</v>
      </c>
      <c r="P5" s="54" t="n">
        <v>396</v>
      </c>
      <c r="Q5" s="55" t="n">
        <f aca="false">IF(L5="","",L5-P5)</f>
        <v>95796</v>
      </c>
      <c r="R5" s="54" t="n">
        <v>96400</v>
      </c>
      <c r="S5" s="56" t="n">
        <f aca="false">IF(M5="","",M5-R5)</f>
        <v>-1408</v>
      </c>
      <c r="T5" s="26" t="n">
        <f aca="false">IF(OR(M5="",R5=0),"",S5/R5)</f>
        <v>-0.0146058091286307</v>
      </c>
      <c r="U5" s="15" t="s">
        <v>2721</v>
      </c>
      <c r="V5" s="12" t="s">
        <v>993</v>
      </c>
      <c r="W5" s="12" t="s">
        <v>4407</v>
      </c>
      <c r="X5" s="46" t="s">
        <v>4408</v>
      </c>
    </row>
    <row r="6" customFormat="false" ht="27.75" hidden="false" customHeight="true" outlineLevel="0" collapsed="false">
      <c r="A6" s="12" t="s">
        <v>521</v>
      </c>
      <c r="B6" s="12" t="s">
        <v>4409</v>
      </c>
      <c r="C6" s="12" t="s">
        <v>994</v>
      </c>
      <c r="D6" s="12" t="s">
        <v>996</v>
      </c>
      <c r="E6" s="15" t="s">
        <v>4403</v>
      </c>
      <c r="F6" s="12" t="n">
        <v>2</v>
      </c>
      <c r="G6" s="15" t="s">
        <v>990</v>
      </c>
      <c r="H6" s="54" t="n">
        <v>11535</v>
      </c>
      <c r="I6" s="54"/>
      <c r="J6" s="54"/>
      <c r="K6" s="54" t="n">
        <v>2790</v>
      </c>
      <c r="L6" s="55" t="n">
        <f aca="false">IF(OR(H6="",K6=""),"",H6-K6)</f>
        <v>8745</v>
      </c>
      <c r="M6" s="55" t="str">
        <f aca="false">IF(OR(I6="",J6=""),"",I6-J6)</f>
        <v/>
      </c>
      <c r="N6" s="55" t="str">
        <f aca="false">IF(OR(H6="",I6=""),"",H6-I6)</f>
        <v/>
      </c>
      <c r="O6" s="55" t="str">
        <f aca="false">IF(OR(J6="",K6=""),"",J6-K6)</f>
        <v/>
      </c>
      <c r="P6" s="54" t="n">
        <v>152</v>
      </c>
      <c r="Q6" s="55" t="n">
        <f aca="false">IF(L6="","",L6-P6)</f>
        <v>8593</v>
      </c>
      <c r="R6" s="54" t="n">
        <v>8690</v>
      </c>
      <c r="S6" s="56" t="str">
        <f aca="false">IF(M6="","",M6-R6)</f>
        <v/>
      </c>
      <c r="T6" s="26" t="str">
        <f aca="false">IF(OR(M6="",R6=0),"",S6/R6)</f>
        <v/>
      </c>
      <c r="U6" s="15" t="s">
        <v>2734</v>
      </c>
      <c r="V6" s="12" t="s">
        <v>1001</v>
      </c>
      <c r="W6" s="12" t="s">
        <v>4410</v>
      </c>
      <c r="X6" s="46" t="s">
        <v>4411</v>
      </c>
    </row>
    <row r="7" customFormat="false" ht="27.75" hidden="false" customHeight="true" outlineLevel="0" collapsed="false">
      <c r="A7" s="12" t="s">
        <v>526</v>
      </c>
      <c r="B7" s="12" t="s">
        <v>4412</v>
      </c>
      <c r="C7" s="12" t="s">
        <v>1002</v>
      </c>
      <c r="D7" s="12" t="s">
        <v>1004</v>
      </c>
      <c r="E7" s="15" t="s">
        <v>4413</v>
      </c>
      <c r="F7" s="12" t="n">
        <v>3</v>
      </c>
      <c r="G7" s="15" t="s">
        <v>990</v>
      </c>
      <c r="H7" s="54" t="n">
        <v>12287</v>
      </c>
      <c r="I7" s="54"/>
      <c r="J7" s="54"/>
      <c r="K7" s="54" t="n">
        <v>2960</v>
      </c>
      <c r="L7" s="55" t="n">
        <f aca="false">IF(OR(H7="",K7=""),"",H7-K7)</f>
        <v>9327</v>
      </c>
      <c r="M7" s="55" t="str">
        <f aca="false">IF(OR(I7="",J7=""),"",I7-J7)</f>
        <v/>
      </c>
      <c r="N7" s="55" t="str">
        <f aca="false">IF(OR(H7="",I7=""),"",H7-I7)</f>
        <v/>
      </c>
      <c r="O7" s="55" t="str">
        <f aca="false">IF(OR(J7="",K7=""),"",J7-K7)</f>
        <v/>
      </c>
      <c r="P7" s="54" t="n">
        <v>210</v>
      </c>
      <c r="Q7" s="55" t="n">
        <f aca="false">IF(L7="","",L7-P7)</f>
        <v>9117</v>
      </c>
      <c r="R7" s="54" t="n">
        <v>9140</v>
      </c>
      <c r="S7" s="56" t="str">
        <f aca="false">IF(M7="","",M7-R7)</f>
        <v/>
      </c>
      <c r="T7" s="26" t="str">
        <f aca="false">IF(OR(M7="",R7=0),"",S7/R7)</f>
        <v/>
      </c>
      <c r="U7" s="15" t="s">
        <v>4414</v>
      </c>
      <c r="V7" s="12" t="s">
        <v>1001</v>
      </c>
      <c r="W7" s="12" t="s">
        <v>4415</v>
      </c>
      <c r="X7" s="46" t="s">
        <v>4416</v>
      </c>
    </row>
    <row r="8" customFormat="false" ht="27.75" hidden="false" customHeight="true" outlineLevel="0" collapsed="false">
      <c r="A8" s="12" t="s">
        <v>531</v>
      </c>
      <c r="B8" s="12" t="s">
        <v>4417</v>
      </c>
      <c r="C8" s="12" t="s">
        <v>1068</v>
      </c>
      <c r="D8" s="12" t="s">
        <v>1070</v>
      </c>
      <c r="E8" s="15" t="s">
        <v>1072</v>
      </c>
      <c r="F8" s="12" t="n">
        <v>4</v>
      </c>
      <c r="G8" s="15" t="s">
        <v>990</v>
      </c>
      <c r="H8" s="54"/>
      <c r="I8" s="54"/>
      <c r="J8" s="54"/>
      <c r="K8" s="54"/>
      <c r="L8" s="55" t="str">
        <f aca="false">IF(OR(H8="",K8=""),"",H8-K8)</f>
        <v/>
      </c>
      <c r="M8" s="55" t="str">
        <f aca="false">IF(OR(I8="",J8=""),"",I8-J8)</f>
        <v/>
      </c>
      <c r="N8" s="55" t="str">
        <f aca="false">IF(OR(H8="",I8=""),"",H8-I8)</f>
        <v/>
      </c>
      <c r="O8" s="55" t="str">
        <f aca="false">IF(OR(J8="",K8=""),"",J8-K8)</f>
        <v/>
      </c>
      <c r="P8" s="54" t="n">
        <v>145</v>
      </c>
      <c r="Q8" s="55" t="str">
        <f aca="false">IF(L8="","",L8-P8)</f>
        <v/>
      </c>
      <c r="R8" s="54" t="n">
        <v>8420</v>
      </c>
      <c r="S8" s="56" t="str">
        <f aca="false">IF(M8="","",M8-R8)</f>
        <v/>
      </c>
      <c r="T8" s="26" t="str">
        <f aca="false">IF(OR(M8="",R8=0),"",S8/R8)</f>
        <v/>
      </c>
      <c r="U8" s="15" t="s">
        <v>4414</v>
      </c>
      <c r="V8" s="12" t="s">
        <v>1072</v>
      </c>
      <c r="W8" s="12" t="s">
        <v>4418</v>
      </c>
      <c r="X8" s="46" t="s">
        <v>4419</v>
      </c>
    </row>
    <row r="9" customFormat="false" ht="27.75" hidden="false" customHeight="true" outlineLevel="0" collapsed="false">
      <c r="A9" s="12" t="s">
        <v>536</v>
      </c>
      <c r="B9" s="12" t="s">
        <v>4420</v>
      </c>
      <c r="C9" s="12" t="s">
        <v>1052</v>
      </c>
      <c r="D9" s="12" t="s">
        <v>1054</v>
      </c>
      <c r="E9" s="15" t="s">
        <v>4399</v>
      </c>
      <c r="F9" s="12" t="n">
        <v>1</v>
      </c>
      <c r="G9" s="15" t="s">
        <v>990</v>
      </c>
      <c r="H9" s="54" t="n">
        <v>105392</v>
      </c>
      <c r="I9" s="54" t="n">
        <v>104792</v>
      </c>
      <c r="J9" s="54" t="n">
        <v>74300</v>
      </c>
      <c r="K9" s="54" t="n">
        <v>73900</v>
      </c>
      <c r="L9" s="55" t="n">
        <f aca="false">IF(OR(H9="",K9=""),"",H9-K9)</f>
        <v>31492</v>
      </c>
      <c r="M9" s="55" t="n">
        <f aca="false">IF(OR(I9="",J9=""),"",I9-J9)</f>
        <v>30492</v>
      </c>
      <c r="N9" s="55" t="n">
        <f aca="false">IF(OR(H9="",I9=""),"",H9-I9)</f>
        <v>600</v>
      </c>
      <c r="O9" s="55" t="n">
        <f aca="false">IF(OR(J9="",K9=""),"",J9-K9)</f>
        <v>400</v>
      </c>
      <c r="P9" s="54" t="n">
        <v>320</v>
      </c>
      <c r="Q9" s="55" t="n">
        <f aca="false">IF(L9="","",L9-P9)</f>
        <v>31172</v>
      </c>
      <c r="R9" s="54" t="n">
        <v>96400</v>
      </c>
      <c r="S9" s="56" t="n">
        <f aca="false">IF(M9="","",M9-R9)</f>
        <v>-65908</v>
      </c>
      <c r="T9" s="26" t="n">
        <f aca="false">IF(OR(M9="",R9=0),"",S9/R9)</f>
        <v>-0.683692946058091</v>
      </c>
      <c r="U9" s="15" t="s">
        <v>2721</v>
      </c>
      <c r="V9" s="12" t="s">
        <v>993</v>
      </c>
      <c r="W9" s="12" t="s">
        <v>4421</v>
      </c>
      <c r="X9" s="46" t="s">
        <v>4422</v>
      </c>
    </row>
    <row r="12" customFormat="false" ht="16.15" hidden="false" customHeight="false" outlineLevel="0" collapsed="false">
      <c r="A12" s="8" t="s">
        <v>4423</v>
      </c>
    </row>
    <row r="13" customFormat="false" ht="15" hidden="false" customHeight="false" outlineLevel="0" collapsed="false">
      <c r="A13" s="17" t="s">
        <v>4424</v>
      </c>
      <c r="B13" s="17" t="s">
        <v>4425</v>
      </c>
      <c r="C13" s="17" t="s">
        <v>4426</v>
      </c>
    </row>
    <row r="14" customFormat="false" ht="15" hidden="false" customHeight="false" outlineLevel="0" collapsed="false">
      <c r="A14" s="33" t="s">
        <v>4427</v>
      </c>
      <c r="B14" s="52" t="s">
        <v>4428</v>
      </c>
      <c r="C14" s="52" t="s">
        <v>4429</v>
      </c>
    </row>
    <row r="15" customFormat="false" ht="15" hidden="false" customHeight="false" outlineLevel="0" collapsed="false">
      <c r="A15" s="33" t="s">
        <v>4430</v>
      </c>
      <c r="B15" s="52" t="s">
        <v>4431</v>
      </c>
      <c r="C15" s="52" t="s">
        <v>4432</v>
      </c>
    </row>
    <row r="16" customFormat="false" ht="15" hidden="false" customHeight="false" outlineLevel="0" collapsed="false">
      <c r="A16" s="33" t="s">
        <v>4433</v>
      </c>
      <c r="B16" s="52" t="s">
        <v>4434</v>
      </c>
      <c r="C16" s="52" t="s">
        <v>4435</v>
      </c>
    </row>
    <row r="17" customFormat="false" ht="15" hidden="false" customHeight="false" outlineLevel="0" collapsed="false">
      <c r="A17" s="33" t="s">
        <v>4436</v>
      </c>
      <c r="B17" s="52" t="s">
        <v>4437</v>
      </c>
      <c r="C17" s="52" t="s">
        <v>4438</v>
      </c>
    </row>
    <row r="18" customFormat="false" ht="15" hidden="false" customHeight="false" outlineLevel="0" collapsed="false">
      <c r="A18" s="33" t="s">
        <v>4439</v>
      </c>
      <c r="B18" s="52" t="s">
        <v>4440</v>
      </c>
      <c r="C18" s="52" t="s">
        <v>4441</v>
      </c>
    </row>
    <row r="19" customFormat="false" ht="15" hidden="false" customHeight="false" outlineLevel="0" collapsed="false">
      <c r="A19" s="33" t="s">
        <v>4442</v>
      </c>
      <c r="B19" s="52" t="s">
        <v>4443</v>
      </c>
      <c r="C19" s="52" t="s">
        <v>4444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3" min="3" style="0" width="15"/>
    <col collapsed="false" customWidth="true" hidden="false" outlineLevel="0" max="4" min="4" style="0" width="13"/>
    <col collapsed="false" customWidth="true" hidden="false" outlineLevel="0" max="5" min="5" style="0" width="14"/>
    <col collapsed="false" customWidth="true" hidden="false" outlineLevel="0" max="6" min="6" style="0" width="11"/>
    <col collapsed="false" customWidth="true" hidden="false" outlineLevel="0" max="7" min="7" style="0" width="17"/>
    <col collapsed="false" customWidth="true" hidden="false" outlineLevel="0" max="9" min="8" style="0" width="23"/>
    <col collapsed="false" customWidth="true" hidden="false" outlineLevel="0" max="10" min="10" style="0" width="16"/>
    <col collapsed="false" customWidth="true" hidden="false" outlineLevel="0" max="11" min="11" style="0" width="24"/>
    <col collapsed="false" customWidth="true" hidden="false" outlineLevel="0" max="12" min="12" style="0" width="25"/>
    <col collapsed="false" customWidth="true" hidden="false" outlineLevel="0" max="13" min="13" style="0" width="17"/>
    <col collapsed="false" customWidth="true" hidden="false" outlineLevel="0" max="14" min="14" style="0" width="19"/>
    <col collapsed="false" customWidth="true" hidden="false" outlineLevel="0" max="15" min="15" style="0" width="17"/>
    <col collapsed="false" customWidth="true" hidden="false" outlineLevel="0" max="16" min="16" style="0" width="14"/>
    <col collapsed="false" customWidth="true" hidden="false" outlineLevel="0" max="17" min="17" style="0" width="11"/>
    <col collapsed="false" customWidth="true" hidden="false" outlineLevel="0" max="18" min="18" style="0" width="12"/>
    <col collapsed="false" customWidth="true" hidden="false" outlineLevel="0" max="19" min="19" style="0" width="16"/>
    <col collapsed="false" customWidth="true" hidden="false" outlineLevel="0" max="20" min="20" style="0" width="14"/>
    <col collapsed="false" customWidth="true" hidden="false" outlineLevel="0" max="21" min="21" style="0" width="12"/>
    <col collapsed="false" customWidth="true" hidden="false" outlineLevel="0" max="22" min="22" style="0" width="20"/>
    <col collapsed="false" customWidth="true" hidden="false" outlineLevel="0" max="23" min="23" style="0" width="21"/>
    <col collapsed="false" customWidth="true" hidden="false" outlineLevel="0" max="24" min="24" style="0" width="22"/>
    <col collapsed="false" customWidth="true" hidden="false" outlineLevel="0" max="25" min="25" style="0" width="70"/>
  </cols>
  <sheetData>
    <row r="1" customFormat="false" ht="16.15" hidden="false" customHeight="false" outlineLevel="0" collapsed="false">
      <c r="A1" s="8" t="s">
        <v>4445</v>
      </c>
    </row>
    <row r="2" customFormat="false" ht="30" hidden="false" customHeight="true" outlineLevel="0" collapsed="false">
      <c r="A2" s="9" t="s">
        <v>42</v>
      </c>
      <c r="B2" s="9" t="s">
        <v>4446</v>
      </c>
      <c r="C2" s="9" t="s">
        <v>899</v>
      </c>
      <c r="D2" s="9" t="s">
        <v>1174</v>
      </c>
      <c r="E2" s="9" t="s">
        <v>4447</v>
      </c>
      <c r="F2" s="9" t="s">
        <v>4448</v>
      </c>
      <c r="G2" s="9" t="s">
        <v>4449</v>
      </c>
      <c r="H2" s="9" t="s">
        <v>4450</v>
      </c>
      <c r="I2" s="9" t="s">
        <v>4451</v>
      </c>
      <c r="J2" s="9" t="s">
        <v>4452</v>
      </c>
      <c r="K2" s="9" t="s">
        <v>4453</v>
      </c>
      <c r="L2" s="9" t="s">
        <v>4454</v>
      </c>
      <c r="M2" s="9" t="s">
        <v>4455</v>
      </c>
      <c r="N2" s="9" t="s">
        <v>4456</v>
      </c>
      <c r="O2" s="9" t="s">
        <v>4457</v>
      </c>
      <c r="P2" s="9" t="s">
        <v>4390</v>
      </c>
      <c r="Q2" s="9" t="s">
        <v>4458</v>
      </c>
      <c r="R2" s="9" t="s">
        <v>4459</v>
      </c>
      <c r="S2" s="9" t="s">
        <v>4460</v>
      </c>
      <c r="T2" s="9" t="s">
        <v>4461</v>
      </c>
      <c r="U2" s="9" t="s">
        <v>4462</v>
      </c>
      <c r="V2" s="9" t="s">
        <v>4463</v>
      </c>
      <c r="W2" s="9" t="s">
        <v>4464</v>
      </c>
      <c r="X2" s="9" t="s">
        <v>4465</v>
      </c>
      <c r="Y2" s="9" t="s">
        <v>3775</v>
      </c>
    </row>
    <row r="3" customFormat="false" ht="27.75" hidden="false" customHeight="true" outlineLevel="0" collapsed="false">
      <c r="A3" s="12" t="s">
        <v>541</v>
      </c>
      <c r="B3" s="12" t="s">
        <v>4466</v>
      </c>
      <c r="C3" s="12" t="s">
        <v>970</v>
      </c>
      <c r="D3" s="12" t="s">
        <v>980</v>
      </c>
      <c r="E3" s="12" t="s">
        <v>4467</v>
      </c>
      <c r="F3" s="12" t="n">
        <v>1</v>
      </c>
      <c r="G3" s="12" t="s">
        <v>4468</v>
      </c>
      <c r="H3" s="13" t="n">
        <v>46247.9444444445</v>
      </c>
      <c r="I3" s="13" t="n">
        <v>46247.9618055556</v>
      </c>
      <c r="J3" s="12" t="s">
        <v>978</v>
      </c>
      <c r="K3" s="24" t="n">
        <f aca="false">IF(OR(H3="",I3=""),"",IF((I3-H3)&lt;0,"INVALID",ROUND((I3-H3)*1440,0)))</f>
        <v>25</v>
      </c>
      <c r="L3" s="12"/>
      <c r="M3" s="27" t="n">
        <f aca="false">IF(J3="Y","OPEN",IF(K3="INVALID","REJECTED",IF(K3&lt;&gt;"",K3,L3)))</f>
        <v>25</v>
      </c>
      <c r="N3" s="12" t="s">
        <v>4270</v>
      </c>
      <c r="O3" s="12" t="n">
        <v>105</v>
      </c>
      <c r="P3" s="57" t="n">
        <f aca="false">IF(OR(M3="OPEN",M3="REJECTED",M3=""),"",ROUND(M3/60*O3,1))</f>
        <v>43.8</v>
      </c>
      <c r="Q3" s="12" t="s">
        <v>981</v>
      </c>
      <c r="R3" s="12" t="s">
        <v>982</v>
      </c>
      <c r="S3" s="12" t="s">
        <v>990</v>
      </c>
      <c r="T3" s="12" t="s">
        <v>4469</v>
      </c>
      <c r="U3" s="12" t="s">
        <v>990</v>
      </c>
      <c r="V3" s="27" t="n">
        <f aca="false">IF(OR(S3="",U3="",NOT(ISNUMBER(M3))),"",IF(AND(S3="Y",U3="N"),M3,0))</f>
        <v>0</v>
      </c>
      <c r="W3" s="57" t="n">
        <f aca="false">IF(OR(V3="",NOT(ISNUMBER(V3))),"",ROUND(V3/60*O3,1))</f>
        <v>0</v>
      </c>
      <c r="X3" s="27" t="str">
        <f aca="false">IF(T3="NONE","NOT_COMPUTED",IF(T3="HANDLER","HIGH",IF(T3="STAND_TYPE","MEDIUM","LOW")))</f>
        <v>HIGH</v>
      </c>
      <c r="Y3" s="46" t="s">
        <v>4470</v>
      </c>
    </row>
    <row r="4" customFormat="false" ht="27.75" hidden="false" customHeight="true" outlineLevel="0" collapsed="false">
      <c r="A4" s="12" t="s">
        <v>541</v>
      </c>
      <c r="B4" s="12" t="s">
        <v>4471</v>
      </c>
      <c r="C4" s="12" t="s">
        <v>970</v>
      </c>
      <c r="D4" s="12" t="s">
        <v>980</v>
      </c>
      <c r="E4" s="12" t="s">
        <v>4467</v>
      </c>
      <c r="F4" s="12" t="n">
        <v>2</v>
      </c>
      <c r="G4" s="12" t="s">
        <v>4472</v>
      </c>
      <c r="H4" s="13" t="n">
        <v>46248.2166666667</v>
      </c>
      <c r="I4" s="13" t="n">
        <v>46248.2298611111</v>
      </c>
      <c r="J4" s="12" t="s">
        <v>978</v>
      </c>
      <c r="K4" s="24" t="n">
        <f aca="false">IF(OR(H4="",I4=""),"",IF((I4-H4)&lt;0,"INVALID",ROUND((I4-H4)*1440,0)))</f>
        <v>19</v>
      </c>
      <c r="L4" s="12"/>
      <c r="M4" s="27" t="n">
        <f aca="false">IF(J4="Y","OPEN",IF(K4="INVALID","REJECTED",IF(K4&lt;&gt;"",K4,L4)))</f>
        <v>19</v>
      </c>
      <c r="N4" s="12" t="s">
        <v>4270</v>
      </c>
      <c r="O4" s="12" t="n">
        <v>105</v>
      </c>
      <c r="P4" s="57" t="n">
        <f aca="false">IF(OR(M4="OPEN",M4="REJECTED",M4=""),"",ROUND(M4/60*O4,1))</f>
        <v>33.3</v>
      </c>
      <c r="Q4" s="12" t="s">
        <v>981</v>
      </c>
      <c r="R4" s="12" t="s">
        <v>982</v>
      </c>
      <c r="S4" s="12" t="s">
        <v>990</v>
      </c>
      <c r="T4" s="12" t="s">
        <v>4469</v>
      </c>
      <c r="U4" s="12" t="s">
        <v>978</v>
      </c>
      <c r="V4" s="27" t="n">
        <f aca="false">IF(OR(S4="",U4="",NOT(ISNUMBER(M4))),"",IF(AND(S4="Y",U4="N"),M4,0))</f>
        <v>19</v>
      </c>
      <c r="W4" s="57" t="n">
        <f aca="false">IF(OR(V4="",NOT(ISNUMBER(V4))),"",ROUND(V4/60*O4,1))</f>
        <v>33.3</v>
      </c>
      <c r="X4" s="27" t="str">
        <f aca="false">IF(T4="NONE","NOT_COMPUTED",IF(T4="HANDLER","HIGH",IF(T4="STAND_TYPE","MEDIUM","LOW")))</f>
        <v>HIGH</v>
      </c>
      <c r="Y4" s="46" t="s">
        <v>4473</v>
      </c>
    </row>
    <row r="5" customFormat="false" ht="27.75" hidden="false" customHeight="true" outlineLevel="0" collapsed="false">
      <c r="A5" s="12" t="s">
        <v>541</v>
      </c>
      <c r="B5" s="12" t="s">
        <v>4474</v>
      </c>
      <c r="C5" s="12" t="s">
        <v>970</v>
      </c>
      <c r="D5" s="12" t="s">
        <v>980</v>
      </c>
      <c r="E5" s="12" t="s">
        <v>4467</v>
      </c>
      <c r="F5" s="12" t="n">
        <v>3</v>
      </c>
      <c r="G5" s="12" t="s">
        <v>4472</v>
      </c>
      <c r="H5" s="13" t="n">
        <v>46248.2416666667</v>
      </c>
      <c r="I5" s="13" t="n">
        <v>46248.2527777778</v>
      </c>
      <c r="J5" s="12" t="s">
        <v>978</v>
      </c>
      <c r="K5" s="24" t="n">
        <f aca="false">IF(OR(H5="",I5=""),"",IF((I5-H5)&lt;0,"INVALID",ROUND((I5-H5)*1440,0)))</f>
        <v>16</v>
      </c>
      <c r="L5" s="12"/>
      <c r="M5" s="27" t="n">
        <f aca="false">IF(J5="Y","OPEN",IF(K5="INVALID","REJECTED",IF(K5&lt;&gt;"",K5,L5)))</f>
        <v>16</v>
      </c>
      <c r="N5" s="12" t="s">
        <v>4270</v>
      </c>
      <c r="O5" s="12" t="n">
        <v>105</v>
      </c>
      <c r="P5" s="57" t="n">
        <f aca="false">IF(OR(M5="OPEN",M5="REJECTED",M5=""),"",ROUND(M5/60*O5,1))</f>
        <v>28</v>
      </c>
      <c r="Q5" s="12" t="s">
        <v>981</v>
      </c>
      <c r="R5" s="12" t="s">
        <v>982</v>
      </c>
      <c r="S5" s="12" t="s">
        <v>990</v>
      </c>
      <c r="T5" s="12" t="s">
        <v>4469</v>
      </c>
      <c r="U5" s="12" t="s">
        <v>978</v>
      </c>
      <c r="V5" s="27" t="n">
        <f aca="false">IF(OR(S5="",U5="",NOT(ISNUMBER(M5))),"",IF(AND(S5="Y",U5="N"),M5,0))</f>
        <v>16</v>
      </c>
      <c r="W5" s="57" t="n">
        <f aca="false">IF(OR(V5="",NOT(ISNUMBER(V5))),"",ROUND(V5/60*O5,1))</f>
        <v>28</v>
      </c>
      <c r="X5" s="27" t="str">
        <f aca="false">IF(T5="NONE","NOT_COMPUTED",IF(T5="HANDLER","HIGH",IF(T5="STAND_TYPE","MEDIUM","LOW")))</f>
        <v>HIGH</v>
      </c>
      <c r="Y5" s="46" t="s">
        <v>4475</v>
      </c>
    </row>
    <row r="6" customFormat="false" ht="27.75" hidden="false" customHeight="true" outlineLevel="0" collapsed="false">
      <c r="A6" s="12" t="s">
        <v>547</v>
      </c>
      <c r="B6" s="12" t="s">
        <v>4476</v>
      </c>
      <c r="C6" s="12" t="s">
        <v>1018</v>
      </c>
      <c r="D6" s="12" t="s">
        <v>1023</v>
      </c>
      <c r="E6" s="12" t="s">
        <v>4477</v>
      </c>
      <c r="F6" s="12" t="n">
        <v>1</v>
      </c>
      <c r="G6" s="12" t="s">
        <v>4472</v>
      </c>
      <c r="H6" s="13" t="n">
        <v>46248.4861111111</v>
      </c>
      <c r="I6" s="13" t="n">
        <v>46248.5597222222</v>
      </c>
      <c r="J6" s="12" t="s">
        <v>978</v>
      </c>
      <c r="K6" s="24" t="n">
        <f aca="false">IF(OR(H6="",I6=""),"",IF((I6-H6)&lt;0,"INVALID",ROUND((I6-H6)*1440,0)))</f>
        <v>106</v>
      </c>
      <c r="L6" s="12"/>
      <c r="M6" s="27" t="n">
        <f aca="false">IF(J6="Y","OPEN",IF(K6="INVALID","REJECTED",IF(K6&lt;&gt;"",K6,L6)))</f>
        <v>106</v>
      </c>
      <c r="N6" s="12" t="s">
        <v>4270</v>
      </c>
      <c r="O6" s="12" t="n">
        <v>132</v>
      </c>
      <c r="P6" s="57" t="n">
        <f aca="false">IF(OR(M6="OPEN",M6="REJECTED",M6=""),"",ROUND(M6/60*O6,1))</f>
        <v>233.2</v>
      </c>
      <c r="Q6" s="12" t="s">
        <v>4478</v>
      </c>
      <c r="R6" s="12" t="s">
        <v>1081</v>
      </c>
      <c r="S6" s="12" t="s">
        <v>978</v>
      </c>
      <c r="T6" s="12" t="s">
        <v>4479</v>
      </c>
      <c r="U6" s="12" t="s">
        <v>978</v>
      </c>
      <c r="V6" s="27" t="n">
        <f aca="false">IF(OR(S6="",U6="",NOT(ISNUMBER(M6))),"",IF(AND(S6="Y",U6="N"),M6,0))</f>
        <v>0</v>
      </c>
      <c r="W6" s="57" t="n">
        <f aca="false">IF(OR(V6="",NOT(ISNUMBER(V6))),"",ROUND(V6/60*O6,1))</f>
        <v>0</v>
      </c>
      <c r="X6" s="27" t="str">
        <f aca="false">IF(T6="NONE","NOT_COMPUTED",IF(T6="HANDLER","HIGH",IF(T6="STAND_TYPE","MEDIUM","LOW")))</f>
        <v>MEDIUM</v>
      </c>
      <c r="Y6" s="46" t="s">
        <v>4480</v>
      </c>
    </row>
    <row r="7" customFormat="false" ht="27.75" hidden="false" customHeight="true" outlineLevel="0" collapsed="false">
      <c r="A7" s="12" t="s">
        <v>552</v>
      </c>
      <c r="B7" s="12" t="s">
        <v>4481</v>
      </c>
      <c r="C7" s="12" t="s">
        <v>1002</v>
      </c>
      <c r="D7" s="12" t="s">
        <v>1004</v>
      </c>
      <c r="E7" s="12" t="s">
        <v>4482</v>
      </c>
      <c r="F7" s="12" t="n">
        <v>1</v>
      </c>
      <c r="G7" s="12" t="s">
        <v>4472</v>
      </c>
      <c r="H7" s="13"/>
      <c r="I7" s="13"/>
      <c r="J7" s="12" t="s">
        <v>978</v>
      </c>
      <c r="K7" s="24" t="str">
        <f aca="false">IF(OR(H7="",I7=""),"",IF((I7-H7)&lt;0,"INVALID",ROUND((I7-H7)*1440,0)))</f>
        <v/>
      </c>
      <c r="L7" s="12" t="n">
        <v>120</v>
      </c>
      <c r="M7" s="27" t="n">
        <f aca="false">IF(J7="Y","OPEN",IF(K7="INVALID","REJECTED",IF(K7&lt;&gt;"",K7,L7)))</f>
        <v>120</v>
      </c>
      <c r="N7" s="12" t="s">
        <v>4280</v>
      </c>
      <c r="O7" s="12" t="n">
        <v>105</v>
      </c>
      <c r="P7" s="57" t="n">
        <f aca="false">IF(OR(M7="OPEN",M7="REJECTED",M7=""),"",ROUND(M7/60*O7,1))</f>
        <v>210</v>
      </c>
      <c r="Q7" s="12"/>
      <c r="R7" s="12"/>
      <c r="S7" s="12"/>
      <c r="T7" s="12" t="s">
        <v>2574</v>
      </c>
      <c r="U7" s="12"/>
      <c r="V7" s="27" t="str">
        <f aca="false">IF(OR(S7="",U7="",NOT(ISNUMBER(M7))),"",IF(AND(S7="Y",U7="N"),M7,0))</f>
        <v/>
      </c>
      <c r="W7" s="57" t="str">
        <f aca="false">IF(OR(V7="",NOT(ISNUMBER(V7))),"",ROUND(V7/60*O7,1))</f>
        <v/>
      </c>
      <c r="X7" s="27" t="str">
        <f aca="false">IF(T7="NONE","NOT_COMPUTED",IF(T7="HANDLER","HIGH",IF(T7="STAND_TYPE","MEDIUM","LOW")))</f>
        <v>NOT_COMPUTED</v>
      </c>
      <c r="Y7" s="46" t="s">
        <v>4483</v>
      </c>
    </row>
    <row r="8" customFormat="false" ht="27.75" hidden="false" customHeight="true" outlineLevel="0" collapsed="false">
      <c r="A8" s="12" t="s">
        <v>557</v>
      </c>
      <c r="B8" s="12" t="s">
        <v>4484</v>
      </c>
      <c r="C8" s="12" t="s">
        <v>994</v>
      </c>
      <c r="D8" s="12" t="s">
        <v>996</v>
      </c>
      <c r="E8" s="12" t="s">
        <v>4485</v>
      </c>
      <c r="F8" s="12" t="n">
        <v>1</v>
      </c>
      <c r="G8" s="12" t="s">
        <v>4486</v>
      </c>
      <c r="H8" s="13" t="n">
        <v>46248.9270833333</v>
      </c>
      <c r="I8" s="13" t="n">
        <v>46249.2375</v>
      </c>
      <c r="J8" s="12" t="s">
        <v>978</v>
      </c>
      <c r="K8" s="24" t="n">
        <f aca="false">IF(OR(H8="",I8=""),"",IF((I8-H8)&lt;0,"INVALID",ROUND((I8-H8)*1440,0)))</f>
        <v>447</v>
      </c>
      <c r="L8" s="12"/>
      <c r="M8" s="27" t="n">
        <f aca="false">IF(J8="Y","OPEN",IF(K8="INVALID","REJECTED",IF(K8&lt;&gt;"",K8,L8)))</f>
        <v>447</v>
      </c>
      <c r="N8" s="12" t="s">
        <v>4270</v>
      </c>
      <c r="O8" s="12" t="n">
        <v>105</v>
      </c>
      <c r="P8" s="57" t="n">
        <f aca="false">IF(OR(M8="OPEN",M8="REJECTED",M8=""),"",ROUND(M8/60*O8,1))</f>
        <v>782.3</v>
      </c>
      <c r="Q8" s="12" t="s">
        <v>4487</v>
      </c>
      <c r="R8" s="12" t="s">
        <v>982</v>
      </c>
      <c r="S8" s="12" t="s">
        <v>990</v>
      </c>
      <c r="T8" s="12" t="s">
        <v>4469</v>
      </c>
      <c r="U8" s="12" t="s">
        <v>978</v>
      </c>
      <c r="V8" s="27" t="n">
        <f aca="false">IF(OR(S8="",U8="",NOT(ISNUMBER(M8))),"",IF(AND(S8="Y",U8="N"),M8,0))</f>
        <v>447</v>
      </c>
      <c r="W8" s="57" t="n">
        <f aca="false">IF(OR(V8="",NOT(ISNUMBER(V8))),"",ROUND(V8/60*O8,1))</f>
        <v>782.3</v>
      </c>
      <c r="X8" s="27" t="str">
        <f aca="false">IF(T8="NONE","NOT_COMPUTED",IF(T8="HANDLER","HIGH",IF(T8="STAND_TYPE","MEDIUM","LOW")))</f>
        <v>HIGH</v>
      </c>
      <c r="Y8" s="46" t="s">
        <v>4488</v>
      </c>
    </row>
    <row r="9" customFormat="false" ht="27.75" hidden="false" customHeight="true" outlineLevel="0" collapsed="false">
      <c r="A9" s="12" t="s">
        <v>562</v>
      </c>
      <c r="B9" s="12" t="s">
        <v>4489</v>
      </c>
      <c r="C9" s="12" t="s">
        <v>1073</v>
      </c>
      <c r="D9" s="12" t="s">
        <v>1075</v>
      </c>
      <c r="E9" s="12" t="s">
        <v>4490</v>
      </c>
      <c r="F9" s="12" t="n">
        <v>1</v>
      </c>
      <c r="G9" s="12" t="s">
        <v>4472</v>
      </c>
      <c r="H9" s="13" t="n">
        <v>46250.5430555556</v>
      </c>
      <c r="I9" s="13"/>
      <c r="J9" s="12" t="s">
        <v>990</v>
      </c>
      <c r="K9" s="24" t="str">
        <f aca="false">IF(OR(H9="",I9=""),"",IF((I9-H9)&lt;0,"INVALID",ROUND((I9-H9)*1440,0)))</f>
        <v/>
      </c>
      <c r="L9" s="12"/>
      <c r="M9" s="27" t="str">
        <f aca="false">IF(J9="Y","OPEN",IF(K9="INVALID","REJECTED",IF(K9&lt;&gt;"",K9,L9)))</f>
        <v>OPEN</v>
      </c>
      <c r="N9" s="12" t="s">
        <v>4270</v>
      </c>
      <c r="O9" s="12" t="n">
        <v>105</v>
      </c>
      <c r="P9" s="57" t="str">
        <f aca="false">IF(OR(M9="OPEN",M9="REJECTED",M9=""),"",ROUND(M9/60*O9,1))</f>
        <v/>
      </c>
      <c r="Q9" s="12" t="s">
        <v>4491</v>
      </c>
      <c r="R9" s="12" t="s">
        <v>982</v>
      </c>
      <c r="S9" s="12" t="s">
        <v>990</v>
      </c>
      <c r="T9" s="12" t="s">
        <v>4469</v>
      </c>
      <c r="U9" s="12"/>
      <c r="V9" s="27" t="str">
        <f aca="false">IF(OR(S9="",U9="",NOT(ISNUMBER(M9))),"",IF(AND(S9="Y",U9="N"),M9,0))</f>
        <v/>
      </c>
      <c r="W9" s="57" t="str">
        <f aca="false">IF(OR(V9="",NOT(ISNUMBER(V9))),"",ROUND(V9/60*O9,1))</f>
        <v/>
      </c>
      <c r="X9" s="27" t="str">
        <f aca="false">IF(T9="NONE","NOT_COMPUTED",IF(T9="HANDLER","HIGH",IF(T9="STAND_TYPE","MEDIUM","LOW")))</f>
        <v>HIGH</v>
      </c>
      <c r="Y9" s="46" t="s">
        <v>4492</v>
      </c>
    </row>
    <row r="10" customFormat="false" ht="27.75" hidden="false" customHeight="true" outlineLevel="0" collapsed="false">
      <c r="A10" s="12" t="s">
        <v>567</v>
      </c>
      <c r="B10" s="12" t="s">
        <v>4493</v>
      </c>
      <c r="C10" s="12" t="s">
        <v>1104</v>
      </c>
      <c r="D10" s="12" t="s">
        <v>1107</v>
      </c>
      <c r="E10" s="12" t="s">
        <v>4494</v>
      </c>
      <c r="F10" s="12" t="n">
        <v>1</v>
      </c>
      <c r="G10" s="12" t="s">
        <v>4472</v>
      </c>
      <c r="H10" s="13" t="n">
        <v>46252.2222222222</v>
      </c>
      <c r="I10" s="13" t="n">
        <v>46252.2180555556</v>
      </c>
      <c r="J10" s="12" t="s">
        <v>978</v>
      </c>
      <c r="K10" s="24" t="str">
        <f aca="false">IF(OR(H10="",I10=""),"",IF((I10-H10)&lt;0,"INVALID",ROUND((I10-H10)*1440,0)))</f>
        <v>INVALID</v>
      </c>
      <c r="L10" s="12"/>
      <c r="M10" s="27" t="str">
        <f aca="false">IF(J10="Y","OPEN",IF(K10="INVALID","REJECTED",IF(K10&lt;&gt;"",K10,L10)))</f>
        <v>REJECTED</v>
      </c>
      <c r="N10" s="12" t="s">
        <v>4270</v>
      </c>
      <c r="O10" s="12" t="n">
        <v>105</v>
      </c>
      <c r="P10" s="57" t="str">
        <f aca="false">IF(OR(M10="OPEN",M10="REJECTED",M10=""),"",ROUND(M10/60*O10,1))</f>
        <v/>
      </c>
      <c r="Q10" s="12" t="s">
        <v>1098</v>
      </c>
      <c r="R10" s="12" t="s">
        <v>982</v>
      </c>
      <c r="S10" s="12" t="s">
        <v>990</v>
      </c>
      <c r="T10" s="12" t="s">
        <v>4469</v>
      </c>
      <c r="U10" s="12" t="s">
        <v>978</v>
      </c>
      <c r="V10" s="27" t="str">
        <f aca="false">IF(OR(S10="",U10="",NOT(ISNUMBER(M10))),"",IF(AND(S10="Y",U10="N"),M10,0))</f>
        <v/>
      </c>
      <c r="W10" s="57" t="str">
        <f aca="false">IF(OR(V10="",NOT(ISNUMBER(V10))),"",ROUND(V10/60*O10,1))</f>
        <v/>
      </c>
      <c r="X10" s="27" t="str">
        <f aca="false">IF(T10="NONE","NOT_COMPUTED",IF(T10="HANDLER","HIGH",IF(T10="STAND_TYPE","MEDIUM","LOW")))</f>
        <v>HIGH</v>
      </c>
      <c r="Y10" s="46" t="s">
        <v>4495</v>
      </c>
    </row>
    <row r="13" customFormat="false" ht="16.15" hidden="false" customHeight="false" outlineLevel="0" collapsed="false">
      <c r="A13" s="8" t="s">
        <v>4496</v>
      </c>
    </row>
    <row r="14" customFormat="false" ht="15" hidden="false" customHeight="false" outlineLevel="0" collapsed="false">
      <c r="A14" s="17" t="s">
        <v>4461</v>
      </c>
      <c r="B14" s="17" t="s">
        <v>4236</v>
      </c>
      <c r="C14" s="17" t="s">
        <v>4497</v>
      </c>
      <c r="D14" s="17" t="s">
        <v>4498</v>
      </c>
    </row>
    <row r="15" customFormat="false" ht="15" hidden="false" customHeight="false" outlineLevel="0" collapsed="false">
      <c r="A15" s="33" t="s">
        <v>4469</v>
      </c>
      <c r="B15" s="52" t="s">
        <v>4499</v>
      </c>
      <c r="C15" s="52" t="s">
        <v>2721</v>
      </c>
      <c r="D15" s="52" t="s">
        <v>4068</v>
      </c>
    </row>
    <row r="16" customFormat="false" ht="15" hidden="false" customHeight="false" outlineLevel="0" collapsed="false">
      <c r="A16" s="33" t="s">
        <v>4500</v>
      </c>
      <c r="B16" s="52" t="s">
        <v>4501</v>
      </c>
      <c r="C16" s="52" t="s">
        <v>2721</v>
      </c>
      <c r="D16" s="52" t="s">
        <v>4068</v>
      </c>
    </row>
    <row r="17" customFormat="false" ht="15" hidden="false" customHeight="false" outlineLevel="0" collapsed="false">
      <c r="A17" s="33" t="s">
        <v>4479</v>
      </c>
      <c r="B17" s="52" t="s">
        <v>4502</v>
      </c>
      <c r="C17" s="52" t="s">
        <v>2734</v>
      </c>
      <c r="D17" s="52" t="s">
        <v>4503</v>
      </c>
    </row>
    <row r="18" customFormat="false" ht="15" hidden="false" customHeight="false" outlineLevel="0" collapsed="false">
      <c r="A18" s="33" t="s">
        <v>4504</v>
      </c>
      <c r="B18" s="52" t="s">
        <v>4505</v>
      </c>
      <c r="C18" s="52" t="s">
        <v>4414</v>
      </c>
      <c r="D18" s="52" t="s">
        <v>4506</v>
      </c>
    </row>
    <row r="19" customFormat="false" ht="15" hidden="false" customHeight="false" outlineLevel="0" collapsed="false">
      <c r="A19" s="33" t="s">
        <v>2574</v>
      </c>
      <c r="B19" s="52" t="s">
        <v>4507</v>
      </c>
      <c r="C19" s="52" t="s">
        <v>4508</v>
      </c>
      <c r="D19" s="52" t="s">
        <v>4509</v>
      </c>
    </row>
    <row r="22" customFormat="false" ht="16.15" hidden="false" customHeight="false" outlineLevel="0" collapsed="false">
      <c r="A22" s="8" t="s">
        <v>4510</v>
      </c>
    </row>
    <row r="23" customFormat="false" ht="15" hidden="false" customHeight="false" outlineLevel="0" collapsed="false">
      <c r="A23" s="17" t="s">
        <v>4511</v>
      </c>
      <c r="B23" s="17" t="s">
        <v>4456</v>
      </c>
      <c r="C23" s="17" t="s">
        <v>4512</v>
      </c>
      <c r="D23" s="17" t="s">
        <v>4426</v>
      </c>
    </row>
    <row r="24" customFormat="false" ht="25.5" hidden="false" customHeight="true" outlineLevel="0" collapsed="false">
      <c r="A24" s="11" t="n">
        <v>1</v>
      </c>
      <c r="B24" s="18" t="s">
        <v>4270</v>
      </c>
      <c r="C24" s="11" t="s">
        <v>4513</v>
      </c>
      <c r="D24" s="11" t="s">
        <v>4514</v>
      </c>
    </row>
    <row r="25" customFormat="false" ht="25.5" hidden="false" customHeight="true" outlineLevel="0" collapsed="false">
      <c r="A25" s="11" t="n">
        <v>2</v>
      </c>
      <c r="B25" s="18" t="s">
        <v>4515</v>
      </c>
      <c r="C25" s="11" t="s">
        <v>4516</v>
      </c>
      <c r="D25" s="11" t="s">
        <v>4517</v>
      </c>
    </row>
    <row r="26" customFormat="false" ht="25.5" hidden="false" customHeight="true" outlineLevel="0" collapsed="false">
      <c r="A26" s="11" t="n">
        <v>3</v>
      </c>
      <c r="B26" s="18" t="s">
        <v>4280</v>
      </c>
      <c r="C26" s="11" t="s">
        <v>4518</v>
      </c>
      <c r="D26" s="11" t="s">
        <v>4519</v>
      </c>
    </row>
    <row r="27" customFormat="false" ht="25.5" hidden="false" customHeight="true" outlineLevel="0" collapsed="false">
      <c r="A27" s="11" t="n">
        <v>4</v>
      </c>
      <c r="B27" s="18" t="s">
        <v>1637</v>
      </c>
      <c r="C27" s="11" t="s">
        <v>4520</v>
      </c>
      <c r="D27" s="11" t="s">
        <v>4521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4" min="3" style="0" width="13"/>
    <col collapsed="false" customWidth="true" hidden="false" outlineLevel="0" max="5" min="5" style="0" width="20"/>
    <col collapsed="false" customWidth="true" hidden="false" outlineLevel="0" max="6" min="6" style="0" width="13"/>
    <col collapsed="false" customWidth="true" hidden="false" outlineLevel="0" max="7" min="7" style="0" width="15"/>
    <col collapsed="false" customWidth="true" hidden="false" outlineLevel="0" max="9" min="8" style="0" width="13"/>
    <col collapsed="false" customWidth="true" hidden="false" outlineLevel="0" max="10" min="10" style="0" width="15"/>
    <col collapsed="false" customWidth="true" hidden="false" outlineLevel="0" max="12" min="11" style="0" width="17"/>
    <col collapsed="false" customWidth="true" hidden="false" outlineLevel="0" max="13" min="13" style="0" width="20"/>
    <col collapsed="false" customWidth="true" hidden="false" outlineLevel="0" max="14" min="14" style="0" width="16"/>
    <col collapsed="false" customWidth="true" hidden="false" outlineLevel="0" max="15" min="15" style="0" width="74"/>
  </cols>
  <sheetData>
    <row r="1" customFormat="false" ht="16.15" hidden="false" customHeight="false" outlineLevel="0" collapsed="false">
      <c r="A1" s="8" t="s">
        <v>4522</v>
      </c>
    </row>
    <row r="2" customFormat="false" ht="30" hidden="false" customHeight="true" outlineLevel="0" collapsed="false">
      <c r="A2" s="9" t="s">
        <v>42</v>
      </c>
      <c r="B2" s="9" t="s">
        <v>4523</v>
      </c>
      <c r="C2" s="9" t="s">
        <v>1174</v>
      </c>
      <c r="D2" s="9" t="s">
        <v>4524</v>
      </c>
      <c r="E2" s="9" t="s">
        <v>4525</v>
      </c>
      <c r="F2" s="9" t="s">
        <v>1434</v>
      </c>
      <c r="G2" s="9" t="s">
        <v>899</v>
      </c>
      <c r="H2" s="9" t="s">
        <v>4526</v>
      </c>
      <c r="I2" s="9" t="s">
        <v>1448</v>
      </c>
      <c r="J2" s="9" t="s">
        <v>1449</v>
      </c>
      <c r="K2" s="9" t="s">
        <v>4527</v>
      </c>
      <c r="L2" s="9" t="s">
        <v>4528</v>
      </c>
      <c r="M2" s="9" t="s">
        <v>4529</v>
      </c>
      <c r="N2" s="9" t="s">
        <v>4530</v>
      </c>
      <c r="O2" s="9" t="s">
        <v>3775</v>
      </c>
    </row>
    <row r="3" customFormat="false" ht="25.5" hidden="false" customHeight="true" outlineLevel="0" collapsed="false">
      <c r="A3" s="12" t="s">
        <v>867</v>
      </c>
      <c r="B3" s="12" t="s">
        <v>4531</v>
      </c>
      <c r="C3" s="12" t="s">
        <v>980</v>
      </c>
      <c r="D3" s="12" t="n">
        <v>1</v>
      </c>
      <c r="E3" s="12" t="s">
        <v>4532</v>
      </c>
      <c r="F3" s="12" t="s">
        <v>4533</v>
      </c>
      <c r="G3" s="12"/>
      <c r="H3" s="12"/>
      <c r="I3" s="54" t="n">
        <v>0</v>
      </c>
      <c r="J3" s="54" t="n">
        <v>2100</v>
      </c>
      <c r="K3" s="55" t="n">
        <f aca="false">J3+I3</f>
        <v>2100</v>
      </c>
      <c r="L3" s="54" t="n">
        <v>2100</v>
      </c>
      <c r="M3" s="56" t="n">
        <f aca="false">IF(L3="","",L3-K3)</f>
        <v>0</v>
      </c>
      <c r="N3" s="27" t="str">
        <f aca="false">IF(L3="","NO_GAUGE",IF(ABS(M3)&lt;=MAX(50,0.01*ABS(K3)),"BALANCED",IF(ABS(M3)&lt;=MAX(200,0.03*ABS(K3)),"VARIANCE","BROKEN_CHAIN")))</f>
        <v>BALANCED</v>
      </c>
      <c r="O3" s="46" t="s">
        <v>4534</v>
      </c>
    </row>
    <row r="4" customFormat="false" ht="25.5" hidden="false" customHeight="true" outlineLevel="0" collapsed="false">
      <c r="A4" s="12" t="s">
        <v>867</v>
      </c>
      <c r="B4" s="12" t="s">
        <v>4535</v>
      </c>
      <c r="C4" s="12" t="s">
        <v>980</v>
      </c>
      <c r="D4" s="12" t="n">
        <v>2</v>
      </c>
      <c r="E4" s="12" t="s">
        <v>4536</v>
      </c>
      <c r="F4" s="12" t="s">
        <v>1471</v>
      </c>
      <c r="G4" s="12" t="s">
        <v>970</v>
      </c>
      <c r="H4" s="12" t="s">
        <v>1468</v>
      </c>
      <c r="I4" s="54" t="n">
        <v>9151</v>
      </c>
      <c r="J4" s="54" t="n">
        <v>2100</v>
      </c>
      <c r="K4" s="55" t="n">
        <f aca="false">J4+I4</f>
        <v>11251</v>
      </c>
      <c r="L4" s="54" t="n">
        <v>11251</v>
      </c>
      <c r="M4" s="56" t="n">
        <f aca="false">IF(L4="","",L4-K4)</f>
        <v>0</v>
      </c>
      <c r="N4" s="27" t="str">
        <f aca="false">IF(L4="","NO_GAUGE",IF(ABS(M4)&lt;=MAX(50,0.01*ABS(K4)),"BALANCED",IF(ABS(M4)&lt;=MAX(200,0.03*ABS(K4)),"VARIANCE","BROKEN_CHAIN")))</f>
        <v>BALANCED</v>
      </c>
      <c r="O4" s="46" t="s">
        <v>4537</v>
      </c>
    </row>
    <row r="5" customFormat="false" ht="25.5" hidden="false" customHeight="true" outlineLevel="0" collapsed="false">
      <c r="A5" s="12" t="s">
        <v>867</v>
      </c>
      <c r="B5" s="12" t="s">
        <v>4538</v>
      </c>
      <c r="C5" s="12" t="s">
        <v>980</v>
      </c>
      <c r="D5" s="12" t="n">
        <v>3</v>
      </c>
      <c r="E5" s="12" t="s">
        <v>4539</v>
      </c>
      <c r="F5" s="12" t="s">
        <v>4540</v>
      </c>
      <c r="G5" s="12" t="s">
        <v>970</v>
      </c>
      <c r="H5" s="12" t="s">
        <v>4398</v>
      </c>
      <c r="I5" s="54" t="n">
        <v>-8641</v>
      </c>
      <c r="J5" s="54" t="n">
        <v>11251</v>
      </c>
      <c r="K5" s="55" t="n">
        <f aca="false">J5+I5</f>
        <v>2610</v>
      </c>
      <c r="L5" s="54" t="n">
        <v>2610</v>
      </c>
      <c r="M5" s="56" t="n">
        <f aca="false">IF(L5="","",L5-K5)</f>
        <v>0</v>
      </c>
      <c r="N5" s="27" t="str">
        <f aca="false">IF(L5="","NO_GAUGE",IF(ABS(M5)&lt;=MAX(50,0.01*ABS(K5)),"BALANCED",IF(ABS(M5)&lt;=MAX(200,0.03*ABS(K5)),"VARIANCE","BROKEN_CHAIN")))</f>
        <v>BALANCED</v>
      </c>
      <c r="O5" s="46" t="s">
        <v>4541</v>
      </c>
    </row>
    <row r="6" customFormat="false" ht="25.5" hidden="false" customHeight="true" outlineLevel="0" collapsed="false">
      <c r="A6" s="12" t="s">
        <v>873</v>
      </c>
      <c r="B6" s="12" t="s">
        <v>4542</v>
      </c>
      <c r="C6" s="12" t="s">
        <v>980</v>
      </c>
      <c r="D6" s="12" t="n">
        <v>4</v>
      </c>
      <c r="E6" s="12" t="s">
        <v>4543</v>
      </c>
      <c r="F6" s="12" t="s">
        <v>1471</v>
      </c>
      <c r="G6" s="12"/>
      <c r="H6" s="12" t="s">
        <v>1519</v>
      </c>
      <c r="I6" s="54" t="n">
        <v>9151</v>
      </c>
      <c r="J6" s="54" t="n">
        <v>2610</v>
      </c>
      <c r="K6" s="55" t="n">
        <f aca="false">J6+I6</f>
        <v>11761</v>
      </c>
      <c r="L6" s="54" t="n">
        <v>11761</v>
      </c>
      <c r="M6" s="56" t="n">
        <f aca="false">IF(L6="","",L6-K6)</f>
        <v>0</v>
      </c>
      <c r="N6" s="27" t="str">
        <f aca="false">IF(L6="","NO_GAUGE",IF(ABS(M6)&lt;=MAX(50,0.01*ABS(K6)),"BALANCED",IF(ABS(M6)&lt;=MAX(200,0.03*ABS(K6)),"VARIANCE","BROKEN_CHAIN")))</f>
        <v>BALANCED</v>
      </c>
      <c r="O6" s="46" t="s">
        <v>4544</v>
      </c>
    </row>
    <row r="7" customFormat="false" ht="25.5" hidden="false" customHeight="true" outlineLevel="0" collapsed="false">
      <c r="A7" s="12" t="s">
        <v>878</v>
      </c>
      <c r="B7" s="12" t="s">
        <v>4545</v>
      </c>
      <c r="C7" s="12" t="s">
        <v>1047</v>
      </c>
      <c r="D7" s="12" t="n">
        <v>1</v>
      </c>
      <c r="E7" s="12" t="s">
        <v>4546</v>
      </c>
      <c r="F7" s="12" t="s">
        <v>4533</v>
      </c>
      <c r="G7" s="12"/>
      <c r="H7" s="12"/>
      <c r="I7" s="54" t="n">
        <v>0</v>
      </c>
      <c r="J7" s="54" t="n">
        <v>2100</v>
      </c>
      <c r="K7" s="55" t="n">
        <f aca="false">J7+I7</f>
        <v>2100</v>
      </c>
      <c r="L7" s="54" t="n">
        <v>2100</v>
      </c>
      <c r="M7" s="56" t="n">
        <f aca="false">IF(L7="","",L7-K7)</f>
        <v>0</v>
      </c>
      <c r="N7" s="27" t="str">
        <f aca="false">IF(L7="","NO_GAUGE",IF(ABS(M7)&lt;=MAX(50,0.01*ABS(K7)),"BALANCED",IF(ABS(M7)&lt;=MAX(200,0.03*ABS(K7)),"VARIANCE","BROKEN_CHAIN")))</f>
        <v>BALANCED</v>
      </c>
      <c r="O7" s="46"/>
    </row>
    <row r="8" customFormat="false" ht="25.5" hidden="false" customHeight="true" outlineLevel="0" collapsed="false">
      <c r="A8" s="12" t="s">
        <v>878</v>
      </c>
      <c r="B8" s="12" t="s">
        <v>4547</v>
      </c>
      <c r="C8" s="12" t="s">
        <v>1047</v>
      </c>
      <c r="D8" s="12" t="n">
        <v>2</v>
      </c>
      <c r="E8" s="12" t="s">
        <v>4548</v>
      </c>
      <c r="F8" s="12" t="s">
        <v>1471</v>
      </c>
      <c r="G8" s="12" t="s">
        <v>1045</v>
      </c>
      <c r="H8" s="12" t="s">
        <v>1602</v>
      </c>
      <c r="I8" s="54" t="n">
        <v>9151</v>
      </c>
      <c r="J8" s="54" t="n">
        <v>2100</v>
      </c>
      <c r="K8" s="55" t="n">
        <f aca="false">J8+I8</f>
        <v>11251</v>
      </c>
      <c r="L8" s="54" t="n">
        <v>11251</v>
      </c>
      <c r="M8" s="56" t="n">
        <f aca="false">IF(L8="","",L8-K8)</f>
        <v>0</v>
      </c>
      <c r="N8" s="27" t="str">
        <f aca="false">IF(L8="","NO_GAUGE",IF(ABS(M8)&lt;=MAX(50,0.01*ABS(K8)),"BALANCED",IF(ABS(M8)&lt;=MAX(200,0.03*ABS(K8)),"VARIANCE","BROKEN_CHAIN")))</f>
        <v>BALANCED</v>
      </c>
      <c r="O8" s="46"/>
    </row>
    <row r="9" customFormat="false" ht="25.5" hidden="false" customHeight="true" outlineLevel="0" collapsed="false">
      <c r="A9" s="12" t="s">
        <v>878</v>
      </c>
      <c r="B9" s="12" t="s">
        <v>4549</v>
      </c>
      <c r="C9" s="12" t="s">
        <v>1047</v>
      </c>
      <c r="D9" s="12" t="n">
        <v>3</v>
      </c>
      <c r="E9" s="12" t="s">
        <v>4550</v>
      </c>
      <c r="F9" s="12" t="s">
        <v>1383</v>
      </c>
      <c r="G9" s="12" t="s">
        <v>1045</v>
      </c>
      <c r="H9" s="12" t="s">
        <v>1612</v>
      </c>
      <c r="I9" s="54" t="n">
        <v>-1596</v>
      </c>
      <c r="J9" s="54" t="n">
        <v>11251</v>
      </c>
      <c r="K9" s="55" t="n">
        <f aca="false">J9+I9</f>
        <v>9655</v>
      </c>
      <c r="L9" s="54" t="n">
        <v>9655</v>
      </c>
      <c r="M9" s="56" t="n">
        <f aca="false">IF(L9="","",L9-K9)</f>
        <v>0</v>
      </c>
      <c r="N9" s="27" t="str">
        <f aca="false">IF(L9="","NO_GAUGE",IF(ABS(M9)&lt;=MAX(50,0.01*ABS(K9)),"BALANCED",IF(ABS(M9)&lt;=MAX(200,0.03*ABS(K9)),"VARIANCE","BROKEN_CHAIN")))</f>
        <v>BALANCED</v>
      </c>
      <c r="O9" s="46" t="s">
        <v>4551</v>
      </c>
    </row>
    <row r="10" customFormat="false" ht="25.5" hidden="false" customHeight="true" outlineLevel="0" collapsed="false">
      <c r="A10" s="12" t="s">
        <v>883</v>
      </c>
      <c r="B10" s="12" t="s">
        <v>4552</v>
      </c>
      <c r="C10" s="12" t="s">
        <v>1111</v>
      </c>
      <c r="D10" s="12" t="n">
        <v>1</v>
      </c>
      <c r="E10" s="12" t="s">
        <v>4553</v>
      </c>
      <c r="F10" s="12" t="s">
        <v>4533</v>
      </c>
      <c r="G10" s="12"/>
      <c r="H10" s="12"/>
      <c r="I10" s="54" t="n">
        <v>0</v>
      </c>
      <c r="J10" s="54" t="n">
        <v>2100</v>
      </c>
      <c r="K10" s="55" t="n">
        <f aca="false">J10+I10</f>
        <v>2100</v>
      </c>
      <c r="L10" s="54" t="n">
        <v>2100</v>
      </c>
      <c r="M10" s="56" t="n">
        <f aca="false">IF(L10="","",L10-K10)</f>
        <v>0</v>
      </c>
      <c r="N10" s="27" t="str">
        <f aca="false">IF(L10="","NO_GAUGE",IF(ABS(M10)&lt;=MAX(50,0.01*ABS(K10)),"BALANCED",IF(ABS(M10)&lt;=MAX(200,0.03*ABS(K10)),"VARIANCE","BROKEN_CHAIN")))</f>
        <v>BALANCED</v>
      </c>
      <c r="O10" s="46"/>
    </row>
    <row r="11" customFormat="false" ht="25.5" hidden="false" customHeight="true" outlineLevel="0" collapsed="false">
      <c r="A11" s="12" t="s">
        <v>883</v>
      </c>
      <c r="B11" s="12" t="s">
        <v>4554</v>
      </c>
      <c r="C11" s="12" t="s">
        <v>1111</v>
      </c>
      <c r="D11" s="12" t="n">
        <v>2</v>
      </c>
      <c r="E11" s="12" t="s">
        <v>4555</v>
      </c>
      <c r="F11" s="12" t="s">
        <v>1471</v>
      </c>
      <c r="G11" s="12" t="s">
        <v>1109</v>
      </c>
      <c r="H11" s="12" t="s">
        <v>1737</v>
      </c>
      <c r="I11" s="54" t="n">
        <v>9151</v>
      </c>
      <c r="J11" s="54" t="n">
        <v>2100</v>
      </c>
      <c r="K11" s="55" t="n">
        <f aca="false">J11+I11</f>
        <v>11251</v>
      </c>
      <c r="L11" s="54" t="n">
        <v>10651</v>
      </c>
      <c r="M11" s="56" t="n">
        <f aca="false">IF(L11="","",L11-K11)</f>
        <v>-600</v>
      </c>
      <c r="N11" s="27" t="str">
        <f aca="false">IF(L11="","NO_GAUGE",IF(ABS(M11)&lt;=MAX(50,0.01*ABS(K11)),"BALANCED",IF(ABS(M11)&lt;=MAX(200,0.03*ABS(K11)),"VARIANCE","BROKEN_CHAIN")))</f>
        <v>BROKEN_CHAIN</v>
      </c>
      <c r="O11" s="46" t="s">
        <v>4556</v>
      </c>
    </row>
    <row r="12" customFormat="false" ht="25.5" hidden="false" customHeight="true" outlineLevel="0" collapsed="false">
      <c r="A12" s="12" t="s">
        <v>888</v>
      </c>
      <c r="B12" s="12" t="s">
        <v>4557</v>
      </c>
      <c r="C12" s="12" t="s">
        <v>1066</v>
      </c>
      <c r="D12" s="12" t="n">
        <v>1</v>
      </c>
      <c r="E12" s="12" t="s">
        <v>4558</v>
      </c>
      <c r="F12" s="12" t="s">
        <v>4533</v>
      </c>
      <c r="G12" s="12"/>
      <c r="H12" s="12"/>
      <c r="I12" s="54" t="n">
        <v>0</v>
      </c>
      <c r="J12" s="54" t="n">
        <v>11251</v>
      </c>
      <c r="K12" s="55" t="n">
        <f aca="false">J12+I12</f>
        <v>11251</v>
      </c>
      <c r="L12" s="54" t="n">
        <v>11251</v>
      </c>
      <c r="M12" s="56" t="n">
        <f aca="false">IF(L12="","",L12-K12)</f>
        <v>0</v>
      </c>
      <c r="N12" s="27" t="str">
        <f aca="false">IF(L12="","NO_GAUGE",IF(ABS(M12)&lt;=MAX(50,0.01*ABS(K12)),"BALANCED",IF(ABS(M12)&lt;=MAX(200,0.03*ABS(K12)),"VARIANCE","BROKEN_CHAIN")))</f>
        <v>BALANCED</v>
      </c>
      <c r="O12" s="46"/>
    </row>
    <row r="13" customFormat="false" ht="25.5" hidden="false" customHeight="true" outlineLevel="0" collapsed="false">
      <c r="A13" s="12" t="s">
        <v>888</v>
      </c>
      <c r="B13" s="12" t="s">
        <v>4559</v>
      </c>
      <c r="C13" s="12" t="s">
        <v>1066</v>
      </c>
      <c r="D13" s="12" t="n">
        <v>2</v>
      </c>
      <c r="E13" s="12" t="s">
        <v>4560</v>
      </c>
      <c r="F13" s="12" t="s">
        <v>1471</v>
      </c>
      <c r="G13" s="12" t="s">
        <v>1063</v>
      </c>
      <c r="H13" s="12" t="s">
        <v>1642</v>
      </c>
      <c r="I13" s="54" t="n">
        <v>635</v>
      </c>
      <c r="J13" s="54" t="n">
        <v>11251</v>
      </c>
      <c r="K13" s="55" t="n">
        <f aca="false">J13+I13</f>
        <v>11886</v>
      </c>
      <c r="L13" s="54" t="n">
        <v>11886</v>
      </c>
      <c r="M13" s="56" t="n">
        <f aca="false">IF(L13="","",L13-K13)</f>
        <v>0</v>
      </c>
      <c r="N13" s="27" t="str">
        <f aca="false">IF(L13="","NO_GAUGE",IF(ABS(M13)&lt;=MAX(50,0.01*ABS(K13)),"BALANCED",IF(ABS(M13)&lt;=MAX(200,0.03*ABS(K13)),"VARIANCE","BROKEN_CHAIN")))</f>
        <v>BALANCED</v>
      </c>
      <c r="O13" s="46" t="s">
        <v>4561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32"/>
    <col collapsed="false" customWidth="true" hidden="false" outlineLevel="0" max="4" min="4" style="0" width="62"/>
    <col collapsed="false" customWidth="true" hidden="false" outlineLevel="0" max="5" min="5" style="0" width="34"/>
    <col collapsed="false" customWidth="true" hidden="false" outlineLevel="0" max="6" min="6" style="0" width="26"/>
    <col collapsed="false" customWidth="true" hidden="false" outlineLevel="0" max="7" min="7" style="0" width="24"/>
    <col collapsed="false" customWidth="true" hidden="false" outlineLevel="0" max="8" min="8" style="0" width="11"/>
    <col collapsed="false" customWidth="true" hidden="false" outlineLevel="0" max="9" min="9" style="0" width="20"/>
  </cols>
  <sheetData>
    <row r="1" customFormat="false" ht="16.15" hidden="false" customHeight="false" outlineLevel="0" collapsed="false">
      <c r="A1" s="8" t="s">
        <v>4562</v>
      </c>
    </row>
    <row r="2" customFormat="false" ht="30" hidden="false" customHeight="true" outlineLevel="0" collapsed="false">
      <c r="A2" s="9" t="s">
        <v>4563</v>
      </c>
      <c r="B2" s="9" t="s">
        <v>4564</v>
      </c>
      <c r="C2" s="9" t="s">
        <v>4565</v>
      </c>
      <c r="D2" s="9" t="s">
        <v>4566</v>
      </c>
      <c r="E2" s="9" t="s">
        <v>4567</v>
      </c>
      <c r="F2" s="9" t="s">
        <v>4568</v>
      </c>
      <c r="G2" s="9" t="s">
        <v>4569</v>
      </c>
      <c r="H2" s="9" t="s">
        <v>4570</v>
      </c>
      <c r="I2" s="9" t="s">
        <v>4571</v>
      </c>
    </row>
    <row r="3" customFormat="false" ht="27.75" hidden="false" customHeight="true" outlineLevel="0" collapsed="false">
      <c r="A3" s="12" t="s">
        <v>4572</v>
      </c>
      <c r="B3" s="15" t="s">
        <v>4573</v>
      </c>
      <c r="C3" s="12" t="s">
        <v>4574</v>
      </c>
      <c r="D3" s="46" t="s">
        <v>4575</v>
      </c>
      <c r="E3" s="46" t="s">
        <v>4576</v>
      </c>
      <c r="F3" s="46" t="s">
        <v>4577</v>
      </c>
      <c r="G3" s="12" t="s">
        <v>4578</v>
      </c>
      <c r="H3" s="12" t="s">
        <v>3018</v>
      </c>
      <c r="I3" s="12" t="s">
        <v>2790</v>
      </c>
    </row>
    <row r="4" customFormat="false" ht="27.75" hidden="false" customHeight="true" outlineLevel="0" collapsed="false">
      <c r="A4" s="12" t="s">
        <v>4572</v>
      </c>
      <c r="B4" s="15" t="s">
        <v>4573</v>
      </c>
      <c r="C4" s="12" t="s">
        <v>4579</v>
      </c>
      <c r="D4" s="46" t="s">
        <v>4580</v>
      </c>
      <c r="E4" s="46" t="s">
        <v>4581</v>
      </c>
      <c r="F4" s="46" t="s">
        <v>4582</v>
      </c>
      <c r="G4" s="12" t="s">
        <v>4578</v>
      </c>
      <c r="H4" s="12" t="s">
        <v>2815</v>
      </c>
      <c r="I4" s="12" t="s">
        <v>2790</v>
      </c>
    </row>
    <row r="5" customFormat="false" ht="27.75" hidden="false" customHeight="true" outlineLevel="0" collapsed="false">
      <c r="A5" s="12" t="s">
        <v>4572</v>
      </c>
      <c r="B5" s="15" t="s">
        <v>4573</v>
      </c>
      <c r="C5" s="12" t="s">
        <v>4583</v>
      </c>
      <c r="D5" s="46" t="s">
        <v>4584</v>
      </c>
      <c r="E5" s="46" t="s">
        <v>2074</v>
      </c>
      <c r="F5" s="46" t="s">
        <v>4585</v>
      </c>
      <c r="G5" s="12" t="s">
        <v>4586</v>
      </c>
      <c r="H5" s="12" t="s">
        <v>3055</v>
      </c>
      <c r="I5" s="12" t="s">
        <v>2790</v>
      </c>
    </row>
    <row r="6" customFormat="false" ht="27.75" hidden="false" customHeight="true" outlineLevel="0" collapsed="false">
      <c r="A6" s="12" t="s">
        <v>4572</v>
      </c>
      <c r="B6" s="15" t="s">
        <v>4573</v>
      </c>
      <c r="C6" s="12" t="s">
        <v>4587</v>
      </c>
      <c r="D6" s="46" t="s">
        <v>4588</v>
      </c>
      <c r="E6" s="46" t="s">
        <v>12</v>
      </c>
      <c r="F6" s="46" t="s">
        <v>4589</v>
      </c>
      <c r="G6" s="12" t="s">
        <v>4590</v>
      </c>
      <c r="H6" s="12" t="s">
        <v>2815</v>
      </c>
      <c r="I6" s="12" t="s">
        <v>2790</v>
      </c>
    </row>
    <row r="7" customFormat="false" ht="27.75" hidden="false" customHeight="true" outlineLevel="0" collapsed="false">
      <c r="A7" s="12" t="s">
        <v>4572</v>
      </c>
      <c r="B7" s="15" t="s">
        <v>4573</v>
      </c>
      <c r="C7" s="12" t="s">
        <v>4591</v>
      </c>
      <c r="D7" s="46" t="s">
        <v>4592</v>
      </c>
      <c r="E7" s="46" t="s">
        <v>14</v>
      </c>
      <c r="F7" s="46" t="s">
        <v>4593</v>
      </c>
      <c r="G7" s="12" t="s">
        <v>4594</v>
      </c>
      <c r="H7" s="12" t="s">
        <v>2848</v>
      </c>
      <c r="I7" s="12" t="s">
        <v>2991</v>
      </c>
    </row>
    <row r="8" customFormat="false" ht="27.75" hidden="false" customHeight="true" outlineLevel="0" collapsed="false">
      <c r="A8" s="12" t="s">
        <v>4572</v>
      </c>
      <c r="B8" s="15" t="s">
        <v>4573</v>
      </c>
      <c r="C8" s="12" t="s">
        <v>4595</v>
      </c>
      <c r="D8" s="46" t="s">
        <v>4596</v>
      </c>
      <c r="E8" s="46" t="s">
        <v>14</v>
      </c>
      <c r="F8" s="46" t="s">
        <v>4593</v>
      </c>
      <c r="G8" s="12" t="s">
        <v>4597</v>
      </c>
      <c r="H8" s="12" t="s">
        <v>2848</v>
      </c>
      <c r="I8" s="12" t="s">
        <v>2991</v>
      </c>
    </row>
    <row r="9" customFormat="false" ht="27.75" hidden="false" customHeight="true" outlineLevel="0" collapsed="false">
      <c r="A9" s="12" t="s">
        <v>4598</v>
      </c>
      <c r="B9" s="15" t="s">
        <v>4573</v>
      </c>
      <c r="C9" s="12" t="s">
        <v>4599</v>
      </c>
      <c r="D9" s="46" t="s">
        <v>4600</v>
      </c>
      <c r="E9" s="46" t="s">
        <v>2269</v>
      </c>
      <c r="F9" s="46" t="s">
        <v>4601</v>
      </c>
      <c r="G9" s="12" t="s">
        <v>4586</v>
      </c>
      <c r="H9" s="12" t="s">
        <v>3060</v>
      </c>
      <c r="I9" s="12" t="s">
        <v>2790</v>
      </c>
    </row>
    <row r="10" customFormat="false" ht="27.75" hidden="false" customHeight="true" outlineLevel="0" collapsed="false">
      <c r="A10" s="12" t="s">
        <v>4598</v>
      </c>
      <c r="B10" s="15" t="s">
        <v>4573</v>
      </c>
      <c r="C10" s="12" t="s">
        <v>4602</v>
      </c>
      <c r="D10" s="46" t="s">
        <v>4603</v>
      </c>
      <c r="E10" s="46" t="s">
        <v>2269</v>
      </c>
      <c r="F10" s="46" t="s">
        <v>4604</v>
      </c>
      <c r="G10" s="12" t="s">
        <v>4605</v>
      </c>
      <c r="H10" s="12" t="s">
        <v>3060</v>
      </c>
      <c r="I10" s="12" t="s">
        <v>2790</v>
      </c>
    </row>
    <row r="11" customFormat="false" ht="27.75" hidden="false" customHeight="true" outlineLevel="0" collapsed="false">
      <c r="A11" s="12" t="s">
        <v>4598</v>
      </c>
      <c r="B11" s="15" t="s">
        <v>4573</v>
      </c>
      <c r="C11" s="12" t="s">
        <v>4606</v>
      </c>
      <c r="D11" s="46" t="s">
        <v>4607</v>
      </c>
      <c r="E11" s="46" t="s">
        <v>2269</v>
      </c>
      <c r="F11" s="46" t="s">
        <v>4608</v>
      </c>
      <c r="G11" s="12" t="s">
        <v>4609</v>
      </c>
      <c r="H11" s="12" t="s">
        <v>3060</v>
      </c>
      <c r="I11" s="12" t="s">
        <v>3271</v>
      </c>
    </row>
    <row r="12" customFormat="false" ht="27.75" hidden="false" customHeight="true" outlineLevel="0" collapsed="false">
      <c r="A12" s="12" t="s">
        <v>4610</v>
      </c>
      <c r="B12" s="15" t="s">
        <v>4573</v>
      </c>
      <c r="C12" s="12" t="s">
        <v>4611</v>
      </c>
      <c r="D12" s="46" t="s">
        <v>4612</v>
      </c>
      <c r="E12" s="46" t="s">
        <v>2074</v>
      </c>
      <c r="F12" s="46" t="s">
        <v>4613</v>
      </c>
      <c r="G12" s="12" t="s">
        <v>4614</v>
      </c>
      <c r="H12" s="12" t="s">
        <v>3055</v>
      </c>
      <c r="I12" s="12" t="s">
        <v>2790</v>
      </c>
    </row>
    <row r="13" customFormat="false" ht="27.75" hidden="false" customHeight="true" outlineLevel="0" collapsed="false">
      <c r="A13" s="12" t="s">
        <v>4610</v>
      </c>
      <c r="B13" s="15" t="s">
        <v>4573</v>
      </c>
      <c r="C13" s="12" t="s">
        <v>4615</v>
      </c>
      <c r="D13" s="46" t="s">
        <v>4616</v>
      </c>
      <c r="E13" s="46" t="s">
        <v>2074</v>
      </c>
      <c r="F13" s="46" t="s">
        <v>4613</v>
      </c>
      <c r="G13" s="12" t="s">
        <v>4617</v>
      </c>
      <c r="H13" s="12" t="s">
        <v>3055</v>
      </c>
      <c r="I13" s="12" t="s">
        <v>3271</v>
      </c>
    </row>
    <row r="14" customFormat="false" ht="27.75" hidden="false" customHeight="true" outlineLevel="0" collapsed="false">
      <c r="A14" s="12" t="s">
        <v>1159</v>
      </c>
      <c r="B14" s="15" t="s">
        <v>4618</v>
      </c>
      <c r="C14" s="12" t="s">
        <v>4619</v>
      </c>
      <c r="D14" s="46" t="s">
        <v>4620</v>
      </c>
      <c r="E14" s="46" t="s">
        <v>12</v>
      </c>
      <c r="F14" s="46" t="s">
        <v>4621</v>
      </c>
      <c r="G14" s="12" t="s">
        <v>4622</v>
      </c>
      <c r="H14" s="12" t="s">
        <v>2801</v>
      </c>
      <c r="I14" s="12" t="s">
        <v>1836</v>
      </c>
    </row>
    <row r="15" customFormat="false" ht="27.75" hidden="false" customHeight="true" outlineLevel="0" collapsed="false">
      <c r="A15" s="12" t="s">
        <v>1159</v>
      </c>
      <c r="B15" s="15" t="s">
        <v>4618</v>
      </c>
      <c r="C15" s="12" t="s">
        <v>4430</v>
      </c>
      <c r="D15" s="46" t="s">
        <v>4623</v>
      </c>
      <c r="E15" s="46" t="s">
        <v>2074</v>
      </c>
      <c r="F15" s="46" t="s">
        <v>4624</v>
      </c>
      <c r="G15" s="12" t="s">
        <v>4622</v>
      </c>
      <c r="H15" s="12" t="s">
        <v>3055</v>
      </c>
      <c r="I15" s="12" t="s">
        <v>1836</v>
      </c>
    </row>
    <row r="16" customFormat="false" ht="27.75" hidden="false" customHeight="true" outlineLevel="0" collapsed="false">
      <c r="A16" s="12" t="s">
        <v>1159</v>
      </c>
      <c r="B16" s="15" t="s">
        <v>4618</v>
      </c>
      <c r="C16" s="12" t="s">
        <v>4427</v>
      </c>
      <c r="D16" s="46" t="s">
        <v>4625</v>
      </c>
      <c r="E16" s="46" t="s">
        <v>2074</v>
      </c>
      <c r="F16" s="46" t="s">
        <v>4626</v>
      </c>
      <c r="G16" s="12" t="s">
        <v>4622</v>
      </c>
      <c r="H16" s="12" t="s">
        <v>3055</v>
      </c>
      <c r="I16" s="12" t="s">
        <v>1836</v>
      </c>
    </row>
    <row r="17" customFormat="false" ht="27.75" hidden="false" customHeight="true" outlineLevel="0" collapsed="false">
      <c r="A17" s="12" t="s">
        <v>1159</v>
      </c>
      <c r="B17" s="15" t="s">
        <v>4618</v>
      </c>
      <c r="C17" s="12" t="s">
        <v>4439</v>
      </c>
      <c r="D17" s="46" t="s">
        <v>4627</v>
      </c>
      <c r="E17" s="46" t="s">
        <v>2090</v>
      </c>
      <c r="F17" s="46" t="s">
        <v>4628</v>
      </c>
      <c r="G17" s="12" t="s">
        <v>4622</v>
      </c>
      <c r="H17" s="12" t="s">
        <v>3065</v>
      </c>
      <c r="I17" s="12" t="s">
        <v>2790</v>
      </c>
    </row>
    <row r="18" customFormat="false" ht="27.75" hidden="false" customHeight="true" outlineLevel="0" collapsed="false">
      <c r="A18" s="12" t="s">
        <v>1159</v>
      </c>
      <c r="B18" s="15" t="s">
        <v>4618</v>
      </c>
      <c r="C18" s="12" t="s">
        <v>4629</v>
      </c>
      <c r="D18" s="46" t="s">
        <v>4630</v>
      </c>
      <c r="E18" s="46" t="s">
        <v>2090</v>
      </c>
      <c r="F18" s="46" t="s">
        <v>4631</v>
      </c>
      <c r="G18" s="12" t="s">
        <v>4632</v>
      </c>
      <c r="H18" s="12" t="s">
        <v>3065</v>
      </c>
      <c r="I18" s="12" t="s">
        <v>2790</v>
      </c>
    </row>
    <row r="19" customFormat="false" ht="27.75" hidden="false" customHeight="true" outlineLevel="0" collapsed="false">
      <c r="A19" s="12" t="s">
        <v>1159</v>
      </c>
      <c r="B19" s="15" t="s">
        <v>4618</v>
      </c>
      <c r="C19" s="12" t="s">
        <v>542</v>
      </c>
      <c r="D19" s="46" t="s">
        <v>4633</v>
      </c>
      <c r="E19" s="46" t="s">
        <v>2090</v>
      </c>
      <c r="F19" s="46" t="s">
        <v>4634</v>
      </c>
      <c r="G19" s="12" t="s">
        <v>4609</v>
      </c>
      <c r="H19" s="12" t="s">
        <v>3065</v>
      </c>
      <c r="I19" s="12" t="s">
        <v>3271</v>
      </c>
    </row>
    <row r="20" customFormat="false" ht="27.75" hidden="false" customHeight="true" outlineLevel="0" collapsed="false">
      <c r="A20" s="12" t="s">
        <v>4635</v>
      </c>
      <c r="B20" s="15" t="s">
        <v>4618</v>
      </c>
      <c r="C20" s="12" t="s">
        <v>4636</v>
      </c>
      <c r="D20" s="46" t="s">
        <v>4637</v>
      </c>
      <c r="E20" s="46" t="s">
        <v>16</v>
      </c>
      <c r="F20" s="46" t="s">
        <v>4621</v>
      </c>
      <c r="G20" s="12" t="s">
        <v>4622</v>
      </c>
      <c r="H20" s="12" t="s">
        <v>2832</v>
      </c>
      <c r="I20" s="12" t="s">
        <v>2991</v>
      </c>
    </row>
    <row r="21" customFormat="false" ht="27.75" hidden="false" customHeight="true" outlineLevel="0" collapsed="false">
      <c r="A21" s="12" t="s">
        <v>4635</v>
      </c>
      <c r="B21" s="15" t="s">
        <v>4618</v>
      </c>
      <c r="C21" s="12" t="s">
        <v>4638</v>
      </c>
      <c r="D21" s="46" t="s">
        <v>4639</v>
      </c>
      <c r="E21" s="46" t="s">
        <v>4640</v>
      </c>
      <c r="F21" s="46" t="s">
        <v>4641</v>
      </c>
      <c r="G21" s="12" t="s">
        <v>4642</v>
      </c>
      <c r="H21" s="12" t="s">
        <v>2832</v>
      </c>
      <c r="I21" s="12" t="s">
        <v>4643</v>
      </c>
    </row>
    <row r="22" customFormat="false" ht="27.75" hidden="false" customHeight="true" outlineLevel="0" collapsed="false">
      <c r="A22" s="12" t="s">
        <v>4635</v>
      </c>
      <c r="B22" s="15" t="s">
        <v>4618</v>
      </c>
      <c r="C22" s="12" t="s">
        <v>4644</v>
      </c>
      <c r="D22" s="46" t="s">
        <v>4645</v>
      </c>
      <c r="E22" s="46" t="s">
        <v>4646</v>
      </c>
      <c r="F22" s="46" t="s">
        <v>4626</v>
      </c>
      <c r="G22" s="12" t="s">
        <v>4647</v>
      </c>
      <c r="H22" s="12" t="s">
        <v>2776</v>
      </c>
      <c r="I22" s="12" t="s">
        <v>2986</v>
      </c>
    </row>
    <row r="23" customFormat="false" ht="27.75" hidden="false" customHeight="true" outlineLevel="0" collapsed="false">
      <c r="A23" s="12" t="s">
        <v>4635</v>
      </c>
      <c r="B23" s="15" t="s">
        <v>4618</v>
      </c>
      <c r="C23" s="12" t="s">
        <v>4648</v>
      </c>
      <c r="D23" s="46" t="s">
        <v>4649</v>
      </c>
      <c r="E23" s="46" t="s">
        <v>4640</v>
      </c>
      <c r="F23" s="46" t="s">
        <v>4650</v>
      </c>
      <c r="G23" s="12" t="s">
        <v>4651</v>
      </c>
      <c r="H23" s="12" t="s">
        <v>2838</v>
      </c>
      <c r="I23" s="12" t="s">
        <v>2991</v>
      </c>
    </row>
    <row r="24" customFormat="false" ht="27.75" hidden="false" customHeight="true" outlineLevel="0" collapsed="false">
      <c r="A24" s="12" t="s">
        <v>4652</v>
      </c>
      <c r="B24" s="15" t="s">
        <v>4653</v>
      </c>
      <c r="C24" s="12" t="s">
        <v>4654</v>
      </c>
      <c r="D24" s="46" t="s">
        <v>4655</v>
      </c>
      <c r="E24" s="46" t="s">
        <v>2074</v>
      </c>
      <c r="F24" s="46" t="s">
        <v>4656</v>
      </c>
      <c r="G24" s="12" t="s">
        <v>4657</v>
      </c>
      <c r="H24" s="12" t="s">
        <v>3055</v>
      </c>
      <c r="I24" s="12" t="s">
        <v>2790</v>
      </c>
    </row>
    <row r="25" customFormat="false" ht="27.75" hidden="false" customHeight="true" outlineLevel="0" collapsed="false">
      <c r="A25" s="12" t="s">
        <v>4652</v>
      </c>
      <c r="B25" s="15" t="s">
        <v>4653</v>
      </c>
      <c r="C25" s="12" t="s">
        <v>4658</v>
      </c>
      <c r="D25" s="46" t="s">
        <v>4659</v>
      </c>
      <c r="E25" s="46" t="s">
        <v>2074</v>
      </c>
      <c r="F25" s="46" t="s">
        <v>4660</v>
      </c>
      <c r="G25" s="12" t="s">
        <v>4617</v>
      </c>
      <c r="H25" s="12" t="s">
        <v>3055</v>
      </c>
      <c r="I25" s="12" t="s">
        <v>3271</v>
      </c>
    </row>
    <row r="26" customFormat="false" ht="27.75" hidden="false" customHeight="true" outlineLevel="0" collapsed="false">
      <c r="A26" s="12" t="s">
        <v>4652</v>
      </c>
      <c r="B26" s="15" t="s">
        <v>4653</v>
      </c>
      <c r="C26" s="12" t="s">
        <v>4661</v>
      </c>
      <c r="D26" s="46" t="s">
        <v>4662</v>
      </c>
      <c r="E26" s="46" t="s">
        <v>2074</v>
      </c>
      <c r="F26" s="46" t="s">
        <v>4663</v>
      </c>
      <c r="G26" s="12" t="s">
        <v>4664</v>
      </c>
      <c r="H26" s="12" t="s">
        <v>3055</v>
      </c>
      <c r="I26" s="12" t="s">
        <v>4665</v>
      </c>
    </row>
    <row r="27" customFormat="false" ht="27.75" hidden="false" customHeight="true" outlineLevel="0" collapsed="false">
      <c r="A27" s="12" t="s">
        <v>4652</v>
      </c>
      <c r="B27" s="15" t="s">
        <v>4653</v>
      </c>
      <c r="C27" s="12" t="s">
        <v>4666</v>
      </c>
      <c r="D27" s="46" t="s">
        <v>4667</v>
      </c>
      <c r="E27" s="46" t="s">
        <v>2074</v>
      </c>
      <c r="F27" s="46" t="s">
        <v>4668</v>
      </c>
      <c r="G27" s="12" t="s">
        <v>4669</v>
      </c>
      <c r="H27" s="12" t="s">
        <v>2950</v>
      </c>
      <c r="I27" s="12" t="s">
        <v>3552</v>
      </c>
    </row>
    <row r="28" customFormat="false" ht="27.75" hidden="false" customHeight="true" outlineLevel="0" collapsed="false">
      <c r="A28" s="12" t="s">
        <v>4652</v>
      </c>
      <c r="B28" s="15" t="s">
        <v>4653</v>
      </c>
      <c r="C28" s="12" t="s">
        <v>4670</v>
      </c>
      <c r="D28" s="46" t="s">
        <v>4671</v>
      </c>
      <c r="E28" s="46" t="s">
        <v>10</v>
      </c>
      <c r="F28" s="46" t="s">
        <v>4672</v>
      </c>
      <c r="G28" s="12" t="s">
        <v>4673</v>
      </c>
      <c r="H28" s="12" t="s">
        <v>2795</v>
      </c>
      <c r="I28" s="12" t="s">
        <v>2790</v>
      </c>
    </row>
    <row r="29" customFormat="false" ht="27.75" hidden="false" customHeight="true" outlineLevel="0" collapsed="false">
      <c r="A29" s="12" t="s">
        <v>4652</v>
      </c>
      <c r="B29" s="15" t="s">
        <v>4653</v>
      </c>
      <c r="C29" s="12" t="s">
        <v>4674</v>
      </c>
      <c r="D29" s="46" t="s">
        <v>4675</v>
      </c>
      <c r="E29" s="46" t="s">
        <v>12</v>
      </c>
      <c r="F29" s="46" t="s">
        <v>4676</v>
      </c>
      <c r="G29" s="12" t="s">
        <v>4677</v>
      </c>
      <c r="H29" s="12" t="s">
        <v>2819</v>
      </c>
      <c r="I29" s="12" t="s">
        <v>2790</v>
      </c>
    </row>
    <row r="30" customFormat="false" ht="27.75" hidden="false" customHeight="true" outlineLevel="0" collapsed="false">
      <c r="A30" s="12" t="s">
        <v>4678</v>
      </c>
      <c r="B30" s="15" t="s">
        <v>4653</v>
      </c>
      <c r="C30" s="12" t="s">
        <v>4679</v>
      </c>
      <c r="D30" s="46" t="s">
        <v>4680</v>
      </c>
      <c r="E30" s="46" t="s">
        <v>2074</v>
      </c>
      <c r="F30" s="46" t="s">
        <v>4660</v>
      </c>
      <c r="G30" s="12" t="s">
        <v>4622</v>
      </c>
      <c r="H30" s="12" t="s">
        <v>3055</v>
      </c>
      <c r="I30" s="12" t="s">
        <v>4643</v>
      </c>
    </row>
    <row r="31" customFormat="false" ht="27.75" hidden="false" customHeight="true" outlineLevel="0" collapsed="false">
      <c r="A31" s="12" t="s">
        <v>4678</v>
      </c>
      <c r="B31" s="15" t="s">
        <v>4653</v>
      </c>
      <c r="C31" s="12" t="s">
        <v>4681</v>
      </c>
      <c r="D31" s="46" t="s">
        <v>4682</v>
      </c>
      <c r="E31" s="46" t="s">
        <v>2074</v>
      </c>
      <c r="F31" s="46" t="s">
        <v>4660</v>
      </c>
      <c r="G31" s="12" t="s">
        <v>4622</v>
      </c>
      <c r="H31" s="12" t="s">
        <v>3055</v>
      </c>
      <c r="I31" s="12" t="s">
        <v>2790</v>
      </c>
    </row>
    <row r="32" customFormat="false" ht="27.75" hidden="false" customHeight="true" outlineLevel="0" collapsed="false">
      <c r="A32" s="12" t="s">
        <v>4678</v>
      </c>
      <c r="B32" s="15" t="s">
        <v>4653</v>
      </c>
      <c r="C32" s="12" t="s">
        <v>4683</v>
      </c>
      <c r="D32" s="46" t="s">
        <v>4684</v>
      </c>
      <c r="E32" s="46" t="s">
        <v>16</v>
      </c>
      <c r="F32" s="46" t="s">
        <v>4660</v>
      </c>
      <c r="G32" s="12" t="s">
        <v>4622</v>
      </c>
      <c r="H32" s="12" t="s">
        <v>2832</v>
      </c>
      <c r="I32" s="12" t="s">
        <v>4643</v>
      </c>
    </row>
    <row r="33" customFormat="false" ht="27.75" hidden="false" customHeight="true" outlineLevel="0" collapsed="false">
      <c r="A33" s="12" t="s">
        <v>4678</v>
      </c>
      <c r="B33" s="15" t="s">
        <v>4653</v>
      </c>
      <c r="C33" s="12" t="s">
        <v>4685</v>
      </c>
      <c r="D33" s="46" t="s">
        <v>4686</v>
      </c>
      <c r="E33" s="46" t="s">
        <v>2090</v>
      </c>
      <c r="F33" s="46" t="s">
        <v>4687</v>
      </c>
      <c r="G33" s="12" t="s">
        <v>4622</v>
      </c>
      <c r="H33" s="12" t="s">
        <v>3065</v>
      </c>
      <c r="I33" s="12" t="s">
        <v>2790</v>
      </c>
    </row>
    <row r="34" customFormat="false" ht="27.75" hidden="false" customHeight="true" outlineLevel="0" collapsed="false">
      <c r="A34" s="12" t="s">
        <v>4688</v>
      </c>
      <c r="B34" s="15" t="s">
        <v>4573</v>
      </c>
      <c r="C34" s="12" t="s">
        <v>4689</v>
      </c>
      <c r="D34" s="46" t="s">
        <v>4690</v>
      </c>
      <c r="E34" s="46" t="s">
        <v>2178</v>
      </c>
      <c r="F34" s="46" t="s">
        <v>4691</v>
      </c>
      <c r="G34" s="12" t="s">
        <v>4594</v>
      </c>
      <c r="H34" s="12" t="s">
        <v>3107</v>
      </c>
      <c r="I34" s="12" t="s">
        <v>2986</v>
      </c>
    </row>
    <row r="35" customFormat="false" ht="27.75" hidden="false" customHeight="true" outlineLevel="0" collapsed="false">
      <c r="A35" s="12" t="s">
        <v>4688</v>
      </c>
      <c r="B35" s="15" t="s">
        <v>4573</v>
      </c>
      <c r="C35" s="12" t="s">
        <v>4692</v>
      </c>
      <c r="D35" s="46" t="s">
        <v>4693</v>
      </c>
      <c r="E35" s="46" t="s">
        <v>2178</v>
      </c>
      <c r="F35" s="46" t="s">
        <v>4621</v>
      </c>
      <c r="G35" s="12" t="s">
        <v>4605</v>
      </c>
      <c r="H35" s="12" t="s">
        <v>3107</v>
      </c>
      <c r="I35" s="12" t="s">
        <v>2790</v>
      </c>
    </row>
    <row r="36" customFormat="false" ht="27.75" hidden="false" customHeight="true" outlineLevel="0" collapsed="false">
      <c r="A36" s="12" t="s">
        <v>4688</v>
      </c>
      <c r="B36" s="15" t="s">
        <v>4573</v>
      </c>
      <c r="C36" s="12" t="s">
        <v>4694</v>
      </c>
      <c r="D36" s="46" t="s">
        <v>4695</v>
      </c>
      <c r="E36" s="46" t="s">
        <v>2178</v>
      </c>
      <c r="F36" s="46" t="s">
        <v>4696</v>
      </c>
      <c r="G36" s="12" t="s">
        <v>4605</v>
      </c>
      <c r="H36" s="12" t="s">
        <v>3069</v>
      </c>
      <c r="I36" s="12" t="s">
        <v>2790</v>
      </c>
    </row>
    <row r="37" customFormat="false" ht="27.75" hidden="false" customHeight="true" outlineLevel="0" collapsed="false">
      <c r="A37" s="12" t="s">
        <v>4688</v>
      </c>
      <c r="B37" s="15" t="s">
        <v>4573</v>
      </c>
      <c r="C37" s="12" t="s">
        <v>4697</v>
      </c>
      <c r="D37" s="46" t="s">
        <v>4698</v>
      </c>
      <c r="E37" s="46" t="s">
        <v>2178</v>
      </c>
      <c r="F37" s="46" t="s">
        <v>4699</v>
      </c>
      <c r="G37" s="12" t="s">
        <v>4597</v>
      </c>
      <c r="H37" s="12" t="s">
        <v>3102</v>
      </c>
      <c r="I37" s="12" t="s">
        <v>2991</v>
      </c>
    </row>
    <row r="38" customFormat="false" ht="27.75" hidden="false" customHeight="true" outlineLevel="0" collapsed="false">
      <c r="A38" s="12" t="s">
        <v>4688</v>
      </c>
      <c r="B38" s="15" t="s">
        <v>4573</v>
      </c>
      <c r="C38" s="12" t="s">
        <v>4700</v>
      </c>
      <c r="D38" s="46" t="s">
        <v>4701</v>
      </c>
      <c r="E38" s="46" t="s">
        <v>2192</v>
      </c>
      <c r="F38" s="46" t="s">
        <v>4702</v>
      </c>
      <c r="G38" s="12" t="s">
        <v>4703</v>
      </c>
      <c r="H38" s="12" t="s">
        <v>3117</v>
      </c>
      <c r="I38" s="12" t="s">
        <v>2991</v>
      </c>
    </row>
    <row r="39" customFormat="false" ht="27.75" hidden="false" customHeight="true" outlineLevel="0" collapsed="false">
      <c r="A39" s="12" t="s">
        <v>711</v>
      </c>
      <c r="B39" s="15" t="s">
        <v>4573</v>
      </c>
      <c r="C39" s="12" t="s">
        <v>4704</v>
      </c>
      <c r="D39" s="46" t="s">
        <v>4705</v>
      </c>
      <c r="E39" s="46" t="s">
        <v>2192</v>
      </c>
      <c r="F39" s="46" t="s">
        <v>4613</v>
      </c>
      <c r="G39" s="12" t="s">
        <v>4586</v>
      </c>
      <c r="H39" s="12" t="s">
        <v>3117</v>
      </c>
      <c r="I39" s="12" t="s">
        <v>2986</v>
      </c>
    </row>
    <row r="40" customFormat="false" ht="27.75" hidden="false" customHeight="true" outlineLevel="0" collapsed="false">
      <c r="A40" s="12" t="s">
        <v>711</v>
      </c>
      <c r="B40" s="15" t="s">
        <v>4573</v>
      </c>
      <c r="C40" s="12" t="s">
        <v>726</v>
      </c>
      <c r="D40" s="46" t="s">
        <v>4706</v>
      </c>
      <c r="E40" s="46" t="s">
        <v>2192</v>
      </c>
      <c r="F40" s="46" t="s">
        <v>4608</v>
      </c>
      <c r="G40" s="12" t="s">
        <v>4609</v>
      </c>
      <c r="H40" s="12" t="s">
        <v>3117</v>
      </c>
      <c r="I40" s="12" t="s">
        <v>2991</v>
      </c>
    </row>
    <row r="41" customFormat="false" ht="27.75" hidden="false" customHeight="true" outlineLevel="0" collapsed="false">
      <c r="A41" s="12" t="s">
        <v>711</v>
      </c>
      <c r="B41" s="15" t="s">
        <v>4573</v>
      </c>
      <c r="C41" s="12" t="s">
        <v>4707</v>
      </c>
      <c r="D41" s="46" t="s">
        <v>4708</v>
      </c>
      <c r="E41" s="46" t="s">
        <v>2192</v>
      </c>
      <c r="F41" s="46" t="s">
        <v>4709</v>
      </c>
      <c r="G41" s="12" t="s">
        <v>4710</v>
      </c>
      <c r="H41" s="12" t="s">
        <v>3117</v>
      </c>
      <c r="I41" s="12" t="s">
        <v>2790</v>
      </c>
    </row>
    <row r="42" customFormat="false" ht="27.75" hidden="false" customHeight="true" outlineLevel="0" collapsed="false">
      <c r="A42" s="12" t="s">
        <v>4711</v>
      </c>
      <c r="B42" s="15" t="s">
        <v>4573</v>
      </c>
      <c r="C42" s="12" t="s">
        <v>4712</v>
      </c>
      <c r="D42" s="46" t="s">
        <v>4713</v>
      </c>
      <c r="E42" s="46" t="s">
        <v>2112</v>
      </c>
      <c r="F42" s="46" t="s">
        <v>4672</v>
      </c>
      <c r="G42" s="12" t="s">
        <v>4714</v>
      </c>
      <c r="H42" s="12" t="s">
        <v>3207</v>
      </c>
      <c r="I42" s="12" t="s">
        <v>2986</v>
      </c>
    </row>
    <row r="43" customFormat="false" ht="27.75" hidden="false" customHeight="true" outlineLevel="0" collapsed="false">
      <c r="A43" s="12" t="s">
        <v>4711</v>
      </c>
      <c r="B43" s="15" t="s">
        <v>4573</v>
      </c>
      <c r="C43" s="12" t="s">
        <v>4715</v>
      </c>
      <c r="D43" s="46" t="s">
        <v>4716</v>
      </c>
      <c r="E43" s="46" t="s">
        <v>2112</v>
      </c>
      <c r="F43" s="46" t="s">
        <v>4593</v>
      </c>
      <c r="G43" s="12" t="s">
        <v>4609</v>
      </c>
      <c r="H43" s="12" t="s">
        <v>3207</v>
      </c>
      <c r="I43" s="12" t="s">
        <v>2991</v>
      </c>
    </row>
    <row r="44" customFormat="false" ht="27.75" hidden="false" customHeight="true" outlineLevel="0" collapsed="false">
      <c r="A44" s="12" t="s">
        <v>4711</v>
      </c>
      <c r="B44" s="15" t="s">
        <v>4573</v>
      </c>
      <c r="C44" s="12" t="s">
        <v>4717</v>
      </c>
      <c r="D44" s="46" t="s">
        <v>4718</v>
      </c>
      <c r="E44" s="46" t="s">
        <v>2112</v>
      </c>
      <c r="F44" s="46" t="s">
        <v>4719</v>
      </c>
      <c r="G44" s="12" t="s">
        <v>4605</v>
      </c>
      <c r="H44" s="12" t="s">
        <v>3216</v>
      </c>
      <c r="I44" s="12" t="s">
        <v>3127</v>
      </c>
    </row>
    <row r="45" customFormat="false" ht="27.75" hidden="false" customHeight="true" outlineLevel="0" collapsed="false">
      <c r="A45" s="12" t="s">
        <v>4678</v>
      </c>
      <c r="B45" s="15" t="s">
        <v>4653</v>
      </c>
      <c r="C45" s="12" t="s">
        <v>4720</v>
      </c>
      <c r="D45" s="46" t="s">
        <v>4721</v>
      </c>
      <c r="E45" s="46" t="s">
        <v>2074</v>
      </c>
      <c r="F45" s="46" t="s">
        <v>4668</v>
      </c>
      <c r="G45" s="12" t="s">
        <v>4622</v>
      </c>
      <c r="H45" s="12" t="s">
        <v>2950</v>
      </c>
      <c r="I45" s="12" t="s">
        <v>3552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26"/>
    <col collapsed="false" customWidth="true" hidden="false" outlineLevel="0" max="4" min="4" style="0" width="16"/>
    <col collapsed="false" customWidth="true" hidden="false" outlineLevel="0" max="5" min="5" style="0" width="48"/>
    <col collapsed="false" customWidth="true" hidden="false" outlineLevel="0" max="6" min="6" style="0" width="38"/>
    <col collapsed="false" customWidth="true" hidden="false" outlineLevel="0" max="7" min="7" style="0" width="13"/>
    <col collapsed="false" customWidth="true" hidden="false" outlineLevel="0" max="8" min="8" style="0" width="22"/>
    <col collapsed="false" customWidth="true" hidden="false" outlineLevel="0" max="9" min="9" style="0" width="46"/>
  </cols>
  <sheetData>
    <row r="1" customFormat="false" ht="16.15" hidden="false" customHeight="false" outlineLevel="0" collapsed="false">
      <c r="A1" s="8" t="s">
        <v>4722</v>
      </c>
    </row>
    <row r="2" customFormat="false" ht="30" hidden="false" customHeight="true" outlineLevel="0" collapsed="false">
      <c r="A2" s="9" t="s">
        <v>2750</v>
      </c>
      <c r="B2" s="9" t="s">
        <v>2751</v>
      </c>
      <c r="C2" s="9" t="s">
        <v>4723</v>
      </c>
      <c r="D2" s="9" t="s">
        <v>4724</v>
      </c>
      <c r="E2" s="9" t="s">
        <v>4725</v>
      </c>
      <c r="F2" s="9" t="s">
        <v>4726</v>
      </c>
      <c r="G2" s="9" t="s">
        <v>4727</v>
      </c>
      <c r="H2" s="9" t="s">
        <v>4728</v>
      </c>
      <c r="I2" s="9" t="s">
        <v>4729</v>
      </c>
    </row>
    <row r="3" customFormat="false" ht="27.75" hidden="false" customHeight="true" outlineLevel="0" collapsed="false">
      <c r="A3" s="12" t="s">
        <v>2758</v>
      </c>
      <c r="B3" s="12" t="s">
        <v>2759</v>
      </c>
      <c r="C3" s="15" t="s">
        <v>4730</v>
      </c>
      <c r="D3" s="15" t="s">
        <v>990</v>
      </c>
      <c r="E3" s="46" t="s">
        <v>4731</v>
      </c>
      <c r="F3" s="46" t="s">
        <v>4732</v>
      </c>
      <c r="G3" s="15" t="s">
        <v>978</v>
      </c>
      <c r="H3" s="12" t="s">
        <v>2763</v>
      </c>
      <c r="I3" s="46"/>
    </row>
    <row r="4" customFormat="false" ht="27.75" hidden="false" customHeight="true" outlineLevel="0" collapsed="false">
      <c r="A4" s="12" t="s">
        <v>2763</v>
      </c>
      <c r="B4" s="12" t="s">
        <v>2765</v>
      </c>
      <c r="C4" s="15" t="s">
        <v>3182</v>
      </c>
      <c r="D4" s="15" t="s">
        <v>990</v>
      </c>
      <c r="E4" s="46" t="s">
        <v>4733</v>
      </c>
      <c r="F4" s="46" t="s">
        <v>4622</v>
      </c>
      <c r="G4" s="15" t="s">
        <v>978</v>
      </c>
      <c r="H4" s="12" t="s">
        <v>4734</v>
      </c>
      <c r="I4" s="46" t="s">
        <v>4735</v>
      </c>
    </row>
    <row r="5" customFormat="false" ht="27.75" hidden="false" customHeight="true" outlineLevel="0" collapsed="false">
      <c r="A5" s="12" t="s">
        <v>2771</v>
      </c>
      <c r="B5" s="12" t="s">
        <v>2772</v>
      </c>
      <c r="C5" s="15" t="s">
        <v>4730</v>
      </c>
      <c r="D5" s="15" t="s">
        <v>990</v>
      </c>
      <c r="E5" s="46" t="s">
        <v>4736</v>
      </c>
      <c r="F5" s="46" t="s">
        <v>4737</v>
      </c>
      <c r="G5" s="15" t="s">
        <v>978</v>
      </c>
      <c r="H5" s="12" t="s">
        <v>2776</v>
      </c>
      <c r="I5" s="46"/>
    </row>
    <row r="6" customFormat="false" ht="27.75" hidden="false" customHeight="true" outlineLevel="0" collapsed="false">
      <c r="A6" s="12" t="s">
        <v>2776</v>
      </c>
      <c r="B6" s="12" t="s">
        <v>2777</v>
      </c>
      <c r="C6" s="15" t="s">
        <v>3182</v>
      </c>
      <c r="D6" s="15" t="s">
        <v>990</v>
      </c>
      <c r="E6" s="46" t="s">
        <v>4738</v>
      </c>
      <c r="F6" s="46" t="s">
        <v>4622</v>
      </c>
      <c r="G6" s="15" t="s">
        <v>978</v>
      </c>
      <c r="H6" s="12" t="s">
        <v>2780</v>
      </c>
      <c r="I6" s="46"/>
    </row>
    <row r="7" customFormat="false" ht="27.75" hidden="false" customHeight="true" outlineLevel="0" collapsed="false">
      <c r="A7" s="12" t="s">
        <v>2780</v>
      </c>
      <c r="B7" s="12" t="s">
        <v>2781</v>
      </c>
      <c r="C7" s="15" t="s">
        <v>4739</v>
      </c>
      <c r="D7" s="15" t="s">
        <v>978</v>
      </c>
      <c r="E7" s="46" t="s">
        <v>4740</v>
      </c>
      <c r="F7" s="46" t="s">
        <v>4741</v>
      </c>
      <c r="G7" s="15" t="s">
        <v>978</v>
      </c>
      <c r="H7" s="12" t="s">
        <v>2776</v>
      </c>
      <c r="I7" s="46" t="s">
        <v>4742</v>
      </c>
    </row>
    <row r="8" customFormat="false" ht="27.75" hidden="false" customHeight="true" outlineLevel="0" collapsed="false">
      <c r="A8" s="12" t="s">
        <v>2785</v>
      </c>
      <c r="B8" s="12" t="s">
        <v>2786</v>
      </c>
      <c r="C8" s="15" t="s">
        <v>4730</v>
      </c>
      <c r="D8" s="15" t="s">
        <v>990</v>
      </c>
      <c r="E8" s="46" t="s">
        <v>4743</v>
      </c>
      <c r="F8" s="46" t="s">
        <v>4744</v>
      </c>
      <c r="G8" s="15" t="s">
        <v>990</v>
      </c>
      <c r="H8" s="12" t="s">
        <v>2789</v>
      </c>
      <c r="I8" s="46"/>
    </row>
    <row r="9" customFormat="false" ht="27.75" hidden="false" customHeight="true" outlineLevel="0" collapsed="false">
      <c r="A9" s="12" t="s">
        <v>2789</v>
      </c>
      <c r="B9" s="12" t="s">
        <v>2791</v>
      </c>
      <c r="C9" s="15" t="s">
        <v>3182</v>
      </c>
      <c r="D9" s="15" t="s">
        <v>990</v>
      </c>
      <c r="E9" s="46" t="s">
        <v>4745</v>
      </c>
      <c r="F9" s="46" t="s">
        <v>4622</v>
      </c>
      <c r="G9" s="15" t="s">
        <v>978</v>
      </c>
      <c r="H9" s="12" t="s">
        <v>4746</v>
      </c>
      <c r="I9" s="46"/>
    </row>
    <row r="10" customFormat="false" ht="27.75" hidden="false" customHeight="true" outlineLevel="0" collapsed="false">
      <c r="A10" s="12" t="s">
        <v>2795</v>
      </c>
      <c r="B10" s="12" t="s">
        <v>2796</v>
      </c>
      <c r="C10" s="15" t="s">
        <v>4747</v>
      </c>
      <c r="D10" s="15" t="s">
        <v>990</v>
      </c>
      <c r="E10" s="46" t="s">
        <v>4748</v>
      </c>
      <c r="F10" s="46" t="s">
        <v>4749</v>
      </c>
      <c r="G10" s="15" t="s">
        <v>990</v>
      </c>
      <c r="H10" s="12" t="s">
        <v>2789</v>
      </c>
      <c r="I10" s="46" t="s">
        <v>4750</v>
      </c>
    </row>
    <row r="11" customFormat="false" ht="27.75" hidden="false" customHeight="true" outlineLevel="0" collapsed="false">
      <c r="A11" s="12" t="s">
        <v>2801</v>
      </c>
      <c r="B11" s="12" t="s">
        <v>2802</v>
      </c>
      <c r="C11" s="15" t="s">
        <v>4730</v>
      </c>
      <c r="D11" s="15" t="s">
        <v>990</v>
      </c>
      <c r="E11" s="46" t="s">
        <v>4743</v>
      </c>
      <c r="F11" s="46" t="s">
        <v>4751</v>
      </c>
      <c r="G11" s="15" t="s">
        <v>990</v>
      </c>
      <c r="H11" s="12" t="s">
        <v>2805</v>
      </c>
      <c r="I11" s="46"/>
    </row>
    <row r="12" customFormat="false" ht="27.75" hidden="false" customHeight="true" outlineLevel="0" collapsed="false">
      <c r="A12" s="12" t="s">
        <v>2805</v>
      </c>
      <c r="B12" s="12" t="s">
        <v>2806</v>
      </c>
      <c r="C12" s="15" t="s">
        <v>3182</v>
      </c>
      <c r="D12" s="15" t="s">
        <v>990</v>
      </c>
      <c r="E12" s="46" t="s">
        <v>4752</v>
      </c>
      <c r="F12" s="46" t="s">
        <v>4622</v>
      </c>
      <c r="G12" s="15" t="s">
        <v>978</v>
      </c>
      <c r="H12" s="12" t="s">
        <v>4753</v>
      </c>
      <c r="I12" s="46"/>
    </row>
    <row r="13" customFormat="false" ht="27.75" hidden="false" customHeight="true" outlineLevel="0" collapsed="false">
      <c r="A13" s="12" t="s">
        <v>2810</v>
      </c>
      <c r="B13" s="12" t="s">
        <v>2811</v>
      </c>
      <c r="C13" s="15" t="s">
        <v>4754</v>
      </c>
      <c r="D13" s="15" t="s">
        <v>990</v>
      </c>
      <c r="E13" s="46" t="s">
        <v>4755</v>
      </c>
      <c r="F13" s="46" t="s">
        <v>4622</v>
      </c>
      <c r="G13" s="15" t="s">
        <v>978</v>
      </c>
      <c r="H13" s="12" t="s">
        <v>2805</v>
      </c>
      <c r="I13" s="46" t="s">
        <v>4756</v>
      </c>
    </row>
    <row r="14" customFormat="false" ht="27.75" hidden="false" customHeight="true" outlineLevel="0" collapsed="false">
      <c r="A14" s="12" t="s">
        <v>2815</v>
      </c>
      <c r="B14" s="12" t="s">
        <v>2816</v>
      </c>
      <c r="C14" s="15" t="s">
        <v>4747</v>
      </c>
      <c r="D14" s="15" t="s">
        <v>990</v>
      </c>
      <c r="E14" s="46" t="s">
        <v>4757</v>
      </c>
      <c r="F14" s="46" t="s">
        <v>4758</v>
      </c>
      <c r="G14" s="15" t="s">
        <v>990</v>
      </c>
      <c r="H14" s="12" t="s">
        <v>2805</v>
      </c>
      <c r="I14" s="46"/>
    </row>
    <row r="15" customFormat="false" ht="27.75" hidden="false" customHeight="true" outlineLevel="0" collapsed="false">
      <c r="A15" s="12" t="s">
        <v>2819</v>
      </c>
      <c r="B15" s="12" t="s">
        <v>2820</v>
      </c>
      <c r="C15" s="15" t="s">
        <v>4747</v>
      </c>
      <c r="D15" s="15" t="s">
        <v>990</v>
      </c>
      <c r="E15" s="46" t="s">
        <v>4759</v>
      </c>
      <c r="F15" s="46" t="s">
        <v>4760</v>
      </c>
      <c r="G15" s="15" t="s">
        <v>990</v>
      </c>
      <c r="H15" s="12" t="s">
        <v>2805</v>
      </c>
      <c r="I15" s="46" t="s">
        <v>4761</v>
      </c>
    </row>
    <row r="16" customFormat="false" ht="27.75" hidden="false" customHeight="true" outlineLevel="0" collapsed="false">
      <c r="A16" s="12" t="s">
        <v>2823</v>
      </c>
      <c r="B16" s="12" t="s">
        <v>2824</v>
      </c>
      <c r="C16" s="15" t="s">
        <v>4762</v>
      </c>
      <c r="D16" s="15" t="s">
        <v>990</v>
      </c>
      <c r="E16" s="46" t="s">
        <v>4763</v>
      </c>
      <c r="F16" s="46" t="s">
        <v>4764</v>
      </c>
      <c r="G16" s="15" t="s">
        <v>978</v>
      </c>
      <c r="H16" s="12" t="s">
        <v>2819</v>
      </c>
      <c r="I16" s="46"/>
    </row>
    <row r="17" customFormat="false" ht="27.75" hidden="false" customHeight="true" outlineLevel="0" collapsed="false">
      <c r="A17" s="12" t="s">
        <v>2828</v>
      </c>
      <c r="B17" s="12" t="s">
        <v>2829</v>
      </c>
      <c r="C17" s="15" t="s">
        <v>4730</v>
      </c>
      <c r="D17" s="15" t="s">
        <v>990</v>
      </c>
      <c r="E17" s="46" t="s">
        <v>4743</v>
      </c>
      <c r="F17" s="46" t="s">
        <v>4765</v>
      </c>
      <c r="G17" s="15" t="s">
        <v>990</v>
      </c>
      <c r="H17" s="12" t="s">
        <v>2832</v>
      </c>
      <c r="I17" s="46"/>
    </row>
    <row r="18" customFormat="false" ht="27.75" hidden="false" customHeight="true" outlineLevel="0" collapsed="false">
      <c r="A18" s="12" t="s">
        <v>2832</v>
      </c>
      <c r="B18" s="12" t="s">
        <v>2834</v>
      </c>
      <c r="C18" s="15" t="s">
        <v>3182</v>
      </c>
      <c r="D18" s="15" t="s">
        <v>990</v>
      </c>
      <c r="E18" s="46" t="s">
        <v>4766</v>
      </c>
      <c r="F18" s="46" t="s">
        <v>4622</v>
      </c>
      <c r="G18" s="15" t="s">
        <v>990</v>
      </c>
      <c r="H18" s="12" t="s">
        <v>4767</v>
      </c>
      <c r="I18" s="46" t="s">
        <v>4768</v>
      </c>
    </row>
    <row r="19" customFormat="false" ht="27.75" hidden="false" customHeight="true" outlineLevel="0" collapsed="false">
      <c r="A19" s="12" t="s">
        <v>2838</v>
      </c>
      <c r="B19" s="12" t="s">
        <v>2839</v>
      </c>
      <c r="C19" s="15" t="s">
        <v>4747</v>
      </c>
      <c r="D19" s="15" t="s">
        <v>990</v>
      </c>
      <c r="E19" s="46" t="s">
        <v>4769</v>
      </c>
      <c r="F19" s="46" t="s">
        <v>4765</v>
      </c>
      <c r="G19" s="15" t="s">
        <v>990</v>
      </c>
      <c r="H19" s="12" t="s">
        <v>2842</v>
      </c>
      <c r="I19" s="46"/>
    </row>
    <row r="20" customFormat="false" ht="27.75" hidden="false" customHeight="true" outlineLevel="0" collapsed="false">
      <c r="A20" s="12" t="s">
        <v>2843</v>
      </c>
      <c r="B20" s="12" t="s">
        <v>2844</v>
      </c>
      <c r="C20" s="15" t="s">
        <v>3182</v>
      </c>
      <c r="D20" s="15" t="s">
        <v>990</v>
      </c>
      <c r="E20" s="46" t="s">
        <v>4770</v>
      </c>
      <c r="F20" s="46" t="s">
        <v>4622</v>
      </c>
      <c r="G20" s="15" t="s">
        <v>990</v>
      </c>
      <c r="H20" s="12" t="s">
        <v>2848</v>
      </c>
      <c r="I20" s="46"/>
    </row>
    <row r="21" customFormat="false" ht="27.75" hidden="false" customHeight="true" outlineLevel="0" collapsed="false">
      <c r="A21" s="12" t="s">
        <v>2850</v>
      </c>
      <c r="B21" s="12" t="s">
        <v>2851</v>
      </c>
      <c r="C21" s="15" t="s">
        <v>4762</v>
      </c>
      <c r="D21" s="15" t="s">
        <v>990</v>
      </c>
      <c r="E21" s="46" t="s">
        <v>4771</v>
      </c>
      <c r="F21" s="46" t="s">
        <v>4719</v>
      </c>
      <c r="G21" s="15" t="s">
        <v>978</v>
      </c>
      <c r="H21" s="12" t="s">
        <v>2805</v>
      </c>
      <c r="I21" s="46"/>
    </row>
    <row r="22" customFormat="false" ht="27.75" hidden="false" customHeight="true" outlineLevel="0" collapsed="false">
      <c r="A22" s="12" t="s">
        <v>2848</v>
      </c>
      <c r="B22" s="12" t="s">
        <v>2854</v>
      </c>
      <c r="C22" s="15" t="s">
        <v>4747</v>
      </c>
      <c r="D22" s="15" t="s">
        <v>990</v>
      </c>
      <c r="E22" s="46" t="s">
        <v>4772</v>
      </c>
      <c r="F22" s="46" t="s">
        <v>4765</v>
      </c>
      <c r="G22" s="15" t="s">
        <v>990</v>
      </c>
      <c r="H22" s="12" t="s">
        <v>2857</v>
      </c>
      <c r="I22" s="46"/>
    </row>
    <row r="23" customFormat="false" ht="27.75" hidden="false" customHeight="true" outlineLevel="0" collapsed="false">
      <c r="A23" s="12" t="s">
        <v>2859</v>
      </c>
      <c r="B23" s="12" t="s">
        <v>2860</v>
      </c>
      <c r="C23" s="15" t="s">
        <v>4747</v>
      </c>
      <c r="D23" s="15" t="s">
        <v>990</v>
      </c>
      <c r="E23" s="46" t="s">
        <v>4773</v>
      </c>
      <c r="F23" s="46" t="s">
        <v>4774</v>
      </c>
      <c r="G23" s="15" t="s">
        <v>990</v>
      </c>
      <c r="H23" s="12" t="s">
        <v>2863</v>
      </c>
      <c r="I23" s="46" t="s">
        <v>4775</v>
      </c>
    </row>
    <row r="24" customFormat="false" ht="27.75" hidden="false" customHeight="true" outlineLevel="0" collapsed="false">
      <c r="A24" s="12" t="s">
        <v>2864</v>
      </c>
      <c r="B24" s="12" t="s">
        <v>2865</v>
      </c>
      <c r="C24" s="15" t="s">
        <v>4730</v>
      </c>
      <c r="D24" s="15" t="s">
        <v>990</v>
      </c>
      <c r="E24" s="46" t="s">
        <v>4776</v>
      </c>
      <c r="F24" s="46" t="s">
        <v>4777</v>
      </c>
      <c r="G24" s="15" t="s">
        <v>978</v>
      </c>
      <c r="H24" s="12" t="s">
        <v>2859</v>
      </c>
      <c r="I24" s="46"/>
    </row>
    <row r="25" customFormat="false" ht="27.75" hidden="false" customHeight="true" outlineLevel="0" collapsed="false">
      <c r="A25" s="12" t="s">
        <v>2869</v>
      </c>
      <c r="B25" s="12" t="s">
        <v>2870</v>
      </c>
      <c r="C25" s="15" t="s">
        <v>4739</v>
      </c>
      <c r="D25" s="15" t="s">
        <v>978</v>
      </c>
      <c r="E25" s="46" t="s">
        <v>4778</v>
      </c>
      <c r="F25" s="46" t="s">
        <v>4779</v>
      </c>
      <c r="G25" s="15" t="s">
        <v>990</v>
      </c>
      <c r="H25" s="12" t="s">
        <v>2874</v>
      </c>
      <c r="I25" s="46" t="s">
        <v>4780</v>
      </c>
    </row>
    <row r="26" customFormat="false" ht="27.75" hidden="false" customHeight="true" outlineLevel="0" collapsed="false">
      <c r="A26" s="12" t="s">
        <v>2876</v>
      </c>
      <c r="B26" s="12" t="s">
        <v>2877</v>
      </c>
      <c r="C26" s="15" t="s">
        <v>4781</v>
      </c>
      <c r="D26" s="15" t="s">
        <v>990</v>
      </c>
      <c r="E26" s="46" t="s">
        <v>4782</v>
      </c>
      <c r="F26" s="46" t="s">
        <v>4783</v>
      </c>
      <c r="G26" s="15" t="s">
        <v>978</v>
      </c>
      <c r="H26" s="12" t="s">
        <v>2881</v>
      </c>
      <c r="I26" s="46" t="s">
        <v>4784</v>
      </c>
    </row>
    <row r="27" customFormat="false" ht="27.75" hidden="false" customHeight="true" outlineLevel="0" collapsed="false">
      <c r="A27" s="12" t="s">
        <v>2883</v>
      </c>
      <c r="B27" s="12" t="s">
        <v>2884</v>
      </c>
      <c r="C27" s="15" t="s">
        <v>3182</v>
      </c>
      <c r="D27" s="15" t="s">
        <v>990</v>
      </c>
      <c r="E27" s="46" t="s">
        <v>4785</v>
      </c>
      <c r="F27" s="46" t="s">
        <v>4622</v>
      </c>
      <c r="G27" s="15" t="s">
        <v>990</v>
      </c>
      <c r="H27" s="12" t="s">
        <v>2876</v>
      </c>
      <c r="I27" s="46"/>
    </row>
    <row r="28" customFormat="false" ht="27.75" hidden="false" customHeight="true" outlineLevel="0" collapsed="false">
      <c r="A28" s="12" t="s">
        <v>2888</v>
      </c>
      <c r="B28" s="12" t="s">
        <v>2889</v>
      </c>
      <c r="C28" s="15" t="s">
        <v>4786</v>
      </c>
      <c r="D28" s="15" t="s">
        <v>990</v>
      </c>
      <c r="E28" s="46" t="s">
        <v>4787</v>
      </c>
      <c r="F28" s="46" t="s">
        <v>4622</v>
      </c>
      <c r="G28" s="15" t="s">
        <v>978</v>
      </c>
      <c r="H28" s="12" t="s">
        <v>2876</v>
      </c>
      <c r="I28" s="46"/>
    </row>
    <row r="29" customFormat="false" ht="27.75" hidden="false" customHeight="true" outlineLevel="0" collapsed="false">
      <c r="A29" s="12" t="s">
        <v>2894</v>
      </c>
      <c r="B29" s="12" t="s">
        <v>2895</v>
      </c>
      <c r="C29" s="15" t="s">
        <v>4762</v>
      </c>
      <c r="D29" s="15" t="s">
        <v>990</v>
      </c>
      <c r="E29" s="46" t="s">
        <v>4788</v>
      </c>
      <c r="F29" s="46" t="s">
        <v>4789</v>
      </c>
      <c r="G29" s="15" t="s">
        <v>978</v>
      </c>
      <c r="H29" s="12" t="s">
        <v>2876</v>
      </c>
      <c r="I29" s="46"/>
    </row>
    <row r="30" customFormat="false" ht="27.75" hidden="false" customHeight="true" outlineLevel="0" collapsed="false">
      <c r="A30" s="12" t="s">
        <v>2899</v>
      </c>
      <c r="B30" s="12" t="s">
        <v>2900</v>
      </c>
      <c r="C30" s="15" t="s">
        <v>4781</v>
      </c>
      <c r="D30" s="15" t="s">
        <v>990</v>
      </c>
      <c r="E30" s="46" t="s">
        <v>4790</v>
      </c>
      <c r="F30" s="46" t="s">
        <v>4791</v>
      </c>
      <c r="G30" s="15" t="s">
        <v>978</v>
      </c>
      <c r="H30" s="12" t="s">
        <v>2903</v>
      </c>
      <c r="I30" s="46"/>
    </row>
    <row r="31" customFormat="false" ht="27.75" hidden="false" customHeight="true" outlineLevel="0" collapsed="false">
      <c r="A31" s="12" t="s">
        <v>2903</v>
      </c>
      <c r="B31" s="12" t="s">
        <v>2905</v>
      </c>
      <c r="C31" s="15" t="s">
        <v>4762</v>
      </c>
      <c r="D31" s="15" t="s">
        <v>990</v>
      </c>
      <c r="E31" s="46" t="s">
        <v>4792</v>
      </c>
      <c r="F31" s="46" t="s">
        <v>4709</v>
      </c>
      <c r="G31" s="15" t="s">
        <v>978</v>
      </c>
      <c r="H31" s="12" t="s">
        <v>2899</v>
      </c>
      <c r="I31" s="46"/>
    </row>
    <row r="32" customFormat="false" ht="27.75" hidden="false" customHeight="true" outlineLevel="0" collapsed="false">
      <c r="A32" s="12" t="s">
        <v>2909</v>
      </c>
      <c r="B32" s="12" t="s">
        <v>2910</v>
      </c>
      <c r="C32" s="15" t="s">
        <v>4762</v>
      </c>
      <c r="D32" s="15" t="s">
        <v>990</v>
      </c>
      <c r="E32" s="46" t="s">
        <v>4793</v>
      </c>
      <c r="F32" s="46" t="s">
        <v>4794</v>
      </c>
      <c r="G32" s="15" t="s">
        <v>978</v>
      </c>
      <c r="H32" s="12" t="s">
        <v>2914</v>
      </c>
      <c r="I32" s="46"/>
    </row>
    <row r="33" customFormat="false" ht="27.75" hidden="false" customHeight="true" outlineLevel="0" collapsed="false">
      <c r="A33" s="12" t="s">
        <v>2916</v>
      </c>
      <c r="B33" s="12" t="s">
        <v>2917</v>
      </c>
      <c r="C33" s="15" t="s">
        <v>4730</v>
      </c>
      <c r="D33" s="15" t="s">
        <v>990</v>
      </c>
      <c r="E33" s="46" t="s">
        <v>4795</v>
      </c>
      <c r="F33" s="46" t="s">
        <v>4796</v>
      </c>
      <c r="G33" s="15" t="s">
        <v>978</v>
      </c>
      <c r="H33" s="12" t="s">
        <v>2921</v>
      </c>
      <c r="I33" s="46"/>
    </row>
    <row r="34" customFormat="false" ht="27.75" hidden="false" customHeight="true" outlineLevel="0" collapsed="false">
      <c r="A34" s="12" t="s">
        <v>2921</v>
      </c>
      <c r="B34" s="12" t="s">
        <v>2923</v>
      </c>
      <c r="C34" s="15" t="s">
        <v>4747</v>
      </c>
      <c r="D34" s="15" t="s">
        <v>990</v>
      </c>
      <c r="E34" s="46" t="s">
        <v>4797</v>
      </c>
      <c r="F34" s="46" t="s">
        <v>4798</v>
      </c>
      <c r="G34" s="15" t="s">
        <v>990</v>
      </c>
      <c r="H34" s="12" t="s">
        <v>2926</v>
      </c>
      <c r="I34" s="46" t="s">
        <v>4799</v>
      </c>
    </row>
    <row r="35" customFormat="false" ht="27.75" hidden="false" customHeight="true" outlineLevel="0" collapsed="false">
      <c r="A35" s="12" t="s">
        <v>2928</v>
      </c>
      <c r="B35" s="12" t="s">
        <v>2929</v>
      </c>
      <c r="C35" s="15" t="s">
        <v>3182</v>
      </c>
      <c r="D35" s="15" t="s">
        <v>990</v>
      </c>
      <c r="E35" s="46" t="s">
        <v>4800</v>
      </c>
      <c r="F35" s="46" t="s">
        <v>4622</v>
      </c>
      <c r="G35" s="15" t="s">
        <v>978</v>
      </c>
      <c r="H35" s="12" t="s">
        <v>2932</v>
      </c>
      <c r="I35" s="46"/>
    </row>
    <row r="36" customFormat="false" ht="27.75" hidden="false" customHeight="true" outlineLevel="0" collapsed="false">
      <c r="A36" s="12" t="s">
        <v>2933</v>
      </c>
      <c r="B36" s="12" t="s">
        <v>2934</v>
      </c>
      <c r="C36" s="15" t="s">
        <v>4801</v>
      </c>
      <c r="D36" s="15" t="s">
        <v>990</v>
      </c>
      <c r="E36" s="46" t="s">
        <v>4802</v>
      </c>
      <c r="F36" s="46" t="s">
        <v>4622</v>
      </c>
      <c r="G36" s="15" t="s">
        <v>978</v>
      </c>
      <c r="H36" s="12" t="s">
        <v>2928</v>
      </c>
      <c r="I36" s="46" t="s">
        <v>4803</v>
      </c>
    </row>
    <row r="37" customFormat="false" ht="27.75" hidden="false" customHeight="true" outlineLevel="0" collapsed="false">
      <c r="A37" s="12" t="s">
        <v>2937</v>
      </c>
      <c r="B37" s="12" t="s">
        <v>2938</v>
      </c>
      <c r="C37" s="15" t="s">
        <v>4747</v>
      </c>
      <c r="D37" s="15" t="s">
        <v>990</v>
      </c>
      <c r="E37" s="46" t="s">
        <v>4804</v>
      </c>
      <c r="F37" s="46" t="s">
        <v>4805</v>
      </c>
      <c r="G37" s="15" t="s">
        <v>990</v>
      </c>
      <c r="H37" s="12" t="s">
        <v>2941</v>
      </c>
      <c r="I37" s="46"/>
    </row>
    <row r="38" customFormat="false" ht="27.75" hidden="false" customHeight="true" outlineLevel="0" collapsed="false">
      <c r="A38" s="12" t="s">
        <v>2942</v>
      </c>
      <c r="B38" s="12" t="s">
        <v>2943</v>
      </c>
      <c r="C38" s="15" t="s">
        <v>4781</v>
      </c>
      <c r="D38" s="15" t="s">
        <v>990</v>
      </c>
      <c r="E38" s="46" t="s">
        <v>4806</v>
      </c>
      <c r="F38" s="46" t="s">
        <v>4807</v>
      </c>
      <c r="G38" s="15" t="s">
        <v>978</v>
      </c>
      <c r="H38" s="12" t="s">
        <v>2883</v>
      </c>
      <c r="I38" s="46"/>
    </row>
    <row r="39" customFormat="false" ht="27.75" hidden="false" customHeight="true" outlineLevel="0" collapsed="false">
      <c r="A39" s="12" t="s">
        <v>2946</v>
      </c>
      <c r="B39" s="12" t="s">
        <v>2947</v>
      </c>
      <c r="C39" s="15" t="s">
        <v>4730</v>
      </c>
      <c r="D39" s="15" t="s">
        <v>990</v>
      </c>
      <c r="E39" s="46" t="s">
        <v>4808</v>
      </c>
      <c r="F39" s="46" t="s">
        <v>4809</v>
      </c>
      <c r="G39" s="15" t="s">
        <v>990</v>
      </c>
      <c r="H39" s="12" t="s">
        <v>2950</v>
      </c>
      <c r="I39" s="46"/>
    </row>
    <row r="40" customFormat="false" ht="27.75" hidden="false" customHeight="true" outlineLevel="0" collapsed="false">
      <c r="A40" s="12" t="s">
        <v>2950</v>
      </c>
      <c r="B40" s="12" t="s">
        <v>2952</v>
      </c>
      <c r="C40" s="15" t="s">
        <v>3182</v>
      </c>
      <c r="D40" s="15" t="s">
        <v>990</v>
      </c>
      <c r="E40" s="46" t="s">
        <v>4810</v>
      </c>
      <c r="F40" s="46" t="s">
        <v>4622</v>
      </c>
      <c r="G40" s="15" t="s">
        <v>978</v>
      </c>
      <c r="H40" s="12" t="s">
        <v>4811</v>
      </c>
      <c r="I40" s="46"/>
    </row>
    <row r="41" customFormat="false" ht="27.75" hidden="false" customHeight="true" outlineLevel="0" collapsed="false">
      <c r="A41" s="12" t="s">
        <v>2955</v>
      </c>
      <c r="B41" s="12" t="s">
        <v>2957</v>
      </c>
      <c r="C41" s="15" t="s">
        <v>3182</v>
      </c>
      <c r="D41" s="15" t="s">
        <v>990</v>
      </c>
      <c r="E41" s="46" t="s">
        <v>4812</v>
      </c>
      <c r="F41" s="46" t="s">
        <v>4622</v>
      </c>
      <c r="G41" s="15" t="s">
        <v>990</v>
      </c>
      <c r="H41" s="12" t="s">
        <v>2950</v>
      </c>
      <c r="I41" s="46"/>
    </row>
    <row r="42" customFormat="false" ht="27.75" hidden="false" customHeight="true" outlineLevel="0" collapsed="false">
      <c r="A42" s="12" t="s">
        <v>2960</v>
      </c>
      <c r="B42" s="12" t="s">
        <v>2961</v>
      </c>
      <c r="C42" s="15" t="s">
        <v>3182</v>
      </c>
      <c r="D42" s="15" t="s">
        <v>990</v>
      </c>
      <c r="E42" s="46" t="s">
        <v>4813</v>
      </c>
      <c r="F42" s="46" t="s">
        <v>4622</v>
      </c>
      <c r="G42" s="15" t="s">
        <v>990</v>
      </c>
      <c r="H42" s="12" t="s">
        <v>2785</v>
      </c>
      <c r="I42" s="46"/>
    </row>
    <row r="43" customFormat="false" ht="27.75" hidden="false" customHeight="true" outlineLevel="0" collapsed="false">
      <c r="A43" s="12" t="s">
        <v>2964</v>
      </c>
      <c r="B43" s="12" t="s">
        <v>2965</v>
      </c>
      <c r="C43" s="15" t="s">
        <v>4762</v>
      </c>
      <c r="D43" s="15" t="s">
        <v>990</v>
      </c>
      <c r="E43" s="46" t="s">
        <v>4814</v>
      </c>
      <c r="F43" s="46" t="s">
        <v>4815</v>
      </c>
      <c r="G43" s="15" t="s">
        <v>978</v>
      </c>
      <c r="H43" s="12" t="s">
        <v>2968</v>
      </c>
      <c r="I43" s="46"/>
    </row>
    <row r="44" customFormat="false" ht="27.75" hidden="false" customHeight="true" outlineLevel="0" collapsed="false">
      <c r="A44" s="12" t="s">
        <v>2970</v>
      </c>
      <c r="B44" s="12" t="s">
        <v>2971</v>
      </c>
      <c r="C44" s="15" t="s">
        <v>4739</v>
      </c>
      <c r="D44" s="15" t="s">
        <v>978</v>
      </c>
      <c r="E44" s="46" t="s">
        <v>4816</v>
      </c>
      <c r="F44" s="46" t="s">
        <v>4817</v>
      </c>
      <c r="G44" s="15" t="s">
        <v>990</v>
      </c>
      <c r="H44" s="12" t="s">
        <v>2975</v>
      </c>
      <c r="I44" s="46" t="s">
        <v>4818</v>
      </c>
    </row>
    <row r="45" customFormat="false" ht="27.75" hidden="false" customHeight="true" outlineLevel="0" collapsed="false">
      <c r="A45" s="12" t="s">
        <v>2976</v>
      </c>
      <c r="B45" s="12" t="s">
        <v>2977</v>
      </c>
      <c r="C45" s="15" t="s">
        <v>4781</v>
      </c>
      <c r="D45" s="15" t="s">
        <v>990</v>
      </c>
      <c r="E45" s="46" t="s">
        <v>4819</v>
      </c>
      <c r="F45" s="46" t="s">
        <v>4820</v>
      </c>
      <c r="G45" s="15" t="s">
        <v>978</v>
      </c>
      <c r="H45" s="12" t="s">
        <v>2883</v>
      </c>
      <c r="I45" s="46"/>
    </row>
    <row r="46" customFormat="false" ht="27.75" hidden="false" customHeight="true" outlineLevel="0" collapsed="false">
      <c r="A46" s="12" t="s">
        <v>2981</v>
      </c>
      <c r="B46" s="12" t="s">
        <v>2982</v>
      </c>
      <c r="C46" s="15" t="s">
        <v>4730</v>
      </c>
      <c r="D46" s="15" t="s">
        <v>990</v>
      </c>
      <c r="E46" s="46" t="s">
        <v>4821</v>
      </c>
      <c r="F46" s="46" t="s">
        <v>4822</v>
      </c>
      <c r="G46" s="15" t="s">
        <v>978</v>
      </c>
      <c r="H46" s="12" t="s">
        <v>2985</v>
      </c>
      <c r="I46" s="46"/>
    </row>
    <row r="47" customFormat="false" ht="27.75" hidden="false" customHeight="true" outlineLevel="0" collapsed="false">
      <c r="A47" s="12" t="s">
        <v>2987</v>
      </c>
      <c r="B47" s="12" t="s">
        <v>2988</v>
      </c>
      <c r="C47" s="15" t="s">
        <v>4747</v>
      </c>
      <c r="D47" s="15" t="s">
        <v>990</v>
      </c>
      <c r="E47" s="46" t="s">
        <v>4823</v>
      </c>
      <c r="F47" s="46" t="s">
        <v>4824</v>
      </c>
      <c r="G47" s="15" t="s">
        <v>990</v>
      </c>
      <c r="H47" s="12" t="s">
        <v>2842</v>
      </c>
      <c r="I47" s="46"/>
    </row>
    <row r="48" customFormat="false" ht="27.75" hidden="false" customHeight="true" outlineLevel="0" collapsed="false">
      <c r="A48" s="12" t="s">
        <v>2992</v>
      </c>
      <c r="B48" s="12" t="s">
        <v>2993</v>
      </c>
      <c r="C48" s="15" t="s">
        <v>4747</v>
      </c>
      <c r="D48" s="15" t="s">
        <v>990</v>
      </c>
      <c r="E48" s="46" t="s">
        <v>4825</v>
      </c>
      <c r="F48" s="46" t="s">
        <v>4749</v>
      </c>
      <c r="G48" s="15" t="s">
        <v>990</v>
      </c>
      <c r="H48" s="12" t="s">
        <v>2996</v>
      </c>
      <c r="I48" s="46"/>
    </row>
    <row r="49" customFormat="false" ht="27.75" hidden="false" customHeight="true" outlineLevel="0" collapsed="false">
      <c r="A49" s="12" t="s">
        <v>2997</v>
      </c>
      <c r="B49" s="12" t="s">
        <v>2998</v>
      </c>
      <c r="C49" s="15" t="s">
        <v>4747</v>
      </c>
      <c r="D49" s="15" t="s">
        <v>990</v>
      </c>
      <c r="E49" s="46" t="s">
        <v>4826</v>
      </c>
      <c r="F49" s="46" t="s">
        <v>4827</v>
      </c>
      <c r="G49" s="15" t="s">
        <v>990</v>
      </c>
      <c r="H49" s="12" t="s">
        <v>2941</v>
      </c>
      <c r="I49" s="46"/>
    </row>
    <row r="50" customFormat="false" ht="27.75" hidden="false" customHeight="true" outlineLevel="0" collapsed="false">
      <c r="A50" s="12" t="s">
        <v>3001</v>
      </c>
      <c r="B50" s="12" t="s">
        <v>3002</v>
      </c>
      <c r="C50" s="15" t="s">
        <v>3198</v>
      </c>
      <c r="D50" s="15" t="s">
        <v>990</v>
      </c>
      <c r="E50" s="46" t="s">
        <v>4828</v>
      </c>
      <c r="F50" s="46" t="s">
        <v>4829</v>
      </c>
      <c r="G50" s="15" t="s">
        <v>978</v>
      </c>
      <c r="H50" s="12" t="s">
        <v>3005</v>
      </c>
      <c r="I50" s="46"/>
    </row>
    <row r="51" customFormat="false" ht="27.75" hidden="false" customHeight="true" outlineLevel="0" collapsed="false">
      <c r="A51" s="12" t="s">
        <v>3007</v>
      </c>
      <c r="B51" s="12" t="s">
        <v>3008</v>
      </c>
      <c r="C51" s="15" t="s">
        <v>4730</v>
      </c>
      <c r="D51" s="15" t="s">
        <v>990</v>
      </c>
      <c r="E51" s="46" t="s">
        <v>4830</v>
      </c>
      <c r="F51" s="46" t="s">
        <v>4824</v>
      </c>
      <c r="G51" s="15" t="s">
        <v>990</v>
      </c>
      <c r="H51" s="12" t="s">
        <v>3013</v>
      </c>
      <c r="I51" s="46"/>
    </row>
    <row r="52" customFormat="false" ht="27.75" hidden="false" customHeight="true" outlineLevel="0" collapsed="false">
      <c r="A52" s="12" t="s">
        <v>3014</v>
      </c>
      <c r="B52" s="12" t="s">
        <v>3015</v>
      </c>
      <c r="C52" s="15" t="s">
        <v>4786</v>
      </c>
      <c r="D52" s="15" t="s">
        <v>990</v>
      </c>
      <c r="E52" s="46" t="s">
        <v>4831</v>
      </c>
      <c r="F52" s="46" t="s">
        <v>4622</v>
      </c>
      <c r="G52" s="15" t="s">
        <v>978</v>
      </c>
      <c r="H52" s="12" t="s">
        <v>2985</v>
      </c>
      <c r="I52" s="46"/>
    </row>
    <row r="53" customFormat="false" ht="27.75" hidden="false" customHeight="true" outlineLevel="0" collapsed="false">
      <c r="A53" s="12" t="s">
        <v>3018</v>
      </c>
      <c r="B53" s="12" t="s">
        <v>3019</v>
      </c>
      <c r="C53" s="15" t="s">
        <v>4747</v>
      </c>
      <c r="D53" s="15" t="s">
        <v>990</v>
      </c>
      <c r="E53" s="46" t="s">
        <v>4832</v>
      </c>
      <c r="F53" s="46" t="s">
        <v>4833</v>
      </c>
      <c r="G53" s="15" t="s">
        <v>990</v>
      </c>
      <c r="H53" s="12" t="s">
        <v>3022</v>
      </c>
      <c r="I53" s="46"/>
    </row>
    <row r="54" customFormat="false" ht="27.75" hidden="false" customHeight="true" outlineLevel="0" collapsed="false">
      <c r="A54" s="12" t="s">
        <v>3023</v>
      </c>
      <c r="B54" s="12" t="s">
        <v>3024</v>
      </c>
      <c r="C54" s="15" t="s">
        <v>4747</v>
      </c>
      <c r="D54" s="15" t="s">
        <v>990</v>
      </c>
      <c r="E54" s="46" t="s">
        <v>4834</v>
      </c>
      <c r="F54" s="46" t="s">
        <v>4835</v>
      </c>
      <c r="G54" s="15" t="s">
        <v>990</v>
      </c>
      <c r="H54" s="12" t="s">
        <v>3027</v>
      </c>
      <c r="I54" s="46" t="s">
        <v>4836</v>
      </c>
    </row>
    <row r="55" customFormat="false" ht="27.75" hidden="false" customHeight="true" outlineLevel="0" collapsed="false">
      <c r="A55" s="12" t="s">
        <v>3028</v>
      </c>
      <c r="B55" s="12" t="s">
        <v>3029</v>
      </c>
      <c r="C55" s="15" t="s">
        <v>4762</v>
      </c>
      <c r="D55" s="15" t="s">
        <v>990</v>
      </c>
      <c r="E55" s="46" t="s">
        <v>4837</v>
      </c>
      <c r="F55" s="46" t="s">
        <v>4624</v>
      </c>
      <c r="G55" s="15" t="s">
        <v>978</v>
      </c>
      <c r="H55" s="12" t="s">
        <v>3032</v>
      </c>
      <c r="I55" s="46"/>
    </row>
    <row r="56" customFormat="false" ht="27.75" hidden="false" customHeight="true" outlineLevel="0" collapsed="false">
      <c r="A56" s="12" t="s">
        <v>3033</v>
      </c>
      <c r="B56" s="12" t="s">
        <v>3034</v>
      </c>
      <c r="C56" s="15" t="s">
        <v>4781</v>
      </c>
      <c r="D56" s="15" t="s">
        <v>990</v>
      </c>
      <c r="E56" s="46" t="s">
        <v>4838</v>
      </c>
      <c r="F56" s="46" t="s">
        <v>4839</v>
      </c>
      <c r="G56" s="15" t="s">
        <v>978</v>
      </c>
      <c r="H56" s="12" t="s">
        <v>3038</v>
      </c>
      <c r="I56" s="46"/>
    </row>
    <row r="57" customFormat="false" ht="27.75" hidden="false" customHeight="true" outlineLevel="0" collapsed="false">
      <c r="A57" s="12" t="s">
        <v>3040</v>
      </c>
      <c r="B57" s="12" t="s">
        <v>3041</v>
      </c>
      <c r="C57" s="15" t="s">
        <v>4781</v>
      </c>
      <c r="D57" s="15" t="s">
        <v>990</v>
      </c>
      <c r="E57" s="46" t="s">
        <v>4840</v>
      </c>
      <c r="F57" s="46" t="s">
        <v>4841</v>
      </c>
      <c r="G57" s="15" t="s">
        <v>978</v>
      </c>
      <c r="H57" s="12" t="s">
        <v>3033</v>
      </c>
      <c r="I57" s="46"/>
    </row>
    <row r="58" customFormat="false" ht="27.75" hidden="false" customHeight="true" outlineLevel="0" collapsed="false">
      <c r="A58" s="12" t="s">
        <v>3044</v>
      </c>
      <c r="B58" s="12" t="s">
        <v>3045</v>
      </c>
      <c r="C58" s="15" t="s">
        <v>4781</v>
      </c>
      <c r="D58" s="15" t="s">
        <v>990</v>
      </c>
      <c r="E58" s="46" t="s">
        <v>4842</v>
      </c>
      <c r="F58" s="46" t="s">
        <v>4843</v>
      </c>
      <c r="G58" s="15" t="s">
        <v>978</v>
      </c>
      <c r="H58" s="12" t="s">
        <v>3033</v>
      </c>
      <c r="I58" s="46"/>
    </row>
    <row r="59" customFormat="false" ht="27.75" hidden="false" customHeight="true" outlineLevel="0" collapsed="false">
      <c r="A59" s="12" t="s">
        <v>3049</v>
      </c>
      <c r="B59" s="12" t="s">
        <v>3050</v>
      </c>
      <c r="C59" s="15" t="s">
        <v>4747</v>
      </c>
      <c r="D59" s="15" t="s">
        <v>990</v>
      </c>
      <c r="E59" s="46" t="s">
        <v>4844</v>
      </c>
      <c r="F59" s="46" t="s">
        <v>4845</v>
      </c>
      <c r="G59" s="15" t="s">
        <v>990</v>
      </c>
      <c r="H59" s="12" t="s">
        <v>3053</v>
      </c>
      <c r="I59" s="46"/>
    </row>
    <row r="60" customFormat="false" ht="27.75" hidden="false" customHeight="true" outlineLevel="0" collapsed="false">
      <c r="A60" s="12" t="s">
        <v>3055</v>
      </c>
      <c r="B60" s="12" t="s">
        <v>3056</v>
      </c>
      <c r="C60" s="15" t="s">
        <v>4781</v>
      </c>
      <c r="D60" s="15" t="s">
        <v>990</v>
      </c>
      <c r="E60" s="46" t="s">
        <v>4846</v>
      </c>
      <c r="F60" s="46" t="s">
        <v>4847</v>
      </c>
      <c r="G60" s="15" t="s">
        <v>978</v>
      </c>
      <c r="H60" s="12" t="s">
        <v>3059</v>
      </c>
      <c r="I60" s="46" t="s">
        <v>4848</v>
      </c>
    </row>
    <row r="61" customFormat="false" ht="27.75" hidden="false" customHeight="true" outlineLevel="0" collapsed="false">
      <c r="A61" s="12" t="s">
        <v>3060</v>
      </c>
      <c r="B61" s="12" t="s">
        <v>3061</v>
      </c>
      <c r="C61" s="15" t="s">
        <v>4739</v>
      </c>
      <c r="D61" s="15" t="s">
        <v>978</v>
      </c>
      <c r="E61" s="46" t="s">
        <v>4849</v>
      </c>
      <c r="F61" s="46" t="s">
        <v>4850</v>
      </c>
      <c r="G61" s="15" t="s">
        <v>990</v>
      </c>
      <c r="H61" s="12" t="s">
        <v>3064</v>
      </c>
      <c r="I61" s="46" t="s">
        <v>4851</v>
      </c>
    </row>
    <row r="62" customFormat="false" ht="27.75" hidden="false" customHeight="true" outlineLevel="0" collapsed="false">
      <c r="A62" s="12" t="s">
        <v>3065</v>
      </c>
      <c r="B62" s="12" t="s">
        <v>3066</v>
      </c>
      <c r="C62" s="15" t="s">
        <v>4762</v>
      </c>
      <c r="D62" s="15" t="s">
        <v>990</v>
      </c>
      <c r="E62" s="46" t="s">
        <v>4852</v>
      </c>
      <c r="F62" s="46" t="s">
        <v>4853</v>
      </c>
      <c r="G62" s="15" t="s">
        <v>978</v>
      </c>
      <c r="H62" s="12" t="s">
        <v>2763</v>
      </c>
      <c r="I62" s="46"/>
    </row>
    <row r="63" customFormat="false" ht="27.75" hidden="false" customHeight="true" outlineLevel="0" collapsed="false">
      <c r="A63" s="12" t="s">
        <v>3069</v>
      </c>
      <c r="B63" s="12" t="s">
        <v>3070</v>
      </c>
      <c r="C63" s="15" t="s">
        <v>4747</v>
      </c>
      <c r="D63" s="15" t="s">
        <v>990</v>
      </c>
      <c r="E63" s="46" t="s">
        <v>4854</v>
      </c>
      <c r="F63" s="46" t="s">
        <v>4855</v>
      </c>
      <c r="G63" s="15" t="s">
        <v>990</v>
      </c>
      <c r="H63" s="12" t="s">
        <v>3055</v>
      </c>
      <c r="I63" s="46"/>
    </row>
    <row r="64" customFormat="false" ht="27.75" hidden="false" customHeight="true" outlineLevel="0" collapsed="false">
      <c r="A64" s="12" t="s">
        <v>3073</v>
      </c>
      <c r="B64" s="12" t="s">
        <v>3074</v>
      </c>
      <c r="C64" s="15" t="s">
        <v>4754</v>
      </c>
      <c r="D64" s="15" t="s">
        <v>990</v>
      </c>
      <c r="E64" s="46" t="s">
        <v>4856</v>
      </c>
      <c r="F64" s="46" t="s">
        <v>4622</v>
      </c>
      <c r="G64" s="15" t="s">
        <v>978</v>
      </c>
      <c r="H64" s="12" t="s">
        <v>3055</v>
      </c>
      <c r="I64" s="46"/>
    </row>
    <row r="65" customFormat="false" ht="27.75" hidden="false" customHeight="true" outlineLevel="0" collapsed="false">
      <c r="A65" s="12" t="s">
        <v>3077</v>
      </c>
      <c r="B65" s="12" t="s">
        <v>3078</v>
      </c>
      <c r="C65" s="15" t="s">
        <v>3198</v>
      </c>
      <c r="D65" s="15" t="s">
        <v>990</v>
      </c>
      <c r="E65" s="46" t="s">
        <v>4857</v>
      </c>
      <c r="F65" s="46" t="s">
        <v>4858</v>
      </c>
      <c r="G65" s="15" t="s">
        <v>978</v>
      </c>
      <c r="H65" s="12" t="s">
        <v>3081</v>
      </c>
      <c r="I65" s="46" t="s">
        <v>4859</v>
      </c>
    </row>
    <row r="66" customFormat="false" ht="27.75" hidden="false" customHeight="true" outlineLevel="0" collapsed="false">
      <c r="A66" s="12" t="s">
        <v>3082</v>
      </c>
      <c r="B66" s="12" t="s">
        <v>3083</v>
      </c>
      <c r="C66" s="15" t="s">
        <v>4762</v>
      </c>
      <c r="D66" s="15" t="s">
        <v>990</v>
      </c>
      <c r="E66" s="46" t="s">
        <v>4860</v>
      </c>
      <c r="F66" s="46" t="s">
        <v>4861</v>
      </c>
      <c r="G66" s="15" t="s">
        <v>990</v>
      </c>
      <c r="H66" s="12" t="s">
        <v>2950</v>
      </c>
      <c r="I66" s="46"/>
    </row>
    <row r="67" customFormat="false" ht="27.75" hidden="false" customHeight="true" outlineLevel="0" collapsed="false">
      <c r="A67" s="12" t="s">
        <v>3087</v>
      </c>
      <c r="B67" s="12" t="s">
        <v>3088</v>
      </c>
      <c r="C67" s="15" t="s">
        <v>4781</v>
      </c>
      <c r="D67" s="15" t="s">
        <v>990</v>
      </c>
      <c r="E67" s="46" t="s">
        <v>4862</v>
      </c>
      <c r="F67" s="46" t="s">
        <v>4863</v>
      </c>
      <c r="G67" s="15" t="s">
        <v>978</v>
      </c>
      <c r="H67" s="12" t="s">
        <v>2883</v>
      </c>
      <c r="I67" s="46" t="s">
        <v>4784</v>
      </c>
    </row>
    <row r="68" customFormat="false" ht="27.75" hidden="false" customHeight="true" outlineLevel="0" collapsed="false">
      <c r="A68" s="12" t="s">
        <v>3092</v>
      </c>
      <c r="B68" s="12" t="s">
        <v>3093</v>
      </c>
      <c r="C68" s="15" t="s">
        <v>4781</v>
      </c>
      <c r="D68" s="15" t="s">
        <v>990</v>
      </c>
      <c r="E68" s="46" t="s">
        <v>4864</v>
      </c>
      <c r="F68" s="46" t="s">
        <v>4865</v>
      </c>
      <c r="G68" s="15" t="s">
        <v>978</v>
      </c>
      <c r="H68" s="12" t="s">
        <v>3096</v>
      </c>
      <c r="I68" s="46"/>
    </row>
    <row r="69" customFormat="false" ht="27.75" hidden="false" customHeight="true" outlineLevel="0" collapsed="false">
      <c r="A69" s="12" t="s">
        <v>3097</v>
      </c>
      <c r="B69" s="12" t="s">
        <v>3098</v>
      </c>
      <c r="C69" s="15" t="s">
        <v>4786</v>
      </c>
      <c r="D69" s="15" t="s">
        <v>990</v>
      </c>
      <c r="E69" s="46" t="s">
        <v>4866</v>
      </c>
      <c r="F69" s="46" t="s">
        <v>4622</v>
      </c>
      <c r="G69" s="15" t="s">
        <v>978</v>
      </c>
      <c r="H69" s="12" t="s">
        <v>3101</v>
      </c>
      <c r="I69" s="46"/>
    </row>
    <row r="70" customFormat="false" ht="27.75" hidden="false" customHeight="true" outlineLevel="0" collapsed="false">
      <c r="A70" s="12" t="s">
        <v>3102</v>
      </c>
      <c r="B70" s="12" t="s">
        <v>3103</v>
      </c>
      <c r="C70" s="15" t="s">
        <v>4747</v>
      </c>
      <c r="D70" s="15" t="s">
        <v>990</v>
      </c>
      <c r="E70" s="46" t="s">
        <v>4867</v>
      </c>
      <c r="F70" s="46" t="s">
        <v>4868</v>
      </c>
      <c r="G70" s="15" t="s">
        <v>990</v>
      </c>
      <c r="H70" s="12" t="s">
        <v>3106</v>
      </c>
      <c r="I70" s="46"/>
    </row>
    <row r="71" customFormat="false" ht="27.75" hidden="false" customHeight="true" outlineLevel="0" collapsed="false">
      <c r="A71" s="12" t="s">
        <v>3107</v>
      </c>
      <c r="B71" s="12" t="s">
        <v>3108</v>
      </c>
      <c r="C71" s="15" t="s">
        <v>4747</v>
      </c>
      <c r="D71" s="15" t="s">
        <v>990</v>
      </c>
      <c r="E71" s="46" t="s">
        <v>4869</v>
      </c>
      <c r="F71" s="46" t="s">
        <v>4870</v>
      </c>
      <c r="G71" s="15" t="s">
        <v>990</v>
      </c>
      <c r="H71" s="12" t="s">
        <v>3111</v>
      </c>
      <c r="I71" s="46" t="s">
        <v>4871</v>
      </c>
    </row>
    <row r="72" customFormat="false" ht="27.75" hidden="false" customHeight="true" outlineLevel="0" collapsed="false">
      <c r="A72" s="12" t="s">
        <v>3112</v>
      </c>
      <c r="B72" s="12" t="s">
        <v>3113</v>
      </c>
      <c r="C72" s="15" t="s">
        <v>4762</v>
      </c>
      <c r="D72" s="15" t="s">
        <v>990</v>
      </c>
      <c r="E72" s="46" t="s">
        <v>4872</v>
      </c>
      <c r="F72" s="46" t="s">
        <v>4696</v>
      </c>
      <c r="G72" s="15" t="s">
        <v>978</v>
      </c>
      <c r="H72" s="12" t="s">
        <v>3116</v>
      </c>
      <c r="I72" s="46"/>
    </row>
    <row r="73" customFormat="false" ht="27.75" hidden="false" customHeight="true" outlineLevel="0" collapsed="false">
      <c r="A73" s="12" t="s">
        <v>3117</v>
      </c>
      <c r="B73" s="12" t="s">
        <v>3118</v>
      </c>
      <c r="C73" s="15" t="s">
        <v>4747</v>
      </c>
      <c r="D73" s="15" t="s">
        <v>990</v>
      </c>
      <c r="E73" s="46" t="s">
        <v>4873</v>
      </c>
      <c r="F73" s="46" t="s">
        <v>4874</v>
      </c>
      <c r="G73" s="15" t="s">
        <v>990</v>
      </c>
      <c r="H73" s="12" t="s">
        <v>3121</v>
      </c>
      <c r="I73" s="46"/>
    </row>
    <row r="74" customFormat="false" ht="27.75" hidden="false" customHeight="true" outlineLevel="0" collapsed="false">
      <c r="A74" s="12" t="s">
        <v>3122</v>
      </c>
      <c r="B74" s="12" t="s">
        <v>3123</v>
      </c>
      <c r="C74" s="15" t="s">
        <v>3198</v>
      </c>
      <c r="D74" s="15" t="s">
        <v>990</v>
      </c>
      <c r="E74" s="46" t="s">
        <v>4875</v>
      </c>
      <c r="F74" s="46" t="s">
        <v>4702</v>
      </c>
      <c r="G74" s="15" t="s">
        <v>978</v>
      </c>
      <c r="H74" s="12" t="s">
        <v>3126</v>
      </c>
      <c r="I74" s="46" t="s">
        <v>4876</v>
      </c>
    </row>
    <row r="75" customFormat="false" ht="27.75" hidden="false" customHeight="true" outlineLevel="0" collapsed="false">
      <c r="A75" s="12" t="s">
        <v>3128</v>
      </c>
      <c r="B75" s="12" t="s">
        <v>3129</v>
      </c>
      <c r="C75" s="15" t="s">
        <v>4781</v>
      </c>
      <c r="D75" s="15" t="s">
        <v>990</v>
      </c>
      <c r="E75" s="46" t="s">
        <v>4877</v>
      </c>
      <c r="F75" s="46" t="s">
        <v>4878</v>
      </c>
      <c r="G75" s="15" t="s">
        <v>990</v>
      </c>
      <c r="H75" s="12" t="s">
        <v>3132</v>
      </c>
      <c r="I75" s="46"/>
    </row>
    <row r="76" customFormat="false" ht="27.75" hidden="false" customHeight="true" outlineLevel="0" collapsed="false">
      <c r="A76" s="12" t="s">
        <v>3132</v>
      </c>
      <c r="B76" s="12" t="s">
        <v>3133</v>
      </c>
      <c r="C76" s="15" t="s">
        <v>4781</v>
      </c>
      <c r="D76" s="15" t="s">
        <v>990</v>
      </c>
      <c r="E76" s="46" t="s">
        <v>4879</v>
      </c>
      <c r="F76" s="46" t="s">
        <v>4880</v>
      </c>
      <c r="G76" s="15" t="s">
        <v>978</v>
      </c>
      <c r="H76" s="12" t="s">
        <v>3136</v>
      </c>
      <c r="I76" s="46"/>
    </row>
    <row r="77" customFormat="false" ht="27.75" hidden="false" customHeight="true" outlineLevel="0" collapsed="false">
      <c r="A77" s="12" t="s">
        <v>3137</v>
      </c>
      <c r="B77" s="12" t="s">
        <v>3138</v>
      </c>
      <c r="C77" s="15" t="s">
        <v>4881</v>
      </c>
      <c r="D77" s="15" t="s">
        <v>990</v>
      </c>
      <c r="E77" s="46" t="s">
        <v>4882</v>
      </c>
      <c r="F77" s="46" t="s">
        <v>4622</v>
      </c>
      <c r="G77" s="15" t="s">
        <v>978</v>
      </c>
      <c r="H77" s="12" t="s">
        <v>3132</v>
      </c>
      <c r="I77" s="46" t="s">
        <v>4883</v>
      </c>
    </row>
    <row r="78" customFormat="false" ht="27.75" hidden="false" customHeight="true" outlineLevel="0" collapsed="false">
      <c r="A78" s="12" t="s">
        <v>3141</v>
      </c>
      <c r="B78" s="12" t="s">
        <v>3142</v>
      </c>
      <c r="C78" s="15" t="s">
        <v>4781</v>
      </c>
      <c r="D78" s="15" t="s">
        <v>990</v>
      </c>
      <c r="E78" s="46" t="s">
        <v>4884</v>
      </c>
      <c r="F78" s="46" t="s">
        <v>4885</v>
      </c>
      <c r="G78" s="15" t="s">
        <v>978</v>
      </c>
      <c r="H78" s="12" t="s">
        <v>3132</v>
      </c>
      <c r="I78" s="46"/>
    </row>
    <row r="79" customFormat="false" ht="27.75" hidden="false" customHeight="true" outlineLevel="0" collapsed="false">
      <c r="A79" s="12" t="s">
        <v>3146</v>
      </c>
      <c r="B79" s="12" t="s">
        <v>3147</v>
      </c>
      <c r="C79" s="15" t="s">
        <v>4781</v>
      </c>
      <c r="D79" s="15" t="s">
        <v>990</v>
      </c>
      <c r="E79" s="46" t="s">
        <v>4886</v>
      </c>
      <c r="F79" s="46" t="s">
        <v>4887</v>
      </c>
      <c r="G79" s="15" t="s">
        <v>978</v>
      </c>
      <c r="H79" s="12" t="s">
        <v>2883</v>
      </c>
      <c r="I79" s="46"/>
    </row>
    <row r="80" customFormat="false" ht="27.75" hidden="false" customHeight="true" outlineLevel="0" collapsed="false">
      <c r="A80" s="12" t="s">
        <v>3150</v>
      </c>
      <c r="B80" s="12" t="s">
        <v>3151</v>
      </c>
      <c r="C80" s="15" t="s">
        <v>4786</v>
      </c>
      <c r="D80" s="15" t="s">
        <v>990</v>
      </c>
      <c r="E80" s="46" t="s">
        <v>4888</v>
      </c>
      <c r="F80" s="46" t="s">
        <v>4622</v>
      </c>
      <c r="G80" s="15" t="s">
        <v>978</v>
      </c>
      <c r="H80" s="12" t="s">
        <v>3154</v>
      </c>
      <c r="I80" s="46"/>
    </row>
    <row r="81" customFormat="false" ht="27.75" hidden="false" customHeight="true" outlineLevel="0" collapsed="false">
      <c r="A81" s="12" t="s">
        <v>3155</v>
      </c>
      <c r="B81" s="12" t="s">
        <v>3156</v>
      </c>
      <c r="C81" s="15" t="s">
        <v>4747</v>
      </c>
      <c r="D81" s="15" t="s">
        <v>990</v>
      </c>
      <c r="E81" s="46" t="s">
        <v>4889</v>
      </c>
      <c r="F81" s="46" t="s">
        <v>4719</v>
      </c>
      <c r="G81" s="15" t="s">
        <v>990</v>
      </c>
      <c r="H81" s="12" t="s">
        <v>3159</v>
      </c>
      <c r="I81" s="46"/>
    </row>
    <row r="82" customFormat="false" ht="27.75" hidden="false" customHeight="true" outlineLevel="0" collapsed="false">
      <c r="A82" s="12" t="s">
        <v>3160</v>
      </c>
      <c r="B82" s="12" t="s">
        <v>3161</v>
      </c>
      <c r="C82" s="15" t="s">
        <v>4747</v>
      </c>
      <c r="D82" s="15" t="s">
        <v>990</v>
      </c>
      <c r="E82" s="46" t="s">
        <v>4890</v>
      </c>
      <c r="F82" s="46" t="s">
        <v>4891</v>
      </c>
      <c r="G82" s="15" t="s">
        <v>990</v>
      </c>
      <c r="H82" s="12" t="s">
        <v>3164</v>
      </c>
      <c r="I82" s="46"/>
    </row>
    <row r="83" customFormat="false" ht="27.75" hidden="false" customHeight="true" outlineLevel="0" collapsed="false">
      <c r="A83" s="12" t="s">
        <v>3165</v>
      </c>
      <c r="B83" s="12" t="s">
        <v>3166</v>
      </c>
      <c r="C83" s="15" t="s">
        <v>3182</v>
      </c>
      <c r="D83" s="15" t="s">
        <v>990</v>
      </c>
      <c r="E83" s="46" t="s">
        <v>4892</v>
      </c>
      <c r="F83" s="46" t="s">
        <v>4622</v>
      </c>
      <c r="G83" s="15" t="s">
        <v>978</v>
      </c>
      <c r="H83" s="12" t="s">
        <v>3169</v>
      </c>
      <c r="I83" s="46"/>
    </row>
    <row r="84" customFormat="false" ht="27.75" hidden="false" customHeight="true" outlineLevel="0" collapsed="false">
      <c r="A84" s="12" t="s">
        <v>3170</v>
      </c>
      <c r="B84" s="12" t="s">
        <v>3171</v>
      </c>
      <c r="C84" s="15" t="s">
        <v>4747</v>
      </c>
      <c r="D84" s="15" t="s">
        <v>990</v>
      </c>
      <c r="E84" s="46" t="s">
        <v>4893</v>
      </c>
      <c r="F84" s="46" t="s">
        <v>4894</v>
      </c>
      <c r="G84" s="15" t="s">
        <v>990</v>
      </c>
      <c r="H84" s="12" t="s">
        <v>3165</v>
      </c>
      <c r="I84" s="46"/>
    </row>
    <row r="85" customFormat="false" ht="27.75" hidden="false" customHeight="true" outlineLevel="0" collapsed="false">
      <c r="A85" s="12" t="s">
        <v>3174</v>
      </c>
      <c r="B85" s="12" t="s">
        <v>3175</v>
      </c>
      <c r="C85" s="15" t="s">
        <v>4730</v>
      </c>
      <c r="D85" s="15" t="s">
        <v>990</v>
      </c>
      <c r="E85" s="46" t="s">
        <v>4895</v>
      </c>
      <c r="F85" s="46" t="s">
        <v>4896</v>
      </c>
      <c r="G85" s="15" t="s">
        <v>978</v>
      </c>
      <c r="H85" s="12" t="s">
        <v>3179</v>
      </c>
      <c r="I85" s="46"/>
    </row>
    <row r="86" customFormat="false" ht="27.75" hidden="false" customHeight="true" outlineLevel="0" collapsed="false">
      <c r="A86" s="12" t="s">
        <v>3179</v>
      </c>
      <c r="B86" s="12" t="s">
        <v>3181</v>
      </c>
      <c r="C86" s="15" t="s">
        <v>3182</v>
      </c>
      <c r="D86" s="15" t="s">
        <v>990</v>
      </c>
      <c r="E86" s="46" t="s">
        <v>4897</v>
      </c>
      <c r="F86" s="46" t="s">
        <v>4622</v>
      </c>
      <c r="G86" s="15" t="s">
        <v>978</v>
      </c>
      <c r="H86" s="12" t="s">
        <v>3185</v>
      </c>
      <c r="I86" s="46"/>
    </row>
    <row r="87" customFormat="false" ht="27.75" hidden="false" customHeight="true" outlineLevel="0" collapsed="false">
      <c r="A87" s="12" t="s">
        <v>3186</v>
      </c>
      <c r="B87" s="12" t="s">
        <v>3187</v>
      </c>
      <c r="C87" s="15" t="s">
        <v>4730</v>
      </c>
      <c r="D87" s="15" t="s">
        <v>990</v>
      </c>
      <c r="E87" s="46" t="s">
        <v>4898</v>
      </c>
      <c r="F87" s="46" t="s">
        <v>4899</v>
      </c>
      <c r="G87" s="15" t="s">
        <v>978</v>
      </c>
      <c r="H87" s="12" t="s">
        <v>3191</v>
      </c>
      <c r="I87" s="46"/>
    </row>
    <row r="88" customFormat="false" ht="27.75" hidden="false" customHeight="true" outlineLevel="0" collapsed="false">
      <c r="A88" s="12" t="s">
        <v>3191</v>
      </c>
      <c r="B88" s="12" t="s">
        <v>3192</v>
      </c>
      <c r="C88" s="15" t="s">
        <v>3182</v>
      </c>
      <c r="D88" s="15" t="s">
        <v>990</v>
      </c>
      <c r="E88" s="46" t="s">
        <v>4900</v>
      </c>
      <c r="F88" s="46" t="s">
        <v>4622</v>
      </c>
      <c r="G88" s="15" t="s">
        <v>978</v>
      </c>
      <c r="H88" s="12" t="s">
        <v>3195</v>
      </c>
      <c r="I88" s="46"/>
    </row>
    <row r="89" customFormat="false" ht="27.75" hidden="false" customHeight="true" outlineLevel="0" collapsed="false">
      <c r="A89" s="12" t="s">
        <v>3196</v>
      </c>
      <c r="B89" s="12" t="s">
        <v>3197</v>
      </c>
      <c r="C89" s="15" t="s">
        <v>3198</v>
      </c>
      <c r="D89" s="15" t="s">
        <v>990</v>
      </c>
      <c r="E89" s="46" t="s">
        <v>4901</v>
      </c>
      <c r="F89" s="46" t="s">
        <v>3320</v>
      </c>
      <c r="G89" s="15" t="s">
        <v>978</v>
      </c>
      <c r="H89" s="12" t="s">
        <v>4902</v>
      </c>
      <c r="I89" s="46" t="s">
        <v>4903</v>
      </c>
    </row>
    <row r="90" customFormat="false" ht="27.75" hidden="false" customHeight="true" outlineLevel="0" collapsed="false">
      <c r="A90" s="12" t="s">
        <v>3202</v>
      </c>
      <c r="B90" s="12" t="s">
        <v>3203</v>
      </c>
      <c r="C90" s="15" t="s">
        <v>4730</v>
      </c>
      <c r="D90" s="15" t="s">
        <v>990</v>
      </c>
      <c r="E90" s="46" t="s">
        <v>4904</v>
      </c>
      <c r="F90" s="46" t="s">
        <v>4905</v>
      </c>
      <c r="G90" s="15" t="s">
        <v>978</v>
      </c>
      <c r="H90" s="12" t="s">
        <v>3206</v>
      </c>
      <c r="I90" s="4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8"/>
    <col collapsed="false" customWidth="true" hidden="false" outlineLevel="0" max="4" min="4" style="0" width="15"/>
    <col collapsed="false" customWidth="true" hidden="false" outlineLevel="0" max="5" min="5" style="0" width="12"/>
    <col collapsed="false" customWidth="true" hidden="false" outlineLevel="0" max="6" min="6" style="0" width="15"/>
    <col collapsed="false" customWidth="true" hidden="false" outlineLevel="0" max="7" min="7" style="0" width="22"/>
    <col collapsed="false" customWidth="true" hidden="false" outlineLevel="0" max="8" min="8" style="0" width="20"/>
    <col collapsed="false" customWidth="true" hidden="false" outlineLevel="0" max="9" min="9" style="0" width="24"/>
    <col collapsed="false" customWidth="true" hidden="false" outlineLevel="0" max="10" min="10" style="0" width="26"/>
    <col collapsed="false" customWidth="true" hidden="false" outlineLevel="0" max="11" min="11" style="0" width="13"/>
    <col collapsed="false" customWidth="true" hidden="false" outlineLevel="0" max="12" min="12" style="0" width="19"/>
    <col collapsed="false" customWidth="true" hidden="false" outlineLevel="0" max="13" min="13" style="0" width="22"/>
    <col collapsed="false" customWidth="true" hidden="false" outlineLevel="0" max="15" min="14" style="0" width="11"/>
    <col collapsed="false" customWidth="true" hidden="false" outlineLevel="0" max="16" min="16" style="0" width="9"/>
    <col collapsed="false" customWidth="true" hidden="false" outlineLevel="0" max="17" min="17" style="0" width="74"/>
  </cols>
  <sheetData>
    <row r="1" customFormat="false" ht="16.15" hidden="false" customHeight="false" outlineLevel="0" collapsed="false">
      <c r="A1" s="8" t="s">
        <v>4906</v>
      </c>
    </row>
    <row r="2" customFormat="false" ht="30" hidden="false" customHeight="true" outlineLevel="0" collapsed="false">
      <c r="A2" s="9" t="s">
        <v>4907</v>
      </c>
      <c r="B2" s="9" t="s">
        <v>4908</v>
      </c>
      <c r="C2" s="9" t="s">
        <v>2419</v>
      </c>
      <c r="D2" s="9" t="s">
        <v>2421</v>
      </c>
      <c r="E2" s="9" t="s">
        <v>2420</v>
      </c>
      <c r="F2" s="9" t="s">
        <v>4909</v>
      </c>
      <c r="G2" s="9" t="s">
        <v>4910</v>
      </c>
      <c r="H2" s="9" t="s">
        <v>4911</v>
      </c>
      <c r="I2" s="9" t="s">
        <v>4912</v>
      </c>
      <c r="J2" s="9" t="s">
        <v>4913</v>
      </c>
      <c r="K2" s="9" t="s">
        <v>4914</v>
      </c>
      <c r="L2" s="9" t="s">
        <v>4915</v>
      </c>
      <c r="M2" s="9" t="s">
        <v>4916</v>
      </c>
      <c r="N2" s="9" t="s">
        <v>2429</v>
      </c>
      <c r="O2" s="9" t="s">
        <v>2430</v>
      </c>
      <c r="P2" s="9" t="s">
        <v>2327</v>
      </c>
      <c r="Q2" s="9" t="s">
        <v>3775</v>
      </c>
    </row>
    <row r="3" customFormat="false" ht="27.75" hidden="false" customHeight="true" outlineLevel="0" collapsed="false">
      <c r="A3" s="12" t="s">
        <v>4917</v>
      </c>
      <c r="B3" s="12" t="s">
        <v>4918</v>
      </c>
      <c r="C3" s="12" t="s">
        <v>2434</v>
      </c>
      <c r="D3" s="12" t="n">
        <v>0</v>
      </c>
      <c r="E3" s="12" t="s">
        <v>2435</v>
      </c>
      <c r="F3" s="15" t="s">
        <v>4919</v>
      </c>
      <c r="G3" s="12" t="s">
        <v>4920</v>
      </c>
      <c r="H3" s="12"/>
      <c r="I3" s="15"/>
      <c r="J3" s="12" t="s">
        <v>4921</v>
      </c>
      <c r="K3" s="12"/>
      <c r="L3" s="15" t="s">
        <v>4922</v>
      </c>
      <c r="M3" s="12" t="s">
        <v>978</v>
      </c>
      <c r="N3" s="12" t="s">
        <v>2437</v>
      </c>
      <c r="O3" s="12"/>
      <c r="P3" s="12" t="s">
        <v>1197</v>
      </c>
      <c r="Q3" s="46" t="s">
        <v>4923</v>
      </c>
    </row>
    <row r="4" customFormat="false" ht="27.75" hidden="false" customHeight="true" outlineLevel="0" collapsed="false">
      <c r="A4" s="12" t="s">
        <v>4924</v>
      </c>
      <c r="B4" s="12" t="s">
        <v>4925</v>
      </c>
      <c r="C4" s="12" t="s">
        <v>2434</v>
      </c>
      <c r="D4" s="12" t="n">
        <v>0</v>
      </c>
      <c r="E4" s="12" t="s">
        <v>2435</v>
      </c>
      <c r="F4" s="15" t="s">
        <v>4926</v>
      </c>
      <c r="G4" s="12" t="s">
        <v>4927</v>
      </c>
      <c r="H4" s="12" t="s">
        <v>4928</v>
      </c>
      <c r="I4" s="15" t="s">
        <v>4929</v>
      </c>
      <c r="J4" s="12" t="s">
        <v>4930</v>
      </c>
      <c r="K4" s="12"/>
      <c r="L4" s="15" t="s">
        <v>4931</v>
      </c>
      <c r="M4" s="12" t="s">
        <v>978</v>
      </c>
      <c r="N4" s="12" t="s">
        <v>2437</v>
      </c>
      <c r="O4" s="12"/>
      <c r="P4" s="12" t="s">
        <v>1197</v>
      </c>
      <c r="Q4" s="46" t="s">
        <v>4932</v>
      </c>
    </row>
    <row r="5" customFormat="false" ht="27.75" hidden="false" customHeight="true" outlineLevel="0" collapsed="false">
      <c r="A5" s="12" t="s">
        <v>4933</v>
      </c>
      <c r="B5" s="12" t="s">
        <v>4934</v>
      </c>
      <c r="C5" s="12" t="s">
        <v>2434</v>
      </c>
      <c r="D5" s="12" t="n">
        <v>0</v>
      </c>
      <c r="E5" s="12" t="s">
        <v>2435</v>
      </c>
      <c r="F5" s="15" t="s">
        <v>4935</v>
      </c>
      <c r="G5" s="12" t="s">
        <v>4936</v>
      </c>
      <c r="H5" s="12" t="s">
        <v>4928</v>
      </c>
      <c r="I5" s="15" t="s">
        <v>4937</v>
      </c>
      <c r="J5" s="12" t="s">
        <v>4938</v>
      </c>
      <c r="K5" s="12"/>
      <c r="L5" s="15" t="s">
        <v>4939</v>
      </c>
      <c r="M5" s="12" t="s">
        <v>990</v>
      </c>
      <c r="N5" s="12" t="s">
        <v>2437</v>
      </c>
      <c r="O5" s="12"/>
      <c r="P5" s="12" t="s">
        <v>1197</v>
      </c>
      <c r="Q5" s="46" t="s">
        <v>4940</v>
      </c>
    </row>
    <row r="6" customFormat="false" ht="27.75" hidden="false" customHeight="true" outlineLevel="0" collapsed="false">
      <c r="A6" s="12" t="s">
        <v>4941</v>
      </c>
      <c r="B6" s="12" t="s">
        <v>4934</v>
      </c>
      <c r="C6" s="12" t="s">
        <v>4942</v>
      </c>
      <c r="D6" s="12" t="n">
        <v>25</v>
      </c>
      <c r="E6" s="12" t="s">
        <v>4928</v>
      </c>
      <c r="F6" s="15" t="s">
        <v>4943</v>
      </c>
      <c r="G6" s="12" t="s">
        <v>4944</v>
      </c>
      <c r="H6" s="12" t="s">
        <v>4945</v>
      </c>
      <c r="I6" s="15" t="s">
        <v>4946</v>
      </c>
      <c r="J6" s="12" t="s">
        <v>4947</v>
      </c>
      <c r="K6" s="12"/>
      <c r="L6" s="15" t="s">
        <v>4939</v>
      </c>
      <c r="M6" s="12" t="s">
        <v>990</v>
      </c>
      <c r="N6" s="12" t="s">
        <v>2437</v>
      </c>
      <c r="O6" s="12"/>
      <c r="P6" s="12" t="s">
        <v>1197</v>
      </c>
      <c r="Q6" s="46" t="s">
        <v>4948</v>
      </c>
    </row>
    <row r="7" customFormat="false" ht="27.75" hidden="false" customHeight="true" outlineLevel="0" collapsed="false">
      <c r="A7" s="12" t="s">
        <v>4949</v>
      </c>
      <c r="B7" s="12" t="s">
        <v>4950</v>
      </c>
      <c r="C7" s="12" t="s">
        <v>2434</v>
      </c>
      <c r="D7" s="12" t="n">
        <v>0</v>
      </c>
      <c r="E7" s="12" t="s">
        <v>2435</v>
      </c>
      <c r="F7" s="15" t="s">
        <v>4920</v>
      </c>
      <c r="G7" s="12" t="s">
        <v>4919</v>
      </c>
      <c r="H7" s="12"/>
      <c r="I7" s="15"/>
      <c r="J7" s="12" t="s">
        <v>4921</v>
      </c>
      <c r="K7" s="12"/>
      <c r="L7" s="15" t="s">
        <v>4922</v>
      </c>
      <c r="M7" s="12" t="s">
        <v>978</v>
      </c>
      <c r="N7" s="12" t="s">
        <v>2437</v>
      </c>
      <c r="O7" s="12"/>
      <c r="P7" s="12" t="s">
        <v>1197</v>
      </c>
      <c r="Q7" s="46" t="s">
        <v>4951</v>
      </c>
    </row>
    <row r="8" customFormat="false" ht="27.75" hidden="false" customHeight="true" outlineLevel="0" collapsed="false">
      <c r="A8" s="12" t="s">
        <v>4952</v>
      </c>
      <c r="B8" s="12" t="s">
        <v>4953</v>
      </c>
      <c r="C8" s="12" t="s">
        <v>2434</v>
      </c>
      <c r="D8" s="12" t="n">
        <v>0</v>
      </c>
      <c r="E8" s="12" t="s">
        <v>2435</v>
      </c>
      <c r="F8" s="15" t="s">
        <v>4954</v>
      </c>
      <c r="G8" s="12" t="s">
        <v>4955</v>
      </c>
      <c r="H8" s="12" t="s">
        <v>4928</v>
      </c>
      <c r="I8" s="15" t="s">
        <v>4956</v>
      </c>
      <c r="J8" s="12" t="s">
        <v>4957</v>
      </c>
      <c r="K8" s="12"/>
      <c r="L8" s="15" t="s">
        <v>4958</v>
      </c>
      <c r="M8" s="12" t="s">
        <v>978</v>
      </c>
      <c r="N8" s="12" t="s">
        <v>2437</v>
      </c>
      <c r="O8" s="12"/>
      <c r="P8" s="12" t="s">
        <v>1197</v>
      </c>
      <c r="Q8" s="46" t="s">
        <v>4959</v>
      </c>
    </row>
    <row r="9" customFormat="false" ht="27.75" hidden="false" customHeight="true" outlineLevel="0" collapsed="false">
      <c r="A9" s="12" t="s">
        <v>4960</v>
      </c>
      <c r="B9" s="12" t="s">
        <v>4961</v>
      </c>
      <c r="C9" s="12" t="s">
        <v>2434</v>
      </c>
      <c r="D9" s="12" t="n">
        <v>0</v>
      </c>
      <c r="E9" s="12" t="s">
        <v>2435</v>
      </c>
      <c r="F9" s="15" t="s">
        <v>4962</v>
      </c>
      <c r="G9" s="12" t="s">
        <v>4963</v>
      </c>
      <c r="H9" s="12" t="s">
        <v>4928</v>
      </c>
      <c r="I9" s="15" t="s">
        <v>4964</v>
      </c>
      <c r="J9" s="12" t="s">
        <v>4965</v>
      </c>
      <c r="K9" s="12"/>
      <c r="L9" s="15" t="s">
        <v>4966</v>
      </c>
      <c r="M9" s="12" t="s">
        <v>978</v>
      </c>
      <c r="N9" s="12" t="s">
        <v>2437</v>
      </c>
      <c r="O9" s="12"/>
      <c r="P9" s="12" t="s">
        <v>1197</v>
      </c>
      <c r="Q9" s="46" t="s">
        <v>4967</v>
      </c>
    </row>
    <row r="10" customFormat="false" ht="27.75" hidden="false" customHeight="true" outlineLevel="0" collapsed="false">
      <c r="A10" s="12" t="s">
        <v>4968</v>
      </c>
      <c r="B10" s="12" t="s">
        <v>4925</v>
      </c>
      <c r="C10" s="12" t="s">
        <v>4969</v>
      </c>
      <c r="D10" s="12" t="n">
        <v>20</v>
      </c>
      <c r="E10" s="12" t="s">
        <v>971</v>
      </c>
      <c r="F10" s="15" t="s">
        <v>4970</v>
      </c>
      <c r="G10" s="12" t="s">
        <v>4971</v>
      </c>
      <c r="H10" s="12" t="s">
        <v>4928</v>
      </c>
      <c r="I10" s="15" t="s">
        <v>4972</v>
      </c>
      <c r="J10" s="12" t="s">
        <v>4973</v>
      </c>
      <c r="K10" s="12"/>
      <c r="L10" s="15" t="s">
        <v>4931</v>
      </c>
      <c r="M10" s="12" t="s">
        <v>978</v>
      </c>
      <c r="N10" s="12" t="s">
        <v>2688</v>
      </c>
      <c r="O10" s="12" t="s">
        <v>3982</v>
      </c>
      <c r="P10" s="12" t="s">
        <v>1197</v>
      </c>
      <c r="Q10" s="46" t="s">
        <v>4974</v>
      </c>
    </row>
    <row r="11" customFormat="false" ht="27.75" hidden="false" customHeight="true" outlineLevel="0" collapsed="false">
      <c r="A11" s="12" t="s">
        <v>4975</v>
      </c>
      <c r="B11" s="12" t="s">
        <v>4976</v>
      </c>
      <c r="C11" s="12" t="s">
        <v>2434</v>
      </c>
      <c r="D11" s="12" t="n">
        <v>0</v>
      </c>
      <c r="E11" s="12" t="s">
        <v>2435</v>
      </c>
      <c r="F11" s="15" t="s">
        <v>4977</v>
      </c>
      <c r="G11" s="12" t="s">
        <v>4978</v>
      </c>
      <c r="H11" s="12"/>
      <c r="I11" s="15"/>
      <c r="J11" s="12" t="s">
        <v>4979</v>
      </c>
      <c r="K11" s="12"/>
      <c r="L11" s="15" t="s">
        <v>4958</v>
      </c>
      <c r="M11" s="12" t="s">
        <v>978</v>
      </c>
      <c r="N11" s="12" t="s">
        <v>2437</v>
      </c>
      <c r="O11" s="12"/>
      <c r="P11" s="12" t="s">
        <v>1197</v>
      </c>
      <c r="Q11" s="46" t="s">
        <v>4980</v>
      </c>
    </row>
    <row r="12" customFormat="false" ht="27.75" hidden="false" customHeight="true" outlineLevel="0" collapsed="false">
      <c r="A12" s="12" t="s">
        <v>4981</v>
      </c>
      <c r="B12" s="12" t="s">
        <v>4982</v>
      </c>
      <c r="C12" s="12" t="s">
        <v>2434</v>
      </c>
      <c r="D12" s="12" t="n">
        <v>0</v>
      </c>
      <c r="E12" s="12" t="s">
        <v>2435</v>
      </c>
      <c r="F12" s="15" t="s">
        <v>4983</v>
      </c>
      <c r="G12" s="12" t="s">
        <v>4984</v>
      </c>
      <c r="H12" s="12" t="s">
        <v>4928</v>
      </c>
      <c r="I12" s="15" t="s">
        <v>4985</v>
      </c>
      <c r="J12" s="12" t="s">
        <v>4986</v>
      </c>
      <c r="K12" s="12"/>
      <c r="L12" s="15" t="s">
        <v>4958</v>
      </c>
      <c r="M12" s="12" t="s">
        <v>978</v>
      </c>
      <c r="N12" s="12" t="s">
        <v>2437</v>
      </c>
      <c r="O12" s="12"/>
      <c r="P12" s="12" t="s">
        <v>1197</v>
      </c>
      <c r="Q12" s="46" t="s">
        <v>4987</v>
      </c>
    </row>
    <row r="15" customFormat="false" ht="16.15" hidden="false" customHeight="false" outlineLevel="0" collapsed="false">
      <c r="A15" s="8" t="s">
        <v>4988</v>
      </c>
    </row>
    <row r="16" customFormat="false" ht="15" hidden="false" customHeight="false" outlineLevel="0" collapsed="false">
      <c r="A16" s="17" t="s">
        <v>4989</v>
      </c>
      <c r="B16" s="17" t="s">
        <v>4990</v>
      </c>
      <c r="C16" s="17" t="s">
        <v>4360</v>
      </c>
      <c r="D16" s="17" t="s">
        <v>4991</v>
      </c>
    </row>
    <row r="17" customFormat="false" ht="25.5" hidden="false" customHeight="true" outlineLevel="0" collapsed="false">
      <c r="A17" s="11" t="s">
        <v>4992</v>
      </c>
      <c r="B17" s="18" t="s">
        <v>4993</v>
      </c>
      <c r="C17" s="11" t="s">
        <v>4994</v>
      </c>
      <c r="D17" s="11" t="s">
        <v>4995</v>
      </c>
    </row>
    <row r="18" customFormat="false" ht="25.5" hidden="false" customHeight="true" outlineLevel="0" collapsed="false">
      <c r="A18" s="11" t="s">
        <v>4996</v>
      </c>
      <c r="B18" s="18" t="s">
        <v>4993</v>
      </c>
      <c r="C18" s="11" t="s">
        <v>4997</v>
      </c>
      <c r="D18" s="11" t="s">
        <v>4998</v>
      </c>
    </row>
    <row r="19" customFormat="false" ht="25.5" hidden="false" customHeight="true" outlineLevel="0" collapsed="false">
      <c r="A19" s="11" t="s">
        <v>4999</v>
      </c>
      <c r="B19" s="18" t="s">
        <v>4993</v>
      </c>
      <c r="C19" s="11" t="s">
        <v>5000</v>
      </c>
      <c r="D19" s="11" t="s">
        <v>5001</v>
      </c>
    </row>
    <row r="20" customFormat="false" ht="25.5" hidden="false" customHeight="true" outlineLevel="0" collapsed="false">
      <c r="A20" s="11" t="s">
        <v>5002</v>
      </c>
      <c r="B20" s="18" t="s">
        <v>5003</v>
      </c>
      <c r="C20" s="11" t="s">
        <v>5004</v>
      </c>
      <c r="D20" s="11" t="s">
        <v>5005</v>
      </c>
    </row>
    <row r="21" customFormat="false" ht="25.5" hidden="false" customHeight="true" outlineLevel="0" collapsed="false">
      <c r="A21" s="11" t="s">
        <v>4321</v>
      </c>
      <c r="B21" s="18" t="s">
        <v>5003</v>
      </c>
      <c r="C21" s="11" t="s">
        <v>5006</v>
      </c>
      <c r="D21" s="11" t="s">
        <v>5007</v>
      </c>
    </row>
    <row r="22" customFormat="false" ht="25.5" hidden="false" customHeight="true" outlineLevel="0" collapsed="false">
      <c r="A22" s="11" t="s">
        <v>4308</v>
      </c>
      <c r="B22" s="18" t="s">
        <v>5003</v>
      </c>
      <c r="C22" s="11" t="s">
        <v>5008</v>
      </c>
      <c r="D22" s="11" t="s">
        <v>5009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6"/>
    <col collapsed="false" customWidth="true" hidden="false" outlineLevel="0" max="4" min="4" style="0" width="15"/>
    <col collapsed="false" customWidth="true" hidden="false" outlineLevel="0" max="5" min="5" style="0" width="20"/>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22"/>
    <col collapsed="false" customWidth="true" hidden="false" outlineLevel="0" max="10" min="10" style="0" width="16"/>
    <col collapsed="false" customWidth="true" hidden="false" outlineLevel="0" max="12" min="11" style="0" width="18"/>
    <col collapsed="false" customWidth="true" hidden="false" outlineLevel="0" max="13" min="13" style="0" width="13"/>
    <col collapsed="false" customWidth="true" hidden="false" outlineLevel="0" max="14" min="14" style="0" width="14"/>
    <col collapsed="false" customWidth="true" hidden="false" outlineLevel="0" max="16" min="15" style="0" width="11"/>
    <col collapsed="false" customWidth="true" hidden="false" outlineLevel="0" max="17" min="17" style="0" width="9"/>
    <col collapsed="false" customWidth="true" hidden="false" outlineLevel="0" max="18" min="18" style="0" width="66"/>
  </cols>
  <sheetData>
    <row r="1" customFormat="false" ht="16.15" hidden="false" customHeight="false" outlineLevel="0" collapsed="false">
      <c r="A1" s="8" t="s">
        <v>5010</v>
      </c>
    </row>
    <row r="2" customFormat="false" ht="30" hidden="false" customHeight="true" outlineLevel="0" collapsed="false">
      <c r="A2" s="9" t="s">
        <v>5011</v>
      </c>
      <c r="B2" s="9" t="s">
        <v>4908</v>
      </c>
      <c r="C2" s="9" t="s">
        <v>2419</v>
      </c>
      <c r="D2" s="9" t="s">
        <v>2421</v>
      </c>
      <c r="E2" s="9" t="s">
        <v>2420</v>
      </c>
      <c r="F2" s="9" t="s">
        <v>5012</v>
      </c>
      <c r="G2" s="9" t="s">
        <v>1324</v>
      </c>
      <c r="H2" s="9" t="s">
        <v>907</v>
      </c>
      <c r="I2" s="9" t="s">
        <v>1460</v>
      </c>
      <c r="J2" s="9" t="s">
        <v>5013</v>
      </c>
      <c r="K2" s="9" t="s">
        <v>5014</v>
      </c>
      <c r="L2" s="9" t="s">
        <v>5015</v>
      </c>
      <c r="M2" s="9" t="s">
        <v>5016</v>
      </c>
      <c r="N2" s="9" t="s">
        <v>5017</v>
      </c>
      <c r="O2" s="9" t="s">
        <v>2429</v>
      </c>
      <c r="P2" s="9" t="s">
        <v>2430</v>
      </c>
      <c r="Q2" s="9" t="s">
        <v>2327</v>
      </c>
      <c r="R2" s="9" t="s">
        <v>3775</v>
      </c>
    </row>
    <row r="3" customFormat="false" ht="25.5" hidden="false" customHeight="true" outlineLevel="0" collapsed="false">
      <c r="A3" s="12" t="s">
        <v>5018</v>
      </c>
      <c r="B3" s="12" t="s">
        <v>5019</v>
      </c>
      <c r="C3" s="12" t="s">
        <v>2434</v>
      </c>
      <c r="D3" s="15" t="n">
        <v>0</v>
      </c>
      <c r="E3" s="12" t="s">
        <v>2435</v>
      </c>
      <c r="F3" s="12"/>
      <c r="G3" s="12"/>
      <c r="H3" s="12"/>
      <c r="I3" s="12"/>
      <c r="J3" s="15" t="s">
        <v>5020</v>
      </c>
      <c r="K3" s="15" t="s">
        <v>5021</v>
      </c>
      <c r="L3" s="12" t="s">
        <v>5022</v>
      </c>
      <c r="M3" s="12" t="s">
        <v>5023</v>
      </c>
      <c r="N3" s="12"/>
      <c r="O3" s="12" t="s">
        <v>2437</v>
      </c>
      <c r="P3" s="12"/>
      <c r="Q3" s="12" t="s">
        <v>1197</v>
      </c>
      <c r="R3" s="46" t="s">
        <v>5024</v>
      </c>
    </row>
    <row r="4" customFormat="false" ht="25.5" hidden="false" customHeight="true" outlineLevel="0" collapsed="false">
      <c r="A4" s="12" t="s">
        <v>5025</v>
      </c>
      <c r="B4" s="12" t="s">
        <v>4925</v>
      </c>
      <c r="C4" s="12" t="s">
        <v>5026</v>
      </c>
      <c r="D4" s="15" t="n">
        <v>10</v>
      </c>
      <c r="E4" s="12" t="s">
        <v>4925</v>
      </c>
      <c r="F4" s="12"/>
      <c r="G4" s="12"/>
      <c r="H4" s="12"/>
      <c r="I4" s="12"/>
      <c r="J4" s="15" t="s">
        <v>5020</v>
      </c>
      <c r="K4" s="15" t="s">
        <v>5021</v>
      </c>
      <c r="L4" s="12" t="s">
        <v>5027</v>
      </c>
      <c r="M4" s="12" t="s">
        <v>5023</v>
      </c>
      <c r="N4" s="12" t="s">
        <v>5018</v>
      </c>
      <c r="O4" s="12" t="s">
        <v>2437</v>
      </c>
      <c r="P4" s="12"/>
      <c r="Q4" s="12" t="s">
        <v>1197</v>
      </c>
      <c r="R4" s="46" t="s">
        <v>5028</v>
      </c>
    </row>
    <row r="5" customFormat="false" ht="25.5" hidden="false" customHeight="true" outlineLevel="0" collapsed="false">
      <c r="A5" s="12" t="s">
        <v>5029</v>
      </c>
      <c r="B5" s="12" t="s">
        <v>4934</v>
      </c>
      <c r="C5" s="12" t="s">
        <v>5026</v>
      </c>
      <c r="D5" s="15" t="n">
        <v>10</v>
      </c>
      <c r="E5" s="12" t="s">
        <v>4934</v>
      </c>
      <c r="F5" s="12"/>
      <c r="G5" s="12"/>
      <c r="H5" s="12"/>
      <c r="I5" s="12"/>
      <c r="J5" s="15" t="s">
        <v>5020</v>
      </c>
      <c r="K5" s="15" t="s">
        <v>5021</v>
      </c>
      <c r="L5" s="12" t="s">
        <v>5030</v>
      </c>
      <c r="M5" s="12" t="s">
        <v>5023</v>
      </c>
      <c r="N5" s="12" t="s">
        <v>5018</v>
      </c>
      <c r="O5" s="12" t="s">
        <v>2437</v>
      </c>
      <c r="P5" s="12"/>
      <c r="Q5" s="12" t="s">
        <v>1197</v>
      </c>
      <c r="R5" s="46" t="s">
        <v>5031</v>
      </c>
    </row>
    <row r="6" customFormat="false" ht="25.5" hidden="false" customHeight="true" outlineLevel="0" collapsed="false">
      <c r="A6" s="12" t="s">
        <v>5032</v>
      </c>
      <c r="B6" s="12" t="s">
        <v>4934</v>
      </c>
      <c r="C6" s="12" t="s">
        <v>4504</v>
      </c>
      <c r="D6" s="15" t="n">
        <v>30</v>
      </c>
      <c r="E6" s="12" t="s">
        <v>976</v>
      </c>
      <c r="F6" s="12"/>
      <c r="G6" s="12" t="s">
        <v>976</v>
      </c>
      <c r="H6" s="12"/>
      <c r="I6" s="12"/>
      <c r="J6" s="15" t="s">
        <v>5020</v>
      </c>
      <c r="K6" s="15" t="s">
        <v>5033</v>
      </c>
      <c r="L6" s="12"/>
      <c r="M6" s="12" t="s">
        <v>5023</v>
      </c>
      <c r="N6" s="12" t="s">
        <v>5029</v>
      </c>
      <c r="O6" s="12" t="s">
        <v>2437</v>
      </c>
      <c r="P6" s="12"/>
      <c r="Q6" s="12" t="s">
        <v>1197</v>
      </c>
      <c r="R6" s="46" t="s">
        <v>5034</v>
      </c>
    </row>
    <row r="7" customFormat="false" ht="25.5" hidden="false" customHeight="true" outlineLevel="0" collapsed="false">
      <c r="A7" s="12" t="s">
        <v>5035</v>
      </c>
      <c r="B7" s="12" t="s">
        <v>5019</v>
      </c>
      <c r="C7" s="12" t="s">
        <v>4969</v>
      </c>
      <c r="D7" s="15" t="n">
        <v>20</v>
      </c>
      <c r="E7" s="12" t="s">
        <v>971</v>
      </c>
      <c r="F7" s="12" t="s">
        <v>971</v>
      </c>
      <c r="G7" s="12"/>
      <c r="H7" s="12"/>
      <c r="I7" s="12"/>
      <c r="J7" s="15" t="s">
        <v>5020</v>
      </c>
      <c r="K7" s="15" t="s">
        <v>5021</v>
      </c>
      <c r="L7" s="12" t="s">
        <v>5036</v>
      </c>
      <c r="M7" s="12" t="s">
        <v>5023</v>
      </c>
      <c r="N7" s="12" t="s">
        <v>5018</v>
      </c>
      <c r="O7" s="12" t="s">
        <v>2437</v>
      </c>
      <c r="P7" s="12"/>
      <c r="Q7" s="12" t="s">
        <v>1197</v>
      </c>
      <c r="R7" s="46" t="s">
        <v>328</v>
      </c>
    </row>
    <row r="8" customFormat="false" ht="25.5" hidden="false" customHeight="true" outlineLevel="0" collapsed="false">
      <c r="A8" s="12" t="s">
        <v>5037</v>
      </c>
      <c r="B8" s="12" t="s">
        <v>5019</v>
      </c>
      <c r="C8" s="12" t="s">
        <v>5038</v>
      </c>
      <c r="D8" s="15" t="n">
        <v>40</v>
      </c>
      <c r="E8" s="12" t="s">
        <v>5039</v>
      </c>
      <c r="F8" s="12" t="s">
        <v>971</v>
      </c>
      <c r="G8" s="12" t="s">
        <v>1085</v>
      </c>
      <c r="H8" s="12"/>
      <c r="I8" s="12"/>
      <c r="J8" s="15" t="s">
        <v>5020</v>
      </c>
      <c r="K8" s="15" t="s">
        <v>5021</v>
      </c>
      <c r="L8" s="12" t="s">
        <v>5040</v>
      </c>
      <c r="M8" s="12" t="s">
        <v>5023</v>
      </c>
      <c r="N8" s="12" t="s">
        <v>5035</v>
      </c>
      <c r="O8" s="12" t="s">
        <v>2437</v>
      </c>
      <c r="P8" s="12"/>
      <c r="Q8" s="12" t="s">
        <v>1197</v>
      </c>
      <c r="R8" s="46" t="s">
        <v>619</v>
      </c>
    </row>
    <row r="9" customFormat="false" ht="25.5" hidden="false" customHeight="true" outlineLevel="0" collapsed="false">
      <c r="A9" s="12" t="s">
        <v>5041</v>
      </c>
      <c r="B9" s="12" t="s">
        <v>4934</v>
      </c>
      <c r="C9" s="12" t="s">
        <v>5042</v>
      </c>
      <c r="D9" s="15" t="n">
        <v>50</v>
      </c>
      <c r="E9" s="12" t="s">
        <v>5043</v>
      </c>
      <c r="F9" s="12" t="s">
        <v>971</v>
      </c>
      <c r="G9" s="12" t="s">
        <v>976</v>
      </c>
      <c r="H9" s="12"/>
      <c r="I9" s="12"/>
      <c r="J9" s="15" t="s">
        <v>5020</v>
      </c>
      <c r="K9" s="15" t="s">
        <v>5021</v>
      </c>
      <c r="L9" s="12" t="s">
        <v>5044</v>
      </c>
      <c r="M9" s="12" t="s">
        <v>5023</v>
      </c>
      <c r="N9" s="12" t="s">
        <v>5032</v>
      </c>
      <c r="O9" s="12" t="s">
        <v>2437</v>
      </c>
      <c r="P9" s="12"/>
      <c r="Q9" s="12" t="s">
        <v>1197</v>
      </c>
      <c r="R9" s="46" t="s">
        <v>5045</v>
      </c>
    </row>
    <row r="10" customFormat="false" ht="25.5" hidden="false" customHeight="true" outlineLevel="0" collapsed="false">
      <c r="A10" s="12" t="s">
        <v>5046</v>
      </c>
      <c r="B10" s="12" t="s">
        <v>5019</v>
      </c>
      <c r="C10" s="12" t="s">
        <v>4942</v>
      </c>
      <c r="D10" s="15" t="n">
        <v>25</v>
      </c>
      <c r="E10" s="12" t="s">
        <v>4928</v>
      </c>
      <c r="F10" s="12"/>
      <c r="G10" s="12"/>
      <c r="H10" s="12" t="s">
        <v>4928</v>
      </c>
      <c r="I10" s="12"/>
      <c r="J10" s="15" t="s">
        <v>5047</v>
      </c>
      <c r="K10" s="15" t="s">
        <v>5021</v>
      </c>
      <c r="L10" s="12" t="s">
        <v>5048</v>
      </c>
      <c r="M10" s="12" t="s">
        <v>5023</v>
      </c>
      <c r="N10" s="12" t="s">
        <v>5018</v>
      </c>
      <c r="O10" s="12" t="s">
        <v>2437</v>
      </c>
      <c r="P10" s="12" t="s">
        <v>3982</v>
      </c>
      <c r="Q10" s="12" t="s">
        <v>1197</v>
      </c>
      <c r="R10" s="46" t="s">
        <v>5049</v>
      </c>
    </row>
    <row r="11" customFormat="false" ht="25.5" hidden="false" customHeight="true" outlineLevel="0" collapsed="false">
      <c r="A11" s="12" t="s">
        <v>5050</v>
      </c>
      <c r="B11" s="12" t="s">
        <v>5019</v>
      </c>
      <c r="C11" s="12" t="s">
        <v>4942</v>
      </c>
      <c r="D11" s="15" t="n">
        <v>25</v>
      </c>
      <c r="E11" s="12" t="s">
        <v>3894</v>
      </c>
      <c r="F11" s="12"/>
      <c r="G11" s="12"/>
      <c r="H11" s="12" t="s">
        <v>3894</v>
      </c>
      <c r="I11" s="12"/>
      <c r="J11" s="15" t="s">
        <v>5047</v>
      </c>
      <c r="K11" s="15" t="s">
        <v>5021</v>
      </c>
      <c r="L11" s="12" t="s">
        <v>5051</v>
      </c>
      <c r="M11" s="12" t="s">
        <v>5023</v>
      </c>
      <c r="N11" s="12" t="s">
        <v>5018</v>
      </c>
      <c r="O11" s="12" t="s">
        <v>2437</v>
      </c>
      <c r="P11" s="12"/>
      <c r="Q11" s="12" t="s">
        <v>1197</v>
      </c>
      <c r="R11" s="46" t="s">
        <v>5052</v>
      </c>
    </row>
    <row r="12" customFormat="false" ht="25.5" hidden="false" customHeight="true" outlineLevel="0" collapsed="false">
      <c r="A12" s="12" t="s">
        <v>5053</v>
      </c>
      <c r="B12" s="12" t="s">
        <v>5019</v>
      </c>
      <c r="C12" s="12" t="s">
        <v>5054</v>
      </c>
      <c r="D12" s="15" t="n">
        <v>15</v>
      </c>
      <c r="E12" s="12" t="s">
        <v>1528</v>
      </c>
      <c r="F12" s="12"/>
      <c r="G12" s="12"/>
      <c r="H12" s="12"/>
      <c r="I12" s="12" t="s">
        <v>1528</v>
      </c>
      <c r="J12" s="15" t="s">
        <v>5047</v>
      </c>
      <c r="K12" s="15" t="s">
        <v>5055</v>
      </c>
      <c r="L12" s="12"/>
      <c r="M12" s="12" t="s">
        <v>5023</v>
      </c>
      <c r="N12" s="12" t="s">
        <v>5018</v>
      </c>
      <c r="O12" s="12" t="s">
        <v>2437</v>
      </c>
      <c r="P12" s="12"/>
      <c r="Q12" s="12" t="s">
        <v>1197</v>
      </c>
      <c r="R12" s="46" t="s">
        <v>5056</v>
      </c>
    </row>
    <row r="13" customFormat="false" ht="25.5" hidden="false" customHeight="true" outlineLevel="0" collapsed="false">
      <c r="A13" s="12" t="s">
        <v>5057</v>
      </c>
      <c r="B13" s="12" t="s">
        <v>5019</v>
      </c>
      <c r="C13" s="12" t="s">
        <v>5054</v>
      </c>
      <c r="D13" s="15" t="n">
        <v>15</v>
      </c>
      <c r="E13" s="12" t="s">
        <v>3986</v>
      </c>
      <c r="F13" s="12"/>
      <c r="G13" s="12"/>
      <c r="H13" s="12"/>
      <c r="I13" s="12" t="s">
        <v>3986</v>
      </c>
      <c r="J13" s="15" t="s">
        <v>5058</v>
      </c>
      <c r="K13" s="15" t="s">
        <v>5059</v>
      </c>
      <c r="L13" s="12"/>
      <c r="M13" s="12" t="s">
        <v>5023</v>
      </c>
      <c r="N13" s="12" t="s">
        <v>5018</v>
      </c>
      <c r="O13" s="12" t="s">
        <v>4001</v>
      </c>
      <c r="P13" s="12" t="s">
        <v>4002</v>
      </c>
      <c r="Q13" s="12" t="s">
        <v>1197</v>
      </c>
      <c r="R13" s="46" t="s">
        <v>5060</v>
      </c>
    </row>
    <row r="14" customFormat="false" ht="25.5" hidden="false" customHeight="true" outlineLevel="0" collapsed="false">
      <c r="A14" s="12" t="s">
        <v>5061</v>
      </c>
      <c r="B14" s="12" t="s">
        <v>5019</v>
      </c>
      <c r="C14" s="12" t="s">
        <v>5054</v>
      </c>
      <c r="D14" s="15" t="n">
        <v>15</v>
      </c>
      <c r="E14" s="12" t="s">
        <v>5062</v>
      </c>
      <c r="F14" s="12"/>
      <c r="G14" s="12"/>
      <c r="H14" s="12"/>
      <c r="I14" s="12" t="s">
        <v>5062</v>
      </c>
      <c r="J14" s="15" t="s">
        <v>5020</v>
      </c>
      <c r="K14" s="15" t="s">
        <v>5033</v>
      </c>
      <c r="L14" s="12"/>
      <c r="M14" s="12" t="s">
        <v>5023</v>
      </c>
      <c r="N14" s="12" t="s">
        <v>5018</v>
      </c>
      <c r="O14" s="12" t="s">
        <v>2437</v>
      </c>
      <c r="P14" s="12"/>
      <c r="Q14" s="12" t="s">
        <v>1197</v>
      </c>
      <c r="R14" s="46" t="s">
        <v>5063</v>
      </c>
    </row>
    <row r="17" customFormat="false" ht="16.15" hidden="false" customHeight="false" outlineLevel="0" collapsed="false">
      <c r="A17" s="8" t="s">
        <v>5064</v>
      </c>
    </row>
    <row r="18" customFormat="false" ht="15" hidden="false" customHeight="false" outlineLevel="0" collapsed="false">
      <c r="A18" s="17" t="s">
        <v>5065</v>
      </c>
      <c r="B18" s="17" t="s">
        <v>2419</v>
      </c>
      <c r="C18" s="17" t="s">
        <v>2420</v>
      </c>
      <c r="D18" s="17" t="s">
        <v>5066</v>
      </c>
    </row>
    <row r="19" customFormat="false" ht="15" hidden="false" customHeight="false" outlineLevel="0" collapsed="false">
      <c r="A19" s="33" t="n">
        <v>0</v>
      </c>
      <c r="B19" s="52" t="s">
        <v>2434</v>
      </c>
      <c r="C19" s="52" t="s">
        <v>5067</v>
      </c>
      <c r="D19" s="52" t="s">
        <v>5068</v>
      </c>
    </row>
    <row r="20" customFormat="false" ht="15" hidden="false" customHeight="false" outlineLevel="0" collapsed="false">
      <c r="A20" s="33" t="n">
        <v>10</v>
      </c>
      <c r="B20" s="52" t="s">
        <v>5026</v>
      </c>
      <c r="C20" s="52" t="s">
        <v>5069</v>
      </c>
      <c r="D20" s="52" t="s">
        <v>5070</v>
      </c>
    </row>
    <row r="21" customFormat="false" ht="15" hidden="false" customHeight="false" outlineLevel="0" collapsed="false">
      <c r="A21" s="33" t="n">
        <v>15</v>
      </c>
      <c r="B21" s="52" t="s">
        <v>5054</v>
      </c>
      <c r="C21" s="52" t="s">
        <v>5071</v>
      </c>
      <c r="D21" s="52" t="s">
        <v>5072</v>
      </c>
    </row>
    <row r="22" customFormat="false" ht="15" hidden="false" customHeight="false" outlineLevel="0" collapsed="false">
      <c r="A22" s="33" t="n">
        <v>20</v>
      </c>
      <c r="B22" s="52" t="s">
        <v>4969</v>
      </c>
      <c r="C22" s="52" t="s">
        <v>5073</v>
      </c>
      <c r="D22" s="52" t="s">
        <v>5074</v>
      </c>
    </row>
    <row r="23" customFormat="false" ht="15" hidden="false" customHeight="false" outlineLevel="0" collapsed="false">
      <c r="A23" s="33" t="n">
        <v>25</v>
      </c>
      <c r="B23" s="52" t="s">
        <v>4942</v>
      </c>
      <c r="C23" s="52" t="s">
        <v>5075</v>
      </c>
      <c r="D23" s="52" t="s">
        <v>5076</v>
      </c>
    </row>
    <row r="24" customFormat="false" ht="15" hidden="false" customHeight="false" outlineLevel="0" collapsed="false">
      <c r="A24" s="33" t="n">
        <v>30</v>
      </c>
      <c r="B24" s="52" t="s">
        <v>4504</v>
      </c>
      <c r="C24" s="52" t="s">
        <v>5077</v>
      </c>
      <c r="D24" s="52" t="s">
        <v>5078</v>
      </c>
    </row>
    <row r="25" customFormat="false" ht="15" hidden="false" customHeight="false" outlineLevel="0" collapsed="false">
      <c r="A25" s="33" t="n">
        <v>35</v>
      </c>
      <c r="B25" s="52" t="s">
        <v>5079</v>
      </c>
      <c r="C25" s="52" t="s">
        <v>5080</v>
      </c>
      <c r="D25" s="52" t="s">
        <v>5081</v>
      </c>
    </row>
    <row r="26" customFormat="false" ht="15" hidden="false" customHeight="false" outlineLevel="0" collapsed="false">
      <c r="A26" s="33" t="n">
        <v>40</v>
      </c>
      <c r="B26" s="52" t="s">
        <v>5038</v>
      </c>
      <c r="C26" s="52" t="s">
        <v>5082</v>
      </c>
      <c r="D26" s="52" t="s">
        <v>5083</v>
      </c>
    </row>
    <row r="27" customFormat="false" ht="15" hidden="false" customHeight="false" outlineLevel="0" collapsed="false">
      <c r="A27" s="33" t="n">
        <v>50</v>
      </c>
      <c r="B27" s="52" t="s">
        <v>5042</v>
      </c>
      <c r="C27" s="52" t="s">
        <v>5084</v>
      </c>
      <c r="D27" s="52" t="s">
        <v>5085</v>
      </c>
    </row>
    <row r="28" customFormat="false" ht="15" hidden="false" customHeight="false" outlineLevel="0" collapsed="false">
      <c r="A28" s="33" t="n">
        <v>60</v>
      </c>
      <c r="B28" s="52" t="s">
        <v>4037</v>
      </c>
      <c r="C28" s="52" t="s">
        <v>899</v>
      </c>
      <c r="D28" s="52" t="s">
        <v>5086</v>
      </c>
    </row>
    <row r="31" customFormat="false" ht="16.15" hidden="false" customHeight="false" outlineLevel="0" collapsed="false">
      <c r="A31" s="8" t="s">
        <v>5087</v>
      </c>
    </row>
    <row r="32" customFormat="false" ht="15" hidden="false" customHeight="false" outlineLevel="0" collapsed="false">
      <c r="A32" s="17" t="s">
        <v>5088</v>
      </c>
      <c r="B32" s="17" t="s">
        <v>5089</v>
      </c>
      <c r="C32" s="17" t="s">
        <v>4426</v>
      </c>
    </row>
    <row r="33" customFormat="false" ht="24" hidden="false" customHeight="true" outlineLevel="0" collapsed="false">
      <c r="A33" s="18" t="s">
        <v>5090</v>
      </c>
      <c r="B33" s="11" t="s">
        <v>5091</v>
      </c>
      <c r="C33" s="11" t="s">
        <v>5092</v>
      </c>
    </row>
    <row r="34" customFormat="false" ht="24" hidden="false" customHeight="true" outlineLevel="0" collapsed="false">
      <c r="A34" s="18" t="s">
        <v>5093</v>
      </c>
      <c r="B34" s="11" t="s">
        <v>5094</v>
      </c>
      <c r="C34" s="11" t="s">
        <v>5095</v>
      </c>
    </row>
    <row r="35" customFormat="false" ht="24" hidden="false" customHeight="true" outlineLevel="0" collapsed="false">
      <c r="A35" s="18" t="s">
        <v>5096</v>
      </c>
      <c r="B35" s="11" t="s">
        <v>5097</v>
      </c>
      <c r="C35" s="11" t="s">
        <v>2878</v>
      </c>
    </row>
    <row r="36" customFormat="false" ht="24" hidden="false" customHeight="true" outlineLevel="0" collapsed="false">
      <c r="A36" s="18" t="s">
        <v>5098</v>
      </c>
      <c r="B36" s="11" t="s">
        <v>2208</v>
      </c>
      <c r="C36" s="11" t="s">
        <v>5099</v>
      </c>
    </row>
    <row r="37" customFormat="false" ht="24" hidden="false" customHeight="true" outlineLevel="0" collapsed="false">
      <c r="A37" s="18" t="s">
        <v>5100</v>
      </c>
      <c r="B37" s="11" t="s">
        <v>5101</v>
      </c>
      <c r="C37" s="11" t="s">
        <v>5102</v>
      </c>
    </row>
    <row r="38" customFormat="false" ht="24" hidden="false" customHeight="true" outlineLevel="0" collapsed="false">
      <c r="A38" s="18" t="s">
        <v>5103</v>
      </c>
      <c r="B38" s="11" t="s">
        <v>5104</v>
      </c>
      <c r="C38" s="11" t="s">
        <v>5105</v>
      </c>
    </row>
    <row r="39" customFormat="false" ht="24" hidden="false" customHeight="true" outlineLevel="0" collapsed="false">
      <c r="A39" s="18" t="s">
        <v>5106</v>
      </c>
      <c r="B39" s="11" t="s">
        <v>5107</v>
      </c>
      <c r="C39" s="11" t="s">
        <v>5108</v>
      </c>
    </row>
    <row r="40" customFormat="false" ht="24" hidden="false" customHeight="true" outlineLevel="0" collapsed="false">
      <c r="A40" s="18" t="s">
        <v>5109</v>
      </c>
      <c r="B40" s="11" t="s">
        <v>5110</v>
      </c>
      <c r="C40" s="11"/>
    </row>
    <row r="41" customFormat="false" ht="24" hidden="false" customHeight="true" outlineLevel="0" collapsed="false">
      <c r="A41" s="18" t="s">
        <v>5111</v>
      </c>
      <c r="B41" s="11" t="s">
        <v>5112</v>
      </c>
      <c r="C41" s="11"/>
    </row>
    <row r="42" customFormat="false" ht="24" hidden="false" customHeight="true" outlineLevel="0" collapsed="false">
      <c r="A42" s="18" t="s">
        <v>5113</v>
      </c>
      <c r="B42" s="11" t="s">
        <v>5114</v>
      </c>
      <c r="C42" s="11" t="s">
        <v>5115</v>
      </c>
    </row>
    <row r="43" customFormat="false" ht="24" hidden="false" customHeight="true" outlineLevel="0" collapsed="false">
      <c r="A43" s="18" t="s">
        <v>5116</v>
      </c>
      <c r="B43" s="11" t="s">
        <v>5117</v>
      </c>
      <c r="C43" s="11" t="s">
        <v>5118</v>
      </c>
    </row>
    <row r="44" customFormat="false" ht="24" hidden="false" customHeight="true" outlineLevel="0" collapsed="false">
      <c r="A44" s="18" t="s">
        <v>5119</v>
      </c>
      <c r="B44" s="11" t="s">
        <v>5120</v>
      </c>
      <c r="C44" s="11" t="s">
        <v>5121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5"/>
    <col collapsed="false" customWidth="true" hidden="false" outlineLevel="0" max="3" min="3" style="0" width="13"/>
    <col collapsed="false" customWidth="true" hidden="false" outlineLevel="0" max="4" min="4" style="0" width="12"/>
    <col collapsed="false" customWidth="true" hidden="false" outlineLevel="0" max="5" min="5" style="0" width="11"/>
    <col collapsed="false" customWidth="true" hidden="false" outlineLevel="0" max="6" min="6" style="0" width="20"/>
    <col collapsed="false" customWidth="true" hidden="false" outlineLevel="0" max="7" min="7" style="0" width="14"/>
    <col collapsed="false" customWidth="true" hidden="false" outlineLevel="0" max="8" min="8" style="0" width="18"/>
    <col collapsed="false" customWidth="true" hidden="false" outlineLevel="0" max="9" min="9" style="0" width="20"/>
    <col collapsed="false" customWidth="true" hidden="false" outlineLevel="0" max="11" min="10" style="0" width="13"/>
    <col collapsed="false" customWidth="true" hidden="false" outlineLevel="0" max="12" min="12" style="0" width="18"/>
    <col collapsed="false" customWidth="true" hidden="false" outlineLevel="0" max="13" min="13" style="0" width="14"/>
    <col collapsed="false" customWidth="true" hidden="false" outlineLevel="0" max="14" min="14" style="0" width="13"/>
    <col collapsed="false" customWidth="true" hidden="false" outlineLevel="0" max="15" min="15" style="0" width="12"/>
    <col collapsed="false" customWidth="true" hidden="false" outlineLevel="0" max="16" min="16" style="0" width="16"/>
    <col collapsed="false" customWidth="true" hidden="false" outlineLevel="0" max="17" min="17" style="0" width="11"/>
    <col collapsed="false" customWidth="true" hidden="false" outlineLevel="0" max="18" min="18" style="0" width="18"/>
    <col collapsed="false" customWidth="true" hidden="false" outlineLevel="0" max="19" min="19" style="0" width="15"/>
    <col collapsed="false" customWidth="true" hidden="false" outlineLevel="0" max="20" min="20" style="0" width="18"/>
    <col collapsed="false" customWidth="true" hidden="false" outlineLevel="0" max="21" min="21" style="0" width="12"/>
    <col collapsed="false" customWidth="true" hidden="false" outlineLevel="0" max="22" min="22" style="0" width="21"/>
    <col collapsed="false" customWidth="true" hidden="false" outlineLevel="0" max="23" min="23" style="0" width="13"/>
    <col collapsed="false" customWidth="true" hidden="false" outlineLevel="0" max="24" min="24" style="0" width="72"/>
  </cols>
  <sheetData>
    <row r="1" customFormat="false" ht="16.15" hidden="false" customHeight="false" outlineLevel="0" collapsed="false">
      <c r="A1" s="8" t="s">
        <v>5122</v>
      </c>
    </row>
    <row r="2" customFormat="false" ht="30" hidden="false" customHeight="true" outlineLevel="0" collapsed="false">
      <c r="A2" s="9" t="s">
        <v>42</v>
      </c>
      <c r="B2" s="9" t="s">
        <v>899</v>
      </c>
      <c r="C2" s="9" t="s">
        <v>1174</v>
      </c>
      <c r="D2" s="9" t="s">
        <v>5123</v>
      </c>
      <c r="E2" s="9" t="s">
        <v>5124</v>
      </c>
      <c r="F2" s="9" t="s">
        <v>965</v>
      </c>
      <c r="G2" s="9" t="s">
        <v>5125</v>
      </c>
      <c r="H2" s="9" t="s">
        <v>5126</v>
      </c>
      <c r="I2" s="9" t="s">
        <v>5127</v>
      </c>
      <c r="J2" s="9" t="s">
        <v>1330</v>
      </c>
      <c r="K2" s="9" t="s">
        <v>5128</v>
      </c>
      <c r="L2" s="9" t="s">
        <v>5129</v>
      </c>
      <c r="M2" s="9" t="s">
        <v>5130</v>
      </c>
      <c r="N2" s="9" t="s">
        <v>4380</v>
      </c>
      <c r="O2" s="9" t="s">
        <v>5131</v>
      </c>
      <c r="P2" s="9" t="s">
        <v>5132</v>
      </c>
      <c r="Q2" s="9" t="s">
        <v>5133</v>
      </c>
      <c r="R2" s="9" t="s">
        <v>5134</v>
      </c>
      <c r="S2" s="9" t="s">
        <v>5135</v>
      </c>
      <c r="T2" s="9" t="s">
        <v>5136</v>
      </c>
      <c r="U2" s="9" t="s">
        <v>5137</v>
      </c>
      <c r="V2" s="9" t="s">
        <v>5138</v>
      </c>
      <c r="W2" s="9" t="s">
        <v>5139</v>
      </c>
      <c r="X2" s="9" t="s">
        <v>3775</v>
      </c>
    </row>
    <row r="3" customFormat="false" ht="27.75" hidden="false" customHeight="true" outlineLevel="0" collapsed="false">
      <c r="A3" s="12" t="s">
        <v>658</v>
      </c>
      <c r="B3" s="12" t="s">
        <v>970</v>
      </c>
      <c r="C3" s="12" t="s">
        <v>980</v>
      </c>
      <c r="D3" s="12" t="s">
        <v>973</v>
      </c>
      <c r="E3" s="12" t="s">
        <v>5140</v>
      </c>
      <c r="F3" s="12" t="s">
        <v>991</v>
      </c>
      <c r="G3" s="12" t="s">
        <v>990</v>
      </c>
      <c r="H3" s="16" t="n">
        <v>9151</v>
      </c>
      <c r="I3" s="27" t="str">
        <f aca="false">IF(F3="NONE","NOT_EXPECTED",IF(G3="N","INDETERMINATE",IF(H3&gt;0,"EXPECTED","NOT_EXPECTED")))</f>
        <v>EXPECTED</v>
      </c>
      <c r="J3" s="12" t="n">
        <v>1</v>
      </c>
      <c r="K3" s="16" t="n">
        <v>9151</v>
      </c>
      <c r="L3" s="27" t="str">
        <f aca="false">IF(AND(I3="EXPECTED",J3=0),"MISSING",IF(AND(I3="NOT_EXPECTED",J3&gt;0),"UNEXPECTED",IF(AND(I3="INDETERMINATE",J3&gt;0),"CAPTURED_NO_PLAN",IF(J3&gt;0,"CAPTURED","NOT_APPLICABLE"))))</f>
        <v>CAPTURED</v>
      </c>
      <c r="M3" s="12" t="s">
        <v>990</v>
      </c>
      <c r="N3" s="12" t="s">
        <v>4399</v>
      </c>
      <c r="O3" s="16" t="n">
        <v>8641</v>
      </c>
      <c r="P3" s="27" t="str">
        <f aca="false">IF(OR(F3="NONE",M3="N"),"NOT_APPLICABLE",IF(N3="","MISSING",IF(N3="ESTIMATED","ESTIMATED","CAPTURED")))</f>
        <v>CAPTURED</v>
      </c>
      <c r="Q3" s="12" t="s">
        <v>990</v>
      </c>
      <c r="R3" s="12" t="s">
        <v>990</v>
      </c>
      <c r="S3" s="12" t="s">
        <v>990</v>
      </c>
      <c r="T3" s="24" t="str">
        <f aca="false">IF(F3="NONE","NOT_APPLICABLE",IF(AND(Q3="Y",R3="Y",S3="Y"),"POSTED",IF(AND(Q3="N",R3="N",S3="N"),"NOT_POSTED","PART_POSTED")))</f>
        <v>POSTED</v>
      </c>
      <c r="U3" s="24" t="n">
        <f aca="false">IF(L3="MISSING",1,0)+IF(P3="MISSING",1,0)+IF(P3="ESTIMATED",1,0)+IF(T3="PART_POSTED",1,0)+IF(AND(T3="NOT_POSTED",F3&lt;&gt;"NONE"),1,0)+IF(L3="UNEXPECTED",1,0)+IF(L3="CAPTURED_NO_PLAN",1,0)</f>
        <v>0</v>
      </c>
      <c r="V3" s="27" t="str">
        <f aca="false">IF(F3="NONE","EXCLUDED",IF(U3=0,"COMPLETE",IF(OR(L3="MISSING",P3="MISSING"),"GAP","ATTENTION")))</f>
        <v>COMPLETE</v>
      </c>
      <c r="W3" s="12" t="n">
        <v>0</v>
      </c>
      <c r="X3" s="46" t="s">
        <v>5141</v>
      </c>
    </row>
    <row r="4" customFormat="false" ht="27.75" hidden="false" customHeight="true" outlineLevel="0" collapsed="false">
      <c r="A4" s="12" t="s">
        <v>664</v>
      </c>
      <c r="B4" s="12" t="s">
        <v>1018</v>
      </c>
      <c r="C4" s="12" t="s">
        <v>1023</v>
      </c>
      <c r="D4" s="12" t="s">
        <v>973</v>
      </c>
      <c r="E4" s="12" t="s">
        <v>5142</v>
      </c>
      <c r="F4" s="12" t="s">
        <v>991</v>
      </c>
      <c r="G4" s="12" t="s">
        <v>990</v>
      </c>
      <c r="H4" s="16" t="n">
        <v>100192</v>
      </c>
      <c r="I4" s="27" t="str">
        <f aca="false">IF(F4="NONE","NOT_EXPECTED",IF(G4="N","INDETERMINATE",IF(H4&gt;0,"EXPECTED","NOT_EXPECTED")))</f>
        <v>EXPECTED</v>
      </c>
      <c r="J4" s="12" t="n">
        <v>2</v>
      </c>
      <c r="K4" s="16" t="n">
        <v>100192</v>
      </c>
      <c r="L4" s="27" t="str">
        <f aca="false">IF(AND(I4="EXPECTED",J4=0),"MISSING",IF(AND(I4="NOT_EXPECTED",J4&gt;0),"UNEXPECTED",IF(AND(I4="INDETERMINATE",J4&gt;0),"CAPTURED_NO_PLAN",IF(J4&gt;0,"CAPTURED","NOT_APPLICABLE"))))</f>
        <v>CAPTURED</v>
      </c>
      <c r="M4" s="12" t="s">
        <v>990</v>
      </c>
      <c r="N4" s="12" t="s">
        <v>4399</v>
      </c>
      <c r="O4" s="16" t="n">
        <v>96992</v>
      </c>
      <c r="P4" s="27" t="str">
        <f aca="false">IF(OR(F4="NONE",M4="N"),"NOT_APPLICABLE",IF(N4="","MISSING",IF(N4="ESTIMATED","ESTIMATED","CAPTURED")))</f>
        <v>CAPTURED</v>
      </c>
      <c r="Q4" s="12" t="s">
        <v>990</v>
      </c>
      <c r="R4" s="12" t="s">
        <v>990</v>
      </c>
      <c r="S4" s="12" t="s">
        <v>990</v>
      </c>
      <c r="T4" s="24" t="str">
        <f aca="false">IF(F4="NONE","NOT_APPLICABLE",IF(AND(Q4="Y",R4="Y",S4="Y"),"POSTED",IF(AND(Q4="N",R4="N",S4="N"),"NOT_POSTED","PART_POSTED")))</f>
        <v>POSTED</v>
      </c>
      <c r="U4" s="24" t="n">
        <f aca="false">IF(L4="MISSING",1,0)+IF(P4="MISSING",1,0)+IF(P4="ESTIMATED",1,0)+IF(T4="PART_POSTED",1,0)+IF(AND(T4="NOT_POSTED",F4&lt;&gt;"NONE"),1,0)+IF(L4="UNEXPECTED",1,0)+IF(L4="CAPTURED_NO_PLAN",1,0)</f>
        <v>0</v>
      </c>
      <c r="V4" s="27" t="str">
        <f aca="false">IF(F4="NONE","EXCLUDED",IF(U4=0,"COMPLETE",IF(OR(L4="MISSING",P4="MISSING"),"GAP","ATTENTION")))</f>
        <v>COMPLETE</v>
      </c>
      <c r="W4" s="12" t="n">
        <v>0</v>
      </c>
      <c r="X4" s="46" t="s">
        <v>5143</v>
      </c>
    </row>
    <row r="5" customFormat="false" ht="27.75" hidden="false" customHeight="true" outlineLevel="0" collapsed="false">
      <c r="A5" s="12" t="s">
        <v>669</v>
      </c>
      <c r="B5" s="12" t="s">
        <v>1063</v>
      </c>
      <c r="C5" s="12" t="s">
        <v>1066</v>
      </c>
      <c r="D5" s="12" t="s">
        <v>1065</v>
      </c>
      <c r="E5" s="12" t="s">
        <v>5140</v>
      </c>
      <c r="F5" s="12" t="s">
        <v>991</v>
      </c>
      <c r="G5" s="12" t="s">
        <v>990</v>
      </c>
      <c r="H5" s="16" t="n">
        <v>0</v>
      </c>
      <c r="I5" s="27" t="str">
        <f aca="false">IF(F5="NONE","NOT_EXPECTED",IF(G5="N","INDETERMINATE",IF(H5&gt;0,"EXPECTED","NOT_EXPECTED")))</f>
        <v>NOT_EXPECTED</v>
      </c>
      <c r="J5" s="12" t="n">
        <v>0</v>
      </c>
      <c r="K5" s="16" t="n">
        <v>0</v>
      </c>
      <c r="L5" s="27" t="str">
        <f aca="false">IF(AND(I5="EXPECTED",J5=0),"MISSING",IF(AND(I5="NOT_EXPECTED",J5&gt;0),"UNEXPECTED",IF(AND(I5="INDETERMINATE",J5&gt;0),"CAPTURED_NO_PLAN",IF(J5&gt;0,"CAPTURED","NOT_APPLICABLE"))))</f>
        <v>NOT_APPLICABLE</v>
      </c>
      <c r="M5" s="12" t="s">
        <v>990</v>
      </c>
      <c r="N5" s="12" t="s">
        <v>4399</v>
      </c>
      <c r="O5" s="16" t="n">
        <v>8420</v>
      </c>
      <c r="P5" s="27" t="str">
        <f aca="false">IF(OR(F5="NONE",M5="N"),"NOT_APPLICABLE",IF(N5="","MISSING",IF(N5="ESTIMATED","ESTIMATED","CAPTURED")))</f>
        <v>CAPTURED</v>
      </c>
      <c r="Q5" s="12" t="s">
        <v>978</v>
      </c>
      <c r="R5" s="12" t="s">
        <v>990</v>
      </c>
      <c r="S5" s="12" t="s">
        <v>990</v>
      </c>
      <c r="T5" s="24" t="str">
        <f aca="false">IF(F5="NONE","NOT_APPLICABLE",IF(AND(Q5="Y",R5="Y",S5="Y"),"POSTED",IF(AND(Q5="N",R5="N",S5="N"),"NOT_POSTED","PART_POSTED")))</f>
        <v>PART_POSTED</v>
      </c>
      <c r="U5" s="24" t="n">
        <f aca="false">IF(L5="MISSING",1,0)+IF(P5="MISSING",1,0)+IF(P5="ESTIMATED",1,0)+IF(T5="PART_POSTED",1,0)+IF(AND(T5="NOT_POSTED",F5&lt;&gt;"NONE"),1,0)+IF(L5="UNEXPECTED",1,0)+IF(L5="CAPTURED_NO_PLAN",1,0)</f>
        <v>1</v>
      </c>
      <c r="V5" s="27" t="str">
        <f aca="false">IF(F5="NONE","EXCLUDED",IF(U5=0,"COMPLETE",IF(OR(L5="MISSING",P5="MISSING"),"GAP","ATTENTION")))</f>
        <v>ATTENTION</v>
      </c>
      <c r="W5" s="12" t="n">
        <v>0</v>
      </c>
      <c r="X5" s="46" t="s">
        <v>5144</v>
      </c>
    </row>
    <row r="6" customFormat="false" ht="27.75" hidden="false" customHeight="true" outlineLevel="0" collapsed="false">
      <c r="A6" s="12" t="s">
        <v>674</v>
      </c>
      <c r="B6" s="12" t="s">
        <v>1109</v>
      </c>
      <c r="C6" s="12" t="s">
        <v>1111</v>
      </c>
      <c r="D6" s="12" t="s">
        <v>1106</v>
      </c>
      <c r="E6" s="12" t="s">
        <v>5140</v>
      </c>
      <c r="F6" s="12" t="s">
        <v>991</v>
      </c>
      <c r="G6" s="12" t="s">
        <v>990</v>
      </c>
      <c r="H6" s="16" t="n">
        <v>9151</v>
      </c>
      <c r="I6" s="27" t="str">
        <f aca="false">IF(F6="NONE","NOT_EXPECTED",IF(G6="N","INDETERMINATE",IF(H6&gt;0,"EXPECTED","NOT_EXPECTED")))</f>
        <v>EXPECTED</v>
      </c>
      <c r="J6" s="12" t="n">
        <v>0</v>
      </c>
      <c r="K6" s="16" t="n">
        <v>0</v>
      </c>
      <c r="L6" s="27" t="str">
        <f aca="false">IF(AND(I6="EXPECTED",J6=0),"MISSING",IF(AND(I6="NOT_EXPECTED",J6&gt;0),"UNEXPECTED",IF(AND(I6="INDETERMINATE",J6&gt;0),"CAPTURED_NO_PLAN",IF(J6&gt;0,"CAPTURED","NOT_APPLICABLE"))))</f>
        <v>MISSING</v>
      </c>
      <c r="M6" s="12" t="s">
        <v>990</v>
      </c>
      <c r="N6" s="12" t="s">
        <v>4399</v>
      </c>
      <c r="O6" s="16" t="n">
        <v>8500</v>
      </c>
      <c r="P6" s="27" t="str">
        <f aca="false">IF(OR(F6="NONE",M6="N"),"NOT_APPLICABLE",IF(N6="","MISSING",IF(N6="ESTIMATED","ESTIMATED","CAPTURED")))</f>
        <v>CAPTURED</v>
      </c>
      <c r="Q6" s="12" t="s">
        <v>978</v>
      </c>
      <c r="R6" s="12" t="s">
        <v>990</v>
      </c>
      <c r="S6" s="12" t="s">
        <v>990</v>
      </c>
      <c r="T6" s="24" t="str">
        <f aca="false">IF(F6="NONE","NOT_APPLICABLE",IF(AND(Q6="Y",R6="Y",S6="Y"),"POSTED",IF(AND(Q6="N",R6="N",S6="N"),"NOT_POSTED","PART_POSTED")))</f>
        <v>PART_POSTED</v>
      </c>
      <c r="U6" s="24" t="n">
        <f aca="false">IF(L6="MISSING",1,0)+IF(P6="MISSING",1,0)+IF(P6="ESTIMATED",1,0)+IF(T6="PART_POSTED",1,0)+IF(AND(T6="NOT_POSTED",F6&lt;&gt;"NONE"),1,0)+IF(L6="UNEXPECTED",1,0)+IF(L6="CAPTURED_NO_PLAN",1,0)</f>
        <v>2</v>
      </c>
      <c r="V6" s="27" t="str">
        <f aca="false">IF(F6="NONE","EXCLUDED",IF(U6=0,"COMPLETE",IF(OR(L6="MISSING",P6="MISSING"),"GAP","ATTENTION")))</f>
        <v>GAP</v>
      </c>
      <c r="W6" s="12" t="n">
        <v>6</v>
      </c>
      <c r="X6" s="46" t="s">
        <v>5145</v>
      </c>
    </row>
    <row r="7" customFormat="false" ht="27.75" hidden="false" customHeight="true" outlineLevel="0" collapsed="false">
      <c r="A7" s="12" t="s">
        <v>679</v>
      </c>
      <c r="B7" s="12" t="s">
        <v>1122</v>
      </c>
      <c r="C7" s="12" t="s">
        <v>1124</v>
      </c>
      <c r="D7" s="12" t="s">
        <v>1119</v>
      </c>
      <c r="E7" s="12" t="s">
        <v>5140</v>
      </c>
      <c r="F7" s="12" t="s">
        <v>991</v>
      </c>
      <c r="G7" s="12" t="s">
        <v>990</v>
      </c>
      <c r="H7" s="16" t="n">
        <v>9151</v>
      </c>
      <c r="I7" s="27" t="str">
        <f aca="false">IF(F7="NONE","NOT_EXPECTED",IF(G7="N","INDETERMINATE",IF(H7&gt;0,"EXPECTED","NOT_EXPECTED")))</f>
        <v>EXPECTED</v>
      </c>
      <c r="J7" s="12" t="n">
        <v>1</v>
      </c>
      <c r="K7" s="16" t="n">
        <v>9151</v>
      </c>
      <c r="L7" s="27" t="str">
        <f aca="false">IF(AND(I7="EXPECTED",J7=0),"MISSING",IF(AND(I7="NOT_EXPECTED",J7&gt;0),"UNEXPECTED",IF(AND(I7="INDETERMINATE",J7&gt;0),"CAPTURED_NO_PLAN",IF(J7&gt;0,"CAPTURED","NOT_APPLICABLE"))))</f>
        <v>CAPTURED</v>
      </c>
      <c r="M7" s="12" t="s">
        <v>990</v>
      </c>
      <c r="N7" s="12"/>
      <c r="O7" s="16" t="n">
        <v>0</v>
      </c>
      <c r="P7" s="27" t="str">
        <f aca="false">IF(OR(F7="NONE",M7="N"),"NOT_APPLICABLE",IF(N7="","MISSING",IF(N7="ESTIMATED","ESTIMATED","CAPTURED")))</f>
        <v>MISSING</v>
      </c>
      <c r="Q7" s="12" t="s">
        <v>990</v>
      </c>
      <c r="R7" s="12" t="s">
        <v>978</v>
      </c>
      <c r="S7" s="12" t="s">
        <v>978</v>
      </c>
      <c r="T7" s="24" t="str">
        <f aca="false">IF(F7="NONE","NOT_APPLICABLE",IF(AND(Q7="Y",R7="Y",S7="Y"),"POSTED",IF(AND(Q7="N",R7="N",S7="N"),"NOT_POSTED","PART_POSTED")))</f>
        <v>PART_POSTED</v>
      </c>
      <c r="U7" s="24" t="n">
        <f aca="false">IF(L7="MISSING",1,0)+IF(P7="MISSING",1,0)+IF(P7="ESTIMATED",1,0)+IF(T7="PART_POSTED",1,0)+IF(AND(T7="NOT_POSTED",F7&lt;&gt;"NONE"),1,0)+IF(L7="UNEXPECTED",1,0)+IF(L7="CAPTURED_NO_PLAN",1,0)</f>
        <v>2</v>
      </c>
      <c r="V7" s="27" t="str">
        <f aca="false">IF(F7="NONE","EXCLUDED",IF(U7=0,"COMPLETE",IF(OR(L7="MISSING",P7="MISSING"),"GAP","ATTENTION")))</f>
        <v>GAP</v>
      </c>
      <c r="W7" s="12" t="n">
        <v>5</v>
      </c>
      <c r="X7" s="46" t="s">
        <v>5146</v>
      </c>
    </row>
    <row r="8" customFormat="false" ht="27.75" hidden="false" customHeight="true" outlineLevel="0" collapsed="false">
      <c r="A8" s="12" t="s">
        <v>684</v>
      </c>
      <c r="B8" s="12" t="s">
        <v>1068</v>
      </c>
      <c r="C8" s="12" t="s">
        <v>1070</v>
      </c>
      <c r="D8" s="12" t="s">
        <v>1065</v>
      </c>
      <c r="E8" s="12" t="s">
        <v>5140</v>
      </c>
      <c r="F8" s="12" t="s">
        <v>991</v>
      </c>
      <c r="G8" s="12" t="s">
        <v>990</v>
      </c>
      <c r="H8" s="16" t="n">
        <v>10051</v>
      </c>
      <c r="I8" s="27" t="str">
        <f aca="false">IF(F8="NONE","NOT_EXPECTED",IF(G8="N","INDETERMINATE",IF(H8&gt;0,"EXPECTED","NOT_EXPECTED")))</f>
        <v>EXPECTED</v>
      </c>
      <c r="J8" s="12" t="n">
        <v>1</v>
      </c>
      <c r="K8" s="16" t="n">
        <v>10051</v>
      </c>
      <c r="L8" s="27" t="str">
        <f aca="false">IF(AND(I8="EXPECTED",J8=0),"MISSING",IF(AND(I8="NOT_EXPECTED",J8&gt;0),"UNEXPECTED",IF(AND(I8="INDETERMINATE",J8&gt;0),"CAPTURED_NO_PLAN",IF(J8&gt;0,"CAPTURED","NOT_APPLICABLE"))))</f>
        <v>CAPTURED</v>
      </c>
      <c r="M8" s="12" t="s">
        <v>990</v>
      </c>
      <c r="N8" s="12" t="s">
        <v>1072</v>
      </c>
      <c r="O8" s="16" t="n">
        <v>8420</v>
      </c>
      <c r="P8" s="27" t="str">
        <f aca="false">IF(OR(F8="NONE",M8="N"),"NOT_APPLICABLE",IF(N8="","MISSING",IF(N8="ESTIMATED","ESTIMATED","CAPTURED")))</f>
        <v>ESTIMATED</v>
      </c>
      <c r="Q8" s="12" t="s">
        <v>990</v>
      </c>
      <c r="R8" s="12" t="s">
        <v>978</v>
      </c>
      <c r="S8" s="12" t="s">
        <v>990</v>
      </c>
      <c r="T8" s="24" t="str">
        <f aca="false">IF(F8="NONE","NOT_APPLICABLE",IF(AND(Q8="Y",R8="Y",S8="Y"),"POSTED",IF(AND(Q8="N",R8="N",S8="N"),"NOT_POSTED","PART_POSTED")))</f>
        <v>PART_POSTED</v>
      </c>
      <c r="U8" s="24" t="n">
        <f aca="false">IF(L8="MISSING",1,0)+IF(P8="MISSING",1,0)+IF(P8="ESTIMATED",1,0)+IF(T8="PART_POSTED",1,0)+IF(AND(T8="NOT_POSTED",F8&lt;&gt;"NONE"),1,0)+IF(L8="UNEXPECTED",1,0)+IF(L8="CAPTURED_NO_PLAN",1,0)</f>
        <v>2</v>
      </c>
      <c r="V8" s="27" t="str">
        <f aca="false">IF(F8="NONE","EXCLUDED",IF(U8=0,"COMPLETE",IF(OR(L8="MISSING",P8="MISSING"),"GAP","ATTENTION")))</f>
        <v>ATTENTION</v>
      </c>
      <c r="W8" s="12" t="n">
        <v>4</v>
      </c>
      <c r="X8" s="46" t="s">
        <v>5147</v>
      </c>
    </row>
    <row r="9" customFormat="false" ht="27.75" hidden="false" customHeight="true" outlineLevel="0" collapsed="false">
      <c r="A9" s="12" t="s">
        <v>689</v>
      </c>
      <c r="B9" s="12" t="s">
        <v>1036</v>
      </c>
      <c r="C9" s="12" t="s">
        <v>1038</v>
      </c>
      <c r="D9" s="12" t="s">
        <v>1032</v>
      </c>
      <c r="E9" s="12" t="s">
        <v>5140</v>
      </c>
      <c r="F9" s="12" t="s">
        <v>991</v>
      </c>
      <c r="G9" s="12" t="s">
        <v>990</v>
      </c>
      <c r="H9" s="16" t="n">
        <v>9151</v>
      </c>
      <c r="I9" s="27" t="str">
        <f aca="false">IF(F9="NONE","NOT_EXPECTED",IF(G9="N","INDETERMINATE",IF(H9&gt;0,"EXPECTED","NOT_EXPECTED")))</f>
        <v>EXPECTED</v>
      </c>
      <c r="J9" s="12" t="n">
        <v>1</v>
      </c>
      <c r="K9" s="16" t="n">
        <v>9151</v>
      </c>
      <c r="L9" s="27" t="str">
        <f aca="false">IF(AND(I9="EXPECTED",J9=0),"MISSING",IF(AND(I9="NOT_EXPECTED",J9&gt;0),"UNEXPECTED",IF(AND(I9="INDETERMINATE",J9&gt;0),"CAPTURED_NO_PLAN",IF(J9&gt;0,"CAPTURED","NOT_APPLICABLE"))))</f>
        <v>CAPTURED</v>
      </c>
      <c r="M9" s="12" t="s">
        <v>978</v>
      </c>
      <c r="N9" s="12"/>
      <c r="O9" s="16" t="n">
        <v>0</v>
      </c>
      <c r="P9" s="27" t="str">
        <f aca="false">IF(OR(F9="NONE",M9="N"),"NOT_APPLICABLE",IF(N9="","MISSING",IF(N9="ESTIMATED","ESTIMATED","CAPTURED")))</f>
        <v>NOT_APPLICABLE</v>
      </c>
      <c r="Q9" s="12" t="s">
        <v>990</v>
      </c>
      <c r="R9" s="12" t="s">
        <v>978</v>
      </c>
      <c r="S9" s="12" t="s">
        <v>978</v>
      </c>
      <c r="T9" s="24" t="str">
        <f aca="false">IF(F9="NONE","NOT_APPLICABLE",IF(AND(Q9="Y",R9="Y",S9="Y"),"POSTED",IF(AND(Q9="N",R9="N",S9="N"),"NOT_POSTED","PART_POSTED")))</f>
        <v>PART_POSTED</v>
      </c>
      <c r="U9" s="24" t="n">
        <f aca="false">IF(L9="MISSING",1,0)+IF(P9="MISSING",1,0)+IF(P9="ESTIMATED",1,0)+IF(T9="PART_POSTED",1,0)+IF(AND(T9="NOT_POSTED",F9&lt;&gt;"NONE"),1,0)+IF(L9="UNEXPECTED",1,0)+IF(L9="CAPTURED_NO_PLAN",1,0)</f>
        <v>1</v>
      </c>
      <c r="V9" s="27" t="str">
        <f aca="false">IF(F9="NONE","EXCLUDED",IF(U9=0,"COMPLETE",IF(OR(L9="MISSING",P9="MISSING"),"GAP","ATTENTION")))</f>
        <v>ATTENTION</v>
      </c>
      <c r="W9" s="12" t="n">
        <v>0</v>
      </c>
      <c r="X9" s="46" t="s">
        <v>5148</v>
      </c>
    </row>
    <row r="10" customFormat="false" ht="27.75" hidden="false" customHeight="true" outlineLevel="0" collapsed="false">
      <c r="A10" s="12" t="s">
        <v>694</v>
      </c>
      <c r="B10" s="12" t="s">
        <v>3879</v>
      </c>
      <c r="C10" s="12" t="s">
        <v>3880</v>
      </c>
      <c r="D10" s="12" t="s">
        <v>5149</v>
      </c>
      <c r="E10" s="12" t="s">
        <v>5140</v>
      </c>
      <c r="F10" s="12" t="s">
        <v>2574</v>
      </c>
      <c r="G10" s="12" t="s">
        <v>978</v>
      </c>
      <c r="H10" s="16" t="n">
        <v>0</v>
      </c>
      <c r="I10" s="27" t="str">
        <f aca="false">IF(F10="NONE","NOT_EXPECTED",IF(G10="N","INDETERMINATE",IF(H10&gt;0,"EXPECTED","NOT_EXPECTED")))</f>
        <v>NOT_EXPECTED</v>
      </c>
      <c r="J10" s="12" t="n">
        <v>0</v>
      </c>
      <c r="K10" s="16" t="n">
        <v>0</v>
      </c>
      <c r="L10" s="27" t="str">
        <f aca="false">IF(AND(I10="EXPECTED",J10=0),"MISSING",IF(AND(I10="NOT_EXPECTED",J10&gt;0),"UNEXPECTED",IF(AND(I10="INDETERMINATE",J10&gt;0),"CAPTURED_NO_PLAN",IF(J10&gt;0,"CAPTURED","NOT_APPLICABLE"))))</f>
        <v>NOT_APPLICABLE</v>
      </c>
      <c r="M10" s="12" t="s">
        <v>990</v>
      </c>
      <c r="N10" s="12"/>
      <c r="O10" s="16" t="n">
        <v>0</v>
      </c>
      <c r="P10" s="27" t="str">
        <f aca="false">IF(OR(F10="NONE",M10="N"),"NOT_APPLICABLE",IF(N10="","MISSING",IF(N10="ESTIMATED","ESTIMATED","CAPTURED")))</f>
        <v>NOT_APPLICABLE</v>
      </c>
      <c r="Q10" s="12" t="s">
        <v>978</v>
      </c>
      <c r="R10" s="12" t="s">
        <v>978</v>
      </c>
      <c r="S10" s="12" t="s">
        <v>978</v>
      </c>
      <c r="T10" s="24" t="str">
        <f aca="false">IF(F10="NONE","NOT_APPLICABLE",IF(AND(Q10="Y",R10="Y",S10="Y"),"POSTED",IF(AND(Q10="N",R10="N",S10="N"),"NOT_POSTED","PART_POSTED")))</f>
        <v>NOT_APPLICABLE</v>
      </c>
      <c r="U10" s="24" t="n">
        <f aca="false">IF(L10="MISSING",1,0)+IF(P10="MISSING",1,0)+IF(P10="ESTIMATED",1,0)+IF(T10="PART_POSTED",1,0)+IF(AND(T10="NOT_POSTED",F10&lt;&gt;"NONE"),1,0)+IF(L10="UNEXPECTED",1,0)+IF(L10="CAPTURED_NO_PLAN",1,0)</f>
        <v>0</v>
      </c>
      <c r="V10" s="27" t="str">
        <f aca="false">IF(F10="NONE","EXCLUDED",IF(U10=0,"COMPLETE",IF(OR(L10="MISSING",P10="MISSING"),"GAP","ATTENTION")))</f>
        <v>EXCLUDED</v>
      </c>
      <c r="W10" s="12" t="n">
        <v>0</v>
      </c>
      <c r="X10" s="46" t="s">
        <v>5150</v>
      </c>
    </row>
    <row r="11" customFormat="false" ht="27.75" hidden="false" customHeight="true" outlineLevel="0" collapsed="false">
      <c r="A11" s="12" t="s">
        <v>699</v>
      </c>
      <c r="B11" s="12" t="s">
        <v>1077</v>
      </c>
      <c r="C11" s="12" t="s">
        <v>1079</v>
      </c>
      <c r="D11" s="12" t="s">
        <v>1065</v>
      </c>
      <c r="E11" s="12" t="s">
        <v>5142</v>
      </c>
      <c r="F11" s="12" t="s">
        <v>991</v>
      </c>
      <c r="G11" s="12" t="s">
        <v>990</v>
      </c>
      <c r="H11" s="16" t="n">
        <v>100192</v>
      </c>
      <c r="I11" s="27" t="str">
        <f aca="false">IF(F11="NONE","NOT_EXPECTED",IF(G11="N","INDETERMINATE",IF(H11&gt;0,"EXPECTED","NOT_EXPECTED")))</f>
        <v>EXPECTED</v>
      </c>
      <c r="J11" s="12" t="n">
        <v>2</v>
      </c>
      <c r="K11" s="16" t="n">
        <v>124497</v>
      </c>
      <c r="L11" s="27" t="str">
        <f aca="false">IF(AND(I11="EXPECTED",J11=0),"MISSING",IF(AND(I11="NOT_EXPECTED",J11&gt;0),"UNEXPECTED",IF(AND(I11="INDETERMINATE",J11&gt;0),"CAPTURED_NO_PLAN",IF(J11&gt;0,"CAPTURED","NOT_APPLICABLE"))))</f>
        <v>CAPTURED</v>
      </c>
      <c r="M11" s="12" t="s">
        <v>990</v>
      </c>
      <c r="N11" s="12" t="s">
        <v>4399</v>
      </c>
      <c r="O11" s="16" t="n">
        <v>118200</v>
      </c>
      <c r="P11" s="27" t="str">
        <f aca="false">IF(OR(F11="NONE",M11="N"),"NOT_APPLICABLE",IF(N11="","MISSING",IF(N11="ESTIMATED","ESTIMATED","CAPTURED")))</f>
        <v>CAPTURED</v>
      </c>
      <c r="Q11" s="12" t="s">
        <v>978</v>
      </c>
      <c r="R11" s="12" t="s">
        <v>990</v>
      </c>
      <c r="S11" s="12" t="s">
        <v>990</v>
      </c>
      <c r="T11" s="24" t="str">
        <f aca="false">IF(F11="NONE","NOT_APPLICABLE",IF(AND(Q11="Y",R11="Y",S11="Y"),"POSTED",IF(AND(Q11="N",R11="N",S11="N"),"NOT_POSTED","PART_POSTED")))</f>
        <v>PART_POSTED</v>
      </c>
      <c r="U11" s="24" t="n">
        <f aca="false">IF(L11="MISSING",1,0)+IF(P11="MISSING",1,0)+IF(P11="ESTIMATED",1,0)+IF(T11="PART_POSTED",1,0)+IF(AND(T11="NOT_POSTED",F11&lt;&gt;"NONE"),1,0)+IF(L11="UNEXPECTED",1,0)+IF(L11="CAPTURED_NO_PLAN",1,0)</f>
        <v>1</v>
      </c>
      <c r="V11" s="27" t="str">
        <f aca="false">IF(F11="NONE","EXCLUDED",IF(U11=0,"COMPLETE",IF(OR(L11="MISSING",P11="MISSING"),"GAP","ATTENTION")))</f>
        <v>ATTENTION</v>
      </c>
      <c r="W11" s="12" t="n">
        <v>8</v>
      </c>
      <c r="X11" s="46" t="s">
        <v>5151</v>
      </c>
    </row>
    <row r="12" customFormat="false" ht="27.75" hidden="false" customHeight="true" outlineLevel="0" collapsed="false">
      <c r="A12" s="12" t="s">
        <v>704</v>
      </c>
      <c r="B12" s="12" t="s">
        <v>4038</v>
      </c>
      <c r="C12" s="12" t="s">
        <v>5152</v>
      </c>
      <c r="D12" s="12" t="s">
        <v>5153</v>
      </c>
      <c r="E12" s="12" t="s">
        <v>5154</v>
      </c>
      <c r="F12" s="12" t="s">
        <v>991</v>
      </c>
      <c r="G12" s="12" t="s">
        <v>978</v>
      </c>
      <c r="H12" s="16" t="n">
        <v>0</v>
      </c>
      <c r="I12" s="27" t="str">
        <f aca="false">IF(F12="NONE","NOT_EXPECTED",IF(G12="N","INDETERMINATE",IF(H12&gt;0,"EXPECTED","NOT_EXPECTED")))</f>
        <v>INDETERMINATE</v>
      </c>
      <c r="J12" s="12" t="n">
        <v>1</v>
      </c>
      <c r="K12" s="16" t="n">
        <v>3400</v>
      </c>
      <c r="L12" s="27" t="str">
        <f aca="false">IF(AND(I12="EXPECTED",J12=0),"MISSING",IF(AND(I12="NOT_EXPECTED",J12&gt;0),"UNEXPECTED",IF(AND(I12="INDETERMINATE",J12&gt;0),"CAPTURED_NO_PLAN",IF(J12&gt;0,"CAPTURED","NOT_APPLICABLE"))))</f>
        <v>CAPTURED_NO_PLAN</v>
      </c>
      <c r="M12" s="12" t="s">
        <v>990</v>
      </c>
      <c r="N12" s="12" t="s">
        <v>4399</v>
      </c>
      <c r="O12" s="16" t="n">
        <v>3100</v>
      </c>
      <c r="P12" s="27" t="str">
        <f aca="false">IF(OR(F12="NONE",M12="N"),"NOT_APPLICABLE",IF(N12="","MISSING",IF(N12="ESTIMATED","ESTIMATED","CAPTURED")))</f>
        <v>CAPTURED</v>
      </c>
      <c r="Q12" s="12" t="s">
        <v>990</v>
      </c>
      <c r="R12" s="12" t="s">
        <v>990</v>
      </c>
      <c r="S12" s="12" t="s">
        <v>990</v>
      </c>
      <c r="T12" s="24" t="str">
        <f aca="false">IF(F12="NONE","NOT_APPLICABLE",IF(AND(Q12="Y",R12="Y",S12="Y"),"POSTED",IF(AND(Q12="N",R12="N",S12="N"),"NOT_POSTED","PART_POSTED")))</f>
        <v>POSTED</v>
      </c>
      <c r="U12" s="24" t="n">
        <f aca="false">IF(L12="MISSING",1,0)+IF(P12="MISSING",1,0)+IF(P12="ESTIMATED",1,0)+IF(T12="PART_POSTED",1,0)+IF(AND(T12="NOT_POSTED",F12&lt;&gt;"NONE"),1,0)+IF(L12="UNEXPECTED",1,0)+IF(L12="CAPTURED_NO_PLAN",1,0)</f>
        <v>1</v>
      </c>
      <c r="V12" s="27" t="str">
        <f aca="false">IF(F12="NONE","EXCLUDED",IF(U12=0,"COMPLETE",IF(OR(L12="MISSING",P12="MISSING"),"GAP","ATTENTION")))</f>
        <v>ATTENTION</v>
      </c>
      <c r="W12" s="12" t="n">
        <v>2</v>
      </c>
      <c r="X12" s="46" t="s">
        <v>5155</v>
      </c>
    </row>
    <row r="15" customFormat="false" ht="16.15" hidden="false" customHeight="false" outlineLevel="0" collapsed="false">
      <c r="A15" s="8" t="s">
        <v>5156</v>
      </c>
    </row>
    <row r="16" customFormat="false" ht="15" hidden="false" customHeight="false" outlineLevel="0" collapsed="false">
      <c r="A16" s="17" t="s">
        <v>5157</v>
      </c>
      <c r="B16" s="17" t="s">
        <v>5127</v>
      </c>
      <c r="C16" s="17" t="s">
        <v>5158</v>
      </c>
    </row>
    <row r="17" customFormat="false" ht="25.5" hidden="false" customHeight="true" outlineLevel="0" collapsed="false">
      <c r="A17" s="11" t="s">
        <v>5159</v>
      </c>
      <c r="B17" s="18" t="s">
        <v>5160</v>
      </c>
      <c r="C17" s="11" t="s">
        <v>5161</v>
      </c>
    </row>
    <row r="18" customFormat="false" ht="25.5" hidden="false" customHeight="true" outlineLevel="0" collapsed="false">
      <c r="A18" s="11" t="s">
        <v>5162</v>
      </c>
      <c r="B18" s="18" t="s">
        <v>5163</v>
      </c>
      <c r="C18" s="11" t="s">
        <v>5164</v>
      </c>
    </row>
    <row r="19" customFormat="false" ht="25.5" hidden="false" customHeight="true" outlineLevel="0" collapsed="false">
      <c r="A19" s="11" t="s">
        <v>5165</v>
      </c>
      <c r="B19" s="18" t="s">
        <v>5160</v>
      </c>
      <c r="C19" s="11" t="s">
        <v>5166</v>
      </c>
    </row>
    <row r="20" customFormat="false" ht="25.5" hidden="false" customHeight="true" outlineLevel="0" collapsed="false">
      <c r="A20" s="11" t="s">
        <v>5167</v>
      </c>
      <c r="B20" s="18" t="s">
        <v>5168</v>
      </c>
      <c r="C20" s="11" t="s">
        <v>5169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3" min="3" style="0" width="9"/>
    <col collapsed="false" customWidth="true" hidden="false" outlineLevel="0" max="4" min="4" style="0" width="22"/>
    <col collapsed="false" customWidth="true" hidden="false" outlineLevel="0" max="5" min="5" style="0" width="23"/>
    <col collapsed="false" customWidth="true" hidden="false" outlineLevel="0" max="6" min="6" style="0" width="19"/>
    <col collapsed="false" customWidth="true" hidden="false" outlineLevel="0" max="7" min="7" style="0" width="14"/>
    <col collapsed="false" customWidth="true" hidden="false" outlineLevel="0" max="8" min="8" style="0" width="18"/>
    <col collapsed="false" customWidth="true" hidden="false" outlineLevel="0" max="9" min="9" style="0" width="17"/>
    <col collapsed="false" customWidth="true" hidden="false" outlineLevel="0" max="10" min="10" style="0" width="19"/>
    <col collapsed="false" customWidth="true" hidden="false" outlineLevel="0" max="11" min="11" style="0" width="18"/>
    <col collapsed="false" customWidth="true" hidden="false" outlineLevel="0" max="12" min="12" style="0" width="17"/>
    <col collapsed="false" customWidth="true" hidden="false" outlineLevel="0" max="14" min="13" style="0" width="18"/>
    <col collapsed="false" customWidth="true" hidden="false" outlineLevel="0" max="15" min="15" style="0" width="16"/>
    <col collapsed="false" customWidth="true" hidden="false" outlineLevel="0" max="16" min="16" style="0" width="22"/>
    <col collapsed="false" customWidth="true" hidden="false" outlineLevel="0" max="19" min="17" style="0" width="17"/>
    <col collapsed="false" customWidth="true" hidden="false" outlineLevel="0" max="20" min="20" style="0" width="13"/>
    <col collapsed="false" customWidth="true" hidden="false" outlineLevel="0" max="21" min="21" style="0" width="74"/>
  </cols>
  <sheetData>
    <row r="1" customFormat="false" ht="16.15" hidden="false" customHeight="false" outlineLevel="0" collapsed="false">
      <c r="A1" s="8" t="s">
        <v>5170</v>
      </c>
    </row>
    <row r="2" customFormat="false" ht="30" hidden="false" customHeight="true" outlineLevel="0" collapsed="false">
      <c r="A2" s="9" t="s">
        <v>42</v>
      </c>
      <c r="B2" s="9" t="s">
        <v>1174</v>
      </c>
      <c r="C2" s="9" t="s">
        <v>5171</v>
      </c>
      <c r="D2" s="9" t="s">
        <v>5172</v>
      </c>
      <c r="E2" s="9" t="s">
        <v>5173</v>
      </c>
      <c r="F2" s="9" t="s">
        <v>5174</v>
      </c>
      <c r="G2" s="9" t="s">
        <v>5175</v>
      </c>
      <c r="H2" s="9" t="s">
        <v>5176</v>
      </c>
      <c r="I2" s="9" t="s">
        <v>5177</v>
      </c>
      <c r="J2" s="9" t="s">
        <v>5178</v>
      </c>
      <c r="K2" s="9" t="s">
        <v>5179</v>
      </c>
      <c r="L2" s="9" t="s">
        <v>5180</v>
      </c>
      <c r="M2" s="9" t="s">
        <v>5181</v>
      </c>
      <c r="N2" s="9" t="s">
        <v>5182</v>
      </c>
      <c r="O2" s="9" t="s">
        <v>5183</v>
      </c>
      <c r="P2" s="9" t="s">
        <v>5184</v>
      </c>
      <c r="Q2" s="9" t="s">
        <v>5185</v>
      </c>
      <c r="R2" s="9" t="s">
        <v>5186</v>
      </c>
      <c r="S2" s="9" t="s">
        <v>1453</v>
      </c>
      <c r="T2" s="9" t="s">
        <v>5187</v>
      </c>
      <c r="U2" s="9" t="s">
        <v>3775</v>
      </c>
    </row>
    <row r="3" customFormat="false" ht="27.75" hidden="false" customHeight="true" outlineLevel="0" collapsed="false">
      <c r="A3" s="12" t="s">
        <v>709</v>
      </c>
      <c r="B3" s="12" t="s">
        <v>980</v>
      </c>
      <c r="C3" s="12" t="s">
        <v>5188</v>
      </c>
      <c r="D3" s="12" t="s">
        <v>5189</v>
      </c>
      <c r="E3" s="12" t="s">
        <v>5190</v>
      </c>
      <c r="F3" s="12" t="s">
        <v>980</v>
      </c>
      <c r="G3" s="54" t="n">
        <v>11251</v>
      </c>
      <c r="H3" s="54" t="n">
        <v>11251</v>
      </c>
      <c r="I3" s="54" t="n">
        <v>11240</v>
      </c>
      <c r="J3" s="54" t="n">
        <v>0</v>
      </c>
      <c r="K3" s="54" t="n">
        <v>0</v>
      </c>
      <c r="L3" s="54" t="n">
        <v>0</v>
      </c>
      <c r="M3" s="55" t="n">
        <f aca="false">IF(D3="AIRBORNE_AT_CUTOFF","",G3-H3)</f>
        <v>0</v>
      </c>
      <c r="N3" s="55" t="n">
        <f aca="false">IF(OR(D3="AIRBORNE_AT_CUTOFF",I3=0),"",H3-I3)</f>
        <v>11</v>
      </c>
      <c r="O3" s="55" t="n">
        <f aca="false">IF(OR(D3="AIRBORNE_AT_CUTOFF",I3=0),"",G3-I3)</f>
        <v>11</v>
      </c>
      <c r="P3" s="55" t="n">
        <f aca="false">IF(D3="AIRBORNE_AT_CUTOFF","",-J3+K3+L3)</f>
        <v>0</v>
      </c>
      <c r="Q3" s="56" t="n">
        <f aca="false">IF(O3="","",ROUND(O3-P3,1))</f>
        <v>11</v>
      </c>
      <c r="R3" s="26" t="n">
        <f aca="false">IF(OR(Q3="",I3=0),"",Q3/I3)</f>
        <v>0.00097864768683274</v>
      </c>
      <c r="S3" s="27" t="str">
        <f aca="false">IF(D3="AIRBORNE_AT_CUTOFF","EXCLUDED_NO_GAUGE",IF(ABS(Q3)&gt;MAX(50,0.005*I3),"UNEXPLAINED",IF(ABS(P3)&gt;MAX(50,0.005*I3),"TIMING_ONLY","RECONCILED")))</f>
        <v>RECONCILED</v>
      </c>
      <c r="T3" s="12" t="s">
        <v>3320</v>
      </c>
      <c r="U3" s="46" t="s">
        <v>5191</v>
      </c>
    </row>
    <row r="4" customFormat="false" ht="27.75" hidden="false" customHeight="true" outlineLevel="0" collapsed="false">
      <c r="A4" s="12" t="s">
        <v>715</v>
      </c>
      <c r="B4" s="12" t="s">
        <v>996</v>
      </c>
      <c r="C4" s="12" t="s">
        <v>5188</v>
      </c>
      <c r="D4" s="12" t="s">
        <v>5189</v>
      </c>
      <c r="E4" s="12" t="s">
        <v>5192</v>
      </c>
      <c r="F4" s="12" t="s">
        <v>996</v>
      </c>
      <c r="G4" s="54" t="n">
        <v>2050</v>
      </c>
      <c r="H4" s="54" t="n">
        <v>11535</v>
      </c>
      <c r="I4" s="54" t="n">
        <v>11520</v>
      </c>
      <c r="J4" s="54" t="n">
        <v>9485</v>
      </c>
      <c r="K4" s="54" t="n">
        <v>0</v>
      </c>
      <c r="L4" s="54" t="n">
        <v>0</v>
      </c>
      <c r="M4" s="55" t="n">
        <f aca="false">IF(D4="AIRBORNE_AT_CUTOFF","",G4-H4)</f>
        <v>-9485</v>
      </c>
      <c r="N4" s="55" t="n">
        <f aca="false">IF(OR(D4="AIRBORNE_AT_CUTOFF",I4=0),"",H4-I4)</f>
        <v>15</v>
      </c>
      <c r="O4" s="55" t="n">
        <f aca="false">IF(OR(D4="AIRBORNE_AT_CUTOFF",I4=0),"",G4-I4)</f>
        <v>-9470</v>
      </c>
      <c r="P4" s="55" t="n">
        <f aca="false">IF(D4="AIRBORNE_AT_CUTOFF","",-J4+K4+L4)</f>
        <v>-9485</v>
      </c>
      <c r="Q4" s="56" t="n">
        <f aca="false">IF(O4="","",ROUND(O4-P4,1))</f>
        <v>15</v>
      </c>
      <c r="R4" s="26" t="n">
        <f aca="false">IF(OR(Q4="",I4=0),"",Q4/I4)</f>
        <v>0.00130208333333333</v>
      </c>
      <c r="S4" s="27" t="str">
        <f aca="false">IF(D4="AIRBORNE_AT_CUTOFF","EXCLUDED_NO_GAUGE",IF(ABS(Q4)&gt;MAX(50,0.005*I4),"UNEXPLAINED",IF(ABS(P4)&gt;MAX(50,0.005*I4),"TIMING_ONLY","RECONCILED")))</f>
        <v>TIMING_ONLY</v>
      </c>
      <c r="T4" s="12" t="s">
        <v>5193</v>
      </c>
      <c r="U4" s="46" t="s">
        <v>5194</v>
      </c>
    </row>
    <row r="5" customFormat="false" ht="27.75" hidden="false" customHeight="true" outlineLevel="0" collapsed="false">
      <c r="A5" s="12" t="s">
        <v>720</v>
      </c>
      <c r="B5" s="12" t="s">
        <v>1111</v>
      </c>
      <c r="C5" s="12" t="s">
        <v>5188</v>
      </c>
      <c r="D5" s="12" t="s">
        <v>5189</v>
      </c>
      <c r="E5" s="12" t="s">
        <v>5195</v>
      </c>
      <c r="F5" s="12" t="s">
        <v>1111</v>
      </c>
      <c r="G5" s="54" t="n">
        <v>11251</v>
      </c>
      <c r="H5" s="54" t="n">
        <v>2751</v>
      </c>
      <c r="I5" s="54" t="n">
        <v>2740</v>
      </c>
      <c r="J5" s="54" t="n">
        <v>0</v>
      </c>
      <c r="K5" s="54" t="n">
        <v>8300</v>
      </c>
      <c r="L5" s="54" t="n">
        <v>200</v>
      </c>
      <c r="M5" s="55" t="n">
        <f aca="false">IF(D5="AIRBORNE_AT_CUTOFF","",G5-H5)</f>
        <v>8500</v>
      </c>
      <c r="N5" s="55" t="n">
        <f aca="false">IF(OR(D5="AIRBORNE_AT_CUTOFF",I5=0),"",H5-I5)</f>
        <v>11</v>
      </c>
      <c r="O5" s="55" t="n">
        <f aca="false">IF(OR(D5="AIRBORNE_AT_CUTOFF",I5=0),"",G5-I5)</f>
        <v>8511</v>
      </c>
      <c r="P5" s="55" t="n">
        <f aca="false">IF(D5="AIRBORNE_AT_CUTOFF","",-J5+K5+L5)</f>
        <v>8500</v>
      </c>
      <c r="Q5" s="56" t="n">
        <f aca="false">IF(O5="","",ROUND(O5-P5,1))</f>
        <v>11</v>
      </c>
      <c r="R5" s="26" t="n">
        <f aca="false">IF(OR(Q5="",I5=0),"",Q5/I5)</f>
        <v>0.00401459854014599</v>
      </c>
      <c r="S5" s="27" t="str">
        <f aca="false">IF(D5="AIRBORNE_AT_CUTOFF","EXCLUDED_NO_GAUGE",IF(ABS(Q5)&gt;MAX(50,0.005*I5),"UNEXPLAINED",IF(ABS(P5)&gt;MAX(50,0.005*I5),"TIMING_ONLY","RECONCILED")))</f>
        <v>TIMING_ONLY</v>
      </c>
      <c r="T5" s="12" t="s">
        <v>5196</v>
      </c>
      <c r="U5" s="46" t="s">
        <v>5197</v>
      </c>
    </row>
    <row r="6" customFormat="false" ht="27.75" hidden="false" customHeight="true" outlineLevel="0" collapsed="false">
      <c r="A6" s="12" t="s">
        <v>725</v>
      </c>
      <c r="B6" s="12" t="s">
        <v>1066</v>
      </c>
      <c r="C6" s="12" t="s">
        <v>5188</v>
      </c>
      <c r="D6" s="12" t="s">
        <v>5189</v>
      </c>
      <c r="E6" s="12" t="s">
        <v>5198</v>
      </c>
      <c r="F6" s="12" t="s">
        <v>1066</v>
      </c>
      <c r="G6" s="54" t="n">
        <v>11886</v>
      </c>
      <c r="H6" s="54" t="n">
        <v>11886</v>
      </c>
      <c r="I6" s="54" t="n">
        <v>11286</v>
      </c>
      <c r="J6" s="54" t="n">
        <v>0</v>
      </c>
      <c r="K6" s="54" t="n">
        <v>0</v>
      </c>
      <c r="L6" s="54" t="n">
        <v>0</v>
      </c>
      <c r="M6" s="55" t="n">
        <f aca="false">IF(D6="AIRBORNE_AT_CUTOFF","",G6-H6)</f>
        <v>0</v>
      </c>
      <c r="N6" s="55" t="n">
        <f aca="false">IF(OR(D6="AIRBORNE_AT_CUTOFF",I6=0),"",H6-I6)</f>
        <v>600</v>
      </c>
      <c r="O6" s="55" t="n">
        <f aca="false">IF(OR(D6="AIRBORNE_AT_CUTOFF",I6=0),"",G6-I6)</f>
        <v>600</v>
      </c>
      <c r="P6" s="55" t="n">
        <f aca="false">IF(D6="AIRBORNE_AT_CUTOFF","",-J6+K6+L6)</f>
        <v>0</v>
      </c>
      <c r="Q6" s="56" t="n">
        <f aca="false">IF(O6="","",ROUND(O6-P6,1))</f>
        <v>600</v>
      </c>
      <c r="R6" s="26" t="n">
        <f aca="false">IF(OR(Q6="",I6=0),"",Q6/I6)</f>
        <v>0.0531632110579479</v>
      </c>
      <c r="S6" s="27" t="str">
        <f aca="false">IF(D6="AIRBORNE_AT_CUTOFF","EXCLUDED_NO_GAUGE",IF(ABS(Q6)&gt;MAX(50,0.005*I6),"UNEXPLAINED",IF(ABS(P6)&gt;MAX(50,0.005*I6),"TIMING_ONLY","RECONCILED")))</f>
        <v>UNEXPLAINED</v>
      </c>
      <c r="T6" s="12" t="s">
        <v>5199</v>
      </c>
      <c r="U6" s="46" t="s">
        <v>5200</v>
      </c>
    </row>
    <row r="7" customFormat="false" ht="27.75" hidden="false" customHeight="true" outlineLevel="0" collapsed="false">
      <c r="A7" s="12" t="s">
        <v>730</v>
      </c>
      <c r="B7" s="12" t="s">
        <v>1023</v>
      </c>
      <c r="C7" s="12" t="s">
        <v>5188</v>
      </c>
      <c r="D7" s="12" t="s">
        <v>5189</v>
      </c>
      <c r="E7" s="12" t="s">
        <v>5201</v>
      </c>
      <c r="F7" s="12" t="s">
        <v>1023</v>
      </c>
      <c r="G7" s="54" t="n">
        <v>105392</v>
      </c>
      <c r="H7" s="54" t="n">
        <v>105392</v>
      </c>
      <c r="I7" s="54" t="n">
        <v>105100</v>
      </c>
      <c r="J7" s="54" t="n">
        <v>0</v>
      </c>
      <c r="K7" s="54" t="n">
        <v>0</v>
      </c>
      <c r="L7" s="54" t="n">
        <v>0</v>
      </c>
      <c r="M7" s="55" t="n">
        <f aca="false">IF(D7="AIRBORNE_AT_CUTOFF","",G7-H7)</f>
        <v>0</v>
      </c>
      <c r="N7" s="55" t="n">
        <f aca="false">IF(OR(D7="AIRBORNE_AT_CUTOFF",I7=0),"",H7-I7)</f>
        <v>292</v>
      </c>
      <c r="O7" s="55" t="n">
        <f aca="false">IF(OR(D7="AIRBORNE_AT_CUTOFF",I7=0),"",G7-I7)</f>
        <v>292</v>
      </c>
      <c r="P7" s="55" t="n">
        <f aca="false">IF(D7="AIRBORNE_AT_CUTOFF","",-J7+K7+L7)</f>
        <v>0</v>
      </c>
      <c r="Q7" s="56" t="n">
        <f aca="false">IF(O7="","",ROUND(O7-P7,1))</f>
        <v>292</v>
      </c>
      <c r="R7" s="26" t="n">
        <f aca="false">IF(OR(Q7="",I7=0),"",Q7/I7)</f>
        <v>0.00277830637488107</v>
      </c>
      <c r="S7" s="27" t="str">
        <f aca="false">IF(D7="AIRBORNE_AT_CUTOFF","EXCLUDED_NO_GAUGE",IF(ABS(Q7)&gt;MAX(50,0.005*I7),"UNEXPLAINED",IF(ABS(P7)&gt;MAX(50,0.005*I7),"TIMING_ONLY","RECONCILED")))</f>
        <v>RECONCILED</v>
      </c>
      <c r="T7" s="12" t="s">
        <v>3320</v>
      </c>
      <c r="U7" s="46" t="s">
        <v>5202</v>
      </c>
    </row>
    <row r="8" customFormat="false" ht="27.75" hidden="false" customHeight="true" outlineLevel="0" collapsed="false">
      <c r="A8" s="12" t="s">
        <v>735</v>
      </c>
      <c r="B8" s="12" t="s">
        <v>1075</v>
      </c>
      <c r="C8" s="12" t="s">
        <v>5188</v>
      </c>
      <c r="D8" s="12" t="s">
        <v>5203</v>
      </c>
      <c r="E8" s="12"/>
      <c r="F8" s="12" t="s">
        <v>1075</v>
      </c>
      <c r="G8" s="54" t="n">
        <v>11190</v>
      </c>
      <c r="H8" s="54" t="n">
        <v>11190</v>
      </c>
      <c r="I8" s="54" t="n">
        <v>0</v>
      </c>
      <c r="J8" s="54" t="n">
        <v>0</v>
      </c>
      <c r="K8" s="54" t="n">
        <v>0</v>
      </c>
      <c r="L8" s="54" t="n">
        <v>0</v>
      </c>
      <c r="M8" s="55" t="str">
        <f aca="false">IF(D8="AIRBORNE_AT_CUTOFF","",G8-H8)</f>
        <v/>
      </c>
      <c r="N8" s="55" t="str">
        <f aca="false">IF(OR(D8="AIRBORNE_AT_CUTOFF",I8=0),"",H8-I8)</f>
        <v/>
      </c>
      <c r="O8" s="55" t="str">
        <f aca="false">IF(OR(D8="AIRBORNE_AT_CUTOFF",I8=0),"",G8-I8)</f>
        <v/>
      </c>
      <c r="P8" s="55" t="str">
        <f aca="false">IF(D8="AIRBORNE_AT_CUTOFF","",-J8+K8+L8)</f>
        <v/>
      </c>
      <c r="Q8" s="56" t="str">
        <f aca="false">IF(O8="","",ROUND(O8-P8,1))</f>
        <v/>
      </c>
      <c r="R8" s="26" t="str">
        <f aca="false">IF(OR(Q8="",I8=0),"",Q8/I8)</f>
        <v/>
      </c>
      <c r="S8" s="27" t="str">
        <f aca="false">IF(D8="AIRBORNE_AT_CUTOFF","EXCLUDED_NO_GAUGE",IF(ABS(Q8)&gt;MAX(50,0.005*I8),"UNEXPLAINED",IF(ABS(P8)&gt;MAX(50,0.005*I8),"TIMING_ONLY","RECONCILED")))</f>
        <v>EXCLUDED_NO_GAUGE</v>
      </c>
      <c r="T8" s="12" t="s">
        <v>5204</v>
      </c>
      <c r="U8" s="46" t="s">
        <v>5205</v>
      </c>
    </row>
    <row r="9" customFormat="false" ht="27.75" hidden="false" customHeight="true" outlineLevel="0" collapsed="false">
      <c r="A9" s="12" t="s">
        <v>740</v>
      </c>
      <c r="B9" s="12" t="s">
        <v>1138</v>
      </c>
      <c r="C9" s="12" t="s">
        <v>5188</v>
      </c>
      <c r="D9" s="12" t="s">
        <v>5189</v>
      </c>
      <c r="E9" s="12" t="s">
        <v>5206</v>
      </c>
      <c r="F9" s="12" t="s">
        <v>1138</v>
      </c>
      <c r="G9" s="54" t="n">
        <v>2100</v>
      </c>
      <c r="H9" s="54" t="n">
        <v>11694</v>
      </c>
      <c r="I9" s="54" t="n">
        <v>11680</v>
      </c>
      <c r="J9" s="54" t="n">
        <v>9594</v>
      </c>
      <c r="K9" s="54" t="n">
        <v>0</v>
      </c>
      <c r="L9" s="54" t="n">
        <v>0</v>
      </c>
      <c r="M9" s="55" t="n">
        <f aca="false">IF(D9="AIRBORNE_AT_CUTOFF","",G9-H9)</f>
        <v>-9594</v>
      </c>
      <c r="N9" s="55" t="n">
        <f aca="false">IF(OR(D9="AIRBORNE_AT_CUTOFF",I9=0),"",H9-I9)</f>
        <v>14</v>
      </c>
      <c r="O9" s="55" t="n">
        <f aca="false">IF(OR(D9="AIRBORNE_AT_CUTOFF",I9=0),"",G9-I9)</f>
        <v>-9580</v>
      </c>
      <c r="P9" s="55" t="n">
        <f aca="false">IF(D9="AIRBORNE_AT_CUTOFF","",-J9+K9+L9)</f>
        <v>-9594</v>
      </c>
      <c r="Q9" s="56" t="n">
        <f aca="false">IF(O9="","",ROUND(O9-P9,1))</f>
        <v>14</v>
      </c>
      <c r="R9" s="26" t="n">
        <f aca="false">IF(OR(Q9="",I9=0),"",Q9/I9)</f>
        <v>0.0011986301369863</v>
      </c>
      <c r="S9" s="27" t="str">
        <f aca="false">IF(D9="AIRBORNE_AT_CUTOFF","EXCLUDED_NO_GAUGE",IF(ABS(Q9)&gt;MAX(50,0.005*I9),"UNEXPLAINED",IF(ABS(P9)&gt;MAX(50,0.005*I9),"TIMING_ONLY","RECONCILED")))</f>
        <v>TIMING_ONLY</v>
      </c>
      <c r="T9" s="12" t="s">
        <v>5193</v>
      </c>
      <c r="U9" s="46" t="s">
        <v>5207</v>
      </c>
    </row>
    <row r="12" customFormat="false" ht="16.15" hidden="false" customHeight="false" outlineLevel="0" collapsed="false">
      <c r="A12" s="8" t="s">
        <v>5208</v>
      </c>
    </row>
    <row r="13" customFormat="false" ht="15" hidden="false" customHeight="false" outlineLevel="0" collapsed="false">
      <c r="A13" s="17" t="s">
        <v>5209</v>
      </c>
      <c r="B13" s="17" t="s">
        <v>5210</v>
      </c>
      <c r="C13" s="17" t="s">
        <v>4991</v>
      </c>
    </row>
    <row r="14" customFormat="false" ht="30" hidden="false" customHeight="true" outlineLevel="0" collapsed="false">
      <c r="A14" s="18" t="s">
        <v>5211</v>
      </c>
      <c r="B14" s="11" t="s">
        <v>5212</v>
      </c>
      <c r="C14" s="11" t="s">
        <v>5213</v>
      </c>
    </row>
    <row r="15" customFormat="false" ht="30" hidden="false" customHeight="true" outlineLevel="0" collapsed="false">
      <c r="A15" s="18" t="s">
        <v>5214</v>
      </c>
      <c r="B15" s="11" t="s">
        <v>5215</v>
      </c>
      <c r="C15" s="11" t="s">
        <v>5216</v>
      </c>
    </row>
    <row r="16" customFormat="false" ht="30" hidden="false" customHeight="true" outlineLevel="0" collapsed="false">
      <c r="A16" s="18" t="s">
        <v>5217</v>
      </c>
      <c r="B16" s="11" t="s">
        <v>5218</v>
      </c>
      <c r="C16" s="11" t="s">
        <v>5219</v>
      </c>
    </row>
    <row r="19" customFormat="false" ht="16.15" hidden="false" customHeight="false" outlineLevel="0" collapsed="false">
      <c r="A19" s="8" t="s">
        <v>5220</v>
      </c>
    </row>
    <row r="20" customFormat="false" ht="15" hidden="false" customHeight="false" outlineLevel="0" collapsed="false">
      <c r="A20" s="17" t="s">
        <v>2782</v>
      </c>
      <c r="B20" s="17" t="s">
        <v>5221</v>
      </c>
      <c r="C20" s="17" t="s">
        <v>5222</v>
      </c>
    </row>
    <row r="21" customFormat="false" ht="30" hidden="false" customHeight="true" outlineLevel="0" collapsed="false">
      <c r="A21" s="18" t="s">
        <v>5223</v>
      </c>
      <c r="B21" s="11" t="s">
        <v>5224</v>
      </c>
      <c r="C21" s="11" t="s">
        <v>5225</v>
      </c>
    </row>
    <row r="22" customFormat="false" ht="30" hidden="false" customHeight="true" outlineLevel="0" collapsed="false">
      <c r="A22" s="18" t="s">
        <v>5226</v>
      </c>
      <c r="B22" s="11" t="s">
        <v>5227</v>
      </c>
      <c r="C22" s="11" t="s">
        <v>5228</v>
      </c>
    </row>
    <row r="23" customFormat="false" ht="30" hidden="false" customHeight="true" outlineLevel="0" collapsed="false">
      <c r="A23" s="18" t="s">
        <v>5229</v>
      </c>
      <c r="B23" s="11" t="s">
        <v>5230</v>
      </c>
      <c r="C23" s="11" t="s">
        <v>5231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22"/>
    <col collapsed="false" customWidth="true" hidden="false" outlineLevel="0" max="4" min="4" style="0" width="9"/>
    <col collapsed="false" customWidth="true" hidden="false" outlineLevel="0" max="5" min="5" style="0" width="10"/>
    <col collapsed="false" customWidth="true" hidden="false" outlineLevel="0" max="8" min="6" style="0" width="12"/>
    <col collapsed="false" customWidth="true" hidden="false" outlineLevel="0" max="9" min="9" style="0" width="13"/>
    <col collapsed="false" customWidth="true" hidden="false" outlineLevel="0" max="10" min="10" style="0" width="15"/>
    <col collapsed="false" customWidth="true" hidden="false" outlineLevel="0" max="11" min="11" style="0" width="11"/>
    <col collapsed="false" customWidth="true" hidden="false" outlineLevel="0" max="12" min="12" style="0" width="9"/>
    <col collapsed="false" customWidth="true" hidden="false" outlineLevel="0" max="14" min="13" style="0" width="14"/>
    <col collapsed="false" customWidth="true" hidden="false" outlineLevel="0" max="15" min="15" style="0" width="15"/>
    <col collapsed="false" customWidth="true" hidden="false" outlineLevel="0" max="16" min="16" style="0" width="20"/>
    <col collapsed="false" customWidth="true" hidden="false" outlineLevel="0" max="17" min="17" style="0" width="11"/>
    <col collapsed="false" customWidth="true" hidden="false" outlineLevel="0" max="18" min="18" style="0" width="60"/>
  </cols>
  <sheetData>
    <row r="1" customFormat="false" ht="16.15" hidden="false" customHeight="false" outlineLevel="0" collapsed="false">
      <c r="A1" s="8" t="s">
        <v>5232</v>
      </c>
    </row>
    <row r="2" customFormat="false" ht="30" hidden="false" customHeight="true" outlineLevel="0" collapsed="false">
      <c r="A2" s="9" t="s">
        <v>5233</v>
      </c>
      <c r="B2" s="9" t="s">
        <v>5234</v>
      </c>
      <c r="C2" s="9" t="s">
        <v>5235</v>
      </c>
      <c r="D2" s="9" t="s">
        <v>5236</v>
      </c>
      <c r="E2" s="9" t="s">
        <v>5237</v>
      </c>
      <c r="F2" s="9" t="s">
        <v>5238</v>
      </c>
      <c r="G2" s="9" t="s">
        <v>5239</v>
      </c>
      <c r="H2" s="9" t="s">
        <v>5240</v>
      </c>
      <c r="I2" s="9" t="s">
        <v>5241</v>
      </c>
      <c r="J2" s="9" t="s">
        <v>5242</v>
      </c>
      <c r="K2" s="9" t="s">
        <v>5243</v>
      </c>
      <c r="L2" s="9" t="s">
        <v>5244</v>
      </c>
      <c r="M2" s="9" t="s">
        <v>5245</v>
      </c>
      <c r="N2" s="9" t="s">
        <v>5246</v>
      </c>
      <c r="O2" s="9" t="s">
        <v>5247</v>
      </c>
      <c r="P2" s="9" t="s">
        <v>5248</v>
      </c>
      <c r="Q2" s="9" t="s">
        <v>2327</v>
      </c>
      <c r="R2" s="9" t="s">
        <v>3775</v>
      </c>
    </row>
    <row r="3" customFormat="false" ht="15" hidden="false" customHeight="false" outlineLevel="0" collapsed="false">
      <c r="A3" s="12" t="s">
        <v>5249</v>
      </c>
      <c r="B3" s="12" t="s">
        <v>5250</v>
      </c>
      <c r="C3" s="12" t="s">
        <v>5251</v>
      </c>
      <c r="D3" s="12" t="s">
        <v>5252</v>
      </c>
      <c r="E3" s="12" t="s">
        <v>1472</v>
      </c>
      <c r="F3" s="12" t="s">
        <v>5253</v>
      </c>
      <c r="G3" s="58" t="n">
        <v>782.5</v>
      </c>
      <c r="H3" s="58" t="n">
        <v>778.25</v>
      </c>
      <c r="I3" s="59" t="n">
        <f aca="false">IF(OR(G3="",H3=""),"",ROUND((G3+H3)/2,4))</f>
        <v>780.375</v>
      </c>
      <c r="J3" s="12" t="s">
        <v>2349</v>
      </c>
      <c r="K3" s="12" t="s">
        <v>5254</v>
      </c>
      <c r="L3" s="12" t="s">
        <v>5255</v>
      </c>
      <c r="M3" s="12" t="s">
        <v>5256</v>
      </c>
      <c r="N3" s="15" t="s">
        <v>978</v>
      </c>
      <c r="O3" s="58"/>
      <c r="P3" s="12"/>
      <c r="Q3" s="15" t="s">
        <v>1197</v>
      </c>
      <c r="R3" s="46"/>
    </row>
    <row r="4" customFormat="false" ht="15" hidden="false" customHeight="false" outlineLevel="0" collapsed="false">
      <c r="A4" s="12" t="s">
        <v>5257</v>
      </c>
      <c r="B4" s="12" t="s">
        <v>5250</v>
      </c>
      <c r="C4" s="12" t="s">
        <v>5251</v>
      </c>
      <c r="D4" s="12" t="s">
        <v>5252</v>
      </c>
      <c r="E4" s="12" t="s">
        <v>1472</v>
      </c>
      <c r="F4" s="12" t="s">
        <v>5258</v>
      </c>
      <c r="G4" s="58" t="n">
        <v>785</v>
      </c>
      <c r="H4" s="58" t="n">
        <v>780.5</v>
      </c>
      <c r="I4" s="59" t="n">
        <f aca="false">IF(OR(G4="",H4=""),"",ROUND((G4+H4)/2,4))</f>
        <v>782.75</v>
      </c>
      <c r="J4" s="12" t="s">
        <v>2349</v>
      </c>
      <c r="K4" s="12" t="s">
        <v>5254</v>
      </c>
      <c r="L4" s="12" t="s">
        <v>5255</v>
      </c>
      <c r="M4" s="12" t="s">
        <v>5256</v>
      </c>
      <c r="N4" s="15" t="s">
        <v>978</v>
      </c>
      <c r="O4" s="58"/>
      <c r="P4" s="12"/>
      <c r="Q4" s="15" t="s">
        <v>1197</v>
      </c>
      <c r="R4" s="46"/>
    </row>
    <row r="5" customFormat="false" ht="15" hidden="false" customHeight="false" outlineLevel="0" collapsed="false">
      <c r="A5" s="12" t="s">
        <v>5259</v>
      </c>
      <c r="B5" s="12" t="s">
        <v>5250</v>
      </c>
      <c r="C5" s="12" t="s">
        <v>5251</v>
      </c>
      <c r="D5" s="12" t="s">
        <v>5252</v>
      </c>
      <c r="E5" s="12" t="s">
        <v>1472</v>
      </c>
      <c r="F5" s="12" t="s">
        <v>973</v>
      </c>
      <c r="G5" s="58" t="n">
        <v>788.75</v>
      </c>
      <c r="H5" s="58" t="n">
        <v>783.25</v>
      </c>
      <c r="I5" s="59" t="n">
        <f aca="false">IF(OR(G5="",H5=""),"",ROUND((G5+H5)/2,4))</f>
        <v>786</v>
      </c>
      <c r="J5" s="12" t="s">
        <v>2349</v>
      </c>
      <c r="K5" s="12" t="s">
        <v>5254</v>
      </c>
      <c r="L5" s="12" t="s">
        <v>5255</v>
      </c>
      <c r="M5" s="12" t="s">
        <v>5256</v>
      </c>
      <c r="N5" s="15" t="s">
        <v>978</v>
      </c>
      <c r="O5" s="58"/>
      <c r="P5" s="12"/>
      <c r="Q5" s="15" t="s">
        <v>1197</v>
      </c>
      <c r="R5" s="46"/>
    </row>
    <row r="6" customFormat="false" ht="15" hidden="false" customHeight="false" outlineLevel="0" collapsed="false">
      <c r="A6" s="12" t="s">
        <v>5260</v>
      </c>
      <c r="B6" s="12" t="s">
        <v>5250</v>
      </c>
      <c r="C6" s="12" t="s">
        <v>5251</v>
      </c>
      <c r="D6" s="12" t="s">
        <v>5252</v>
      </c>
      <c r="E6" s="12" t="s">
        <v>1472</v>
      </c>
      <c r="F6" s="12" t="s">
        <v>1032</v>
      </c>
      <c r="G6" s="58" t="n">
        <v>790</v>
      </c>
      <c r="H6" s="58" t="n">
        <v>785</v>
      </c>
      <c r="I6" s="59" t="n">
        <f aca="false">IF(OR(G6="",H6=""),"",ROUND((G6+H6)/2,4))</f>
        <v>787.5</v>
      </c>
      <c r="J6" s="12" t="s">
        <v>2349</v>
      </c>
      <c r="K6" s="12" t="s">
        <v>5254</v>
      </c>
      <c r="L6" s="12" t="s">
        <v>1637</v>
      </c>
      <c r="M6" s="12" t="s">
        <v>5261</v>
      </c>
      <c r="N6" s="15" t="s">
        <v>978</v>
      </c>
      <c r="O6" s="58"/>
      <c r="P6" s="12"/>
      <c r="Q6" s="15" t="s">
        <v>1197</v>
      </c>
      <c r="R6" s="46" t="s">
        <v>5262</v>
      </c>
    </row>
    <row r="7" customFormat="false" ht="15" hidden="false" customHeight="false" outlineLevel="0" collapsed="false">
      <c r="A7" s="12" t="s">
        <v>5263</v>
      </c>
      <c r="B7" s="12" t="s">
        <v>5250</v>
      </c>
      <c r="C7" s="12" t="s">
        <v>5251</v>
      </c>
      <c r="D7" s="12" t="s">
        <v>5252</v>
      </c>
      <c r="E7" s="12" t="s">
        <v>1472</v>
      </c>
      <c r="F7" s="12" t="s">
        <v>1065</v>
      </c>
      <c r="G7" s="58"/>
      <c r="H7" s="58"/>
      <c r="I7" s="59" t="str">
        <f aca="false">IF(OR(G7="",H7=""),"",ROUND((G7+H7)/2,4))</f>
        <v/>
      </c>
      <c r="J7" s="12" t="s">
        <v>2349</v>
      </c>
      <c r="K7" s="12" t="s">
        <v>5254</v>
      </c>
      <c r="L7" s="12" t="s">
        <v>5255</v>
      </c>
      <c r="M7" s="12" t="s">
        <v>5256</v>
      </c>
      <c r="N7" s="15" t="s">
        <v>978</v>
      </c>
      <c r="O7" s="58"/>
      <c r="P7" s="12"/>
      <c r="Q7" s="15" t="s">
        <v>5264</v>
      </c>
      <c r="R7" s="46" t="s">
        <v>5265</v>
      </c>
    </row>
    <row r="8" customFormat="false" ht="15" hidden="false" customHeight="false" outlineLevel="0" collapsed="false">
      <c r="A8" s="12" t="s">
        <v>5266</v>
      </c>
      <c r="B8" s="12" t="s">
        <v>5250</v>
      </c>
      <c r="C8" s="12" t="s">
        <v>5251</v>
      </c>
      <c r="D8" s="12" t="s">
        <v>5252</v>
      </c>
      <c r="E8" s="12" t="s">
        <v>1472</v>
      </c>
      <c r="F8" s="12" t="s">
        <v>1091</v>
      </c>
      <c r="G8" s="58"/>
      <c r="H8" s="58"/>
      <c r="I8" s="59" t="str">
        <f aca="false">IF(OR(G8="",H8=""),"",ROUND((G8+H8)/2,4))</f>
        <v/>
      </c>
      <c r="J8" s="12" t="s">
        <v>2349</v>
      </c>
      <c r="K8" s="12" t="s">
        <v>5254</v>
      </c>
      <c r="L8" s="12" t="s">
        <v>5255</v>
      </c>
      <c r="M8" s="12" t="s">
        <v>5256</v>
      </c>
      <c r="N8" s="15" t="s">
        <v>978</v>
      </c>
      <c r="O8" s="58"/>
      <c r="P8" s="12"/>
      <c r="Q8" s="15" t="s">
        <v>5264</v>
      </c>
      <c r="R8" s="46" t="s">
        <v>5267</v>
      </c>
    </row>
    <row r="9" customFormat="false" ht="15" hidden="false" customHeight="false" outlineLevel="0" collapsed="false">
      <c r="A9" s="12" t="s">
        <v>5268</v>
      </c>
      <c r="B9" s="12" t="s">
        <v>5250</v>
      </c>
      <c r="C9" s="12" t="s">
        <v>5251</v>
      </c>
      <c r="D9" s="12" t="s">
        <v>5252</v>
      </c>
      <c r="E9" s="12" t="s">
        <v>1472</v>
      </c>
      <c r="F9" s="12" t="s">
        <v>1106</v>
      </c>
      <c r="G9" s="58" t="n">
        <v>792.25</v>
      </c>
      <c r="H9" s="58" t="n">
        <v>787.75</v>
      </c>
      <c r="I9" s="59" t="n">
        <f aca="false">IF(OR(G9="",H9=""),"",ROUND((G9+H9)/2,4))</f>
        <v>790</v>
      </c>
      <c r="J9" s="12" t="s">
        <v>2349</v>
      </c>
      <c r="K9" s="12" t="s">
        <v>5254</v>
      </c>
      <c r="L9" s="12" t="s">
        <v>5255</v>
      </c>
      <c r="M9" s="12" t="s">
        <v>5256</v>
      </c>
      <c r="N9" s="15" t="s">
        <v>990</v>
      </c>
      <c r="O9" s="58" t="n">
        <v>789</v>
      </c>
      <c r="P9" s="12" t="s">
        <v>5269</v>
      </c>
      <c r="Q9" s="15" t="s">
        <v>1197</v>
      </c>
      <c r="R9" s="46" t="s">
        <v>5270</v>
      </c>
    </row>
    <row r="10" customFormat="false" ht="15" hidden="false" customHeight="false" outlineLevel="0" collapsed="false">
      <c r="A10" s="12" t="s">
        <v>5271</v>
      </c>
      <c r="B10" s="12" t="s">
        <v>5272</v>
      </c>
      <c r="C10" s="12" t="s">
        <v>5273</v>
      </c>
      <c r="D10" s="12" t="s">
        <v>5274</v>
      </c>
      <c r="E10" s="12" t="s">
        <v>1472</v>
      </c>
      <c r="F10" s="12" t="s">
        <v>973</v>
      </c>
      <c r="G10" s="58" t="n">
        <v>771</v>
      </c>
      <c r="H10" s="58" t="n">
        <v>766.5</v>
      </c>
      <c r="I10" s="59" t="n">
        <f aca="false">IF(OR(G10="",H10=""),"",ROUND((G10+H10)/2,4))</f>
        <v>768.75</v>
      </c>
      <c r="J10" s="12" t="s">
        <v>2349</v>
      </c>
      <c r="K10" s="12" t="s">
        <v>5254</v>
      </c>
      <c r="L10" s="12" t="s">
        <v>5255</v>
      </c>
      <c r="M10" s="12" t="s">
        <v>5256</v>
      </c>
      <c r="N10" s="15" t="s">
        <v>978</v>
      </c>
      <c r="O10" s="58"/>
      <c r="P10" s="12"/>
      <c r="Q10" s="15" t="s">
        <v>1197</v>
      </c>
      <c r="R10" s="46" t="s">
        <v>5275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42"/>
    <col collapsed="false" customWidth="true" hidden="false" outlineLevel="0" max="4" min="4" style="0" width="15"/>
    <col collapsed="false" customWidth="true" hidden="false" outlineLevel="0" max="5" min="5" style="0" width="18"/>
    <col collapsed="false" customWidth="true" hidden="false" outlineLevel="0" max="6" min="6" style="0" width="12"/>
    <col collapsed="false" customWidth="true" hidden="false" outlineLevel="0" max="7" min="7" style="0" width="22"/>
    <col collapsed="false" customWidth="true" hidden="false" outlineLevel="0" max="9" min="8" style="0" width="17"/>
    <col collapsed="false" customWidth="true" hidden="false" outlineLevel="0" max="10" min="10" style="0" width="16"/>
    <col collapsed="false" customWidth="true" hidden="false" outlineLevel="0" max="11" min="11" style="0" width="19"/>
    <col collapsed="false" customWidth="true" hidden="false" outlineLevel="0" max="12" min="12" style="0" width="11"/>
    <col collapsed="false" customWidth="true" hidden="false" outlineLevel="0" max="13" min="13" style="0" width="22"/>
    <col collapsed="false" customWidth="true" hidden="false" outlineLevel="0" max="14" min="14" style="0" width="20"/>
    <col collapsed="false" customWidth="true" hidden="false" outlineLevel="0" max="15" min="15" style="0" width="11"/>
    <col collapsed="false" customWidth="true" hidden="false" outlineLevel="0" max="16" min="16" style="0" width="15"/>
    <col collapsed="false" customWidth="true" hidden="false" outlineLevel="0" max="17" min="17" style="0" width="11"/>
    <col collapsed="false" customWidth="true" hidden="false" outlineLevel="0" max="18" min="18" style="0" width="15"/>
    <col collapsed="false" customWidth="true" hidden="false" outlineLevel="0" max="19" min="19" style="0" width="16"/>
    <col collapsed="false" customWidth="true" hidden="false" outlineLevel="0" max="20" min="20" style="0" width="20"/>
    <col collapsed="false" customWidth="true" hidden="false" outlineLevel="0" max="21" min="21" style="0" width="18"/>
    <col collapsed="false" customWidth="true" hidden="false" outlineLevel="0" max="22" min="22" style="0" width="16"/>
    <col collapsed="false" customWidth="true" hidden="false" outlineLevel="0" max="24" min="23" style="0" width="11"/>
    <col collapsed="false" customWidth="true" hidden="false" outlineLevel="0" max="25" min="25" style="0" width="9"/>
    <col collapsed="false" customWidth="true" hidden="false" outlineLevel="0" max="26" min="26" style="0" width="62"/>
  </cols>
  <sheetData>
    <row r="1" customFormat="false" ht="16.15" hidden="false" customHeight="false" outlineLevel="0" collapsed="false">
      <c r="A1" s="8" t="s">
        <v>5276</v>
      </c>
    </row>
    <row r="2" customFormat="false" ht="30" hidden="false" customHeight="true" outlineLevel="0" collapsed="false">
      <c r="A2" s="9" t="s">
        <v>5277</v>
      </c>
      <c r="B2" s="9" t="s">
        <v>5278</v>
      </c>
      <c r="C2" s="9" t="s">
        <v>2621</v>
      </c>
      <c r="D2" s="9" t="s">
        <v>5279</v>
      </c>
      <c r="E2" s="9" t="s">
        <v>5280</v>
      </c>
      <c r="F2" s="9" t="s">
        <v>5234</v>
      </c>
      <c r="G2" s="9" t="s">
        <v>5235</v>
      </c>
      <c r="H2" s="9" t="s">
        <v>5281</v>
      </c>
      <c r="I2" s="9" t="s">
        <v>5282</v>
      </c>
      <c r="J2" s="9" t="s">
        <v>5283</v>
      </c>
      <c r="K2" s="9" t="s">
        <v>5284</v>
      </c>
      <c r="L2" s="9" t="s">
        <v>5285</v>
      </c>
      <c r="M2" s="9" t="s">
        <v>5286</v>
      </c>
      <c r="N2" s="9" t="s">
        <v>5287</v>
      </c>
      <c r="O2" s="9" t="s">
        <v>5288</v>
      </c>
      <c r="P2" s="9" t="s">
        <v>5289</v>
      </c>
      <c r="Q2" s="9" t="s">
        <v>5290</v>
      </c>
      <c r="R2" s="9" t="s">
        <v>5291</v>
      </c>
      <c r="S2" s="9" t="s">
        <v>5292</v>
      </c>
      <c r="T2" s="9" t="s">
        <v>5293</v>
      </c>
      <c r="U2" s="9" t="s">
        <v>5294</v>
      </c>
      <c r="V2" s="9" t="s">
        <v>5295</v>
      </c>
      <c r="W2" s="9" t="s">
        <v>2429</v>
      </c>
      <c r="X2" s="9" t="s">
        <v>2430</v>
      </c>
      <c r="Y2" s="9" t="s">
        <v>2327</v>
      </c>
      <c r="Z2" s="9" t="s">
        <v>3775</v>
      </c>
    </row>
    <row r="3" customFormat="false" ht="25.5" hidden="false" customHeight="true" outlineLevel="0" collapsed="false">
      <c r="A3" s="12" t="s">
        <v>5296</v>
      </c>
      <c r="B3" s="12" t="s">
        <v>5297</v>
      </c>
      <c r="C3" s="12" t="s">
        <v>5298</v>
      </c>
      <c r="D3" s="15" t="s">
        <v>5299</v>
      </c>
      <c r="E3" s="12"/>
      <c r="F3" s="12" t="s">
        <v>5250</v>
      </c>
      <c r="G3" s="12" t="s">
        <v>5251</v>
      </c>
      <c r="H3" s="12" t="s">
        <v>5300</v>
      </c>
      <c r="I3" s="15" t="s">
        <v>5301</v>
      </c>
      <c r="J3" s="12"/>
      <c r="K3" s="12" t="s">
        <v>5302</v>
      </c>
      <c r="L3" s="12" t="n">
        <v>0</v>
      </c>
      <c r="M3" s="12" t="s">
        <v>5303</v>
      </c>
      <c r="N3" s="15" t="s">
        <v>2574</v>
      </c>
      <c r="O3" s="12" t="s">
        <v>5254</v>
      </c>
      <c r="P3" s="12" t="s">
        <v>2349</v>
      </c>
      <c r="Q3" s="12" t="s">
        <v>5304</v>
      </c>
      <c r="R3" s="12" t="s">
        <v>2349</v>
      </c>
      <c r="S3" s="12" t="s">
        <v>5305</v>
      </c>
      <c r="T3" s="60"/>
      <c r="U3" s="12" t="n">
        <v>5</v>
      </c>
      <c r="V3" s="12" t="s">
        <v>5306</v>
      </c>
      <c r="W3" s="12" t="s">
        <v>2437</v>
      </c>
      <c r="X3" s="12"/>
      <c r="Y3" s="12" t="s">
        <v>1197</v>
      </c>
      <c r="Z3" s="46" t="s">
        <v>5307</v>
      </c>
    </row>
    <row r="4" customFormat="false" ht="25.5" hidden="false" customHeight="true" outlineLevel="0" collapsed="false">
      <c r="A4" s="12" t="s">
        <v>5308</v>
      </c>
      <c r="B4" s="12" t="s">
        <v>5309</v>
      </c>
      <c r="C4" s="12" t="s">
        <v>5310</v>
      </c>
      <c r="D4" s="15" t="s">
        <v>5299</v>
      </c>
      <c r="E4" s="12"/>
      <c r="F4" s="12" t="s">
        <v>5250</v>
      </c>
      <c r="G4" s="12" t="s">
        <v>5251</v>
      </c>
      <c r="H4" s="12" t="s">
        <v>5300</v>
      </c>
      <c r="I4" s="15" t="s">
        <v>5311</v>
      </c>
      <c r="J4" s="12"/>
      <c r="K4" s="12" t="s">
        <v>5302</v>
      </c>
      <c r="L4" s="12" t="n">
        <v>0</v>
      </c>
      <c r="M4" s="12" t="s">
        <v>5312</v>
      </c>
      <c r="N4" s="15" t="s">
        <v>5313</v>
      </c>
      <c r="O4" s="12" t="s">
        <v>5254</v>
      </c>
      <c r="P4" s="12" t="s">
        <v>2349</v>
      </c>
      <c r="Q4" s="12" t="s">
        <v>5304</v>
      </c>
      <c r="R4" s="12" t="s">
        <v>2349</v>
      </c>
      <c r="S4" s="12" t="s">
        <v>5314</v>
      </c>
      <c r="T4" s="60" t="n">
        <v>0.795</v>
      </c>
      <c r="U4" s="12" t="n">
        <v>5</v>
      </c>
      <c r="V4" s="12" t="s">
        <v>5306</v>
      </c>
      <c r="W4" s="12" t="s">
        <v>2437</v>
      </c>
      <c r="X4" s="12"/>
      <c r="Y4" s="12" t="s">
        <v>1197</v>
      </c>
      <c r="Z4" s="46" t="s">
        <v>5315</v>
      </c>
    </row>
    <row r="5" customFormat="false" ht="25.5" hidden="false" customHeight="true" outlineLevel="0" collapsed="false">
      <c r="A5" s="12" t="s">
        <v>5316</v>
      </c>
      <c r="B5" s="12" t="s">
        <v>5317</v>
      </c>
      <c r="C5" s="12" t="s">
        <v>5318</v>
      </c>
      <c r="D5" s="15" t="s">
        <v>5299</v>
      </c>
      <c r="E5" s="12"/>
      <c r="F5" s="12" t="s">
        <v>5250</v>
      </c>
      <c r="G5" s="12" t="s">
        <v>5251</v>
      </c>
      <c r="H5" s="12" t="s">
        <v>5300</v>
      </c>
      <c r="I5" s="15" t="s">
        <v>5319</v>
      </c>
      <c r="J5" s="12"/>
      <c r="K5" s="12" t="s">
        <v>5320</v>
      </c>
      <c r="L5" s="12" t="n">
        <v>2</v>
      </c>
      <c r="M5" s="12" t="s">
        <v>5303</v>
      </c>
      <c r="N5" s="15" t="s">
        <v>5321</v>
      </c>
      <c r="O5" s="12" t="s">
        <v>5254</v>
      </c>
      <c r="P5" s="12" t="s">
        <v>2349</v>
      </c>
      <c r="Q5" s="12" t="s">
        <v>5304</v>
      </c>
      <c r="R5" s="12" t="s">
        <v>2349</v>
      </c>
      <c r="S5" s="12" t="s">
        <v>5305</v>
      </c>
      <c r="T5" s="60"/>
      <c r="U5" s="12" t="n">
        <v>5</v>
      </c>
      <c r="V5" s="12" t="s">
        <v>5322</v>
      </c>
      <c r="W5" s="12" t="s">
        <v>2437</v>
      </c>
      <c r="X5" s="12"/>
      <c r="Y5" s="12" t="s">
        <v>1197</v>
      </c>
      <c r="Z5" s="46" t="s">
        <v>5323</v>
      </c>
    </row>
    <row r="6" customFormat="false" ht="25.5" hidden="false" customHeight="true" outlineLevel="0" collapsed="false">
      <c r="A6" s="12" t="s">
        <v>5324</v>
      </c>
      <c r="B6" s="12" t="s">
        <v>5325</v>
      </c>
      <c r="C6" s="12" t="s">
        <v>5326</v>
      </c>
      <c r="D6" s="15" t="s">
        <v>5327</v>
      </c>
      <c r="E6" s="12" t="s">
        <v>5328</v>
      </c>
      <c r="F6" s="12"/>
      <c r="G6" s="12"/>
      <c r="H6" s="12"/>
      <c r="I6" s="15"/>
      <c r="J6" s="12"/>
      <c r="K6" s="12" t="s">
        <v>5302</v>
      </c>
      <c r="L6" s="12" t="n">
        <v>0</v>
      </c>
      <c r="M6" s="12"/>
      <c r="N6" s="15" t="s">
        <v>2574</v>
      </c>
      <c r="O6" s="12"/>
      <c r="P6" s="12"/>
      <c r="Q6" s="12" t="s">
        <v>5304</v>
      </c>
      <c r="R6" s="12" t="s">
        <v>2349</v>
      </c>
      <c r="S6" s="12" t="s">
        <v>5305</v>
      </c>
      <c r="T6" s="60"/>
      <c r="U6" s="12" t="n">
        <v>5</v>
      </c>
      <c r="V6" s="12" t="s">
        <v>5306</v>
      </c>
      <c r="W6" s="12" t="s">
        <v>2437</v>
      </c>
      <c r="X6" s="12"/>
      <c r="Y6" s="12" t="s">
        <v>1197</v>
      </c>
      <c r="Z6" s="46" t="s">
        <v>5329</v>
      </c>
    </row>
    <row r="7" customFormat="false" ht="25.5" hidden="false" customHeight="true" outlineLevel="0" collapsed="false">
      <c r="A7" s="12" t="s">
        <v>5330</v>
      </c>
      <c r="B7" s="12" t="s">
        <v>5331</v>
      </c>
      <c r="C7" s="12" t="s">
        <v>5332</v>
      </c>
      <c r="D7" s="15" t="s">
        <v>76</v>
      </c>
      <c r="E7" s="12"/>
      <c r="F7" s="12"/>
      <c r="G7" s="12"/>
      <c r="H7" s="12"/>
      <c r="I7" s="15"/>
      <c r="J7" s="12"/>
      <c r="K7" s="12" t="s">
        <v>5302</v>
      </c>
      <c r="L7" s="12" t="n">
        <v>0</v>
      </c>
      <c r="M7" s="12"/>
      <c r="N7" s="15" t="s">
        <v>2574</v>
      </c>
      <c r="O7" s="12"/>
      <c r="P7" s="12"/>
      <c r="Q7" s="12" t="s">
        <v>5304</v>
      </c>
      <c r="R7" s="12" t="s">
        <v>2349</v>
      </c>
      <c r="S7" s="12" t="s">
        <v>5305</v>
      </c>
      <c r="T7" s="60"/>
      <c r="U7" s="12" t="n">
        <v>4</v>
      </c>
      <c r="V7" s="12" t="s">
        <v>5306</v>
      </c>
      <c r="W7" s="12" t="s">
        <v>2437</v>
      </c>
      <c r="X7" s="12"/>
      <c r="Y7" s="12" t="s">
        <v>1197</v>
      </c>
      <c r="Z7" s="46" t="s">
        <v>5333</v>
      </c>
    </row>
    <row r="8" customFormat="false" ht="25.5" hidden="false" customHeight="true" outlineLevel="0" collapsed="false">
      <c r="A8" s="12" t="s">
        <v>5334</v>
      </c>
      <c r="B8" s="12" t="s">
        <v>5335</v>
      </c>
      <c r="C8" s="12" t="s">
        <v>5336</v>
      </c>
      <c r="D8" s="15" t="s">
        <v>5337</v>
      </c>
      <c r="E8" s="12"/>
      <c r="F8" s="12"/>
      <c r="G8" s="12"/>
      <c r="H8" s="12"/>
      <c r="I8" s="15"/>
      <c r="J8" s="12"/>
      <c r="K8" s="12" t="s">
        <v>5302</v>
      </c>
      <c r="L8" s="12" t="n">
        <v>0</v>
      </c>
      <c r="M8" s="12"/>
      <c r="N8" s="15" t="s">
        <v>2574</v>
      </c>
      <c r="O8" s="12"/>
      <c r="P8" s="12"/>
      <c r="Q8" s="12" t="s">
        <v>5304</v>
      </c>
      <c r="R8" s="12" t="s">
        <v>2349</v>
      </c>
      <c r="S8" s="12" t="s">
        <v>5305</v>
      </c>
      <c r="T8" s="60"/>
      <c r="U8" s="12" t="n">
        <v>5</v>
      </c>
      <c r="V8" s="12" t="s">
        <v>5306</v>
      </c>
      <c r="W8" s="12" t="s">
        <v>2688</v>
      </c>
      <c r="X8" s="12" t="s">
        <v>5338</v>
      </c>
      <c r="Y8" s="12" t="s">
        <v>1197</v>
      </c>
      <c r="Z8" s="46" t="s">
        <v>5339</v>
      </c>
    </row>
    <row r="9" customFormat="false" ht="25.5" hidden="false" customHeight="true" outlineLevel="0" collapsed="false">
      <c r="A9" s="12" t="s">
        <v>5340</v>
      </c>
      <c r="B9" s="12" t="s">
        <v>5341</v>
      </c>
      <c r="C9" s="12" t="s">
        <v>5342</v>
      </c>
      <c r="D9" s="15" t="s">
        <v>5299</v>
      </c>
      <c r="E9" s="12"/>
      <c r="F9" s="12" t="s">
        <v>5250</v>
      </c>
      <c r="G9" s="12" t="s">
        <v>5251</v>
      </c>
      <c r="H9" s="12" t="s">
        <v>5343</v>
      </c>
      <c r="I9" s="15" t="s">
        <v>5344</v>
      </c>
      <c r="J9" s="12" t="n">
        <v>5</v>
      </c>
      <c r="K9" s="12" t="s">
        <v>5302</v>
      </c>
      <c r="L9" s="12" t="n">
        <v>1</v>
      </c>
      <c r="M9" s="12" t="s">
        <v>5312</v>
      </c>
      <c r="N9" s="15" t="s">
        <v>2574</v>
      </c>
      <c r="O9" s="12" t="s">
        <v>5254</v>
      </c>
      <c r="P9" s="12" t="s">
        <v>2349</v>
      </c>
      <c r="Q9" s="12" t="s">
        <v>5304</v>
      </c>
      <c r="R9" s="12" t="s">
        <v>2349</v>
      </c>
      <c r="S9" s="12" t="s">
        <v>5305</v>
      </c>
      <c r="T9" s="60"/>
      <c r="U9" s="12" t="n">
        <v>5</v>
      </c>
      <c r="V9" s="12" t="s">
        <v>5306</v>
      </c>
      <c r="W9" s="12" t="s">
        <v>2437</v>
      </c>
      <c r="X9" s="12"/>
      <c r="Y9" s="12" t="s">
        <v>1197</v>
      </c>
      <c r="Z9" s="46" t="s">
        <v>5345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11"/>
    <col collapsed="false" customWidth="true" hidden="false" outlineLevel="0" max="4" min="4" style="0" width="20"/>
    <col collapsed="false" customWidth="true" hidden="false" outlineLevel="0" max="5" min="5" style="0" width="18"/>
    <col collapsed="false" customWidth="true" hidden="false" outlineLevel="0" max="6" min="6" style="0" width="12"/>
    <col collapsed="false" customWidth="true" hidden="false" outlineLevel="0" max="7" min="7" style="0" width="10"/>
    <col collapsed="false" customWidth="true" hidden="false" outlineLevel="0" max="8" min="8" style="0" width="7"/>
    <col collapsed="false" customWidth="true" hidden="false" outlineLevel="0" max="9" min="9" style="0" width="17"/>
    <col collapsed="false" customWidth="true" hidden="false" outlineLevel="0" max="10" min="10" style="0" width="13"/>
    <col collapsed="false" customWidth="true" hidden="false" outlineLevel="0" max="11" min="11" style="0" width="14"/>
    <col collapsed="false" customWidth="true" hidden="false" outlineLevel="0" max="13" min="12" style="0" width="11"/>
    <col collapsed="false" customWidth="true" hidden="false" outlineLevel="0" max="14" min="14" style="0" width="9"/>
    <col collapsed="false" customWidth="true" hidden="false" outlineLevel="0" max="15" min="15" style="0" width="66"/>
  </cols>
  <sheetData>
    <row r="1" customFormat="false" ht="16.15" hidden="false" customHeight="false" outlineLevel="0" collapsed="false">
      <c r="A1" s="8" t="s">
        <v>5346</v>
      </c>
    </row>
    <row r="2" customFormat="false" ht="30" hidden="false" customHeight="true" outlineLevel="0" collapsed="false">
      <c r="A2" s="9" t="s">
        <v>5347</v>
      </c>
      <c r="B2" s="9" t="s">
        <v>5277</v>
      </c>
      <c r="C2" s="9" t="s">
        <v>5348</v>
      </c>
      <c r="D2" s="9" t="s">
        <v>5349</v>
      </c>
      <c r="E2" s="9" t="s">
        <v>5350</v>
      </c>
      <c r="F2" s="9" t="s">
        <v>5351</v>
      </c>
      <c r="G2" s="9" t="s">
        <v>2333</v>
      </c>
      <c r="H2" s="9" t="s">
        <v>5352</v>
      </c>
      <c r="I2" s="9" t="s">
        <v>5353</v>
      </c>
      <c r="J2" s="9" t="s">
        <v>5354</v>
      </c>
      <c r="K2" s="9" t="s">
        <v>5355</v>
      </c>
      <c r="L2" s="9" t="s">
        <v>2429</v>
      </c>
      <c r="M2" s="9" t="s">
        <v>2430</v>
      </c>
      <c r="N2" s="9" t="s">
        <v>2327</v>
      </c>
      <c r="O2" s="9" t="s">
        <v>3775</v>
      </c>
    </row>
    <row r="3" customFormat="false" ht="15" hidden="false" customHeight="false" outlineLevel="0" collapsed="false">
      <c r="A3" s="12" t="s">
        <v>5356</v>
      </c>
      <c r="B3" s="12" t="s">
        <v>5296</v>
      </c>
      <c r="C3" s="12" t="n">
        <v>10</v>
      </c>
      <c r="D3" s="12" t="s">
        <v>5357</v>
      </c>
      <c r="E3" s="12" t="s">
        <v>5358</v>
      </c>
      <c r="F3" s="61"/>
      <c r="G3" s="12" t="s">
        <v>2349</v>
      </c>
      <c r="H3" s="12" t="s">
        <v>5304</v>
      </c>
      <c r="I3" s="15" t="s">
        <v>5359</v>
      </c>
      <c r="J3" s="15" t="s">
        <v>990</v>
      </c>
      <c r="K3" s="15" t="s">
        <v>5360</v>
      </c>
      <c r="L3" s="12" t="s">
        <v>2437</v>
      </c>
      <c r="M3" s="12"/>
      <c r="N3" s="12" t="s">
        <v>1197</v>
      </c>
      <c r="O3" s="46" t="s">
        <v>5361</v>
      </c>
    </row>
    <row r="4" customFormat="false" ht="15" hidden="false" customHeight="false" outlineLevel="0" collapsed="false">
      <c r="A4" s="12" t="s">
        <v>5362</v>
      </c>
      <c r="B4" s="12" t="s">
        <v>5296</v>
      </c>
      <c r="C4" s="12" t="n">
        <v>20</v>
      </c>
      <c r="D4" s="12" t="s">
        <v>5363</v>
      </c>
      <c r="E4" s="12" t="s">
        <v>5364</v>
      </c>
      <c r="F4" s="61" t="n">
        <v>0.045</v>
      </c>
      <c r="G4" s="12" t="s">
        <v>2349</v>
      </c>
      <c r="H4" s="12" t="s">
        <v>5304</v>
      </c>
      <c r="I4" s="15" t="s">
        <v>5359</v>
      </c>
      <c r="J4" s="15" t="s">
        <v>990</v>
      </c>
      <c r="K4" s="15" t="s">
        <v>5360</v>
      </c>
      <c r="L4" s="12" t="s">
        <v>2437</v>
      </c>
      <c r="M4" s="12"/>
      <c r="N4" s="12" t="s">
        <v>1197</v>
      </c>
      <c r="O4" s="46" t="s">
        <v>5365</v>
      </c>
    </row>
    <row r="5" customFormat="false" ht="15" hidden="false" customHeight="false" outlineLevel="0" collapsed="false">
      <c r="A5" s="12" t="s">
        <v>5366</v>
      </c>
      <c r="B5" s="12" t="s">
        <v>5296</v>
      </c>
      <c r="C5" s="12" t="n">
        <v>30</v>
      </c>
      <c r="D5" s="12" t="s">
        <v>5367</v>
      </c>
      <c r="E5" s="12" t="s">
        <v>5364</v>
      </c>
      <c r="F5" s="61" t="n">
        <v>0.018</v>
      </c>
      <c r="G5" s="12" t="s">
        <v>2349</v>
      </c>
      <c r="H5" s="12" t="s">
        <v>5304</v>
      </c>
      <c r="I5" s="15" t="s">
        <v>5359</v>
      </c>
      <c r="J5" s="15" t="s">
        <v>990</v>
      </c>
      <c r="K5" s="15" t="s">
        <v>5360</v>
      </c>
      <c r="L5" s="12" t="s">
        <v>2437</v>
      </c>
      <c r="M5" s="12"/>
      <c r="N5" s="12" t="s">
        <v>1197</v>
      </c>
      <c r="O5" s="46" t="s">
        <v>5368</v>
      </c>
    </row>
    <row r="6" customFormat="false" ht="15" hidden="false" customHeight="false" outlineLevel="0" collapsed="false">
      <c r="A6" s="12" t="s">
        <v>5369</v>
      </c>
      <c r="B6" s="12" t="s">
        <v>5296</v>
      </c>
      <c r="C6" s="12" t="n">
        <v>40</v>
      </c>
      <c r="D6" s="12" t="s">
        <v>5370</v>
      </c>
      <c r="E6" s="12" t="s">
        <v>5364</v>
      </c>
      <c r="F6" s="61" t="n">
        <v>0.0035</v>
      </c>
      <c r="G6" s="12" t="s">
        <v>2349</v>
      </c>
      <c r="H6" s="12" t="s">
        <v>5304</v>
      </c>
      <c r="I6" s="15" t="s">
        <v>5359</v>
      </c>
      <c r="J6" s="15" t="s">
        <v>990</v>
      </c>
      <c r="K6" s="15" t="s">
        <v>5360</v>
      </c>
      <c r="L6" s="12" t="s">
        <v>2437</v>
      </c>
      <c r="M6" s="12"/>
      <c r="N6" s="12" t="s">
        <v>1197</v>
      </c>
      <c r="O6" s="46" t="s">
        <v>5371</v>
      </c>
    </row>
    <row r="7" customFormat="false" ht="15" hidden="false" customHeight="false" outlineLevel="0" collapsed="false">
      <c r="A7" s="12" t="s">
        <v>5372</v>
      </c>
      <c r="B7" s="12" t="s">
        <v>5308</v>
      </c>
      <c r="C7" s="12" t="n">
        <v>10</v>
      </c>
      <c r="D7" s="12" t="s">
        <v>5357</v>
      </c>
      <c r="E7" s="12" t="s">
        <v>5358</v>
      </c>
      <c r="F7" s="61"/>
      <c r="G7" s="12" t="s">
        <v>2349</v>
      </c>
      <c r="H7" s="12" t="s">
        <v>5304</v>
      </c>
      <c r="I7" s="15" t="s">
        <v>5359</v>
      </c>
      <c r="J7" s="15" t="s">
        <v>990</v>
      </c>
      <c r="K7" s="15" t="s">
        <v>5360</v>
      </c>
      <c r="L7" s="12" t="s">
        <v>2437</v>
      </c>
      <c r="M7" s="12"/>
      <c r="N7" s="12" t="s">
        <v>1197</v>
      </c>
      <c r="O7" s="46"/>
    </row>
    <row r="8" customFormat="false" ht="15" hidden="false" customHeight="false" outlineLevel="0" collapsed="false">
      <c r="A8" s="12" t="s">
        <v>5373</v>
      </c>
      <c r="B8" s="12" t="s">
        <v>5308</v>
      </c>
      <c r="C8" s="12" t="n">
        <v>20</v>
      </c>
      <c r="D8" s="12" t="s">
        <v>5363</v>
      </c>
      <c r="E8" s="12" t="s">
        <v>5364</v>
      </c>
      <c r="F8" s="61" t="n">
        <v>0.052</v>
      </c>
      <c r="G8" s="12" t="s">
        <v>2349</v>
      </c>
      <c r="H8" s="12" t="s">
        <v>5304</v>
      </c>
      <c r="I8" s="15" t="s">
        <v>5359</v>
      </c>
      <c r="J8" s="15" t="s">
        <v>990</v>
      </c>
      <c r="K8" s="15" t="s">
        <v>5360</v>
      </c>
      <c r="L8" s="12" t="s">
        <v>2437</v>
      </c>
      <c r="M8" s="12"/>
      <c r="N8" s="12" t="s">
        <v>1197</v>
      </c>
      <c r="O8" s="46"/>
    </row>
    <row r="9" customFormat="false" ht="15" hidden="false" customHeight="false" outlineLevel="0" collapsed="false">
      <c r="A9" s="12" t="s">
        <v>5374</v>
      </c>
      <c r="B9" s="12" t="s">
        <v>5316</v>
      </c>
      <c r="C9" s="12" t="n">
        <v>10</v>
      </c>
      <c r="D9" s="12" t="s">
        <v>5357</v>
      </c>
      <c r="E9" s="12" t="s">
        <v>5358</v>
      </c>
      <c r="F9" s="61"/>
      <c r="G9" s="12" t="s">
        <v>2349</v>
      </c>
      <c r="H9" s="12" t="s">
        <v>5304</v>
      </c>
      <c r="I9" s="15" t="s">
        <v>5359</v>
      </c>
      <c r="J9" s="15" t="s">
        <v>990</v>
      </c>
      <c r="K9" s="15" t="s">
        <v>5360</v>
      </c>
      <c r="L9" s="12" t="s">
        <v>2437</v>
      </c>
      <c r="M9" s="12"/>
      <c r="N9" s="12" t="s">
        <v>1197</v>
      </c>
      <c r="O9" s="46"/>
    </row>
    <row r="10" customFormat="false" ht="15" hidden="false" customHeight="false" outlineLevel="0" collapsed="false">
      <c r="A10" s="12" t="s">
        <v>5375</v>
      </c>
      <c r="B10" s="12" t="s">
        <v>5316</v>
      </c>
      <c r="C10" s="12" t="n">
        <v>20</v>
      </c>
      <c r="D10" s="12" t="s">
        <v>5363</v>
      </c>
      <c r="E10" s="12" t="s">
        <v>5364</v>
      </c>
      <c r="F10" s="61" t="n">
        <v>0.061</v>
      </c>
      <c r="G10" s="12" t="s">
        <v>2349</v>
      </c>
      <c r="H10" s="12" t="s">
        <v>5304</v>
      </c>
      <c r="I10" s="15" t="s">
        <v>5359</v>
      </c>
      <c r="J10" s="15" t="s">
        <v>990</v>
      </c>
      <c r="K10" s="15" t="s">
        <v>5360</v>
      </c>
      <c r="L10" s="12" t="s">
        <v>2437</v>
      </c>
      <c r="M10" s="12"/>
      <c r="N10" s="12" t="s">
        <v>1197</v>
      </c>
      <c r="O10" s="46"/>
    </row>
    <row r="11" customFormat="false" ht="15" hidden="false" customHeight="false" outlineLevel="0" collapsed="false">
      <c r="A11" s="12" t="s">
        <v>5376</v>
      </c>
      <c r="B11" s="12" t="s">
        <v>5316</v>
      </c>
      <c r="C11" s="12" t="n">
        <v>30</v>
      </c>
      <c r="D11" s="12" t="s">
        <v>5367</v>
      </c>
      <c r="E11" s="12" t="s">
        <v>5364</v>
      </c>
      <c r="F11" s="61" t="n">
        <v>0.024</v>
      </c>
      <c r="G11" s="12" t="s">
        <v>2349</v>
      </c>
      <c r="H11" s="12" t="s">
        <v>5304</v>
      </c>
      <c r="I11" s="15" t="s">
        <v>5377</v>
      </c>
      <c r="J11" s="15" t="s">
        <v>978</v>
      </c>
      <c r="K11" s="15" t="s">
        <v>5378</v>
      </c>
      <c r="L11" s="12" t="s">
        <v>2437</v>
      </c>
      <c r="M11" s="12"/>
      <c r="N11" s="12" t="s">
        <v>1197</v>
      </c>
      <c r="O11" s="46" t="s">
        <v>5379</v>
      </c>
    </row>
    <row r="12" customFormat="false" ht="15" hidden="false" customHeight="false" outlineLevel="0" collapsed="false">
      <c r="A12" s="12" t="s">
        <v>5380</v>
      </c>
      <c r="B12" s="12" t="s">
        <v>5316</v>
      </c>
      <c r="C12" s="12" t="n">
        <v>40</v>
      </c>
      <c r="D12" s="12" t="s">
        <v>5381</v>
      </c>
      <c r="E12" s="12" t="s">
        <v>5364</v>
      </c>
      <c r="F12" s="61" t="n">
        <v>0.009</v>
      </c>
      <c r="G12" s="12" t="s">
        <v>2349</v>
      </c>
      <c r="H12" s="12" t="s">
        <v>5304</v>
      </c>
      <c r="I12" s="15" t="s">
        <v>5359</v>
      </c>
      <c r="J12" s="15" t="s">
        <v>990</v>
      </c>
      <c r="K12" s="15" t="s">
        <v>5360</v>
      </c>
      <c r="L12" s="12" t="s">
        <v>2437</v>
      </c>
      <c r="M12" s="12"/>
      <c r="N12" s="12" t="s">
        <v>1197</v>
      </c>
      <c r="O12" s="46"/>
    </row>
    <row r="13" customFormat="false" ht="15" hidden="false" customHeight="false" outlineLevel="0" collapsed="false">
      <c r="A13" s="12" t="s">
        <v>5382</v>
      </c>
      <c r="B13" s="12" t="s">
        <v>5334</v>
      </c>
      <c r="C13" s="12" t="n">
        <v>10</v>
      </c>
      <c r="D13" s="12" t="s">
        <v>5383</v>
      </c>
      <c r="E13" s="12" t="s">
        <v>5364</v>
      </c>
      <c r="F13" s="61" t="n">
        <v>0.695</v>
      </c>
      <c r="G13" s="12" t="s">
        <v>2349</v>
      </c>
      <c r="H13" s="12" t="s">
        <v>5304</v>
      </c>
      <c r="I13" s="15" t="s">
        <v>5359</v>
      </c>
      <c r="J13" s="15" t="s">
        <v>990</v>
      </c>
      <c r="K13" s="15" t="s">
        <v>5360</v>
      </c>
      <c r="L13" s="12" t="s">
        <v>2688</v>
      </c>
      <c r="M13" s="12" t="s">
        <v>5338</v>
      </c>
      <c r="N13" s="12" t="s">
        <v>1197</v>
      </c>
      <c r="O13" s="46" t="s">
        <v>5384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20"/>
    <col collapsed="false" customWidth="true" hidden="false" outlineLevel="0" max="4" min="4" style="0" width="15"/>
    <col collapsed="false" customWidth="true" hidden="false" outlineLevel="0" max="5" min="5" style="0" width="17"/>
    <col collapsed="false" customWidth="true" hidden="false" outlineLevel="0" max="6" min="6" style="0" width="10"/>
    <col collapsed="false" customWidth="true" hidden="false" outlineLevel="0" max="7" min="7" style="0" width="17"/>
    <col collapsed="false" customWidth="true" hidden="false" outlineLevel="0" max="9" min="8" style="0" width="18"/>
    <col collapsed="false" customWidth="true" hidden="false" outlineLevel="0" max="11" min="10" style="0" width="11"/>
    <col collapsed="false" customWidth="true" hidden="false" outlineLevel="0" max="12" min="12" style="0" width="9"/>
    <col collapsed="false" customWidth="true" hidden="false" outlineLevel="0" max="13" min="13" style="0" width="72"/>
  </cols>
  <sheetData>
    <row r="1" customFormat="false" ht="16.15" hidden="false" customHeight="false" outlineLevel="0" collapsed="false">
      <c r="A1" s="8" t="s">
        <v>5385</v>
      </c>
    </row>
    <row r="2" customFormat="false" ht="30" hidden="false" customHeight="true" outlineLevel="0" collapsed="false">
      <c r="A2" s="9" t="s">
        <v>5386</v>
      </c>
      <c r="B2" s="9" t="s">
        <v>1324</v>
      </c>
      <c r="C2" s="9" t="s">
        <v>5387</v>
      </c>
      <c r="D2" s="9" t="s">
        <v>5388</v>
      </c>
      <c r="E2" s="9" t="s">
        <v>5389</v>
      </c>
      <c r="F2" s="9" t="s">
        <v>2333</v>
      </c>
      <c r="G2" s="9" t="s">
        <v>5390</v>
      </c>
      <c r="H2" s="9" t="s">
        <v>5391</v>
      </c>
      <c r="I2" s="9" t="s">
        <v>5392</v>
      </c>
      <c r="J2" s="9" t="s">
        <v>2429</v>
      </c>
      <c r="K2" s="9" t="s">
        <v>2430</v>
      </c>
      <c r="L2" s="9" t="s">
        <v>2327</v>
      </c>
      <c r="M2" s="9" t="s">
        <v>3775</v>
      </c>
    </row>
    <row r="3" customFormat="false" ht="15" hidden="false" customHeight="false" outlineLevel="0" collapsed="false">
      <c r="A3" s="12" t="s">
        <v>5393</v>
      </c>
      <c r="B3" s="12" t="s">
        <v>976</v>
      </c>
      <c r="C3" s="12" t="s">
        <v>1469</v>
      </c>
      <c r="D3" s="12" t="s">
        <v>5394</v>
      </c>
      <c r="E3" s="45" t="n">
        <v>0.018</v>
      </c>
      <c r="F3" s="12" t="s">
        <v>2349</v>
      </c>
      <c r="G3" s="62" t="n">
        <v>0</v>
      </c>
      <c r="H3" s="12" t="s">
        <v>5395</v>
      </c>
      <c r="I3" s="12" t="s">
        <v>5396</v>
      </c>
      <c r="J3" s="12" t="s">
        <v>2437</v>
      </c>
      <c r="K3" s="12"/>
      <c r="L3" s="12" t="s">
        <v>1197</v>
      </c>
      <c r="M3" s="46" t="s">
        <v>5397</v>
      </c>
    </row>
    <row r="4" customFormat="false" ht="15" hidden="false" customHeight="false" outlineLevel="0" collapsed="false">
      <c r="A4" s="12" t="s">
        <v>5398</v>
      </c>
      <c r="B4" s="12" t="s">
        <v>1021</v>
      </c>
      <c r="C4" s="12" t="s">
        <v>5399</v>
      </c>
      <c r="D4" s="12" t="s">
        <v>5400</v>
      </c>
      <c r="E4" s="45" t="n">
        <v>0.024</v>
      </c>
      <c r="F4" s="12" t="s">
        <v>2349</v>
      </c>
      <c r="G4" s="62" t="n">
        <v>180</v>
      </c>
      <c r="H4" s="12" t="s">
        <v>5395</v>
      </c>
      <c r="I4" s="12" t="s">
        <v>5396</v>
      </c>
      <c r="J4" s="12" t="s">
        <v>2437</v>
      </c>
      <c r="K4" s="12"/>
      <c r="L4" s="12" t="s">
        <v>1197</v>
      </c>
      <c r="M4" s="46" t="s">
        <v>5401</v>
      </c>
    </row>
    <row r="5" customFormat="false" ht="15" hidden="false" customHeight="false" outlineLevel="0" collapsed="false">
      <c r="A5" s="12" t="s">
        <v>5402</v>
      </c>
      <c r="B5" s="12" t="s">
        <v>1085</v>
      </c>
      <c r="C5" s="12" t="s">
        <v>1685</v>
      </c>
      <c r="D5" s="12" t="s">
        <v>5403</v>
      </c>
      <c r="E5" s="45" t="n">
        <v>0.021</v>
      </c>
      <c r="F5" s="12" t="s">
        <v>2349</v>
      </c>
      <c r="G5" s="62" t="n">
        <v>120</v>
      </c>
      <c r="H5" s="12" t="s">
        <v>5395</v>
      </c>
      <c r="I5" s="12" t="s">
        <v>5396</v>
      </c>
      <c r="J5" s="12" t="s">
        <v>2437</v>
      </c>
      <c r="K5" s="12"/>
      <c r="L5" s="12" t="s">
        <v>1197</v>
      </c>
      <c r="M5" s="46" t="s">
        <v>5404</v>
      </c>
    </row>
    <row r="6" customFormat="false" ht="15" hidden="false" customHeight="false" outlineLevel="0" collapsed="false">
      <c r="A6" s="12" t="s">
        <v>5405</v>
      </c>
      <c r="B6" s="12" t="s">
        <v>977</v>
      </c>
      <c r="C6" s="12" t="s">
        <v>5406</v>
      </c>
      <c r="D6" s="12" t="s">
        <v>5407</v>
      </c>
      <c r="E6" s="45" t="n">
        <v>0.0195</v>
      </c>
      <c r="F6" s="12" t="s">
        <v>2349</v>
      </c>
      <c r="G6" s="62" t="n">
        <v>150</v>
      </c>
      <c r="H6" s="12" t="s">
        <v>5395</v>
      </c>
      <c r="I6" s="12" t="s">
        <v>5396</v>
      </c>
      <c r="J6" s="12" t="s">
        <v>2437</v>
      </c>
      <c r="K6" s="12"/>
      <c r="L6" s="12" t="s">
        <v>1197</v>
      </c>
      <c r="M6" s="46"/>
    </row>
    <row r="7" customFormat="false" ht="15" hidden="false" customHeight="false" outlineLevel="0" collapsed="false">
      <c r="A7" s="12" t="s">
        <v>5408</v>
      </c>
      <c r="B7" s="12" t="s">
        <v>5409</v>
      </c>
      <c r="C7" s="12" t="s">
        <v>5410</v>
      </c>
      <c r="D7" s="12" t="s">
        <v>5411</v>
      </c>
      <c r="E7" s="45" t="n">
        <v>0.0225</v>
      </c>
      <c r="F7" s="12" t="s">
        <v>2349</v>
      </c>
      <c r="G7" s="62" t="n">
        <v>0</v>
      </c>
      <c r="H7" s="12" t="s">
        <v>5395</v>
      </c>
      <c r="I7" s="12" t="s">
        <v>5396</v>
      </c>
      <c r="J7" s="12" t="s">
        <v>2437</v>
      </c>
      <c r="K7" s="12"/>
      <c r="L7" s="12" t="s">
        <v>1197</v>
      </c>
      <c r="M7" s="4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16"/>
    <col collapsed="false" customWidth="true" hidden="false" outlineLevel="0" max="5" min="4" style="0" width="9"/>
    <col collapsed="false" customWidth="true" hidden="false" outlineLevel="0" max="6" min="6" style="0" width="15"/>
    <col collapsed="false" customWidth="true" hidden="false" outlineLevel="0" max="7" min="7" style="0" width="13"/>
    <col collapsed="false" customWidth="true" hidden="false" outlineLevel="0" max="8" min="8" style="0" width="10"/>
    <col collapsed="false" customWidth="true" hidden="false" outlineLevel="0" max="9" min="9" style="0" width="30"/>
    <col collapsed="false" customWidth="true" hidden="false" outlineLevel="0" max="10" min="10" style="0" width="21"/>
    <col collapsed="false" customWidth="true" hidden="false" outlineLevel="0" max="11" min="11" style="0" width="18"/>
    <col collapsed="false" customWidth="true" hidden="false" outlineLevel="0" max="13" min="12" style="0" width="11"/>
    <col collapsed="false" customWidth="true" hidden="false" outlineLevel="0" max="14" min="14" style="0" width="9"/>
    <col collapsed="false" customWidth="true" hidden="false" outlineLevel="0" max="15" min="15" style="0" width="62"/>
  </cols>
  <sheetData>
    <row r="1" customFormat="false" ht="16.15" hidden="false" customHeight="false" outlineLevel="0" collapsed="false">
      <c r="A1" s="8" t="s">
        <v>5412</v>
      </c>
    </row>
    <row r="2" customFormat="false" ht="30" hidden="false" customHeight="true" outlineLevel="0" collapsed="false">
      <c r="A2" s="9" t="s">
        <v>5011</v>
      </c>
      <c r="B2" s="9" t="s">
        <v>2419</v>
      </c>
      <c r="C2" s="9" t="s">
        <v>2421</v>
      </c>
      <c r="D2" s="9" t="s">
        <v>5413</v>
      </c>
      <c r="E2" s="9" t="s">
        <v>1324</v>
      </c>
      <c r="F2" s="9" t="s">
        <v>908</v>
      </c>
      <c r="G2" s="9" t="s">
        <v>907</v>
      </c>
      <c r="H2" s="9" t="s">
        <v>5414</v>
      </c>
      <c r="I2" s="9" t="s">
        <v>5415</v>
      </c>
      <c r="J2" s="9" t="s">
        <v>5416</v>
      </c>
      <c r="K2" s="9" t="s">
        <v>5417</v>
      </c>
      <c r="L2" s="9" t="s">
        <v>2429</v>
      </c>
      <c r="M2" s="9" t="s">
        <v>2430</v>
      </c>
      <c r="N2" s="9" t="s">
        <v>2327</v>
      </c>
      <c r="O2" s="9" t="s">
        <v>3775</v>
      </c>
    </row>
    <row r="3" customFormat="false" ht="15" hidden="false" customHeight="false" outlineLevel="0" collapsed="false">
      <c r="A3" s="12" t="s">
        <v>5418</v>
      </c>
      <c r="B3" s="12" t="s">
        <v>5419</v>
      </c>
      <c r="C3" s="12" t="n">
        <v>0</v>
      </c>
      <c r="D3" s="12"/>
      <c r="E3" s="12"/>
      <c r="F3" s="15"/>
      <c r="G3" s="12"/>
      <c r="H3" s="15" t="s">
        <v>5420</v>
      </c>
      <c r="I3" s="12" t="s">
        <v>5421</v>
      </c>
      <c r="J3" s="12"/>
      <c r="K3" s="12"/>
      <c r="L3" s="12" t="s">
        <v>2437</v>
      </c>
      <c r="M3" s="12"/>
      <c r="N3" s="12" t="s">
        <v>1197</v>
      </c>
      <c r="O3" s="46" t="s">
        <v>5422</v>
      </c>
    </row>
    <row r="4" customFormat="false" ht="15" hidden="false" customHeight="false" outlineLevel="0" collapsed="false">
      <c r="A4" s="12" t="s">
        <v>5423</v>
      </c>
      <c r="B4" s="12" t="s">
        <v>5424</v>
      </c>
      <c r="C4" s="12" t="n">
        <v>20</v>
      </c>
      <c r="D4" s="12" t="s">
        <v>5425</v>
      </c>
      <c r="E4" s="12"/>
      <c r="F4" s="15" t="s">
        <v>5426</v>
      </c>
      <c r="G4" s="12"/>
      <c r="H4" s="15" t="s">
        <v>5427</v>
      </c>
      <c r="I4" s="12" t="s">
        <v>5428</v>
      </c>
      <c r="J4" s="12" t="s">
        <v>5429</v>
      </c>
      <c r="K4" s="12" t="s">
        <v>5430</v>
      </c>
      <c r="L4" s="12" t="s">
        <v>2437</v>
      </c>
      <c r="M4" s="12"/>
      <c r="N4" s="12" t="s">
        <v>1197</v>
      </c>
      <c r="O4" s="46" t="s">
        <v>5431</v>
      </c>
    </row>
    <row r="5" customFormat="false" ht="15" hidden="false" customHeight="false" outlineLevel="0" collapsed="false">
      <c r="A5" s="12" t="s">
        <v>5432</v>
      </c>
      <c r="B5" s="12" t="s">
        <v>5424</v>
      </c>
      <c r="C5" s="12" t="n">
        <v>20</v>
      </c>
      <c r="D5" s="12" t="s">
        <v>5425</v>
      </c>
      <c r="E5" s="12"/>
      <c r="F5" s="15" t="s">
        <v>5433</v>
      </c>
      <c r="G5" s="12"/>
      <c r="H5" s="15" t="s">
        <v>5420</v>
      </c>
      <c r="I5" s="12" t="s">
        <v>5421</v>
      </c>
      <c r="J5" s="12"/>
      <c r="K5" s="12"/>
      <c r="L5" s="12" t="s">
        <v>2437</v>
      </c>
      <c r="M5" s="12"/>
      <c r="N5" s="12" t="s">
        <v>1197</v>
      </c>
      <c r="O5" s="46" t="s">
        <v>5434</v>
      </c>
    </row>
    <row r="6" customFormat="false" ht="15" hidden="false" customHeight="false" outlineLevel="0" collapsed="false">
      <c r="A6" s="12" t="s">
        <v>5435</v>
      </c>
      <c r="B6" s="12" t="s">
        <v>5436</v>
      </c>
      <c r="C6" s="12" t="n">
        <v>30</v>
      </c>
      <c r="D6" s="12" t="s">
        <v>5425</v>
      </c>
      <c r="E6" s="12"/>
      <c r="F6" s="15" t="s">
        <v>5426</v>
      </c>
      <c r="G6" s="12" t="s">
        <v>4928</v>
      </c>
      <c r="H6" s="15" t="s">
        <v>5420</v>
      </c>
      <c r="I6" s="12" t="s">
        <v>5421</v>
      </c>
      <c r="J6" s="12"/>
      <c r="K6" s="12"/>
      <c r="L6" s="12" t="s">
        <v>2437</v>
      </c>
      <c r="M6" s="12"/>
      <c r="N6" s="12" t="s">
        <v>1197</v>
      </c>
      <c r="O6" s="46" t="s">
        <v>5437</v>
      </c>
    </row>
    <row r="7" customFormat="false" ht="15" hidden="false" customHeight="false" outlineLevel="0" collapsed="false">
      <c r="A7" s="12" t="s">
        <v>5438</v>
      </c>
      <c r="B7" s="12" t="s">
        <v>5436</v>
      </c>
      <c r="C7" s="12" t="n">
        <v>30</v>
      </c>
      <c r="D7" s="12" t="s">
        <v>5425</v>
      </c>
      <c r="E7" s="12"/>
      <c r="F7" s="15" t="s">
        <v>5426</v>
      </c>
      <c r="G7" s="12" t="s">
        <v>3894</v>
      </c>
      <c r="H7" s="15" t="s">
        <v>5427</v>
      </c>
      <c r="I7" s="12" t="s">
        <v>5439</v>
      </c>
      <c r="J7" s="12" t="s">
        <v>5429</v>
      </c>
      <c r="K7" s="12" t="s">
        <v>5430</v>
      </c>
      <c r="L7" s="12" t="s">
        <v>2437</v>
      </c>
      <c r="M7" s="12"/>
      <c r="N7" s="12" t="s">
        <v>1197</v>
      </c>
      <c r="O7" s="46" t="s">
        <v>5440</v>
      </c>
    </row>
    <row r="8" customFormat="false" ht="15" hidden="false" customHeight="false" outlineLevel="0" collapsed="false">
      <c r="A8" s="12" t="s">
        <v>5441</v>
      </c>
      <c r="B8" s="12" t="s">
        <v>5424</v>
      </c>
      <c r="C8" s="12" t="n">
        <v>20</v>
      </c>
      <c r="D8" s="12" t="s">
        <v>5442</v>
      </c>
      <c r="E8" s="12"/>
      <c r="F8" s="15" t="s">
        <v>5426</v>
      </c>
      <c r="G8" s="12"/>
      <c r="H8" s="15" t="s">
        <v>5443</v>
      </c>
      <c r="I8" s="12" t="s">
        <v>5444</v>
      </c>
      <c r="J8" s="12" t="s">
        <v>5445</v>
      </c>
      <c r="K8" s="12" t="s">
        <v>5446</v>
      </c>
      <c r="L8" s="12" t="s">
        <v>2437</v>
      </c>
      <c r="M8" s="12"/>
      <c r="N8" s="12" t="s">
        <v>1197</v>
      </c>
      <c r="O8" s="46"/>
    </row>
    <row r="9" customFormat="false" ht="15" hidden="false" customHeight="false" outlineLevel="0" collapsed="false">
      <c r="A9" s="12" t="s">
        <v>5447</v>
      </c>
      <c r="B9" s="12" t="s">
        <v>5424</v>
      </c>
      <c r="C9" s="12" t="n">
        <v>20</v>
      </c>
      <c r="D9" s="12" t="s">
        <v>5442</v>
      </c>
      <c r="E9" s="12"/>
      <c r="F9" s="15" t="s">
        <v>5433</v>
      </c>
      <c r="G9" s="12"/>
      <c r="H9" s="15" t="s">
        <v>5448</v>
      </c>
      <c r="I9" s="12" t="s">
        <v>5449</v>
      </c>
      <c r="J9" s="12"/>
      <c r="K9" s="12"/>
      <c r="L9" s="12" t="s">
        <v>2437</v>
      </c>
      <c r="M9" s="12"/>
      <c r="N9" s="12" t="s">
        <v>1197</v>
      </c>
      <c r="O9" s="46"/>
    </row>
    <row r="10" customFormat="false" ht="15" hidden="false" customHeight="false" outlineLevel="0" collapsed="false">
      <c r="A10" s="12" t="s">
        <v>5450</v>
      </c>
      <c r="B10" s="12" t="s">
        <v>4504</v>
      </c>
      <c r="C10" s="12" t="n">
        <v>40</v>
      </c>
      <c r="D10" s="12" t="s">
        <v>5425</v>
      </c>
      <c r="E10" s="12" t="s">
        <v>1085</v>
      </c>
      <c r="F10" s="15" t="s">
        <v>5433</v>
      </c>
      <c r="G10" s="12"/>
      <c r="H10" s="15" t="s">
        <v>5451</v>
      </c>
      <c r="I10" s="12" t="s">
        <v>5452</v>
      </c>
      <c r="J10" s="12"/>
      <c r="K10" s="12"/>
      <c r="L10" s="12" t="s">
        <v>2437</v>
      </c>
      <c r="M10" s="12"/>
      <c r="N10" s="12" t="s">
        <v>1197</v>
      </c>
      <c r="O10" s="46" t="s">
        <v>5453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1"/>
    <col collapsed="false" customWidth="true" hidden="false" outlineLevel="0" max="4" min="4" style="0" width="9"/>
    <col collapsed="false" customWidth="true" hidden="false" outlineLevel="0" max="5" min="5" style="0" width="11"/>
    <col collapsed="false" customWidth="true" hidden="false" outlineLevel="0" max="7" min="6" style="0" width="15"/>
    <col collapsed="false" customWidth="true" hidden="false" outlineLevel="0" max="8" min="8" style="0" width="14"/>
    <col collapsed="false" customWidth="true" hidden="false" outlineLevel="0" max="9" min="9" style="0" width="13"/>
    <col collapsed="false" customWidth="true" hidden="false" outlineLevel="0" max="10" min="10" style="0" width="19"/>
    <col collapsed="false" customWidth="true" hidden="false" outlineLevel="0" max="11" min="11" style="0" width="17"/>
    <col collapsed="false" customWidth="true" hidden="false" outlineLevel="0" max="13" min="12" style="0" width="19"/>
    <col collapsed="false" customWidth="true" hidden="false" outlineLevel="0" max="14" min="14" style="0" width="18"/>
    <col collapsed="false" customWidth="true" hidden="false" outlineLevel="0" max="16" min="15" style="0" width="19"/>
    <col collapsed="false" customWidth="true" hidden="false" outlineLevel="0" max="17" min="17" style="0" width="21"/>
    <col collapsed="false" customWidth="true" hidden="false" outlineLevel="0" max="18" min="18" style="0" width="16"/>
    <col collapsed="false" customWidth="true" hidden="false" outlineLevel="0" max="19" min="19" style="0" width="18"/>
    <col collapsed="false" customWidth="true" hidden="false" outlineLevel="0" max="20" min="20" style="0" width="11"/>
    <col collapsed="false" customWidth="true" hidden="false" outlineLevel="0" max="21" min="21" style="0" width="13"/>
    <col collapsed="false" customWidth="true" hidden="false" outlineLevel="0" max="22" min="22" style="0" width="24"/>
    <col collapsed="false" customWidth="true" hidden="false" outlineLevel="0" max="23" min="23" style="0" width="68"/>
  </cols>
  <sheetData>
    <row r="1" customFormat="false" ht="16.15" hidden="false" customHeight="false" outlineLevel="0" collapsed="false">
      <c r="A1" s="8" t="s">
        <v>5454</v>
      </c>
    </row>
    <row r="2" customFormat="false" ht="30" hidden="false" customHeight="true" outlineLevel="0" collapsed="false">
      <c r="A2" s="9" t="s">
        <v>42</v>
      </c>
      <c r="B2" s="9" t="s">
        <v>5455</v>
      </c>
      <c r="C2" s="9" t="s">
        <v>1430</v>
      </c>
      <c r="D2" s="9" t="s">
        <v>1324</v>
      </c>
      <c r="E2" s="9" t="s">
        <v>5277</v>
      </c>
      <c r="F2" s="9" t="s">
        <v>5279</v>
      </c>
      <c r="G2" s="9" t="s">
        <v>5456</v>
      </c>
      <c r="H2" s="9" t="s">
        <v>5457</v>
      </c>
      <c r="I2" s="9" t="s">
        <v>5458</v>
      </c>
      <c r="J2" s="9" t="s">
        <v>5459</v>
      </c>
      <c r="K2" s="9" t="s">
        <v>5460</v>
      </c>
      <c r="L2" s="9" t="s">
        <v>5461</v>
      </c>
      <c r="M2" s="9" t="s">
        <v>5462</v>
      </c>
      <c r="N2" s="9" t="s">
        <v>5463</v>
      </c>
      <c r="O2" s="9" t="s">
        <v>5464</v>
      </c>
      <c r="P2" s="9" t="s">
        <v>5465</v>
      </c>
      <c r="Q2" s="9" t="s">
        <v>5466</v>
      </c>
      <c r="R2" s="9" t="s">
        <v>5467</v>
      </c>
      <c r="S2" s="9" t="s">
        <v>5468</v>
      </c>
      <c r="T2" s="9" t="s">
        <v>5414</v>
      </c>
      <c r="U2" s="9" t="s">
        <v>5469</v>
      </c>
      <c r="V2" s="9" t="s">
        <v>5470</v>
      </c>
      <c r="W2" s="9" t="s">
        <v>3775</v>
      </c>
    </row>
    <row r="3" customFormat="false" ht="25.5" hidden="false" customHeight="true" outlineLevel="0" collapsed="false">
      <c r="A3" s="12" t="s">
        <v>745</v>
      </c>
      <c r="B3" s="12" t="s">
        <v>5471</v>
      </c>
      <c r="C3" s="12" t="s">
        <v>1468</v>
      </c>
      <c r="D3" s="12" t="s">
        <v>976</v>
      </c>
      <c r="E3" s="12" t="s">
        <v>5296</v>
      </c>
      <c r="F3" s="12" t="s">
        <v>5299</v>
      </c>
      <c r="G3" s="15" t="s">
        <v>5472</v>
      </c>
      <c r="H3" s="20" t="n">
        <v>11446</v>
      </c>
      <c r="I3" s="30" t="n">
        <v>0.7995</v>
      </c>
      <c r="J3" s="63" t="n">
        <v>786</v>
      </c>
      <c r="K3" s="64" t="n">
        <f aca="false">IF(J3="","",ROUND(J3*I3/1000,5))</f>
        <v>0.62841</v>
      </c>
      <c r="L3" s="65" t="n">
        <v>0.045</v>
      </c>
      <c r="M3" s="65" t="n">
        <v>0.018</v>
      </c>
      <c r="N3" s="65" t="n">
        <v>0.0035</v>
      </c>
      <c r="O3" s="65"/>
      <c r="P3" s="66" t="n">
        <f aca="false">ROUND(IF(F3="NATIVE",IF(K3="",0,K3)+L3+N3,IF(O3="",0,O3))+IF(COUNTIFS(FS_PRICE_COMPONENT!$B:$B,$E3,FS_PRICE_COMPONENT!$K:$K,"SERVICE_PO")&gt;0,0,M3),5)</f>
        <v>0.69491</v>
      </c>
      <c r="Q3" s="66" t="str">
        <f aca="false">IF(COUNTIFS(FS_PRICE_COMPONENT!$B:$B,$E3,FS_PRICE_COMPONENT!$K:$K,"SERVICE_PO")&gt;0,M3,"")</f>
        <v/>
      </c>
      <c r="R3" s="67" t="n">
        <f aca="false">ROUND(H3*P3,2)</f>
        <v>7953.94</v>
      </c>
      <c r="S3" s="67" t="str">
        <f aca="false">IF(Q3="","",ROUND(H3*Q3,2))</f>
        <v/>
      </c>
      <c r="T3" s="15" t="s">
        <v>5427</v>
      </c>
      <c r="U3" s="12" t="s">
        <v>973</v>
      </c>
      <c r="V3" s="12" t="s">
        <v>5473</v>
      </c>
      <c r="W3" s="46" t="s">
        <v>5474</v>
      </c>
    </row>
    <row r="4" customFormat="false" ht="25.5" hidden="false" customHeight="true" outlineLevel="0" collapsed="false">
      <c r="A4" s="12" t="s">
        <v>751</v>
      </c>
      <c r="B4" s="12" t="s">
        <v>5475</v>
      </c>
      <c r="C4" s="12" t="s">
        <v>1542</v>
      </c>
      <c r="D4" s="12" t="s">
        <v>976</v>
      </c>
      <c r="E4" s="12" t="s">
        <v>5296</v>
      </c>
      <c r="F4" s="12" t="s">
        <v>5299</v>
      </c>
      <c r="G4" s="15" t="s">
        <v>5472</v>
      </c>
      <c r="H4" s="20" t="n">
        <v>75244</v>
      </c>
      <c r="I4" s="30" t="n">
        <v>0.7982</v>
      </c>
      <c r="J4" s="63" t="n">
        <v>786</v>
      </c>
      <c r="K4" s="64" t="n">
        <f aca="false">IF(J4="","",ROUND(J4*I4/1000,5))</f>
        <v>0.62739</v>
      </c>
      <c r="L4" s="65" t="n">
        <v>0.045</v>
      </c>
      <c r="M4" s="65" t="n">
        <v>0.018</v>
      </c>
      <c r="N4" s="65" t="n">
        <v>0.0035</v>
      </c>
      <c r="O4" s="65"/>
      <c r="P4" s="66" t="n">
        <f aca="false">ROUND(IF(F4="NATIVE",IF(K4="",0,K4)+L4+N4,IF(O4="",0,O4))+IF(COUNTIFS(FS_PRICE_COMPONENT!$B:$B,$E4,FS_PRICE_COMPONENT!$K:$K,"SERVICE_PO")&gt;0,0,M4),5)</f>
        <v>0.69389</v>
      </c>
      <c r="Q4" s="66" t="str">
        <f aca="false">IF(COUNTIFS(FS_PRICE_COMPONENT!$B:$B,$E4,FS_PRICE_COMPONENT!$K:$K,"SERVICE_PO")&gt;0,M4,"")</f>
        <v/>
      </c>
      <c r="R4" s="67" t="n">
        <f aca="false">ROUND(H4*P4,2)</f>
        <v>52211.06</v>
      </c>
      <c r="S4" s="67" t="str">
        <f aca="false">IF(Q4="","",ROUND(H4*Q4,2))</f>
        <v/>
      </c>
      <c r="T4" s="15" t="s">
        <v>5427</v>
      </c>
      <c r="U4" s="12" t="s">
        <v>973</v>
      </c>
      <c r="V4" s="12" t="s">
        <v>5473</v>
      </c>
      <c r="W4" s="46" t="s">
        <v>5476</v>
      </c>
    </row>
    <row r="5" customFormat="false" ht="25.5" hidden="false" customHeight="true" outlineLevel="0" collapsed="false">
      <c r="A5" s="12" t="s">
        <v>756</v>
      </c>
      <c r="B5" s="12" t="s">
        <v>5477</v>
      </c>
      <c r="C5" s="12" t="s">
        <v>1683</v>
      </c>
      <c r="D5" s="12" t="s">
        <v>1085</v>
      </c>
      <c r="E5" s="12" t="s">
        <v>5330</v>
      </c>
      <c r="F5" s="12" t="s">
        <v>76</v>
      </c>
      <c r="G5" s="15" t="s">
        <v>5472</v>
      </c>
      <c r="H5" s="20" t="n">
        <v>24056</v>
      </c>
      <c r="I5" s="30" t="n">
        <v>0.7975</v>
      </c>
      <c r="J5" s="63"/>
      <c r="K5" s="64" t="str">
        <f aca="false">IF(J5="","",ROUND(J5*I5/1000,5))</f>
        <v/>
      </c>
      <c r="L5" s="65" t="n">
        <v>0</v>
      </c>
      <c r="M5" s="65" t="n">
        <v>0.021</v>
      </c>
      <c r="N5" s="65" t="n">
        <v>0</v>
      </c>
      <c r="O5" s="65" t="n">
        <v>0.672</v>
      </c>
      <c r="P5" s="66" t="n">
        <f aca="false">ROUND(IF(F5="NATIVE",IF(K5="",0,K5)+L5+N5,IF(O5="",0,O5))+IF(COUNTIFS(FS_PRICE_COMPONENT!$B:$B,$E5,FS_PRICE_COMPONENT!$K:$K,"SERVICE_PO")&gt;0,0,M5),5)</f>
        <v>0.693</v>
      </c>
      <c r="Q5" s="66" t="str">
        <f aca="false">IF(COUNTIFS(FS_PRICE_COMPONENT!$B:$B,$E5,FS_PRICE_COMPONENT!$K:$K,"SERVICE_PO")&gt;0,M5,"")</f>
        <v/>
      </c>
      <c r="R5" s="67" t="n">
        <f aca="false">ROUND(H5*P5,2)</f>
        <v>16670.81</v>
      </c>
      <c r="S5" s="67" t="str">
        <f aca="false">IF(Q5="","",ROUND(H5*Q5,2))</f>
        <v/>
      </c>
      <c r="T5" s="15" t="s">
        <v>5451</v>
      </c>
      <c r="U5" s="12" t="s">
        <v>1065</v>
      </c>
      <c r="V5" s="12" t="s">
        <v>5478</v>
      </c>
      <c r="W5" s="46" t="s">
        <v>5479</v>
      </c>
    </row>
    <row r="6" customFormat="false" ht="25.5" hidden="false" customHeight="true" outlineLevel="0" collapsed="false">
      <c r="A6" s="12" t="s">
        <v>761</v>
      </c>
      <c r="B6" s="12" t="s">
        <v>5480</v>
      </c>
      <c r="C6" s="12" t="s">
        <v>1737</v>
      </c>
      <c r="D6" s="12" t="s">
        <v>976</v>
      </c>
      <c r="E6" s="12" t="s">
        <v>5308</v>
      </c>
      <c r="F6" s="12" t="s">
        <v>5299</v>
      </c>
      <c r="G6" s="15" t="s">
        <v>3943</v>
      </c>
      <c r="H6" s="20" t="n">
        <v>11447</v>
      </c>
      <c r="I6" s="30" t="n">
        <v>0.795</v>
      </c>
      <c r="J6" s="63" t="n">
        <v>780.25</v>
      </c>
      <c r="K6" s="64" t="n">
        <f aca="false">IF(J6="","",ROUND(J6*I6/1000,5))</f>
        <v>0.6203</v>
      </c>
      <c r="L6" s="65" t="n">
        <v>0.052</v>
      </c>
      <c r="M6" s="65" t="n">
        <v>0.018</v>
      </c>
      <c r="N6" s="65" t="n">
        <v>0</v>
      </c>
      <c r="O6" s="65"/>
      <c r="P6" s="66" t="n">
        <f aca="false">ROUND(IF(F6="NATIVE",IF(K6="",0,K6)+L6+N6,IF(O6="",0,O6))+IF(COUNTIFS(FS_PRICE_COMPONENT!$B:$B,$E6,FS_PRICE_COMPONENT!$K:$K,"SERVICE_PO")&gt;0,0,M6),5)</f>
        <v>0.6903</v>
      </c>
      <c r="Q6" s="66" t="str">
        <f aca="false">IF(COUNTIFS(FS_PRICE_COMPONENT!$B:$B,$E6,FS_PRICE_COMPONENT!$K:$K,"SERVICE_PO")&gt;0,M6,"")</f>
        <v/>
      </c>
      <c r="R6" s="67" t="n">
        <f aca="false">ROUND(H6*P6,2)</f>
        <v>7901.86</v>
      </c>
      <c r="S6" s="67" t="str">
        <f aca="false">IF(Q6="","",ROUND(H6*Q6,2))</f>
        <v/>
      </c>
      <c r="T6" s="15" t="s">
        <v>5427</v>
      </c>
      <c r="U6" s="12" t="s">
        <v>1106</v>
      </c>
      <c r="V6" s="12" t="s">
        <v>5481</v>
      </c>
      <c r="W6" s="46" t="s">
        <v>5482</v>
      </c>
    </row>
    <row r="7" customFormat="false" ht="25.5" hidden="false" customHeight="true" outlineLevel="0" collapsed="false">
      <c r="A7" s="12" t="s">
        <v>766</v>
      </c>
      <c r="B7" s="12" t="s">
        <v>5483</v>
      </c>
      <c r="C7" s="12" t="s">
        <v>1737</v>
      </c>
      <c r="D7" s="12" t="s">
        <v>976</v>
      </c>
      <c r="E7" s="12" t="s">
        <v>5308</v>
      </c>
      <c r="F7" s="12" t="s">
        <v>5299</v>
      </c>
      <c r="G7" s="15" t="s">
        <v>5472</v>
      </c>
      <c r="H7" s="20" t="n">
        <v>11447</v>
      </c>
      <c r="I7" s="30" t="n">
        <v>0.795</v>
      </c>
      <c r="J7" s="63" t="n">
        <v>787.4</v>
      </c>
      <c r="K7" s="64" t="n">
        <f aca="false">IF(J7="","",ROUND(J7*I7/1000,5))</f>
        <v>0.62598</v>
      </c>
      <c r="L7" s="65" t="n">
        <v>0.052</v>
      </c>
      <c r="M7" s="65" t="n">
        <v>0.018</v>
      </c>
      <c r="N7" s="65" t="n">
        <v>0</v>
      </c>
      <c r="O7" s="65"/>
      <c r="P7" s="66" t="n">
        <f aca="false">ROUND(IF(F7="NATIVE",IF(K7="",0,K7)+L7+N7,IF(O7="",0,O7))+IF(COUNTIFS(FS_PRICE_COMPONENT!$B:$B,$E7,FS_PRICE_COMPONENT!$K:$K,"SERVICE_PO")&gt;0,0,M7),5)</f>
        <v>0.69598</v>
      </c>
      <c r="Q7" s="66" t="str">
        <f aca="false">IF(COUNTIFS(FS_PRICE_COMPONENT!$B:$B,$E7,FS_PRICE_COMPONENT!$K:$K,"SERVICE_PO")&gt;0,M7,"")</f>
        <v/>
      </c>
      <c r="R7" s="67" t="n">
        <f aca="false">ROUND(H7*P7,2)</f>
        <v>7966.88</v>
      </c>
      <c r="S7" s="67" t="str">
        <f aca="false">IF(Q7="","",ROUND(H7*Q7,2))</f>
        <v/>
      </c>
      <c r="T7" s="15" t="s">
        <v>5427</v>
      </c>
      <c r="U7" s="12" t="s">
        <v>1106</v>
      </c>
      <c r="V7" s="12" t="s">
        <v>5484</v>
      </c>
      <c r="W7" s="46" t="s">
        <v>5485</v>
      </c>
    </row>
    <row r="8" customFormat="false" ht="25.5" hidden="false" customHeight="true" outlineLevel="0" collapsed="false">
      <c r="A8" s="12" t="s">
        <v>771</v>
      </c>
      <c r="B8" s="12" t="s">
        <v>5486</v>
      </c>
      <c r="C8" s="12" t="s">
        <v>1819</v>
      </c>
      <c r="D8" s="12" t="s">
        <v>1021</v>
      </c>
      <c r="E8" s="12" t="s">
        <v>5316</v>
      </c>
      <c r="F8" s="12" t="s">
        <v>5299</v>
      </c>
      <c r="G8" s="15" t="s">
        <v>5472</v>
      </c>
      <c r="H8" s="20" t="n">
        <v>12000</v>
      </c>
      <c r="I8" s="30" t="n">
        <v>0.7982</v>
      </c>
      <c r="J8" s="63" t="n">
        <v>784.5</v>
      </c>
      <c r="K8" s="64" t="n">
        <f aca="false">IF(J8="","",ROUND(J8*I8/1000,5))</f>
        <v>0.62619</v>
      </c>
      <c r="L8" s="65" t="n">
        <v>0.061</v>
      </c>
      <c r="M8" s="65" t="n">
        <v>0.024</v>
      </c>
      <c r="N8" s="65" t="n">
        <v>0.009</v>
      </c>
      <c r="O8" s="65"/>
      <c r="P8" s="66" t="n">
        <f aca="false">ROUND(IF(F8="NATIVE",IF(K8="",0,K8)+L8+N8,IF(O8="",0,O8))+IF(COUNTIFS(FS_PRICE_COMPONENT!$B:$B,$E8,FS_PRICE_COMPONENT!$K:$K,"SERVICE_PO")&gt;0,0,M8),5)</f>
        <v>0.69619</v>
      </c>
      <c r="Q8" s="66" t="n">
        <f aca="false">IF(COUNTIFS(FS_PRICE_COMPONENT!$B:$B,$E8,FS_PRICE_COMPONENT!$K:$K,"SERVICE_PO")&gt;0,M8,"")</f>
        <v>0.024</v>
      </c>
      <c r="R8" s="67" t="n">
        <f aca="false">ROUND(H8*P8,2)</f>
        <v>8354.28</v>
      </c>
      <c r="S8" s="67" t="n">
        <f aca="false">IF(Q8="","",ROUND(H8*Q8,2))</f>
        <v>288</v>
      </c>
      <c r="T8" s="15" t="s">
        <v>5443</v>
      </c>
      <c r="U8" s="12" t="s">
        <v>1137</v>
      </c>
      <c r="V8" s="12" t="s">
        <v>5487</v>
      </c>
      <c r="W8" s="46" t="s">
        <v>5488</v>
      </c>
    </row>
    <row r="9" customFormat="false" ht="25.5" hidden="false" customHeight="true" outlineLevel="0" collapsed="false">
      <c r="A9" s="12" t="s">
        <v>776</v>
      </c>
      <c r="B9" s="12" t="s">
        <v>5489</v>
      </c>
      <c r="C9" s="12" t="s">
        <v>1748</v>
      </c>
      <c r="D9" s="12" t="s">
        <v>976</v>
      </c>
      <c r="E9" s="12" t="s">
        <v>5334</v>
      </c>
      <c r="F9" s="12" t="s">
        <v>5337</v>
      </c>
      <c r="G9" s="15" t="s">
        <v>5472</v>
      </c>
      <c r="H9" s="20" t="n">
        <v>12000</v>
      </c>
      <c r="I9" s="30" t="n">
        <v>0.8</v>
      </c>
      <c r="J9" s="63"/>
      <c r="K9" s="64" t="str">
        <f aca="false">IF(J9="","",ROUND(J9*I9/1000,5))</f>
        <v/>
      </c>
      <c r="L9" s="65" t="n">
        <v>0</v>
      </c>
      <c r="M9" s="65" t="n">
        <v>0</v>
      </c>
      <c r="N9" s="65" t="n">
        <v>0</v>
      </c>
      <c r="O9" s="65" t="n">
        <v>0.695</v>
      </c>
      <c r="P9" s="66" t="n">
        <f aca="false">ROUND(IF(F9="NATIVE",IF(K9="",0,K9)+L9+N9,IF(O9="",0,O9))+IF(COUNTIFS(FS_PRICE_COMPONENT!$B:$B,$E9,FS_PRICE_COMPONENT!$K:$K,"SERVICE_PO")&gt;0,0,M9),5)</f>
        <v>0.695</v>
      </c>
      <c r="Q9" s="66" t="str">
        <f aca="false">IF(COUNTIFS(FS_PRICE_COMPONENT!$B:$B,$E9,FS_PRICE_COMPONENT!$K:$K,"SERVICE_PO")&gt;0,M9,"")</f>
        <v/>
      </c>
      <c r="R9" s="67" t="n">
        <f aca="false">ROUND(H9*P9,2)</f>
        <v>8340</v>
      </c>
      <c r="S9" s="67" t="str">
        <f aca="false">IF(Q9="","",ROUND(H9*Q9,2))</f>
        <v/>
      </c>
      <c r="T9" s="15" t="s">
        <v>5420</v>
      </c>
      <c r="U9" s="12" t="s">
        <v>1106</v>
      </c>
      <c r="V9" s="12" t="s">
        <v>3320</v>
      </c>
      <c r="W9" s="46" t="s">
        <v>5490</v>
      </c>
    </row>
    <row r="10" customFormat="false" ht="25.5" hidden="false" customHeight="true" outlineLevel="0" collapsed="false">
      <c r="A10" s="12" t="s">
        <v>781</v>
      </c>
      <c r="B10" s="12" t="s">
        <v>5491</v>
      </c>
      <c r="C10" s="12" t="s">
        <v>1809</v>
      </c>
      <c r="D10" s="12" t="s">
        <v>5409</v>
      </c>
      <c r="E10" s="12" t="s">
        <v>5324</v>
      </c>
      <c r="F10" s="12" t="s">
        <v>5327</v>
      </c>
      <c r="G10" s="15" t="s">
        <v>5472</v>
      </c>
      <c r="H10" s="20" t="n">
        <v>11447</v>
      </c>
      <c r="I10" s="30" t="n">
        <v>0.7995</v>
      </c>
      <c r="J10" s="63"/>
      <c r="K10" s="64" t="str">
        <f aca="false">IF(J10="","",ROUND(J10*I10/1000,5))</f>
        <v/>
      </c>
      <c r="L10" s="65" t="n">
        <v>0</v>
      </c>
      <c r="M10" s="65" t="n">
        <v>0.0225</v>
      </c>
      <c r="N10" s="65" t="n">
        <v>0</v>
      </c>
      <c r="O10" s="65" t="n">
        <v>0.684</v>
      </c>
      <c r="P10" s="66" t="n">
        <f aca="false">ROUND(IF(F10="NATIVE",IF(K10="",0,K10)+L10+N10,IF(O10="",0,O10))+IF(COUNTIFS(FS_PRICE_COMPONENT!$B:$B,$E10,FS_PRICE_COMPONENT!$K:$K,"SERVICE_PO")&gt;0,0,M10),5)</f>
        <v>0.7065</v>
      </c>
      <c r="Q10" s="66" t="str">
        <f aca="false">IF(COUNTIFS(FS_PRICE_COMPONENT!$B:$B,$E10,FS_PRICE_COMPONENT!$K:$K,"SERVICE_PO")&gt;0,M10,"")</f>
        <v/>
      </c>
      <c r="R10" s="67" t="n">
        <f aca="false">ROUND(H10*P10,2)</f>
        <v>8087.31</v>
      </c>
      <c r="S10" s="67" t="str">
        <f aca="false">IF(Q10="","",ROUND(H10*Q10,2))</f>
        <v/>
      </c>
      <c r="T10" s="15" t="s">
        <v>5427</v>
      </c>
      <c r="U10" s="12" t="s">
        <v>1132</v>
      </c>
      <c r="V10" s="12" t="s">
        <v>5492</v>
      </c>
      <c r="W10" s="46" t="s">
        <v>5493</v>
      </c>
    </row>
    <row r="13" customFormat="false" ht="16.15" hidden="false" customHeight="false" outlineLevel="0" collapsed="false">
      <c r="A13" s="8" t="s">
        <v>5494</v>
      </c>
    </row>
    <row r="14" customFormat="false" ht="15" hidden="false" customHeight="false" outlineLevel="0" collapsed="false">
      <c r="A14" s="17" t="s">
        <v>4989</v>
      </c>
      <c r="B14" s="17" t="s">
        <v>5495</v>
      </c>
      <c r="C14" s="17" t="s">
        <v>4426</v>
      </c>
    </row>
    <row r="15" customFormat="false" ht="24" hidden="false" customHeight="true" outlineLevel="0" collapsed="false">
      <c r="A15" s="18" t="s">
        <v>4992</v>
      </c>
      <c r="B15" s="11" t="s">
        <v>5496</v>
      </c>
      <c r="C15" s="11" t="s">
        <v>5497</v>
      </c>
    </row>
    <row r="16" customFormat="false" ht="24" hidden="false" customHeight="true" outlineLevel="0" collapsed="false">
      <c r="A16" s="18" t="s">
        <v>4996</v>
      </c>
      <c r="B16" s="11" t="s">
        <v>5498</v>
      </c>
      <c r="C16" s="11" t="s">
        <v>5499</v>
      </c>
    </row>
    <row r="17" customFormat="false" ht="24" hidden="false" customHeight="true" outlineLevel="0" collapsed="false">
      <c r="A17" s="18" t="s">
        <v>4999</v>
      </c>
      <c r="B17" s="11" t="s">
        <v>5500</v>
      </c>
      <c r="C17" s="11" t="s">
        <v>5501</v>
      </c>
    </row>
    <row r="18" customFormat="false" ht="24" hidden="false" customHeight="true" outlineLevel="0" collapsed="false">
      <c r="A18" s="18" t="s">
        <v>5002</v>
      </c>
      <c r="B18" s="11" t="s">
        <v>5502</v>
      </c>
      <c r="C18" s="11" t="s">
        <v>5503</v>
      </c>
    </row>
    <row r="19" customFormat="false" ht="24" hidden="false" customHeight="true" outlineLevel="0" collapsed="false">
      <c r="A19" s="18" t="s">
        <v>4321</v>
      </c>
      <c r="B19" s="11" t="s">
        <v>5504</v>
      </c>
      <c r="C19" s="11" t="s">
        <v>5505</v>
      </c>
    </row>
    <row r="20" customFormat="false" ht="24" hidden="false" customHeight="true" outlineLevel="0" collapsed="false">
      <c r="A20" s="18" t="s">
        <v>4308</v>
      </c>
      <c r="B20" s="11" t="s">
        <v>5506</v>
      </c>
      <c r="C20" s="11" t="s">
        <v>5507</v>
      </c>
    </row>
    <row r="21" customFormat="false" ht="24" hidden="false" customHeight="true" outlineLevel="0" collapsed="false">
      <c r="A21" s="18" t="s">
        <v>4315</v>
      </c>
      <c r="B21" s="11" t="s">
        <v>5508</v>
      </c>
      <c r="C21" s="11" t="s">
        <v>5509</v>
      </c>
    </row>
    <row r="22" customFormat="false" ht="24" hidden="false" customHeight="true" outlineLevel="0" collapsed="false">
      <c r="A22" s="18" t="s">
        <v>5510</v>
      </c>
      <c r="B22" s="11" t="s">
        <v>5511</v>
      </c>
      <c r="C22" s="11" t="s">
        <v>5512</v>
      </c>
    </row>
    <row r="23" customFormat="false" ht="24" hidden="false" customHeight="true" outlineLevel="0" collapsed="false">
      <c r="A23" s="18" t="s">
        <v>5513</v>
      </c>
      <c r="B23" s="11" t="s">
        <v>5514</v>
      </c>
      <c r="C23" s="11" t="s">
        <v>5515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11"/>
    <col collapsed="false" customWidth="true" hidden="false" outlineLevel="0" max="4" min="4" style="0" width="9"/>
    <col collapsed="false" customWidth="true" hidden="false" outlineLevel="0" max="6" min="5" style="0" width="16"/>
    <col collapsed="false" customWidth="true" hidden="false" outlineLevel="0" max="7" min="7" style="0" width="14"/>
    <col collapsed="false" customWidth="true" hidden="false" outlineLevel="0" max="8" min="8" style="0" width="15"/>
    <col collapsed="false" customWidth="true" hidden="false" outlineLevel="0" max="9" min="9" style="0" width="18"/>
    <col collapsed="false" customWidth="true" hidden="false" outlineLevel="0" max="11" min="10" style="0" width="14"/>
    <col collapsed="false" customWidth="true" hidden="false" outlineLevel="0" max="12" min="12" style="0" width="18"/>
    <col collapsed="false" customWidth="true" hidden="false" outlineLevel="0" max="13" min="13" style="0" width="16"/>
    <col collapsed="false" customWidth="true" hidden="false" outlineLevel="0" max="14" min="14" style="0" width="17"/>
    <col collapsed="false" customWidth="true" hidden="false" outlineLevel="0" max="15" min="15" style="0" width="14"/>
    <col collapsed="false" customWidth="true" hidden="false" outlineLevel="0" max="16" min="16" style="0" width="13"/>
    <col collapsed="false" customWidth="true" hidden="false" outlineLevel="0" max="17" min="17" style="0" width="20"/>
    <col collapsed="false" customWidth="true" hidden="false" outlineLevel="0" max="18" min="18" style="0" width="17"/>
    <col collapsed="false" customWidth="true" hidden="false" outlineLevel="0" max="19" min="19" style="0" width="16"/>
    <col collapsed="false" customWidth="true" hidden="false" outlineLevel="0" max="20" min="20" style="0" width="17"/>
    <col collapsed="false" customWidth="true" hidden="false" outlineLevel="0" max="21" min="21" style="0" width="72"/>
  </cols>
  <sheetData>
    <row r="1" customFormat="false" ht="16.15" hidden="false" customHeight="false" outlineLevel="0" collapsed="false">
      <c r="A1" s="8" t="s">
        <v>5516</v>
      </c>
    </row>
    <row r="2" customFormat="false" ht="30" hidden="false" customHeight="true" outlineLevel="0" collapsed="false">
      <c r="A2" s="9" t="s">
        <v>42</v>
      </c>
      <c r="B2" s="9" t="s">
        <v>5517</v>
      </c>
      <c r="C2" s="9" t="s">
        <v>1430</v>
      </c>
      <c r="D2" s="9" t="s">
        <v>1324</v>
      </c>
      <c r="E2" s="9" t="s">
        <v>5518</v>
      </c>
      <c r="F2" s="9" t="s">
        <v>5519</v>
      </c>
      <c r="G2" s="9" t="s">
        <v>5520</v>
      </c>
      <c r="H2" s="9" t="s">
        <v>5521</v>
      </c>
      <c r="I2" s="9" t="s">
        <v>5522</v>
      </c>
      <c r="J2" s="9" t="s">
        <v>5523</v>
      </c>
      <c r="K2" s="9" t="s">
        <v>5524</v>
      </c>
      <c r="L2" s="9" t="s">
        <v>5525</v>
      </c>
      <c r="M2" s="9" t="s">
        <v>5526</v>
      </c>
      <c r="N2" s="9" t="s">
        <v>5527</v>
      </c>
      <c r="O2" s="9" t="s">
        <v>5528</v>
      </c>
      <c r="P2" s="9" t="s">
        <v>5529</v>
      </c>
      <c r="Q2" s="9" t="s">
        <v>5530</v>
      </c>
      <c r="R2" s="9" t="s">
        <v>5531</v>
      </c>
      <c r="S2" s="9" t="s">
        <v>5532</v>
      </c>
      <c r="T2" s="9" t="s">
        <v>5533</v>
      </c>
      <c r="U2" s="9" t="s">
        <v>3775</v>
      </c>
    </row>
    <row r="3" customFormat="false" ht="25.5" hidden="false" customHeight="true" outlineLevel="0" collapsed="false">
      <c r="A3" s="12" t="s">
        <v>786</v>
      </c>
      <c r="B3" s="12" t="s">
        <v>5534</v>
      </c>
      <c r="C3" s="12" t="s">
        <v>1468</v>
      </c>
      <c r="D3" s="12" t="s">
        <v>976</v>
      </c>
      <c r="E3" s="12" t="s">
        <v>5535</v>
      </c>
      <c r="F3" s="12" t="s">
        <v>5536</v>
      </c>
      <c r="G3" s="12" t="n">
        <v>10</v>
      </c>
      <c r="H3" s="16" t="n">
        <v>11446</v>
      </c>
      <c r="I3" s="12" t="s">
        <v>5537</v>
      </c>
      <c r="J3" s="12" t="s">
        <v>5538</v>
      </c>
      <c r="K3" s="27" t="str">
        <f aca="false">IF(F3="","NO_PO",IF(J3&lt;&gt;"","INVOICED",IF(I3&lt;&gt;"","RECEIPTED","ORDERED")))</f>
        <v>INVOICED</v>
      </c>
      <c r="L3" s="12"/>
      <c r="M3" s="12"/>
      <c r="N3" s="16"/>
      <c r="O3" s="12"/>
      <c r="P3" s="12"/>
      <c r="Q3" s="12"/>
      <c r="R3" s="12"/>
      <c r="S3" s="27" t="str">
        <f aca="false">IF(E3="SINGLE_VENDOR","NOT_APPLICABLE",IF(L3="","NO_PO",IF(R3&lt;&gt;"","INVOICED",IF(Q3&lt;&gt;"","RECEIPTED",IF(P3="ACCEPTED","SES_ACCEPTED",IF(O3&lt;&gt;"","SES_PENDING","SES_MISSING"))))))</f>
        <v>NOT_APPLICABLE</v>
      </c>
      <c r="T3" s="27" t="str">
        <f aca="false">IF(AND(K3="INVOICED",OR(S3="NOT_APPLICABLE",S3="INVOICED")),"COMPLETE",IF(OR(K3="NO_PO",S3="NO_PO",S3="SES_MISSING"),"BLOCKED","IN_PROGRESS"))</f>
        <v>COMPLETE</v>
      </c>
      <c r="U3" s="46" t="s">
        <v>5539</v>
      </c>
    </row>
    <row r="4" customFormat="false" ht="25.5" hidden="false" customHeight="true" outlineLevel="0" collapsed="false">
      <c r="A4" s="12" t="s">
        <v>791</v>
      </c>
      <c r="B4" s="12" t="s">
        <v>5540</v>
      </c>
      <c r="C4" s="12" t="s">
        <v>1819</v>
      </c>
      <c r="D4" s="12" t="s">
        <v>1021</v>
      </c>
      <c r="E4" s="12" t="s">
        <v>5541</v>
      </c>
      <c r="F4" s="12" t="s">
        <v>5542</v>
      </c>
      <c r="G4" s="12" t="n">
        <v>10</v>
      </c>
      <c r="H4" s="16" t="n">
        <v>12000</v>
      </c>
      <c r="I4" s="12" t="s">
        <v>5543</v>
      </c>
      <c r="J4" s="12" t="s">
        <v>5544</v>
      </c>
      <c r="K4" s="27" t="str">
        <f aca="false">IF(F4="","NO_PO",IF(J4&lt;&gt;"","INVOICED",IF(I4&lt;&gt;"","RECEIPTED","ORDERED")))</f>
        <v>INVOICED</v>
      </c>
      <c r="L4" s="12" t="s">
        <v>5545</v>
      </c>
      <c r="M4" s="12" t="n">
        <v>10</v>
      </c>
      <c r="N4" s="16" t="n">
        <v>12000</v>
      </c>
      <c r="O4" s="12" t="s">
        <v>5546</v>
      </c>
      <c r="P4" s="12" t="s">
        <v>2722</v>
      </c>
      <c r="Q4" s="12" t="s">
        <v>5547</v>
      </c>
      <c r="R4" s="12" t="s">
        <v>5548</v>
      </c>
      <c r="S4" s="27" t="str">
        <f aca="false">IF(E4="SINGLE_VENDOR","NOT_APPLICABLE",IF(L4="","NO_PO",IF(R4&lt;&gt;"","INVOICED",IF(Q4&lt;&gt;"","RECEIPTED",IF(P4="ACCEPTED","SES_ACCEPTED",IF(O4&lt;&gt;"","SES_PENDING","SES_MISSING"))))))</f>
        <v>INVOICED</v>
      </c>
      <c r="T4" s="27" t="str">
        <f aca="false">IF(AND(K4="INVOICED",OR(S4="NOT_APPLICABLE",S4="INVOICED")),"COMPLETE",IF(OR(K4="NO_PO",S4="NO_PO",S4="SES_MISSING"),"BLOCKED","IN_PROGRESS"))</f>
        <v>COMPLETE</v>
      </c>
      <c r="U4" s="46" t="s">
        <v>5549</v>
      </c>
    </row>
    <row r="5" customFormat="false" ht="25.5" hidden="false" customHeight="true" outlineLevel="0" collapsed="false">
      <c r="A5" s="12" t="s">
        <v>796</v>
      </c>
      <c r="B5" s="12" t="s">
        <v>5550</v>
      </c>
      <c r="C5" s="12" t="s">
        <v>1737</v>
      </c>
      <c r="D5" s="12" t="s">
        <v>976</v>
      </c>
      <c r="E5" s="12" t="s">
        <v>5535</v>
      </c>
      <c r="F5" s="12" t="s">
        <v>5551</v>
      </c>
      <c r="G5" s="12" t="n">
        <v>10</v>
      </c>
      <c r="H5" s="16" t="n">
        <v>11447</v>
      </c>
      <c r="I5" s="12" t="s">
        <v>5552</v>
      </c>
      <c r="J5" s="12"/>
      <c r="K5" s="27" t="str">
        <f aca="false">IF(F5="","NO_PO",IF(J5&lt;&gt;"","INVOICED",IF(I5&lt;&gt;"","RECEIPTED","ORDERED")))</f>
        <v>RECEIPTED</v>
      </c>
      <c r="L5" s="12"/>
      <c r="M5" s="12"/>
      <c r="N5" s="16"/>
      <c r="O5" s="12"/>
      <c r="P5" s="12"/>
      <c r="Q5" s="12"/>
      <c r="R5" s="12"/>
      <c r="S5" s="27" t="str">
        <f aca="false">IF(E5="SINGLE_VENDOR","NOT_APPLICABLE",IF(L5="","NO_PO",IF(R5&lt;&gt;"","INVOICED",IF(Q5&lt;&gt;"","RECEIPTED",IF(P5="ACCEPTED","SES_ACCEPTED",IF(O5&lt;&gt;"","SES_PENDING","SES_MISSING"))))))</f>
        <v>NOT_APPLICABLE</v>
      </c>
      <c r="T5" s="27" t="str">
        <f aca="false">IF(AND(K5="INVOICED",OR(S5="NOT_APPLICABLE",S5="INVOICED")),"COMPLETE",IF(OR(K5="NO_PO",S5="NO_PO",S5="SES_MISSING"),"BLOCKED","IN_PROGRESS"))</f>
        <v>IN_PROGRESS</v>
      </c>
      <c r="U5" s="46" t="s">
        <v>5553</v>
      </c>
    </row>
    <row r="6" customFormat="false" ht="25.5" hidden="false" customHeight="true" outlineLevel="0" collapsed="false">
      <c r="A6" s="12" t="s">
        <v>801</v>
      </c>
      <c r="B6" s="12" t="s">
        <v>5554</v>
      </c>
      <c r="C6" s="12" t="s">
        <v>1683</v>
      </c>
      <c r="D6" s="12" t="s">
        <v>1085</v>
      </c>
      <c r="E6" s="12" t="s">
        <v>5541</v>
      </c>
      <c r="F6" s="12" t="s">
        <v>5555</v>
      </c>
      <c r="G6" s="12" t="n">
        <v>10</v>
      </c>
      <c r="H6" s="16" t="n">
        <v>24056</v>
      </c>
      <c r="I6" s="12" t="s">
        <v>5556</v>
      </c>
      <c r="J6" s="12" t="s">
        <v>5557</v>
      </c>
      <c r="K6" s="27" t="str">
        <f aca="false">IF(F6="","NO_PO",IF(J6&lt;&gt;"","INVOICED",IF(I6&lt;&gt;"","RECEIPTED","ORDERED")))</f>
        <v>INVOICED</v>
      </c>
      <c r="L6" s="12" t="s">
        <v>5558</v>
      </c>
      <c r="M6" s="12" t="n">
        <v>10</v>
      </c>
      <c r="N6" s="16" t="n">
        <v>24056</v>
      </c>
      <c r="O6" s="12" t="s">
        <v>5559</v>
      </c>
      <c r="P6" s="12" t="s">
        <v>5560</v>
      </c>
      <c r="Q6" s="12"/>
      <c r="R6" s="12"/>
      <c r="S6" s="27" t="str">
        <f aca="false">IF(E6="SINGLE_VENDOR","NOT_APPLICABLE",IF(L6="","NO_PO",IF(R6&lt;&gt;"","INVOICED",IF(Q6&lt;&gt;"","RECEIPTED",IF(P6="ACCEPTED","SES_ACCEPTED",IF(O6&lt;&gt;"","SES_PENDING","SES_MISSING"))))))</f>
        <v>SES_PENDING</v>
      </c>
      <c r="T6" s="27" t="str">
        <f aca="false">IF(AND(K6="INVOICED",OR(S6="NOT_APPLICABLE",S6="INVOICED")),"COMPLETE",IF(OR(K6="NO_PO",S6="NO_PO",S6="SES_MISSING"),"BLOCKED","IN_PROGRESS"))</f>
        <v>IN_PROGRESS</v>
      </c>
      <c r="U6" s="46" t="s">
        <v>5561</v>
      </c>
    </row>
    <row r="7" customFormat="false" ht="25.5" hidden="false" customHeight="true" outlineLevel="0" collapsed="false">
      <c r="A7" s="12" t="s">
        <v>806</v>
      </c>
      <c r="B7" s="12" t="s">
        <v>5562</v>
      </c>
      <c r="C7" s="12" t="s">
        <v>1642</v>
      </c>
      <c r="D7" s="12" t="s">
        <v>976</v>
      </c>
      <c r="E7" s="12" t="s">
        <v>5535</v>
      </c>
      <c r="F7" s="12"/>
      <c r="G7" s="12"/>
      <c r="H7" s="16" t="n">
        <v>794</v>
      </c>
      <c r="I7" s="12"/>
      <c r="J7" s="12"/>
      <c r="K7" s="27" t="str">
        <f aca="false">IF(F7="","NO_PO",IF(J7&lt;&gt;"","INVOICED",IF(I7&lt;&gt;"","RECEIPTED","ORDERED")))</f>
        <v>NO_PO</v>
      </c>
      <c r="L7" s="12"/>
      <c r="M7" s="12"/>
      <c r="N7" s="16"/>
      <c r="O7" s="12"/>
      <c r="P7" s="12"/>
      <c r="Q7" s="12"/>
      <c r="R7" s="12"/>
      <c r="S7" s="27" t="str">
        <f aca="false">IF(E7="SINGLE_VENDOR","NOT_APPLICABLE",IF(L7="","NO_PO",IF(R7&lt;&gt;"","INVOICED",IF(Q7&lt;&gt;"","RECEIPTED",IF(P7="ACCEPTED","SES_ACCEPTED",IF(O7&lt;&gt;"","SES_PENDING","SES_MISSING"))))))</f>
        <v>NOT_APPLICABLE</v>
      </c>
      <c r="T7" s="27" t="str">
        <f aca="false">IF(AND(K7="INVOICED",OR(S7="NOT_APPLICABLE",S7="INVOICED")),"COMPLETE",IF(OR(K7="NO_PO",S7="NO_PO",S7="SES_MISSING"),"BLOCKED","IN_PROGRESS"))</f>
        <v>BLOCKED</v>
      </c>
      <c r="U7" s="46" t="s">
        <v>5563</v>
      </c>
    </row>
    <row r="8" customFormat="false" ht="25.5" hidden="false" customHeight="true" outlineLevel="0" collapsed="false">
      <c r="A8" s="12" t="s">
        <v>811</v>
      </c>
      <c r="B8" s="12" t="s">
        <v>5564</v>
      </c>
      <c r="C8" s="12" t="s">
        <v>1697</v>
      </c>
      <c r="D8" s="12" t="s">
        <v>976</v>
      </c>
      <c r="E8" s="12" t="s">
        <v>5541</v>
      </c>
      <c r="F8" s="12" t="s">
        <v>5565</v>
      </c>
      <c r="G8" s="12" t="n">
        <v>10</v>
      </c>
      <c r="H8" s="16" t="n">
        <v>15448</v>
      </c>
      <c r="I8" s="12" t="s">
        <v>5566</v>
      </c>
      <c r="J8" s="12" t="s">
        <v>5567</v>
      </c>
      <c r="K8" s="27" t="str">
        <f aca="false">IF(F8="","NO_PO",IF(J8&lt;&gt;"","INVOICED",IF(I8&lt;&gt;"","RECEIPTED","ORDERED")))</f>
        <v>INVOICED</v>
      </c>
      <c r="L8" s="12" t="s">
        <v>5568</v>
      </c>
      <c r="M8" s="12" t="n">
        <v>10</v>
      </c>
      <c r="N8" s="16" t="n">
        <v>15448</v>
      </c>
      <c r="O8" s="12"/>
      <c r="P8" s="12"/>
      <c r="Q8" s="12"/>
      <c r="R8" s="12"/>
      <c r="S8" s="27" t="str">
        <f aca="false">IF(E8="SINGLE_VENDOR","NOT_APPLICABLE",IF(L8="","NO_PO",IF(R8&lt;&gt;"","INVOICED",IF(Q8&lt;&gt;"","RECEIPTED",IF(P8="ACCEPTED","SES_ACCEPTED",IF(O8&lt;&gt;"","SES_PENDING","SES_MISSING"))))))</f>
        <v>SES_MISSING</v>
      </c>
      <c r="T8" s="27" t="str">
        <f aca="false">IF(AND(K8="INVOICED",OR(S8="NOT_APPLICABLE",S8="INVOICED")),"COMPLETE",IF(OR(K8="NO_PO",S8="NO_PO",S8="SES_MISSING"),"BLOCKED","IN_PROGRESS"))</f>
        <v>BLOCKED</v>
      </c>
      <c r="U8" s="46" t="s">
        <v>5569</v>
      </c>
    </row>
    <row r="11" customFormat="false" ht="16.15" hidden="false" customHeight="false" outlineLevel="0" collapsed="false">
      <c r="A11" s="8" t="s">
        <v>5570</v>
      </c>
    </row>
    <row r="12" customFormat="false" ht="15" hidden="false" customHeight="false" outlineLevel="0" collapsed="false">
      <c r="A12" s="17" t="s">
        <v>5571</v>
      </c>
      <c r="B12" s="17" t="s">
        <v>5572</v>
      </c>
      <c r="C12" s="17" t="s">
        <v>5573</v>
      </c>
      <c r="D12" s="17" t="s">
        <v>5574</v>
      </c>
    </row>
    <row r="13" customFormat="false" ht="25.5" hidden="false" customHeight="true" outlineLevel="0" collapsed="false">
      <c r="A13" s="18" t="s">
        <v>5575</v>
      </c>
      <c r="B13" s="11" t="s">
        <v>5576</v>
      </c>
      <c r="C13" s="11" t="s">
        <v>5577</v>
      </c>
      <c r="D13" s="11" t="s">
        <v>5578</v>
      </c>
    </row>
    <row r="14" customFormat="false" ht="25.5" hidden="false" customHeight="true" outlineLevel="0" collapsed="false">
      <c r="A14" s="18" t="s">
        <v>5579</v>
      </c>
      <c r="B14" s="11" t="s">
        <v>5576</v>
      </c>
      <c r="C14" s="11" t="s">
        <v>5580</v>
      </c>
      <c r="D14" s="11" t="s">
        <v>5581</v>
      </c>
    </row>
    <row r="15" customFormat="false" ht="25.5" hidden="false" customHeight="true" outlineLevel="0" collapsed="false">
      <c r="A15" s="18" t="s">
        <v>5582</v>
      </c>
      <c r="B15" s="11" t="s">
        <v>5583</v>
      </c>
      <c r="C15" s="11" t="s">
        <v>3320</v>
      </c>
      <c r="D15" s="11" t="s">
        <v>5584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6"/>
    <col collapsed="false" customWidth="true" hidden="false" outlineLevel="0" max="4" min="4" style="0" width="6"/>
    <col collapsed="false" customWidth="true" hidden="false" outlineLevel="0" max="5" min="5" style="0" width="30"/>
    <col collapsed="false" customWidth="true" hidden="false" outlineLevel="0" max="6" min="6" style="0" width="96"/>
    <col collapsed="false" customWidth="true" hidden="false" outlineLevel="0" max="7" min="7" style="0" width="22"/>
    <col collapsed="false" customWidth="true" hidden="false" outlineLevel="0" max="8" min="8" style="0" width="56"/>
    <col collapsed="false" customWidth="true" hidden="false" outlineLevel="0" max="9" min="9" style="0" width="46"/>
    <col collapsed="false" customWidth="true" hidden="false" outlineLevel="0" max="10" min="10" style="0" width="52"/>
  </cols>
  <sheetData>
    <row r="1" customFormat="false" ht="16.15" hidden="false" customHeight="false" outlineLevel="0" collapsed="false">
      <c r="A1" s="8" t="s">
        <v>5585</v>
      </c>
    </row>
    <row r="2" customFormat="false" ht="30" hidden="false" customHeight="true" outlineLevel="0" collapsed="false">
      <c r="A2" s="9" t="s">
        <v>2750</v>
      </c>
      <c r="B2" s="9" t="s">
        <v>2751</v>
      </c>
      <c r="C2" s="9" t="s">
        <v>5586</v>
      </c>
      <c r="D2" s="9" t="s">
        <v>5587</v>
      </c>
      <c r="E2" s="9" t="s">
        <v>5588</v>
      </c>
      <c r="F2" s="9" t="s">
        <v>5589</v>
      </c>
      <c r="G2" s="9" t="s">
        <v>5590</v>
      </c>
      <c r="H2" s="9" t="s">
        <v>5591</v>
      </c>
      <c r="I2" s="9" t="s">
        <v>5592</v>
      </c>
      <c r="J2" s="9" t="s">
        <v>4729</v>
      </c>
    </row>
    <row r="3" customFormat="false" ht="30" hidden="false" customHeight="true" outlineLevel="0" collapsed="false">
      <c r="A3" s="24" t="s">
        <v>2758</v>
      </c>
      <c r="B3" s="24" t="s">
        <v>5593</v>
      </c>
      <c r="C3" s="15" t="s">
        <v>5594</v>
      </c>
      <c r="D3" s="12" t="n">
        <v>10</v>
      </c>
      <c r="E3" s="12" t="s">
        <v>5595</v>
      </c>
      <c r="F3" s="46" t="s">
        <v>5596</v>
      </c>
      <c r="G3" s="12" t="s">
        <v>5597</v>
      </c>
      <c r="H3" s="46" t="s">
        <v>5598</v>
      </c>
      <c r="I3" s="46" t="s">
        <v>5599</v>
      </c>
      <c r="J3" s="46" t="s">
        <v>5600</v>
      </c>
    </row>
    <row r="4" customFormat="false" ht="30" hidden="false" customHeight="true" outlineLevel="0" collapsed="false">
      <c r="A4" s="12" t="s">
        <v>2758</v>
      </c>
      <c r="B4" s="12"/>
      <c r="C4" s="15" t="s">
        <v>5594</v>
      </c>
      <c r="D4" s="12" t="n">
        <v>20</v>
      </c>
      <c r="E4" s="12" t="s">
        <v>5601</v>
      </c>
      <c r="F4" s="46" t="s">
        <v>5602</v>
      </c>
      <c r="G4" s="12" t="s">
        <v>5603</v>
      </c>
      <c r="H4" s="46" t="s">
        <v>5604</v>
      </c>
      <c r="I4" s="46"/>
      <c r="J4" s="46"/>
    </row>
    <row r="5" customFormat="false" ht="30" hidden="false" customHeight="true" outlineLevel="0" collapsed="false">
      <c r="A5" s="12" t="s">
        <v>2758</v>
      </c>
      <c r="B5" s="12"/>
      <c r="C5" s="15" t="s">
        <v>5605</v>
      </c>
      <c r="D5" s="12" t="n">
        <v>30</v>
      </c>
      <c r="E5" s="12" t="s">
        <v>5606</v>
      </c>
      <c r="F5" s="46" t="s">
        <v>5607</v>
      </c>
      <c r="G5" s="12" t="s">
        <v>5608</v>
      </c>
      <c r="H5" s="46" t="s">
        <v>5609</v>
      </c>
      <c r="I5" s="46" t="s">
        <v>5610</v>
      </c>
      <c r="J5" s="46" t="s">
        <v>5611</v>
      </c>
    </row>
    <row r="6" customFormat="false" ht="30" hidden="false" customHeight="true" outlineLevel="0" collapsed="false">
      <c r="A6" s="12" t="s">
        <v>2758</v>
      </c>
      <c r="B6" s="12"/>
      <c r="C6" s="15" t="s">
        <v>5605</v>
      </c>
      <c r="D6" s="12" t="n">
        <v>40</v>
      </c>
      <c r="E6" s="12" t="s">
        <v>5612</v>
      </c>
      <c r="F6" s="46" t="s">
        <v>5613</v>
      </c>
      <c r="G6" s="12"/>
      <c r="H6" s="46"/>
      <c r="I6" s="46"/>
      <c r="J6" s="46" t="s">
        <v>5614</v>
      </c>
    </row>
    <row r="7" customFormat="false" ht="30" hidden="false" customHeight="true" outlineLevel="0" collapsed="false">
      <c r="A7" s="12" t="s">
        <v>2758</v>
      </c>
      <c r="B7" s="12"/>
      <c r="C7" s="15" t="s">
        <v>5615</v>
      </c>
      <c r="D7" s="12" t="n">
        <v>50</v>
      </c>
      <c r="E7" s="12" t="s">
        <v>5616</v>
      </c>
      <c r="F7" s="46"/>
      <c r="G7" s="12"/>
      <c r="H7" s="46" t="s">
        <v>5617</v>
      </c>
      <c r="I7" s="46" t="s">
        <v>5618</v>
      </c>
      <c r="J7" s="46"/>
    </row>
    <row r="8" customFormat="false" ht="30" hidden="false" customHeight="true" outlineLevel="0" collapsed="false">
      <c r="A8" s="12" t="s">
        <v>2758</v>
      </c>
      <c r="B8" s="12"/>
      <c r="C8" s="15" t="s">
        <v>5619</v>
      </c>
      <c r="D8" s="12" t="n">
        <v>60</v>
      </c>
      <c r="E8" s="12" t="s">
        <v>5620</v>
      </c>
      <c r="F8" s="46" t="s">
        <v>5621</v>
      </c>
      <c r="G8" s="12" t="s">
        <v>5622</v>
      </c>
      <c r="H8" s="46"/>
      <c r="I8" s="46" t="s">
        <v>5623</v>
      </c>
      <c r="J8" s="46"/>
    </row>
    <row r="9" customFormat="false" ht="30" hidden="false" customHeight="true" outlineLevel="0" collapsed="false">
      <c r="A9" s="24" t="s">
        <v>2763</v>
      </c>
      <c r="B9" s="24" t="s">
        <v>5624</v>
      </c>
      <c r="C9" s="15" t="s">
        <v>5625</v>
      </c>
      <c r="D9" s="12" t="n">
        <v>10</v>
      </c>
      <c r="E9" s="12" t="s">
        <v>5626</v>
      </c>
      <c r="F9" s="46" t="s">
        <v>5627</v>
      </c>
      <c r="G9" s="12" t="s">
        <v>5628</v>
      </c>
      <c r="H9" s="46"/>
      <c r="I9" s="46"/>
      <c r="J9" s="46" t="s">
        <v>5629</v>
      </c>
    </row>
    <row r="10" customFormat="false" ht="30" hidden="false" customHeight="true" outlineLevel="0" collapsed="false">
      <c r="A10" s="12" t="s">
        <v>2763</v>
      </c>
      <c r="B10" s="12"/>
      <c r="C10" s="15" t="s">
        <v>5625</v>
      </c>
      <c r="D10" s="12" t="n">
        <v>20</v>
      </c>
      <c r="E10" s="12" t="s">
        <v>5630</v>
      </c>
      <c r="F10" s="46" t="s">
        <v>5631</v>
      </c>
      <c r="G10" s="12"/>
      <c r="H10" s="46"/>
      <c r="I10" s="46"/>
      <c r="J10" s="46"/>
    </row>
    <row r="11" customFormat="false" ht="30" hidden="false" customHeight="true" outlineLevel="0" collapsed="false">
      <c r="A11" s="12" t="s">
        <v>2763</v>
      </c>
      <c r="B11" s="12"/>
      <c r="C11" s="15" t="s">
        <v>5625</v>
      </c>
      <c r="D11" s="12" t="n">
        <v>30</v>
      </c>
      <c r="E11" s="12" t="s">
        <v>4080</v>
      </c>
      <c r="F11" s="46" t="s">
        <v>5632</v>
      </c>
      <c r="G11" s="12" t="s">
        <v>5633</v>
      </c>
      <c r="H11" s="46" t="s">
        <v>5634</v>
      </c>
      <c r="I11" s="46"/>
      <c r="J11" s="46"/>
    </row>
    <row r="12" customFormat="false" ht="30" hidden="false" customHeight="true" outlineLevel="0" collapsed="false">
      <c r="A12" s="12" t="s">
        <v>2763</v>
      </c>
      <c r="B12" s="12"/>
      <c r="C12" s="15" t="s">
        <v>5635</v>
      </c>
      <c r="D12" s="12" t="n">
        <v>40</v>
      </c>
      <c r="E12" s="12" t="s">
        <v>5636</v>
      </c>
      <c r="F12" s="46" t="s">
        <v>5637</v>
      </c>
      <c r="G12" s="12" t="s">
        <v>5638</v>
      </c>
      <c r="H12" s="46" t="s">
        <v>5639</v>
      </c>
      <c r="I12" s="46"/>
      <c r="J12" s="46"/>
    </row>
    <row r="13" customFormat="false" ht="30" hidden="false" customHeight="true" outlineLevel="0" collapsed="false">
      <c r="A13" s="12" t="s">
        <v>2763</v>
      </c>
      <c r="B13" s="12"/>
      <c r="C13" s="15" t="s">
        <v>5640</v>
      </c>
      <c r="D13" s="12" t="n">
        <v>50</v>
      </c>
      <c r="E13" s="12" t="s">
        <v>5641</v>
      </c>
      <c r="F13" s="46" t="s">
        <v>5642</v>
      </c>
      <c r="G13" s="12" t="s">
        <v>5643</v>
      </c>
      <c r="H13" s="46" t="s">
        <v>5644</v>
      </c>
      <c r="I13" s="46" t="s">
        <v>5645</v>
      </c>
      <c r="J13" s="46" t="s">
        <v>5646</v>
      </c>
    </row>
    <row r="14" customFormat="false" ht="30" hidden="false" customHeight="true" outlineLevel="0" collapsed="false">
      <c r="A14" s="12" t="s">
        <v>2763</v>
      </c>
      <c r="B14" s="12"/>
      <c r="C14" s="15" t="s">
        <v>5647</v>
      </c>
      <c r="D14" s="12" t="n">
        <v>60</v>
      </c>
      <c r="E14" s="12" t="s">
        <v>5648</v>
      </c>
      <c r="F14" s="46" t="s">
        <v>5649</v>
      </c>
      <c r="G14" s="12" t="s">
        <v>5650</v>
      </c>
      <c r="H14" s="46" t="s">
        <v>5651</v>
      </c>
      <c r="I14" s="46"/>
      <c r="J14" s="46"/>
    </row>
    <row r="15" customFormat="false" ht="30" hidden="false" customHeight="true" outlineLevel="0" collapsed="false">
      <c r="A15" s="12" t="s">
        <v>2763</v>
      </c>
      <c r="B15" s="12"/>
      <c r="C15" s="15" t="s">
        <v>5647</v>
      </c>
      <c r="D15" s="12" t="n">
        <v>70</v>
      </c>
      <c r="E15" s="12" t="s">
        <v>5652</v>
      </c>
      <c r="F15" s="46" t="s">
        <v>5653</v>
      </c>
      <c r="G15" s="12" t="s">
        <v>5654</v>
      </c>
      <c r="H15" s="46"/>
      <c r="I15" s="46" t="s">
        <v>5655</v>
      </c>
      <c r="J15" s="46"/>
    </row>
    <row r="16" customFormat="false" ht="30" hidden="false" customHeight="true" outlineLevel="0" collapsed="false">
      <c r="A16" s="12" t="s">
        <v>2763</v>
      </c>
      <c r="B16" s="12"/>
      <c r="C16" s="15" t="s">
        <v>5647</v>
      </c>
      <c r="D16" s="12" t="n">
        <v>80</v>
      </c>
      <c r="E16" s="12" t="s">
        <v>5656</v>
      </c>
      <c r="F16" s="46" t="s">
        <v>5657</v>
      </c>
      <c r="G16" s="12" t="s">
        <v>5654</v>
      </c>
      <c r="H16" s="46"/>
      <c r="I16" s="46"/>
      <c r="J16" s="46" t="s">
        <v>5658</v>
      </c>
    </row>
    <row r="17" customFormat="false" ht="30" hidden="false" customHeight="true" outlineLevel="0" collapsed="false">
      <c r="A17" s="12" t="s">
        <v>2763</v>
      </c>
      <c r="B17" s="12"/>
      <c r="C17" s="15" t="s">
        <v>5647</v>
      </c>
      <c r="D17" s="12" t="n">
        <v>90</v>
      </c>
      <c r="E17" s="12" t="s">
        <v>5659</v>
      </c>
      <c r="F17" s="46" t="s">
        <v>5660</v>
      </c>
      <c r="G17" s="12" t="s">
        <v>5654</v>
      </c>
      <c r="H17" s="46"/>
      <c r="I17" s="46"/>
      <c r="J17" s="46" t="s">
        <v>5661</v>
      </c>
    </row>
    <row r="18" customFormat="false" ht="30" hidden="false" customHeight="true" outlineLevel="0" collapsed="false">
      <c r="A18" s="12" t="s">
        <v>2763</v>
      </c>
      <c r="B18" s="12"/>
      <c r="C18" s="15" t="s">
        <v>5647</v>
      </c>
      <c r="D18" s="12" t="n">
        <v>100</v>
      </c>
      <c r="E18" s="12" t="s">
        <v>5662</v>
      </c>
      <c r="F18" s="46" t="s">
        <v>5663</v>
      </c>
      <c r="G18" s="12" t="s">
        <v>5654</v>
      </c>
      <c r="H18" s="46" t="s">
        <v>5664</v>
      </c>
      <c r="I18" s="46" t="s">
        <v>5665</v>
      </c>
      <c r="J18" s="46"/>
    </row>
    <row r="19" customFormat="false" ht="30" hidden="false" customHeight="true" outlineLevel="0" collapsed="false">
      <c r="A19" s="12" t="s">
        <v>2763</v>
      </c>
      <c r="B19" s="12"/>
      <c r="C19" s="15" t="s">
        <v>5666</v>
      </c>
      <c r="D19" s="12" t="n">
        <v>110</v>
      </c>
      <c r="E19" s="12" t="s">
        <v>5667</v>
      </c>
      <c r="F19" s="46" t="s">
        <v>5668</v>
      </c>
      <c r="G19" s="12" t="s">
        <v>5669</v>
      </c>
      <c r="H19" s="46" t="s">
        <v>5670</v>
      </c>
      <c r="I19" s="46" t="s">
        <v>5671</v>
      </c>
      <c r="J19" s="46"/>
    </row>
    <row r="20" customFormat="false" ht="30" hidden="false" customHeight="true" outlineLevel="0" collapsed="false">
      <c r="A20" s="12" t="s">
        <v>2763</v>
      </c>
      <c r="B20" s="12"/>
      <c r="C20" s="15" t="s">
        <v>5666</v>
      </c>
      <c r="D20" s="12" t="n">
        <v>120</v>
      </c>
      <c r="E20" s="12" t="s">
        <v>5672</v>
      </c>
      <c r="F20" s="46" t="s">
        <v>5673</v>
      </c>
      <c r="G20" s="12" t="s">
        <v>5669</v>
      </c>
      <c r="H20" s="46"/>
      <c r="I20" s="46" t="s">
        <v>5674</v>
      </c>
      <c r="J20" s="46"/>
    </row>
    <row r="21" customFormat="false" ht="30" hidden="false" customHeight="true" outlineLevel="0" collapsed="false">
      <c r="A21" s="12" t="s">
        <v>2763</v>
      </c>
      <c r="B21" s="12"/>
      <c r="C21" s="15" t="s">
        <v>5666</v>
      </c>
      <c r="D21" s="12" t="n">
        <v>130</v>
      </c>
      <c r="E21" s="12" t="s">
        <v>5675</v>
      </c>
      <c r="F21" s="46" t="s">
        <v>5676</v>
      </c>
      <c r="G21" s="12" t="s">
        <v>5669</v>
      </c>
      <c r="H21" s="46"/>
      <c r="I21" s="46" t="s">
        <v>5677</v>
      </c>
      <c r="J21" s="46"/>
    </row>
    <row r="22" customFormat="false" ht="30" hidden="false" customHeight="true" outlineLevel="0" collapsed="false">
      <c r="A22" s="12" t="s">
        <v>2763</v>
      </c>
      <c r="B22" s="12"/>
      <c r="C22" s="15" t="s">
        <v>5666</v>
      </c>
      <c r="D22" s="12" t="n">
        <v>140</v>
      </c>
      <c r="E22" s="12" t="s">
        <v>512</v>
      </c>
      <c r="F22" s="46" t="s">
        <v>5678</v>
      </c>
      <c r="G22" s="12" t="s">
        <v>5669</v>
      </c>
      <c r="H22" s="46" t="s">
        <v>5679</v>
      </c>
      <c r="I22" s="46" t="s">
        <v>5680</v>
      </c>
      <c r="J22" s="46"/>
    </row>
    <row r="23" customFormat="false" ht="30" hidden="false" customHeight="true" outlineLevel="0" collapsed="false">
      <c r="A23" s="12" t="s">
        <v>2763</v>
      </c>
      <c r="B23" s="12"/>
      <c r="C23" s="15" t="s">
        <v>5666</v>
      </c>
      <c r="D23" s="12" t="n">
        <v>150</v>
      </c>
      <c r="E23" s="12" t="s">
        <v>5681</v>
      </c>
      <c r="F23" s="46" t="s">
        <v>5682</v>
      </c>
      <c r="G23" s="12" t="s">
        <v>5669</v>
      </c>
      <c r="H23" s="46"/>
      <c r="I23" s="46" t="s">
        <v>5683</v>
      </c>
      <c r="J23" s="46"/>
    </row>
    <row r="24" customFormat="false" ht="30" hidden="false" customHeight="true" outlineLevel="0" collapsed="false">
      <c r="A24" s="24" t="s">
        <v>2776</v>
      </c>
      <c r="B24" s="24" t="s">
        <v>2777</v>
      </c>
      <c r="C24" s="15" t="s">
        <v>5625</v>
      </c>
      <c r="D24" s="12" t="n">
        <v>10</v>
      </c>
      <c r="E24" s="12" t="s">
        <v>5626</v>
      </c>
      <c r="F24" s="46" t="s">
        <v>5684</v>
      </c>
      <c r="G24" s="12" t="s">
        <v>5628</v>
      </c>
      <c r="H24" s="46"/>
      <c r="I24" s="46"/>
      <c r="J24" s="46"/>
    </row>
    <row r="25" customFormat="false" ht="30" hidden="false" customHeight="true" outlineLevel="0" collapsed="false">
      <c r="A25" s="12" t="s">
        <v>2776</v>
      </c>
      <c r="B25" s="12"/>
      <c r="C25" s="15" t="s">
        <v>5625</v>
      </c>
      <c r="D25" s="12" t="n">
        <v>20</v>
      </c>
      <c r="E25" s="12" t="s">
        <v>5630</v>
      </c>
      <c r="F25" s="46" t="s">
        <v>5685</v>
      </c>
      <c r="G25" s="12"/>
      <c r="H25" s="46"/>
      <c r="I25" s="46"/>
      <c r="J25" s="46"/>
    </row>
    <row r="26" customFormat="false" ht="30" hidden="false" customHeight="true" outlineLevel="0" collapsed="false">
      <c r="A26" s="12" t="s">
        <v>2776</v>
      </c>
      <c r="B26" s="12"/>
      <c r="C26" s="15" t="s">
        <v>5625</v>
      </c>
      <c r="D26" s="12" t="n">
        <v>30</v>
      </c>
      <c r="E26" s="12" t="s">
        <v>4080</v>
      </c>
      <c r="F26" s="46" t="s">
        <v>5686</v>
      </c>
      <c r="G26" s="12" t="s">
        <v>5633</v>
      </c>
      <c r="H26" s="46"/>
      <c r="I26" s="46"/>
      <c r="J26" s="46" t="s">
        <v>5687</v>
      </c>
    </row>
    <row r="27" customFormat="false" ht="30" hidden="false" customHeight="true" outlineLevel="0" collapsed="false">
      <c r="A27" s="12" t="s">
        <v>2776</v>
      </c>
      <c r="B27" s="12"/>
      <c r="C27" s="15" t="s">
        <v>5635</v>
      </c>
      <c r="D27" s="12" t="n">
        <v>40</v>
      </c>
      <c r="E27" s="12" t="s">
        <v>5636</v>
      </c>
      <c r="F27" s="46" t="s">
        <v>5688</v>
      </c>
      <c r="G27" s="12" t="s">
        <v>5638</v>
      </c>
      <c r="H27" s="46" t="s">
        <v>5689</v>
      </c>
      <c r="I27" s="46"/>
      <c r="J27" s="46"/>
    </row>
    <row r="28" customFormat="false" ht="30" hidden="false" customHeight="true" outlineLevel="0" collapsed="false">
      <c r="A28" s="12" t="s">
        <v>2776</v>
      </c>
      <c r="B28" s="12"/>
      <c r="C28" s="15" t="s">
        <v>5647</v>
      </c>
      <c r="D28" s="12" t="n">
        <v>50</v>
      </c>
      <c r="E28" s="12" t="s">
        <v>5690</v>
      </c>
      <c r="F28" s="46" t="s">
        <v>5691</v>
      </c>
      <c r="G28" s="12" t="s">
        <v>5692</v>
      </c>
      <c r="H28" s="46" t="s">
        <v>5693</v>
      </c>
      <c r="I28" s="46"/>
      <c r="J28" s="46" t="s">
        <v>5694</v>
      </c>
    </row>
    <row r="29" customFormat="false" ht="30" hidden="false" customHeight="true" outlineLevel="0" collapsed="false">
      <c r="A29" s="12" t="s">
        <v>2776</v>
      </c>
      <c r="B29" s="12"/>
      <c r="C29" s="15" t="s">
        <v>5647</v>
      </c>
      <c r="D29" s="12" t="n">
        <v>60</v>
      </c>
      <c r="E29" s="12" t="s">
        <v>5695</v>
      </c>
      <c r="F29" s="46" t="s">
        <v>5696</v>
      </c>
      <c r="G29" s="12" t="s">
        <v>5654</v>
      </c>
      <c r="H29" s="46" t="s">
        <v>5697</v>
      </c>
      <c r="I29" s="46"/>
      <c r="J29" s="46"/>
    </row>
    <row r="30" customFormat="false" ht="30" hidden="false" customHeight="true" outlineLevel="0" collapsed="false">
      <c r="A30" s="12" t="s">
        <v>2776</v>
      </c>
      <c r="B30" s="12"/>
      <c r="C30" s="15" t="s">
        <v>5647</v>
      </c>
      <c r="D30" s="12" t="n">
        <v>70</v>
      </c>
      <c r="E30" s="12" t="s">
        <v>5698</v>
      </c>
      <c r="F30" s="46" t="s">
        <v>5699</v>
      </c>
      <c r="G30" s="12" t="s">
        <v>5654</v>
      </c>
      <c r="H30" s="46"/>
      <c r="I30" s="46"/>
      <c r="J30" s="46"/>
    </row>
    <row r="31" customFormat="false" ht="30" hidden="false" customHeight="true" outlineLevel="0" collapsed="false">
      <c r="A31" s="12" t="s">
        <v>2776</v>
      </c>
      <c r="B31" s="12"/>
      <c r="C31" s="15" t="s">
        <v>5647</v>
      </c>
      <c r="D31" s="12" t="n">
        <v>80</v>
      </c>
      <c r="E31" s="12" t="s">
        <v>4567</v>
      </c>
      <c r="F31" s="46" t="s">
        <v>5700</v>
      </c>
      <c r="G31" s="12" t="s">
        <v>5654</v>
      </c>
      <c r="H31" s="46" t="s">
        <v>5664</v>
      </c>
      <c r="I31" s="46" t="s">
        <v>5701</v>
      </c>
      <c r="J31" s="46"/>
    </row>
    <row r="32" customFormat="false" ht="30" hidden="false" customHeight="true" outlineLevel="0" collapsed="false">
      <c r="A32" s="12" t="s">
        <v>2776</v>
      </c>
      <c r="B32" s="12"/>
      <c r="C32" s="15" t="s">
        <v>5702</v>
      </c>
      <c r="D32" s="12" t="n">
        <v>90</v>
      </c>
      <c r="E32" s="12" t="s">
        <v>5703</v>
      </c>
      <c r="F32" s="46"/>
      <c r="G32" s="12"/>
      <c r="H32" s="46"/>
      <c r="I32" s="46" t="s">
        <v>5704</v>
      </c>
      <c r="J32" s="46"/>
    </row>
    <row r="33" customFormat="false" ht="30" hidden="false" customHeight="true" outlineLevel="0" collapsed="false">
      <c r="A33" s="24" t="s">
        <v>2789</v>
      </c>
      <c r="B33" s="24" t="s">
        <v>2791</v>
      </c>
      <c r="C33" s="15" t="s">
        <v>5625</v>
      </c>
      <c r="D33" s="12" t="n">
        <v>10</v>
      </c>
      <c r="E33" s="12" t="s">
        <v>5626</v>
      </c>
      <c r="F33" s="46" t="s">
        <v>5705</v>
      </c>
      <c r="G33" s="12" t="s">
        <v>5628</v>
      </c>
      <c r="H33" s="46"/>
      <c r="I33" s="46"/>
      <c r="J33" s="46"/>
    </row>
    <row r="34" customFormat="false" ht="30" hidden="false" customHeight="true" outlineLevel="0" collapsed="false">
      <c r="A34" s="12" t="s">
        <v>2789</v>
      </c>
      <c r="B34" s="12"/>
      <c r="C34" s="15" t="s">
        <v>5625</v>
      </c>
      <c r="D34" s="12" t="n">
        <v>20</v>
      </c>
      <c r="E34" s="12" t="s">
        <v>5630</v>
      </c>
      <c r="F34" s="46" t="s">
        <v>5706</v>
      </c>
      <c r="G34" s="12"/>
      <c r="H34" s="46"/>
      <c r="I34" s="46"/>
      <c r="J34" s="46"/>
    </row>
    <row r="35" customFormat="false" ht="30" hidden="false" customHeight="true" outlineLevel="0" collapsed="false">
      <c r="A35" s="12" t="s">
        <v>2789</v>
      </c>
      <c r="B35" s="12"/>
      <c r="C35" s="15" t="s">
        <v>5625</v>
      </c>
      <c r="D35" s="12" t="n">
        <v>30</v>
      </c>
      <c r="E35" s="12" t="s">
        <v>4080</v>
      </c>
      <c r="F35" s="46" t="s">
        <v>5707</v>
      </c>
      <c r="G35" s="12" t="s">
        <v>5633</v>
      </c>
      <c r="H35" s="46"/>
      <c r="I35" s="46"/>
      <c r="J35" s="46"/>
    </row>
    <row r="36" customFormat="false" ht="30" hidden="false" customHeight="true" outlineLevel="0" collapsed="false">
      <c r="A36" s="12" t="s">
        <v>2789</v>
      </c>
      <c r="B36" s="12"/>
      <c r="C36" s="15" t="s">
        <v>5635</v>
      </c>
      <c r="D36" s="12" t="n">
        <v>40</v>
      </c>
      <c r="E36" s="12" t="s">
        <v>5636</v>
      </c>
      <c r="F36" s="46" t="s">
        <v>5708</v>
      </c>
      <c r="G36" s="12" t="s">
        <v>5638</v>
      </c>
      <c r="H36" s="46" t="s">
        <v>5709</v>
      </c>
      <c r="I36" s="46"/>
      <c r="J36" s="46" t="s">
        <v>5710</v>
      </c>
    </row>
    <row r="37" customFormat="false" ht="30" hidden="false" customHeight="true" outlineLevel="0" collapsed="false">
      <c r="A37" s="12" t="s">
        <v>2789</v>
      </c>
      <c r="B37" s="12"/>
      <c r="C37" s="15" t="s">
        <v>5647</v>
      </c>
      <c r="D37" s="12" t="n">
        <v>50</v>
      </c>
      <c r="E37" s="12" t="s">
        <v>4063</v>
      </c>
      <c r="F37" s="46" t="s">
        <v>5711</v>
      </c>
      <c r="G37" s="12" t="s">
        <v>5654</v>
      </c>
      <c r="H37" s="46"/>
      <c r="I37" s="46" t="s">
        <v>5712</v>
      </c>
      <c r="J37" s="46" t="s">
        <v>5713</v>
      </c>
    </row>
    <row r="38" customFormat="false" ht="30" hidden="false" customHeight="true" outlineLevel="0" collapsed="false">
      <c r="A38" s="12" t="s">
        <v>2789</v>
      </c>
      <c r="B38" s="12"/>
      <c r="C38" s="15" t="s">
        <v>5647</v>
      </c>
      <c r="D38" s="12" t="n">
        <v>60</v>
      </c>
      <c r="E38" s="12" t="s">
        <v>5714</v>
      </c>
      <c r="F38" s="46" t="s">
        <v>5715</v>
      </c>
      <c r="G38" s="12" t="s">
        <v>5654</v>
      </c>
      <c r="H38" s="46" t="s">
        <v>5716</v>
      </c>
      <c r="I38" s="46" t="s">
        <v>5717</v>
      </c>
      <c r="J38" s="46" t="s">
        <v>5718</v>
      </c>
    </row>
    <row r="39" customFormat="false" ht="30" hidden="false" customHeight="true" outlineLevel="0" collapsed="false">
      <c r="A39" s="12" t="s">
        <v>2789</v>
      </c>
      <c r="B39" s="12"/>
      <c r="C39" s="15" t="s">
        <v>5647</v>
      </c>
      <c r="D39" s="12" t="n">
        <v>70</v>
      </c>
      <c r="E39" s="12" t="s">
        <v>747</v>
      </c>
      <c r="F39" s="46" t="s">
        <v>5719</v>
      </c>
      <c r="G39" s="12" t="s">
        <v>5654</v>
      </c>
      <c r="H39" s="46" t="s">
        <v>5664</v>
      </c>
      <c r="I39" s="46" t="s">
        <v>5720</v>
      </c>
      <c r="J39" s="46"/>
    </row>
    <row r="40" customFormat="false" ht="30" hidden="false" customHeight="true" outlineLevel="0" collapsed="false">
      <c r="A40" s="12" t="s">
        <v>2789</v>
      </c>
      <c r="B40" s="12"/>
      <c r="C40" s="15" t="s">
        <v>5666</v>
      </c>
      <c r="D40" s="12" t="n">
        <v>80</v>
      </c>
      <c r="E40" s="12" t="s">
        <v>5675</v>
      </c>
      <c r="F40" s="46" t="s">
        <v>5721</v>
      </c>
      <c r="G40" s="12" t="s">
        <v>5669</v>
      </c>
      <c r="H40" s="46" t="s">
        <v>5722</v>
      </c>
      <c r="I40" s="46" t="s">
        <v>5677</v>
      </c>
      <c r="J40" s="46"/>
    </row>
    <row r="41" customFormat="false" ht="30" hidden="false" customHeight="true" outlineLevel="0" collapsed="false">
      <c r="A41" s="12" t="s">
        <v>2789</v>
      </c>
      <c r="B41" s="12"/>
      <c r="C41" s="15" t="s">
        <v>5666</v>
      </c>
      <c r="D41" s="12" t="n">
        <v>90</v>
      </c>
      <c r="E41" s="12" t="s">
        <v>5723</v>
      </c>
      <c r="F41" s="46" t="s">
        <v>5724</v>
      </c>
      <c r="G41" s="12" t="s">
        <v>5669</v>
      </c>
      <c r="H41" s="46"/>
      <c r="I41" s="46" t="s">
        <v>5725</v>
      </c>
      <c r="J41" s="46"/>
    </row>
    <row r="42" customFormat="false" ht="30" hidden="false" customHeight="true" outlineLevel="0" collapsed="false">
      <c r="A42" s="12" t="s">
        <v>2789</v>
      </c>
      <c r="B42" s="12"/>
      <c r="C42" s="15" t="s">
        <v>5702</v>
      </c>
      <c r="D42" s="12" t="n">
        <v>100</v>
      </c>
      <c r="E42" s="12" t="s">
        <v>5703</v>
      </c>
      <c r="F42" s="46"/>
      <c r="G42" s="12"/>
      <c r="H42" s="46"/>
      <c r="I42" s="46" t="s">
        <v>5726</v>
      </c>
      <c r="J42" s="46"/>
    </row>
    <row r="43" customFormat="false" ht="30" hidden="false" customHeight="true" outlineLevel="0" collapsed="false">
      <c r="A43" s="24" t="s">
        <v>2801</v>
      </c>
      <c r="B43" s="24" t="s">
        <v>2802</v>
      </c>
      <c r="C43" s="15" t="s">
        <v>5594</v>
      </c>
      <c r="D43" s="12" t="n">
        <v>10</v>
      </c>
      <c r="E43" s="12" t="s">
        <v>5595</v>
      </c>
      <c r="F43" s="46" t="s">
        <v>5727</v>
      </c>
      <c r="G43" s="12" t="s">
        <v>5597</v>
      </c>
      <c r="H43" s="46" t="s">
        <v>5728</v>
      </c>
      <c r="I43" s="46" t="s">
        <v>5729</v>
      </c>
      <c r="J43" s="46"/>
    </row>
    <row r="44" customFormat="false" ht="30" hidden="false" customHeight="true" outlineLevel="0" collapsed="false">
      <c r="A44" s="12" t="s">
        <v>2801</v>
      </c>
      <c r="B44" s="12"/>
      <c r="C44" s="15" t="s">
        <v>5594</v>
      </c>
      <c r="D44" s="12" t="n">
        <v>20</v>
      </c>
      <c r="E44" s="12" t="s">
        <v>5601</v>
      </c>
      <c r="F44" s="46" t="s">
        <v>5730</v>
      </c>
      <c r="G44" s="12" t="s">
        <v>5603</v>
      </c>
      <c r="H44" s="46"/>
      <c r="I44" s="46"/>
      <c r="J44" s="46"/>
    </row>
    <row r="45" customFormat="false" ht="30" hidden="false" customHeight="true" outlineLevel="0" collapsed="false">
      <c r="A45" s="12" t="s">
        <v>2801</v>
      </c>
      <c r="B45" s="12"/>
      <c r="C45" s="15" t="s">
        <v>5731</v>
      </c>
      <c r="D45" s="12" t="n">
        <v>30</v>
      </c>
      <c r="E45" s="12" t="s">
        <v>5732</v>
      </c>
      <c r="F45" s="46" t="s">
        <v>5733</v>
      </c>
      <c r="G45" s="12" t="s">
        <v>5734</v>
      </c>
      <c r="H45" s="46" t="s">
        <v>5735</v>
      </c>
      <c r="I45" s="46"/>
      <c r="J45" s="46" t="s">
        <v>5736</v>
      </c>
    </row>
    <row r="46" customFormat="false" ht="30" hidden="false" customHeight="true" outlineLevel="0" collapsed="false">
      <c r="A46" s="12" t="s">
        <v>2801</v>
      </c>
      <c r="B46" s="12"/>
      <c r="C46" s="15" t="s">
        <v>5605</v>
      </c>
      <c r="D46" s="12" t="n">
        <v>40</v>
      </c>
      <c r="E46" s="12" t="s">
        <v>5606</v>
      </c>
      <c r="F46" s="46" t="s">
        <v>5737</v>
      </c>
      <c r="G46" s="12" t="s">
        <v>5608</v>
      </c>
      <c r="H46" s="46" t="s">
        <v>5738</v>
      </c>
      <c r="I46" s="46" t="s">
        <v>5739</v>
      </c>
      <c r="J46" s="46" t="s">
        <v>5740</v>
      </c>
    </row>
    <row r="47" customFormat="false" ht="30" hidden="false" customHeight="true" outlineLevel="0" collapsed="false">
      <c r="A47" s="12" t="s">
        <v>2801</v>
      </c>
      <c r="B47" s="12"/>
      <c r="C47" s="15" t="s">
        <v>5615</v>
      </c>
      <c r="D47" s="12" t="n">
        <v>50</v>
      </c>
      <c r="E47" s="12" t="s">
        <v>5741</v>
      </c>
      <c r="F47" s="46"/>
      <c r="G47" s="12"/>
      <c r="H47" s="46" t="s">
        <v>5742</v>
      </c>
      <c r="I47" s="46" t="s">
        <v>5743</v>
      </c>
      <c r="J47" s="46"/>
    </row>
    <row r="48" customFormat="false" ht="30" hidden="false" customHeight="true" outlineLevel="0" collapsed="false">
      <c r="A48" s="12" t="s">
        <v>2801</v>
      </c>
      <c r="B48" s="12"/>
      <c r="C48" s="15" t="s">
        <v>5702</v>
      </c>
      <c r="D48" s="12" t="n">
        <v>60</v>
      </c>
      <c r="E48" s="12" t="s">
        <v>5744</v>
      </c>
      <c r="F48" s="46"/>
      <c r="G48" s="12"/>
      <c r="H48" s="46"/>
      <c r="I48" s="46" t="s">
        <v>3256</v>
      </c>
      <c r="J48" s="46"/>
    </row>
    <row r="49" customFormat="false" ht="30" hidden="false" customHeight="true" outlineLevel="0" collapsed="false">
      <c r="A49" s="24" t="s">
        <v>2805</v>
      </c>
      <c r="B49" s="24" t="s">
        <v>2806</v>
      </c>
      <c r="C49" s="15" t="s">
        <v>5625</v>
      </c>
      <c r="D49" s="12" t="n">
        <v>10</v>
      </c>
      <c r="E49" s="12" t="s">
        <v>5626</v>
      </c>
      <c r="F49" s="46" t="s">
        <v>5745</v>
      </c>
      <c r="G49" s="12" t="s">
        <v>5628</v>
      </c>
      <c r="H49" s="46"/>
      <c r="I49" s="46"/>
      <c r="J49" s="46"/>
    </row>
    <row r="50" customFormat="false" ht="30" hidden="false" customHeight="true" outlineLevel="0" collapsed="false">
      <c r="A50" s="12" t="s">
        <v>2805</v>
      </c>
      <c r="B50" s="12"/>
      <c r="C50" s="15" t="s">
        <v>5625</v>
      </c>
      <c r="D50" s="12" t="n">
        <v>20</v>
      </c>
      <c r="E50" s="12" t="s">
        <v>5630</v>
      </c>
      <c r="F50" s="46" t="s">
        <v>5746</v>
      </c>
      <c r="G50" s="12"/>
      <c r="H50" s="46"/>
      <c r="I50" s="46"/>
      <c r="J50" s="46"/>
    </row>
    <row r="51" customFormat="false" ht="30" hidden="false" customHeight="true" outlineLevel="0" collapsed="false">
      <c r="A51" s="12" t="s">
        <v>2805</v>
      </c>
      <c r="B51" s="12"/>
      <c r="C51" s="15" t="s">
        <v>5625</v>
      </c>
      <c r="D51" s="12" t="n">
        <v>30</v>
      </c>
      <c r="E51" s="12" t="s">
        <v>4080</v>
      </c>
      <c r="F51" s="46" t="s">
        <v>5747</v>
      </c>
      <c r="G51" s="12" t="s">
        <v>5633</v>
      </c>
      <c r="H51" s="46"/>
      <c r="I51" s="46"/>
      <c r="J51" s="46"/>
    </row>
    <row r="52" customFormat="false" ht="30" hidden="false" customHeight="true" outlineLevel="0" collapsed="false">
      <c r="A52" s="12" t="s">
        <v>2805</v>
      </c>
      <c r="B52" s="12"/>
      <c r="C52" s="15" t="s">
        <v>5635</v>
      </c>
      <c r="D52" s="12" t="n">
        <v>40</v>
      </c>
      <c r="E52" s="12" t="s">
        <v>5636</v>
      </c>
      <c r="F52" s="46" t="s">
        <v>5748</v>
      </c>
      <c r="G52" s="12" t="s">
        <v>5638</v>
      </c>
      <c r="H52" s="46"/>
      <c r="I52" s="46"/>
      <c r="J52" s="46"/>
    </row>
    <row r="53" customFormat="false" ht="30" hidden="false" customHeight="true" outlineLevel="0" collapsed="false">
      <c r="A53" s="12" t="s">
        <v>2805</v>
      </c>
      <c r="B53" s="12"/>
      <c r="C53" s="15" t="s">
        <v>5647</v>
      </c>
      <c r="D53" s="12" t="n">
        <v>50</v>
      </c>
      <c r="E53" s="12" t="s">
        <v>5749</v>
      </c>
      <c r="F53" s="46" t="s">
        <v>5750</v>
      </c>
      <c r="G53" s="12" t="s">
        <v>5654</v>
      </c>
      <c r="H53" s="46"/>
      <c r="I53" s="46"/>
      <c r="J53" s="46"/>
    </row>
    <row r="54" customFormat="false" ht="30" hidden="false" customHeight="true" outlineLevel="0" collapsed="false">
      <c r="A54" s="12" t="s">
        <v>2805</v>
      </c>
      <c r="B54" s="12"/>
      <c r="C54" s="15" t="s">
        <v>5647</v>
      </c>
      <c r="D54" s="12" t="n">
        <v>60</v>
      </c>
      <c r="E54" s="12" t="s">
        <v>5751</v>
      </c>
      <c r="F54" s="46" t="s">
        <v>5752</v>
      </c>
      <c r="G54" s="12" t="s">
        <v>5654</v>
      </c>
      <c r="H54" s="46" t="s">
        <v>5753</v>
      </c>
      <c r="I54" s="46"/>
      <c r="J54" s="46" t="s">
        <v>5754</v>
      </c>
    </row>
    <row r="55" customFormat="false" ht="30" hidden="false" customHeight="true" outlineLevel="0" collapsed="false">
      <c r="A55" s="12" t="s">
        <v>2805</v>
      </c>
      <c r="B55" s="12"/>
      <c r="C55" s="15" t="s">
        <v>5647</v>
      </c>
      <c r="D55" s="12" t="n">
        <v>70</v>
      </c>
      <c r="E55" s="12" t="s">
        <v>5755</v>
      </c>
      <c r="F55" s="46" t="s">
        <v>5756</v>
      </c>
      <c r="G55" s="12" t="s">
        <v>5654</v>
      </c>
      <c r="H55" s="46" t="s">
        <v>5757</v>
      </c>
      <c r="I55" s="46"/>
      <c r="J55" s="46" t="s">
        <v>5758</v>
      </c>
    </row>
    <row r="56" customFormat="false" ht="30" hidden="false" customHeight="true" outlineLevel="0" collapsed="false">
      <c r="A56" s="12" t="s">
        <v>2805</v>
      </c>
      <c r="B56" s="12"/>
      <c r="C56" s="15" t="s">
        <v>5647</v>
      </c>
      <c r="D56" s="12" t="n">
        <v>80</v>
      </c>
      <c r="E56" s="12" t="s">
        <v>151</v>
      </c>
      <c r="F56" s="46" t="s">
        <v>5759</v>
      </c>
      <c r="G56" s="12" t="s">
        <v>5654</v>
      </c>
      <c r="H56" s="46" t="s">
        <v>5760</v>
      </c>
      <c r="I56" s="46" t="s">
        <v>5761</v>
      </c>
      <c r="J56" s="46" t="s">
        <v>5762</v>
      </c>
    </row>
    <row r="57" customFormat="false" ht="30" hidden="false" customHeight="true" outlineLevel="0" collapsed="false">
      <c r="A57" s="12" t="s">
        <v>2805</v>
      </c>
      <c r="B57" s="12"/>
      <c r="C57" s="15" t="s">
        <v>5647</v>
      </c>
      <c r="D57" s="12" t="n">
        <v>90</v>
      </c>
      <c r="E57" s="12" t="s">
        <v>5763</v>
      </c>
      <c r="F57" s="46" t="s">
        <v>5764</v>
      </c>
      <c r="G57" s="12" t="s">
        <v>5654</v>
      </c>
      <c r="H57" s="46" t="s">
        <v>5765</v>
      </c>
      <c r="I57" s="46" t="s">
        <v>5766</v>
      </c>
      <c r="J57" s="46"/>
    </row>
    <row r="58" customFormat="false" ht="30" hidden="false" customHeight="true" outlineLevel="0" collapsed="false">
      <c r="A58" s="12" t="s">
        <v>2805</v>
      </c>
      <c r="B58" s="12"/>
      <c r="C58" s="15" t="s">
        <v>5647</v>
      </c>
      <c r="D58" s="12" t="n">
        <v>100</v>
      </c>
      <c r="E58" s="12" t="s">
        <v>5767</v>
      </c>
      <c r="F58" s="46" t="s">
        <v>5768</v>
      </c>
      <c r="G58" s="12" t="s">
        <v>5654</v>
      </c>
      <c r="H58" s="46" t="s">
        <v>5664</v>
      </c>
      <c r="I58" s="46" t="s">
        <v>5701</v>
      </c>
      <c r="J58" s="46"/>
    </row>
    <row r="59" customFormat="false" ht="30" hidden="false" customHeight="true" outlineLevel="0" collapsed="false">
      <c r="A59" s="12" t="s">
        <v>2805</v>
      </c>
      <c r="B59" s="12"/>
      <c r="C59" s="15" t="s">
        <v>5666</v>
      </c>
      <c r="D59" s="12" t="n">
        <v>110</v>
      </c>
      <c r="E59" s="12" t="s">
        <v>5723</v>
      </c>
      <c r="F59" s="46" t="s">
        <v>5769</v>
      </c>
      <c r="G59" s="12" t="s">
        <v>5669</v>
      </c>
      <c r="H59" s="46"/>
      <c r="I59" s="46" t="s">
        <v>5725</v>
      </c>
      <c r="J59" s="46"/>
    </row>
    <row r="60" customFormat="false" ht="30" hidden="false" customHeight="true" outlineLevel="0" collapsed="false">
      <c r="A60" s="12" t="s">
        <v>2805</v>
      </c>
      <c r="B60" s="12"/>
      <c r="C60" s="15" t="s">
        <v>5666</v>
      </c>
      <c r="D60" s="12" t="n">
        <v>120</v>
      </c>
      <c r="E60" s="12" t="s">
        <v>747</v>
      </c>
      <c r="F60" s="46" t="s">
        <v>5770</v>
      </c>
      <c r="G60" s="12" t="s">
        <v>5669</v>
      </c>
      <c r="H60" s="46"/>
      <c r="I60" s="46" t="s">
        <v>5720</v>
      </c>
      <c r="J60" s="46"/>
    </row>
    <row r="61" customFormat="false" ht="30" hidden="false" customHeight="true" outlineLevel="0" collapsed="false">
      <c r="A61" s="12" t="s">
        <v>2805</v>
      </c>
      <c r="B61" s="12"/>
      <c r="C61" s="15" t="s">
        <v>5666</v>
      </c>
      <c r="D61" s="12" t="n">
        <v>130</v>
      </c>
      <c r="E61" s="12" t="s">
        <v>5771</v>
      </c>
      <c r="F61" s="46" t="s">
        <v>5772</v>
      </c>
      <c r="G61" s="12" t="s">
        <v>5669</v>
      </c>
      <c r="H61" s="46"/>
      <c r="I61" s="46" t="s">
        <v>5773</v>
      </c>
      <c r="J61" s="46"/>
    </row>
    <row r="62" customFormat="false" ht="30" hidden="false" customHeight="true" outlineLevel="0" collapsed="false">
      <c r="A62" s="24" t="s">
        <v>2810</v>
      </c>
      <c r="B62" s="24" t="s">
        <v>2811</v>
      </c>
      <c r="C62" s="15" t="s">
        <v>5647</v>
      </c>
      <c r="D62" s="12" t="n">
        <v>10</v>
      </c>
      <c r="E62" s="12" t="s">
        <v>5774</v>
      </c>
      <c r="F62" s="46" t="s">
        <v>5775</v>
      </c>
      <c r="G62" s="12" t="s">
        <v>5654</v>
      </c>
      <c r="H62" s="46" t="s">
        <v>5776</v>
      </c>
      <c r="I62" s="46"/>
      <c r="J62" s="46" t="s">
        <v>5777</v>
      </c>
    </row>
    <row r="63" customFormat="false" ht="30" hidden="false" customHeight="true" outlineLevel="0" collapsed="false">
      <c r="A63" s="12" t="s">
        <v>2810</v>
      </c>
      <c r="B63" s="12"/>
      <c r="C63" s="15" t="s">
        <v>5647</v>
      </c>
      <c r="D63" s="12" t="n">
        <v>20</v>
      </c>
      <c r="E63" s="12" t="s">
        <v>5778</v>
      </c>
      <c r="F63" s="46" t="s">
        <v>5779</v>
      </c>
      <c r="G63" s="12" t="s">
        <v>5780</v>
      </c>
      <c r="H63" s="46" t="s">
        <v>5781</v>
      </c>
      <c r="I63" s="46"/>
      <c r="J63" s="46"/>
    </row>
    <row r="64" customFormat="false" ht="30" hidden="false" customHeight="true" outlineLevel="0" collapsed="false">
      <c r="A64" s="12" t="s">
        <v>2810</v>
      </c>
      <c r="B64" s="12"/>
      <c r="C64" s="15" t="s">
        <v>5647</v>
      </c>
      <c r="D64" s="12" t="n">
        <v>30</v>
      </c>
      <c r="E64" s="12" t="s">
        <v>5749</v>
      </c>
      <c r="F64" s="46" t="s">
        <v>5782</v>
      </c>
      <c r="G64" s="12" t="s">
        <v>5654</v>
      </c>
      <c r="H64" s="46"/>
      <c r="I64" s="46"/>
      <c r="J64" s="46"/>
    </row>
    <row r="65" customFormat="false" ht="30" hidden="false" customHeight="true" outlineLevel="0" collapsed="false">
      <c r="A65" s="12" t="s">
        <v>2810</v>
      </c>
      <c r="B65" s="12"/>
      <c r="C65" s="15" t="s">
        <v>5647</v>
      </c>
      <c r="D65" s="12" t="n">
        <v>40</v>
      </c>
      <c r="E65" s="12" t="s">
        <v>44</v>
      </c>
      <c r="F65" s="46" t="s">
        <v>5783</v>
      </c>
      <c r="G65" s="12" t="s">
        <v>5654</v>
      </c>
      <c r="H65" s="46" t="s">
        <v>5784</v>
      </c>
      <c r="I65" s="46"/>
      <c r="J65" s="46" t="s">
        <v>5785</v>
      </c>
    </row>
    <row r="66" customFormat="false" ht="30" hidden="false" customHeight="true" outlineLevel="0" collapsed="false">
      <c r="A66" s="12" t="s">
        <v>2810</v>
      </c>
      <c r="B66" s="12"/>
      <c r="C66" s="15" t="s">
        <v>5647</v>
      </c>
      <c r="D66" s="12" t="n">
        <v>50</v>
      </c>
      <c r="E66" s="12" t="s">
        <v>5786</v>
      </c>
      <c r="F66" s="46" t="s">
        <v>5787</v>
      </c>
      <c r="G66" s="12" t="s">
        <v>5654</v>
      </c>
      <c r="H66" s="46" t="s">
        <v>5788</v>
      </c>
      <c r="I66" s="46"/>
      <c r="J66" s="46"/>
    </row>
    <row r="67" customFormat="false" ht="30" hidden="false" customHeight="true" outlineLevel="0" collapsed="false">
      <c r="A67" s="12" t="s">
        <v>2810</v>
      </c>
      <c r="B67" s="12"/>
      <c r="C67" s="15" t="s">
        <v>5789</v>
      </c>
      <c r="D67" s="12" t="n">
        <v>60</v>
      </c>
      <c r="E67" s="12" t="s">
        <v>5790</v>
      </c>
      <c r="F67" s="46" t="s">
        <v>5791</v>
      </c>
      <c r="G67" s="12" t="s">
        <v>5792</v>
      </c>
      <c r="H67" s="46" t="s">
        <v>5793</v>
      </c>
      <c r="I67" s="46"/>
      <c r="J67" s="46"/>
    </row>
    <row r="68" customFormat="false" ht="30" hidden="false" customHeight="true" outlineLevel="0" collapsed="false">
      <c r="A68" s="12" t="s">
        <v>2810</v>
      </c>
      <c r="B68" s="12"/>
      <c r="C68" s="15" t="s">
        <v>5702</v>
      </c>
      <c r="D68" s="12" t="n">
        <v>70</v>
      </c>
      <c r="E68" s="12" t="s">
        <v>5703</v>
      </c>
      <c r="F68" s="46"/>
      <c r="G68" s="12"/>
      <c r="H68" s="46"/>
      <c r="I68" s="46" t="s">
        <v>5794</v>
      </c>
      <c r="J68" s="46" t="s">
        <v>4756</v>
      </c>
    </row>
    <row r="69" customFormat="false" ht="30" hidden="false" customHeight="true" outlineLevel="0" collapsed="false">
      <c r="A69" s="24" t="s">
        <v>2819</v>
      </c>
      <c r="B69" s="24" t="s">
        <v>2820</v>
      </c>
      <c r="C69" s="15" t="s">
        <v>5594</v>
      </c>
      <c r="D69" s="12" t="n">
        <v>10</v>
      </c>
      <c r="E69" s="12" t="s">
        <v>5795</v>
      </c>
      <c r="F69" s="46" t="s">
        <v>5796</v>
      </c>
      <c r="G69" s="12" t="s">
        <v>5597</v>
      </c>
      <c r="H69" s="46" t="s">
        <v>5797</v>
      </c>
      <c r="I69" s="46" t="s">
        <v>5798</v>
      </c>
      <c r="J69" s="46"/>
    </row>
    <row r="70" customFormat="false" ht="30" hidden="false" customHeight="true" outlineLevel="0" collapsed="false">
      <c r="A70" s="12" t="s">
        <v>2819</v>
      </c>
      <c r="B70" s="12"/>
      <c r="C70" s="15" t="s">
        <v>5731</v>
      </c>
      <c r="D70" s="12" t="n">
        <v>20</v>
      </c>
      <c r="E70" s="12" t="s">
        <v>5732</v>
      </c>
      <c r="F70" s="46" t="s">
        <v>5799</v>
      </c>
      <c r="G70" s="12" t="s">
        <v>5734</v>
      </c>
      <c r="H70" s="46" t="s">
        <v>5800</v>
      </c>
      <c r="I70" s="46"/>
      <c r="J70" s="46"/>
    </row>
    <row r="71" customFormat="false" ht="30" hidden="false" customHeight="true" outlineLevel="0" collapsed="false">
      <c r="A71" s="12" t="s">
        <v>2819</v>
      </c>
      <c r="B71" s="12"/>
      <c r="C71" s="15" t="s">
        <v>5605</v>
      </c>
      <c r="D71" s="12" t="n">
        <v>30</v>
      </c>
      <c r="E71" s="12" t="s">
        <v>5606</v>
      </c>
      <c r="F71" s="46" t="s">
        <v>5801</v>
      </c>
      <c r="G71" s="12" t="s">
        <v>5608</v>
      </c>
      <c r="H71" s="46" t="s">
        <v>5802</v>
      </c>
      <c r="I71" s="46" t="s">
        <v>5803</v>
      </c>
      <c r="J71" s="46" t="s">
        <v>5804</v>
      </c>
    </row>
    <row r="72" customFormat="false" ht="30" hidden="false" customHeight="true" outlineLevel="0" collapsed="false">
      <c r="A72" s="12" t="s">
        <v>2819</v>
      </c>
      <c r="B72" s="12"/>
      <c r="C72" s="15" t="s">
        <v>5615</v>
      </c>
      <c r="D72" s="12" t="n">
        <v>40</v>
      </c>
      <c r="E72" s="12" t="s">
        <v>5741</v>
      </c>
      <c r="F72" s="46"/>
      <c r="G72" s="12"/>
      <c r="H72" s="46" t="s">
        <v>5617</v>
      </c>
      <c r="I72" s="46" t="s">
        <v>5805</v>
      </c>
      <c r="J72" s="46" t="s">
        <v>5806</v>
      </c>
    </row>
    <row r="73" customFormat="false" ht="30" hidden="false" customHeight="true" outlineLevel="0" collapsed="false">
      <c r="A73" s="12" t="s">
        <v>2819</v>
      </c>
      <c r="B73" s="12"/>
      <c r="C73" s="15" t="s">
        <v>5807</v>
      </c>
      <c r="D73" s="12" t="n">
        <v>50</v>
      </c>
      <c r="E73" s="12" t="s">
        <v>5808</v>
      </c>
      <c r="F73" s="46" t="s">
        <v>5809</v>
      </c>
      <c r="G73" s="12" t="s">
        <v>5669</v>
      </c>
      <c r="H73" s="46" t="s">
        <v>5810</v>
      </c>
      <c r="I73" s="46" t="s">
        <v>5811</v>
      </c>
      <c r="J73" s="46" t="s">
        <v>5812</v>
      </c>
    </row>
    <row r="74" customFormat="false" ht="30" hidden="false" customHeight="true" outlineLevel="0" collapsed="false">
      <c r="A74" s="24" t="s">
        <v>3077</v>
      </c>
      <c r="B74" s="24" t="s">
        <v>3078</v>
      </c>
      <c r="C74" s="15" t="s">
        <v>5594</v>
      </c>
      <c r="D74" s="12" t="n">
        <v>10</v>
      </c>
      <c r="E74" s="12" t="s">
        <v>5813</v>
      </c>
      <c r="F74" s="46" t="s">
        <v>5814</v>
      </c>
      <c r="G74" s="12" t="s">
        <v>5597</v>
      </c>
      <c r="H74" s="46" t="s">
        <v>5815</v>
      </c>
      <c r="I74" s="46" t="s">
        <v>5798</v>
      </c>
      <c r="J74" s="46"/>
    </row>
    <row r="75" customFormat="false" ht="30" hidden="false" customHeight="true" outlineLevel="0" collapsed="false">
      <c r="A75" s="12" t="s">
        <v>3077</v>
      </c>
      <c r="B75" s="12"/>
      <c r="C75" s="15" t="s">
        <v>5816</v>
      </c>
      <c r="D75" s="12" t="n">
        <v>20</v>
      </c>
      <c r="E75" s="12" t="s">
        <v>5817</v>
      </c>
      <c r="F75" s="46" t="s">
        <v>5818</v>
      </c>
      <c r="G75" s="12" t="s">
        <v>5819</v>
      </c>
      <c r="H75" s="46" t="s">
        <v>5820</v>
      </c>
      <c r="I75" s="46" t="s">
        <v>5821</v>
      </c>
      <c r="J75" s="46" t="s">
        <v>5822</v>
      </c>
    </row>
    <row r="76" customFormat="false" ht="30" hidden="false" customHeight="true" outlineLevel="0" collapsed="false">
      <c r="A76" s="12" t="s">
        <v>3077</v>
      </c>
      <c r="B76" s="12"/>
      <c r="C76" s="15" t="s">
        <v>5816</v>
      </c>
      <c r="D76" s="12" t="n">
        <v>30</v>
      </c>
      <c r="E76" s="12" t="s">
        <v>5823</v>
      </c>
      <c r="F76" s="46" t="s">
        <v>5824</v>
      </c>
      <c r="G76" s="12" t="s">
        <v>5825</v>
      </c>
      <c r="H76" s="46"/>
      <c r="I76" s="46" t="s">
        <v>5826</v>
      </c>
      <c r="J76" s="46"/>
    </row>
    <row r="77" customFormat="false" ht="30" hidden="false" customHeight="true" outlineLevel="0" collapsed="false">
      <c r="A77" s="12" t="s">
        <v>3077</v>
      </c>
      <c r="B77" s="12"/>
      <c r="C77" s="15" t="s">
        <v>5816</v>
      </c>
      <c r="D77" s="12" t="n">
        <v>40</v>
      </c>
      <c r="E77" s="12" t="s">
        <v>5827</v>
      </c>
      <c r="F77" s="46" t="s">
        <v>5828</v>
      </c>
      <c r="G77" s="12" t="s">
        <v>5829</v>
      </c>
      <c r="H77" s="46"/>
      <c r="I77" s="46" t="s">
        <v>5830</v>
      </c>
      <c r="J77" s="46"/>
    </row>
    <row r="78" customFormat="false" ht="30" hidden="false" customHeight="true" outlineLevel="0" collapsed="false">
      <c r="A78" s="12" t="s">
        <v>3077</v>
      </c>
      <c r="B78" s="12"/>
      <c r="C78" s="15" t="s">
        <v>5640</v>
      </c>
      <c r="D78" s="12" t="n">
        <v>50</v>
      </c>
      <c r="E78" s="12" t="s">
        <v>5831</v>
      </c>
      <c r="F78" s="46" t="s">
        <v>5832</v>
      </c>
      <c r="G78" s="12" t="s">
        <v>5643</v>
      </c>
      <c r="H78" s="46" t="s">
        <v>5833</v>
      </c>
      <c r="I78" s="46"/>
      <c r="J78" s="46" t="s">
        <v>5834</v>
      </c>
    </row>
    <row r="79" customFormat="false" ht="30" hidden="false" customHeight="true" outlineLevel="0" collapsed="false">
      <c r="A79" s="12" t="s">
        <v>3077</v>
      </c>
      <c r="B79" s="12"/>
      <c r="C79" s="15" t="s">
        <v>5816</v>
      </c>
      <c r="D79" s="12" t="n">
        <v>60</v>
      </c>
      <c r="E79" s="12" t="s">
        <v>5835</v>
      </c>
      <c r="F79" s="46" t="s">
        <v>5836</v>
      </c>
      <c r="G79" s="12" t="s">
        <v>5819</v>
      </c>
      <c r="H79" s="46"/>
      <c r="I79" s="46" t="s">
        <v>5837</v>
      </c>
      <c r="J79" s="46"/>
    </row>
    <row r="80" customFormat="false" ht="30" hidden="false" customHeight="true" outlineLevel="0" collapsed="false">
      <c r="A80" s="12" t="s">
        <v>3077</v>
      </c>
      <c r="B80" s="12"/>
      <c r="C80" s="15" t="s">
        <v>5816</v>
      </c>
      <c r="D80" s="12" t="n">
        <v>70</v>
      </c>
      <c r="E80" s="12" t="s">
        <v>5838</v>
      </c>
      <c r="F80" s="46" t="s">
        <v>5839</v>
      </c>
      <c r="G80" s="12" t="s">
        <v>5840</v>
      </c>
      <c r="H80" s="46"/>
      <c r="I80" s="46" t="s">
        <v>5841</v>
      </c>
      <c r="J80" s="46"/>
    </row>
    <row r="81" customFormat="false" ht="30" hidden="false" customHeight="true" outlineLevel="0" collapsed="false">
      <c r="A81" s="12" t="s">
        <v>3077</v>
      </c>
      <c r="B81" s="12"/>
      <c r="C81" s="15" t="s">
        <v>5816</v>
      </c>
      <c r="D81" s="12" t="n">
        <v>80</v>
      </c>
      <c r="E81" s="12" t="s">
        <v>5842</v>
      </c>
      <c r="F81" s="46" t="s">
        <v>5843</v>
      </c>
      <c r="G81" s="12" t="s">
        <v>5844</v>
      </c>
      <c r="H81" s="46"/>
      <c r="I81" s="46" t="s">
        <v>5830</v>
      </c>
      <c r="J81" s="46"/>
    </row>
    <row r="82" customFormat="false" ht="30" hidden="false" customHeight="true" outlineLevel="0" collapsed="false">
      <c r="A82" s="12" t="s">
        <v>3077</v>
      </c>
      <c r="B82" s="12"/>
      <c r="C82" s="15" t="s">
        <v>5816</v>
      </c>
      <c r="D82" s="12" t="n">
        <v>90</v>
      </c>
      <c r="E82" s="12" t="s">
        <v>5845</v>
      </c>
      <c r="F82" s="46" t="s">
        <v>5846</v>
      </c>
      <c r="G82" s="12" t="s">
        <v>5847</v>
      </c>
      <c r="H82" s="46" t="s">
        <v>5848</v>
      </c>
      <c r="I82" s="46" t="s">
        <v>5849</v>
      </c>
      <c r="J82" s="46" t="s">
        <v>5850</v>
      </c>
    </row>
    <row r="83" customFormat="false" ht="30" hidden="false" customHeight="true" outlineLevel="0" collapsed="false">
      <c r="A83" s="24" t="s">
        <v>3117</v>
      </c>
      <c r="B83" s="24" t="s">
        <v>3118</v>
      </c>
      <c r="C83" s="15" t="s">
        <v>5594</v>
      </c>
      <c r="D83" s="12" t="n">
        <v>10</v>
      </c>
      <c r="E83" s="12" t="s">
        <v>5795</v>
      </c>
      <c r="F83" s="46" t="s">
        <v>5851</v>
      </c>
      <c r="G83" s="12" t="s">
        <v>5597</v>
      </c>
      <c r="H83" s="46" t="s">
        <v>5852</v>
      </c>
      <c r="I83" s="46" t="s">
        <v>5798</v>
      </c>
      <c r="J83" s="46"/>
    </row>
    <row r="84" customFormat="false" ht="30" hidden="false" customHeight="true" outlineLevel="0" collapsed="false">
      <c r="A84" s="12" t="s">
        <v>3117</v>
      </c>
      <c r="B84" s="12"/>
      <c r="C84" s="15" t="s">
        <v>5635</v>
      </c>
      <c r="D84" s="12" t="n">
        <v>20</v>
      </c>
      <c r="E84" s="12" t="s">
        <v>5853</v>
      </c>
      <c r="F84" s="46" t="s">
        <v>5854</v>
      </c>
      <c r="G84" s="12" t="s">
        <v>5840</v>
      </c>
      <c r="H84" s="46" t="s">
        <v>5855</v>
      </c>
      <c r="I84" s="46"/>
      <c r="J84" s="46"/>
    </row>
    <row r="85" customFormat="false" ht="30" hidden="false" customHeight="true" outlineLevel="0" collapsed="false">
      <c r="A85" s="12" t="s">
        <v>3117</v>
      </c>
      <c r="B85" s="12"/>
      <c r="C85" s="15" t="s">
        <v>5605</v>
      </c>
      <c r="D85" s="12" t="n">
        <v>30</v>
      </c>
      <c r="E85" s="12" t="s">
        <v>5606</v>
      </c>
      <c r="F85" s="46" t="s">
        <v>5856</v>
      </c>
      <c r="G85" s="12" t="s">
        <v>5608</v>
      </c>
      <c r="H85" s="46" t="s">
        <v>5857</v>
      </c>
      <c r="I85" s="46" t="s">
        <v>5858</v>
      </c>
      <c r="J85" s="46" t="s">
        <v>5859</v>
      </c>
    </row>
    <row r="86" customFormat="false" ht="30" hidden="false" customHeight="true" outlineLevel="0" collapsed="false">
      <c r="A86" s="12" t="s">
        <v>3117</v>
      </c>
      <c r="B86" s="12"/>
      <c r="C86" s="15" t="s">
        <v>5605</v>
      </c>
      <c r="D86" s="12" t="n">
        <v>40</v>
      </c>
      <c r="E86" s="12" t="s">
        <v>5860</v>
      </c>
      <c r="F86" s="46" t="s">
        <v>5861</v>
      </c>
      <c r="G86" s="12" t="s">
        <v>5862</v>
      </c>
      <c r="H86" s="46"/>
      <c r="I86" s="46"/>
      <c r="J86" s="46" t="s">
        <v>5863</v>
      </c>
    </row>
    <row r="87" customFormat="false" ht="30" hidden="false" customHeight="true" outlineLevel="0" collapsed="false">
      <c r="A87" s="12" t="s">
        <v>3117</v>
      </c>
      <c r="B87" s="12"/>
      <c r="C87" s="15" t="s">
        <v>5615</v>
      </c>
      <c r="D87" s="12" t="n">
        <v>50</v>
      </c>
      <c r="E87" s="12" t="s">
        <v>5741</v>
      </c>
      <c r="F87" s="46"/>
      <c r="G87" s="12"/>
      <c r="H87" s="46" t="s">
        <v>5617</v>
      </c>
      <c r="I87" s="46" t="s">
        <v>5864</v>
      </c>
      <c r="J87" s="46"/>
    </row>
    <row r="88" customFormat="false" ht="30" hidden="false" customHeight="true" outlineLevel="0" collapsed="false">
      <c r="A88" s="12" t="s">
        <v>3117</v>
      </c>
      <c r="B88" s="12"/>
      <c r="C88" s="15" t="s">
        <v>5640</v>
      </c>
      <c r="D88" s="12" t="n">
        <v>60</v>
      </c>
      <c r="E88" s="12" t="s">
        <v>5865</v>
      </c>
      <c r="F88" s="46" t="s">
        <v>5866</v>
      </c>
      <c r="G88" s="12" t="s">
        <v>5643</v>
      </c>
      <c r="H88" s="46" t="s">
        <v>5867</v>
      </c>
      <c r="I88" s="46" t="s">
        <v>5868</v>
      </c>
      <c r="J88" s="46" t="s">
        <v>5869</v>
      </c>
    </row>
    <row r="89" customFormat="false" ht="30" hidden="false" customHeight="true" outlineLevel="0" collapsed="false">
      <c r="A89" s="24" t="s">
        <v>3179</v>
      </c>
      <c r="B89" s="24" t="s">
        <v>3181</v>
      </c>
      <c r="C89" s="15" t="s">
        <v>5625</v>
      </c>
      <c r="D89" s="12" t="n">
        <v>10</v>
      </c>
      <c r="E89" s="12" t="s">
        <v>5626</v>
      </c>
      <c r="F89" s="46" t="s">
        <v>5870</v>
      </c>
      <c r="G89" s="12" t="s">
        <v>5628</v>
      </c>
      <c r="H89" s="46"/>
      <c r="I89" s="46"/>
      <c r="J89" s="46"/>
    </row>
    <row r="90" customFormat="false" ht="30" hidden="false" customHeight="true" outlineLevel="0" collapsed="false">
      <c r="A90" s="12" t="s">
        <v>3179</v>
      </c>
      <c r="B90" s="12"/>
      <c r="C90" s="15" t="s">
        <v>5625</v>
      </c>
      <c r="D90" s="12" t="n">
        <v>20</v>
      </c>
      <c r="E90" s="12" t="s">
        <v>5630</v>
      </c>
      <c r="F90" s="46" t="s">
        <v>5871</v>
      </c>
      <c r="G90" s="12"/>
      <c r="H90" s="46"/>
      <c r="I90" s="46"/>
      <c r="J90" s="46"/>
    </row>
    <row r="91" customFormat="false" ht="30" hidden="false" customHeight="true" outlineLevel="0" collapsed="false">
      <c r="A91" s="12" t="s">
        <v>3179</v>
      </c>
      <c r="B91" s="12"/>
      <c r="C91" s="15" t="s">
        <v>5625</v>
      </c>
      <c r="D91" s="12" t="n">
        <v>30</v>
      </c>
      <c r="E91" s="12" t="s">
        <v>4080</v>
      </c>
      <c r="F91" s="46" t="s">
        <v>5872</v>
      </c>
      <c r="G91" s="12" t="s">
        <v>5633</v>
      </c>
      <c r="H91" s="46" t="s">
        <v>5873</v>
      </c>
      <c r="I91" s="46"/>
      <c r="J91" s="46"/>
    </row>
    <row r="92" customFormat="false" ht="30" hidden="false" customHeight="true" outlineLevel="0" collapsed="false">
      <c r="A92" s="12" t="s">
        <v>3179</v>
      </c>
      <c r="B92" s="12"/>
      <c r="C92" s="15" t="s">
        <v>5635</v>
      </c>
      <c r="D92" s="12" t="n">
        <v>40</v>
      </c>
      <c r="E92" s="12" t="s">
        <v>5636</v>
      </c>
      <c r="F92" s="46" t="s">
        <v>5874</v>
      </c>
      <c r="G92" s="12" t="s">
        <v>5638</v>
      </c>
      <c r="H92" s="46"/>
      <c r="I92" s="46"/>
      <c r="J92" s="46"/>
    </row>
    <row r="93" customFormat="false" ht="30" hidden="false" customHeight="true" outlineLevel="0" collapsed="false">
      <c r="A93" s="12" t="s">
        <v>3179</v>
      </c>
      <c r="B93" s="12"/>
      <c r="C93" s="15" t="s">
        <v>5647</v>
      </c>
      <c r="D93" s="12" t="n">
        <v>50</v>
      </c>
      <c r="E93" s="12" t="s">
        <v>1144</v>
      </c>
      <c r="F93" s="46" t="s">
        <v>5875</v>
      </c>
      <c r="G93" s="12" t="s">
        <v>5654</v>
      </c>
      <c r="H93" s="46" t="s">
        <v>5876</v>
      </c>
      <c r="I93" s="46"/>
      <c r="J93" s="46" t="s">
        <v>5877</v>
      </c>
    </row>
    <row r="94" customFormat="false" ht="30" hidden="false" customHeight="true" outlineLevel="0" collapsed="false">
      <c r="A94" s="12" t="s">
        <v>3179</v>
      </c>
      <c r="B94" s="12"/>
      <c r="C94" s="15" t="s">
        <v>5647</v>
      </c>
      <c r="D94" s="12" t="n">
        <v>60</v>
      </c>
      <c r="E94" s="12" t="s">
        <v>5878</v>
      </c>
      <c r="F94" s="46" t="s">
        <v>5879</v>
      </c>
      <c r="G94" s="12" t="s">
        <v>5654</v>
      </c>
      <c r="H94" s="46" t="s">
        <v>5880</v>
      </c>
      <c r="I94" s="46" t="s">
        <v>5881</v>
      </c>
      <c r="J94" s="46" t="s">
        <v>5882</v>
      </c>
    </row>
    <row r="95" customFormat="false" ht="30" hidden="false" customHeight="true" outlineLevel="0" collapsed="false">
      <c r="A95" s="12" t="s">
        <v>3179</v>
      </c>
      <c r="B95" s="12"/>
      <c r="C95" s="15" t="s">
        <v>5666</v>
      </c>
      <c r="D95" s="12" t="n">
        <v>70</v>
      </c>
      <c r="E95" s="12" t="s">
        <v>5883</v>
      </c>
      <c r="F95" s="46" t="s">
        <v>5884</v>
      </c>
      <c r="G95" s="12" t="s">
        <v>5669</v>
      </c>
      <c r="H95" s="46" t="s">
        <v>5885</v>
      </c>
      <c r="I95" s="46" t="s">
        <v>5886</v>
      </c>
      <c r="J95" s="46" t="s">
        <v>5887</v>
      </c>
    </row>
    <row r="96" customFormat="false" ht="30" hidden="false" customHeight="true" outlineLevel="0" collapsed="false">
      <c r="A96" s="12" t="s">
        <v>3179</v>
      </c>
      <c r="B96" s="12"/>
      <c r="C96" s="15" t="s">
        <v>5666</v>
      </c>
      <c r="D96" s="12" t="n">
        <v>80</v>
      </c>
      <c r="E96" s="12" t="s">
        <v>5888</v>
      </c>
      <c r="F96" s="46" t="s">
        <v>5889</v>
      </c>
      <c r="G96" s="12" t="s">
        <v>5669</v>
      </c>
      <c r="H96" s="46"/>
      <c r="I96" s="46" t="s">
        <v>5890</v>
      </c>
      <c r="J96" s="46"/>
    </row>
    <row r="97" customFormat="false" ht="30" hidden="false" customHeight="true" outlineLevel="0" collapsed="false">
      <c r="A97" s="12" t="s">
        <v>3179</v>
      </c>
      <c r="B97" s="12"/>
      <c r="C97" s="15" t="s">
        <v>5666</v>
      </c>
      <c r="D97" s="12" t="n">
        <v>90</v>
      </c>
      <c r="E97" s="12" t="s">
        <v>5891</v>
      </c>
      <c r="F97" s="46" t="s">
        <v>5892</v>
      </c>
      <c r="G97" s="12" t="s">
        <v>5669</v>
      </c>
      <c r="H97" s="46" t="s">
        <v>5893</v>
      </c>
      <c r="I97" s="46" t="s">
        <v>5677</v>
      </c>
      <c r="J97" s="46"/>
    </row>
    <row r="98" customFormat="false" ht="30" hidden="false" customHeight="true" outlineLevel="0" collapsed="false">
      <c r="A98" s="12" t="s">
        <v>3179</v>
      </c>
      <c r="B98" s="12"/>
      <c r="C98" s="15" t="s">
        <v>5666</v>
      </c>
      <c r="D98" s="12" t="n">
        <v>100</v>
      </c>
      <c r="E98" s="12" t="s">
        <v>5894</v>
      </c>
      <c r="F98" s="46" t="s">
        <v>5895</v>
      </c>
      <c r="G98" s="12" t="s">
        <v>5669</v>
      </c>
      <c r="H98" s="46"/>
      <c r="I98" s="46" t="s">
        <v>5896</v>
      </c>
      <c r="J98" s="46"/>
    </row>
    <row r="99" customFormat="false" ht="30" hidden="false" customHeight="true" outlineLevel="0" collapsed="false">
      <c r="A99" s="12" t="s">
        <v>3179</v>
      </c>
      <c r="B99" s="12"/>
      <c r="C99" s="15" t="s">
        <v>5666</v>
      </c>
      <c r="D99" s="12" t="n">
        <v>110</v>
      </c>
      <c r="E99" s="12" t="s">
        <v>5897</v>
      </c>
      <c r="F99" s="46" t="s">
        <v>5898</v>
      </c>
      <c r="G99" s="12" t="s">
        <v>5669</v>
      </c>
      <c r="H99" s="46" t="s">
        <v>5899</v>
      </c>
      <c r="I99" s="46"/>
      <c r="J99" s="46" t="s">
        <v>5900</v>
      </c>
    </row>
    <row r="100" customFormat="false" ht="30" hidden="false" customHeight="true" outlineLevel="0" collapsed="false">
      <c r="A100" s="24" t="s">
        <v>3191</v>
      </c>
      <c r="B100" s="24" t="s">
        <v>3192</v>
      </c>
      <c r="C100" s="15" t="s">
        <v>5625</v>
      </c>
      <c r="D100" s="12" t="n">
        <v>10</v>
      </c>
      <c r="E100" s="12" t="s">
        <v>5626</v>
      </c>
      <c r="F100" s="46" t="s">
        <v>5901</v>
      </c>
      <c r="G100" s="12" t="s">
        <v>5628</v>
      </c>
      <c r="H100" s="46"/>
      <c r="I100" s="46"/>
      <c r="J100" s="46"/>
    </row>
    <row r="101" customFormat="false" ht="30" hidden="false" customHeight="true" outlineLevel="0" collapsed="false">
      <c r="A101" s="12" t="s">
        <v>3191</v>
      </c>
      <c r="B101" s="12"/>
      <c r="C101" s="15" t="s">
        <v>5625</v>
      </c>
      <c r="D101" s="12" t="n">
        <v>20</v>
      </c>
      <c r="E101" s="12" t="s">
        <v>5630</v>
      </c>
      <c r="F101" s="46" t="s">
        <v>5902</v>
      </c>
      <c r="G101" s="12"/>
      <c r="H101" s="46"/>
      <c r="I101" s="46"/>
      <c r="J101" s="46"/>
    </row>
    <row r="102" customFormat="false" ht="30" hidden="false" customHeight="true" outlineLevel="0" collapsed="false">
      <c r="A102" s="12" t="s">
        <v>3191</v>
      </c>
      <c r="B102" s="12"/>
      <c r="C102" s="15" t="s">
        <v>5625</v>
      </c>
      <c r="D102" s="12" t="n">
        <v>30</v>
      </c>
      <c r="E102" s="12" t="s">
        <v>4080</v>
      </c>
      <c r="F102" s="46" t="s">
        <v>5903</v>
      </c>
      <c r="G102" s="12" t="s">
        <v>5633</v>
      </c>
      <c r="H102" s="46"/>
      <c r="I102" s="46"/>
      <c r="J102" s="46"/>
    </row>
    <row r="103" customFormat="false" ht="30" hidden="false" customHeight="true" outlineLevel="0" collapsed="false">
      <c r="A103" s="12" t="s">
        <v>3191</v>
      </c>
      <c r="B103" s="12"/>
      <c r="C103" s="15" t="s">
        <v>5647</v>
      </c>
      <c r="D103" s="12" t="n">
        <v>40</v>
      </c>
      <c r="E103" s="12" t="s">
        <v>1144</v>
      </c>
      <c r="F103" s="46" t="s">
        <v>5904</v>
      </c>
      <c r="G103" s="12" t="s">
        <v>5654</v>
      </c>
      <c r="H103" s="46" t="s">
        <v>5905</v>
      </c>
      <c r="I103" s="46"/>
      <c r="J103" s="46"/>
    </row>
    <row r="104" customFormat="false" ht="30" hidden="false" customHeight="true" outlineLevel="0" collapsed="false">
      <c r="A104" s="12" t="s">
        <v>3191</v>
      </c>
      <c r="B104" s="12"/>
      <c r="C104" s="15" t="s">
        <v>5647</v>
      </c>
      <c r="D104" s="12" t="n">
        <v>50</v>
      </c>
      <c r="E104" s="12" t="s">
        <v>5906</v>
      </c>
      <c r="F104" s="46" t="s">
        <v>5907</v>
      </c>
      <c r="G104" s="12" t="s">
        <v>5654</v>
      </c>
      <c r="H104" s="46" t="s">
        <v>5908</v>
      </c>
      <c r="I104" s="46"/>
      <c r="J104" s="46"/>
    </row>
    <row r="105" customFormat="false" ht="30" hidden="false" customHeight="true" outlineLevel="0" collapsed="false">
      <c r="A105" s="12" t="s">
        <v>3191</v>
      </c>
      <c r="B105" s="12"/>
      <c r="C105" s="15" t="s">
        <v>5666</v>
      </c>
      <c r="D105" s="12" t="n">
        <v>60</v>
      </c>
      <c r="E105" s="12" t="s">
        <v>5909</v>
      </c>
      <c r="F105" s="46" t="s">
        <v>5910</v>
      </c>
      <c r="G105" s="12" t="s">
        <v>5669</v>
      </c>
      <c r="H105" s="46"/>
      <c r="I105" s="46" t="s">
        <v>5911</v>
      </c>
      <c r="J105" s="46"/>
    </row>
    <row r="106" customFormat="false" ht="30" hidden="false" customHeight="true" outlineLevel="0" collapsed="false">
      <c r="A106" s="12" t="s">
        <v>3191</v>
      </c>
      <c r="B106" s="12"/>
      <c r="C106" s="15" t="s">
        <v>5666</v>
      </c>
      <c r="D106" s="12" t="n">
        <v>70</v>
      </c>
      <c r="E106" s="12" t="s">
        <v>5912</v>
      </c>
      <c r="F106" s="46" t="s">
        <v>5913</v>
      </c>
      <c r="G106" s="12" t="s">
        <v>5669</v>
      </c>
      <c r="H106" s="46"/>
      <c r="I106" s="46" t="s">
        <v>5890</v>
      </c>
      <c r="J106" s="46"/>
    </row>
    <row r="107" customFormat="false" ht="30" hidden="false" customHeight="true" outlineLevel="0" collapsed="false">
      <c r="A107" s="12" t="s">
        <v>3191</v>
      </c>
      <c r="B107" s="12"/>
      <c r="C107" s="15" t="s">
        <v>5666</v>
      </c>
      <c r="D107" s="12" t="n">
        <v>80</v>
      </c>
      <c r="E107" s="12" t="s">
        <v>5914</v>
      </c>
      <c r="F107" s="46" t="s">
        <v>5915</v>
      </c>
      <c r="G107" s="12" t="s">
        <v>5669</v>
      </c>
      <c r="H107" s="46" t="s">
        <v>5916</v>
      </c>
      <c r="I107" s="46" t="s">
        <v>5917</v>
      </c>
      <c r="J107" s="46"/>
    </row>
    <row r="108" customFormat="false" ht="30" hidden="false" customHeight="true" outlineLevel="0" collapsed="false">
      <c r="A108" s="24" t="s">
        <v>3196</v>
      </c>
      <c r="B108" s="24" t="s">
        <v>3197</v>
      </c>
      <c r="C108" s="15" t="s">
        <v>5816</v>
      </c>
      <c r="D108" s="12" t="n">
        <v>10</v>
      </c>
      <c r="E108" s="12" t="s">
        <v>5918</v>
      </c>
      <c r="F108" s="46" t="s">
        <v>5919</v>
      </c>
      <c r="G108" s="12" t="s">
        <v>5920</v>
      </c>
      <c r="H108" s="46"/>
      <c r="I108" s="46" t="s">
        <v>5921</v>
      </c>
      <c r="J108" s="46"/>
    </row>
    <row r="109" customFormat="false" ht="30" hidden="false" customHeight="true" outlineLevel="0" collapsed="false">
      <c r="A109" s="12" t="s">
        <v>3196</v>
      </c>
      <c r="B109" s="12"/>
      <c r="C109" s="15" t="s">
        <v>5816</v>
      </c>
      <c r="D109" s="12" t="n">
        <v>20</v>
      </c>
      <c r="E109" s="12" t="s">
        <v>747</v>
      </c>
      <c r="F109" s="46" t="s">
        <v>5922</v>
      </c>
      <c r="G109" s="12" t="s">
        <v>5920</v>
      </c>
      <c r="H109" s="46"/>
      <c r="I109" s="46" t="s">
        <v>5923</v>
      </c>
      <c r="J109" s="46"/>
    </row>
    <row r="110" customFormat="false" ht="30" hidden="false" customHeight="true" outlineLevel="0" collapsed="false">
      <c r="A110" s="12" t="s">
        <v>3196</v>
      </c>
      <c r="B110" s="12"/>
      <c r="C110" s="15" t="s">
        <v>5816</v>
      </c>
      <c r="D110" s="12" t="n">
        <v>30</v>
      </c>
      <c r="E110" s="12" t="s">
        <v>5924</v>
      </c>
      <c r="F110" s="46" t="s">
        <v>5925</v>
      </c>
      <c r="G110" s="12" t="s">
        <v>5920</v>
      </c>
      <c r="H110" s="46"/>
      <c r="I110" s="46" t="s">
        <v>5926</v>
      </c>
      <c r="J110" s="46"/>
    </row>
    <row r="111" customFormat="false" ht="30" hidden="false" customHeight="true" outlineLevel="0" collapsed="false">
      <c r="A111" s="12" t="s">
        <v>3196</v>
      </c>
      <c r="B111" s="12"/>
      <c r="C111" s="15" t="s">
        <v>5816</v>
      </c>
      <c r="D111" s="12" t="n">
        <v>40</v>
      </c>
      <c r="E111" s="12" t="s">
        <v>5927</v>
      </c>
      <c r="F111" s="46" t="s">
        <v>5928</v>
      </c>
      <c r="G111" s="12" t="s">
        <v>5920</v>
      </c>
      <c r="H111" s="46"/>
      <c r="I111" s="46" t="s">
        <v>5929</v>
      </c>
      <c r="J111" s="46"/>
    </row>
    <row r="112" customFormat="false" ht="30" hidden="false" customHeight="true" outlineLevel="0" collapsed="false">
      <c r="A112" s="12" t="s">
        <v>3196</v>
      </c>
      <c r="B112" s="12"/>
      <c r="C112" s="15" t="s">
        <v>5816</v>
      </c>
      <c r="D112" s="12" t="n">
        <v>50</v>
      </c>
      <c r="E112" s="12" t="s">
        <v>5930</v>
      </c>
      <c r="F112" s="46" t="s">
        <v>5931</v>
      </c>
      <c r="G112" s="12" t="s">
        <v>5920</v>
      </c>
      <c r="H112" s="46" t="s">
        <v>5932</v>
      </c>
      <c r="I112" s="46" t="s">
        <v>5933</v>
      </c>
      <c r="J112" s="46" t="s">
        <v>5934</v>
      </c>
    </row>
    <row r="113" customFormat="false" ht="30" hidden="false" customHeight="true" outlineLevel="0" collapsed="false">
      <c r="A113" s="12" t="s">
        <v>3196</v>
      </c>
      <c r="B113" s="12"/>
      <c r="C113" s="15" t="s">
        <v>5816</v>
      </c>
      <c r="D113" s="12" t="n">
        <v>60</v>
      </c>
      <c r="E113" s="12" t="s">
        <v>5935</v>
      </c>
      <c r="F113" s="46" t="s">
        <v>5936</v>
      </c>
      <c r="G113" s="12" t="s">
        <v>5920</v>
      </c>
      <c r="H113" s="46"/>
      <c r="I113" s="46" t="s">
        <v>5937</v>
      </c>
      <c r="J113" s="46"/>
    </row>
    <row r="114" customFormat="false" ht="30" hidden="false" customHeight="true" outlineLevel="0" collapsed="false">
      <c r="A114" s="12" t="s">
        <v>3196</v>
      </c>
      <c r="B114" s="12"/>
      <c r="C114" s="15" t="s">
        <v>5816</v>
      </c>
      <c r="D114" s="12" t="n">
        <v>70</v>
      </c>
      <c r="E114" s="12" t="s">
        <v>298</v>
      </c>
      <c r="F114" s="46" t="s">
        <v>5938</v>
      </c>
      <c r="G114" s="12" t="s">
        <v>5920</v>
      </c>
      <c r="H114" s="46" t="s">
        <v>5939</v>
      </c>
      <c r="I114" s="46" t="s">
        <v>5940</v>
      </c>
      <c r="J114" s="46"/>
    </row>
    <row r="115" customFormat="false" ht="30" hidden="false" customHeight="true" outlineLevel="0" collapsed="false">
      <c r="A115" s="12" t="s">
        <v>3196</v>
      </c>
      <c r="B115" s="12"/>
      <c r="C115" s="15" t="s">
        <v>5816</v>
      </c>
      <c r="D115" s="12" t="n">
        <v>80</v>
      </c>
      <c r="E115" s="12" t="s">
        <v>5941</v>
      </c>
      <c r="F115" s="46" t="s">
        <v>5942</v>
      </c>
      <c r="G115" s="12" t="s">
        <v>5943</v>
      </c>
      <c r="H115" s="46"/>
      <c r="I115" s="46" t="s">
        <v>5944</v>
      </c>
      <c r="J115" s="46"/>
    </row>
    <row r="116" customFormat="false" ht="30" hidden="false" customHeight="true" outlineLevel="0" collapsed="false">
      <c r="A116" s="12" t="s">
        <v>3196</v>
      </c>
      <c r="B116" s="12"/>
      <c r="C116" s="15" t="s">
        <v>5816</v>
      </c>
      <c r="D116" s="12" t="n">
        <v>90</v>
      </c>
      <c r="E116" s="12" t="s">
        <v>5945</v>
      </c>
      <c r="F116" s="46" t="s">
        <v>5946</v>
      </c>
      <c r="G116" s="12" t="s">
        <v>5669</v>
      </c>
      <c r="H116" s="46"/>
      <c r="I116" s="46" t="s">
        <v>5947</v>
      </c>
      <c r="J116" s="46" t="s">
        <v>5948</v>
      </c>
    </row>
    <row r="117" customFormat="false" ht="30" hidden="false" customHeight="true" outlineLevel="0" collapsed="false">
      <c r="A117" s="24" t="s">
        <v>3202</v>
      </c>
      <c r="B117" s="24" t="s">
        <v>5949</v>
      </c>
      <c r="C117" s="15" t="s">
        <v>5594</v>
      </c>
      <c r="D117" s="12" t="n">
        <v>10</v>
      </c>
      <c r="E117" s="12" t="s">
        <v>5950</v>
      </c>
      <c r="F117" s="46" t="s">
        <v>5951</v>
      </c>
      <c r="G117" s="12" t="s">
        <v>5597</v>
      </c>
      <c r="H117" s="46" t="s">
        <v>5952</v>
      </c>
      <c r="I117" s="46" t="s">
        <v>5798</v>
      </c>
      <c r="J117" s="46" t="s">
        <v>5953</v>
      </c>
    </row>
    <row r="118" customFormat="false" ht="30" hidden="false" customHeight="true" outlineLevel="0" collapsed="false">
      <c r="A118" s="12" t="s">
        <v>3202</v>
      </c>
      <c r="B118" s="12"/>
      <c r="C118" s="15" t="s">
        <v>5594</v>
      </c>
      <c r="D118" s="12" t="n">
        <v>20</v>
      </c>
      <c r="E118" s="12" t="s">
        <v>5954</v>
      </c>
      <c r="F118" s="46" t="s">
        <v>5955</v>
      </c>
      <c r="G118" s="12" t="s">
        <v>5603</v>
      </c>
      <c r="H118" s="46" t="s">
        <v>5956</v>
      </c>
      <c r="I118" s="46"/>
      <c r="J118" s="46"/>
    </row>
    <row r="119" customFormat="false" ht="30" hidden="false" customHeight="true" outlineLevel="0" collapsed="false">
      <c r="A119" s="12" t="s">
        <v>3202</v>
      </c>
      <c r="B119" s="12"/>
      <c r="C119" s="15" t="s">
        <v>5640</v>
      </c>
      <c r="D119" s="12" t="n">
        <v>30</v>
      </c>
      <c r="E119" s="12" t="s">
        <v>5831</v>
      </c>
      <c r="F119" s="46" t="s">
        <v>5957</v>
      </c>
      <c r="G119" s="12" t="s">
        <v>5643</v>
      </c>
      <c r="H119" s="46" t="s">
        <v>5958</v>
      </c>
      <c r="I119" s="46"/>
      <c r="J119" s="46" t="s">
        <v>5959</v>
      </c>
    </row>
    <row r="120" customFormat="false" ht="30" hidden="false" customHeight="true" outlineLevel="0" collapsed="false">
      <c r="A120" s="12" t="s">
        <v>3202</v>
      </c>
      <c r="B120" s="12"/>
      <c r="C120" s="15" t="s">
        <v>5960</v>
      </c>
      <c r="D120" s="12" t="n">
        <v>40</v>
      </c>
      <c r="E120" s="12" t="s">
        <v>5961</v>
      </c>
      <c r="F120" s="46" t="s">
        <v>5962</v>
      </c>
      <c r="G120" s="12" t="s">
        <v>5963</v>
      </c>
      <c r="H120" s="46" t="s">
        <v>5964</v>
      </c>
      <c r="I120" s="46" t="s">
        <v>5965</v>
      </c>
      <c r="J120" s="46"/>
    </row>
    <row r="121" customFormat="false" ht="30" hidden="false" customHeight="true" outlineLevel="0" collapsed="false">
      <c r="A121" s="12" t="s">
        <v>3202</v>
      </c>
      <c r="B121" s="12"/>
      <c r="C121" s="15" t="s">
        <v>5605</v>
      </c>
      <c r="D121" s="12" t="n">
        <v>50</v>
      </c>
      <c r="E121" s="12" t="s">
        <v>2766</v>
      </c>
      <c r="F121" s="46" t="s">
        <v>5966</v>
      </c>
      <c r="G121" s="12" t="s">
        <v>5608</v>
      </c>
      <c r="H121" s="46"/>
      <c r="I121" s="46" t="s">
        <v>5739</v>
      </c>
      <c r="J121" s="46"/>
    </row>
    <row r="122" customFormat="false" ht="30" hidden="false" customHeight="true" outlineLevel="0" collapsed="false">
      <c r="A122" s="12" t="s">
        <v>3202</v>
      </c>
      <c r="B122" s="12"/>
      <c r="C122" s="15" t="s">
        <v>5615</v>
      </c>
      <c r="D122" s="12" t="n">
        <v>60</v>
      </c>
      <c r="E122" s="12" t="s">
        <v>5703</v>
      </c>
      <c r="F122" s="46"/>
      <c r="G122" s="12"/>
      <c r="H122" s="46"/>
      <c r="I122" s="46" t="s">
        <v>5967</v>
      </c>
      <c r="J122" s="46" t="s">
        <v>5968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1"/>
    <col collapsed="false" customWidth="true" hidden="false" outlineLevel="0" max="4" min="4" style="0" width="12"/>
    <col collapsed="false" customWidth="true" hidden="false" outlineLevel="0" max="5" min="5" style="0" width="14"/>
    <col collapsed="false" customWidth="true" hidden="false" outlineLevel="0" max="6" min="6" style="0" width="9"/>
    <col collapsed="false" customWidth="true" hidden="false" outlineLevel="0" max="7" min="7" style="0" width="17"/>
    <col collapsed="false" customWidth="true" hidden="false" outlineLevel="0" max="9" min="8" style="0" width="14"/>
    <col collapsed="false" customWidth="true" hidden="false" outlineLevel="0" max="10" min="10" style="0" width="18"/>
    <col collapsed="false" customWidth="true" hidden="false" outlineLevel="0" max="11" min="11" style="0" width="19"/>
    <col collapsed="false" customWidth="true" hidden="false" outlineLevel="0" max="12" min="12" style="0" width="20"/>
    <col collapsed="false" customWidth="true" hidden="false" outlineLevel="0" max="13" min="13" style="0" width="16"/>
    <col collapsed="false" customWidth="true" hidden="false" outlineLevel="0" max="14" min="14" style="0" width="15"/>
    <col collapsed="false" customWidth="true" hidden="false" outlineLevel="0" max="15" min="15" style="0" width="16"/>
    <col collapsed="false" customWidth="true" hidden="false" outlineLevel="0" max="16" min="16" style="0" width="14"/>
    <col collapsed="false" customWidth="true" hidden="false" outlineLevel="0" max="17" min="17" style="0" width="18"/>
    <col collapsed="false" customWidth="true" hidden="false" outlineLevel="0" max="18" min="18" style="0" width="13"/>
    <col collapsed="false" customWidth="true" hidden="false" outlineLevel="0" max="19" min="19" style="0" width="16"/>
    <col collapsed="false" customWidth="true" hidden="false" outlineLevel="0" max="20" min="20" style="0" width="12"/>
    <col collapsed="false" customWidth="true" hidden="false" outlineLevel="0" max="21" min="21" style="0" width="66"/>
  </cols>
  <sheetData>
    <row r="1" customFormat="false" ht="16.15" hidden="false" customHeight="false" outlineLevel="0" collapsed="false">
      <c r="A1" s="8" t="s">
        <v>5969</v>
      </c>
    </row>
    <row r="2" customFormat="false" ht="30" hidden="false" customHeight="true" outlineLevel="0" collapsed="false">
      <c r="A2" s="9" t="s">
        <v>42</v>
      </c>
      <c r="B2" s="9" t="s">
        <v>5970</v>
      </c>
      <c r="C2" s="9" t="s">
        <v>1430</v>
      </c>
      <c r="D2" s="9" t="s">
        <v>5971</v>
      </c>
      <c r="E2" s="9" t="s">
        <v>1325</v>
      </c>
      <c r="F2" s="9" t="s">
        <v>1324</v>
      </c>
      <c r="G2" s="9" t="s">
        <v>5972</v>
      </c>
      <c r="H2" s="9" t="s">
        <v>3958</v>
      </c>
      <c r="I2" s="9" t="s">
        <v>5973</v>
      </c>
      <c r="J2" s="9" t="s">
        <v>5974</v>
      </c>
      <c r="K2" s="9" t="s">
        <v>5975</v>
      </c>
      <c r="L2" s="9" t="s">
        <v>5976</v>
      </c>
      <c r="M2" s="9" t="s">
        <v>5977</v>
      </c>
      <c r="N2" s="9" t="s">
        <v>5978</v>
      </c>
      <c r="O2" s="9" t="s">
        <v>5979</v>
      </c>
      <c r="P2" s="9" t="s">
        <v>5980</v>
      </c>
      <c r="Q2" s="9" t="s">
        <v>5981</v>
      </c>
      <c r="R2" s="9" t="s">
        <v>2304</v>
      </c>
      <c r="S2" s="9" t="s">
        <v>5982</v>
      </c>
      <c r="T2" s="9" t="s">
        <v>5983</v>
      </c>
      <c r="U2" s="9" t="s">
        <v>3775</v>
      </c>
    </row>
    <row r="3" customFormat="false" ht="25.5" hidden="false" customHeight="true" outlineLevel="0" collapsed="false">
      <c r="A3" s="12" t="s">
        <v>836</v>
      </c>
      <c r="B3" s="12" t="s">
        <v>5984</v>
      </c>
      <c r="C3" s="12" t="s">
        <v>1737</v>
      </c>
      <c r="D3" s="12" t="s">
        <v>5985</v>
      </c>
      <c r="E3" s="12" t="s">
        <v>1341</v>
      </c>
      <c r="F3" s="12" t="s">
        <v>976</v>
      </c>
      <c r="G3" s="12" t="s">
        <v>5986</v>
      </c>
      <c r="H3" s="12" t="s">
        <v>5987</v>
      </c>
      <c r="I3" s="68" t="s">
        <v>1106</v>
      </c>
      <c r="J3" s="12" t="n">
        <v>0</v>
      </c>
      <c r="K3" s="12" t="n">
        <v>15</v>
      </c>
      <c r="L3" s="12" t="s">
        <v>990</v>
      </c>
      <c r="M3" s="69" t="n">
        <f aca="false">I3+J3</f>
        <v>46252</v>
      </c>
      <c r="N3" s="69" t="n">
        <f aca="false">I3+K3</f>
        <v>46267</v>
      </c>
      <c r="O3" s="70" t="n">
        <f aca="false">N3-DATE(2026,8,31)</f>
        <v>2</v>
      </c>
      <c r="P3" s="15" t="s">
        <v>2555</v>
      </c>
      <c r="Q3" s="12"/>
      <c r="R3" s="71" t="n">
        <v>300.9</v>
      </c>
      <c r="S3" s="72" t="n">
        <v>258.77</v>
      </c>
      <c r="T3" s="27" t="str">
        <f aca="false">IF(P3="RAISED","CLOSED",IF(O3&lt;0,"EXPIRED",IF(O3&lt;=3,"CRITICAL",IF(O3&lt;=7,"URGENT","NORMAL"))))</f>
        <v>CRITICAL</v>
      </c>
      <c r="U3" s="46" t="s">
        <v>5988</v>
      </c>
    </row>
    <row r="4" customFormat="false" ht="25.5" hidden="false" customHeight="true" outlineLevel="0" collapsed="false">
      <c r="A4" s="12" t="s">
        <v>842</v>
      </c>
      <c r="B4" s="12" t="s">
        <v>5989</v>
      </c>
      <c r="C4" s="12" t="s">
        <v>1748</v>
      </c>
      <c r="D4" s="12" t="s">
        <v>5990</v>
      </c>
      <c r="E4" s="12" t="s">
        <v>1341</v>
      </c>
      <c r="F4" s="12" t="s">
        <v>976</v>
      </c>
      <c r="G4" s="12" t="s">
        <v>5991</v>
      </c>
      <c r="H4" s="12" t="s">
        <v>5987</v>
      </c>
      <c r="I4" s="68" t="s">
        <v>1106</v>
      </c>
      <c r="J4" s="12" t="n">
        <v>0</v>
      </c>
      <c r="K4" s="12" t="n">
        <v>30</v>
      </c>
      <c r="L4" s="12" t="s">
        <v>978</v>
      </c>
      <c r="M4" s="69" t="n">
        <f aca="false">I4+J4</f>
        <v>46252</v>
      </c>
      <c r="N4" s="69" t="n">
        <f aca="false">I4+K4</f>
        <v>46282</v>
      </c>
      <c r="O4" s="70" t="n">
        <f aca="false">N4-DATE(2026,8,31)</f>
        <v>17</v>
      </c>
      <c r="P4" s="15" t="s">
        <v>2555</v>
      </c>
      <c r="Q4" s="12"/>
      <c r="R4" s="71" t="n">
        <v>0</v>
      </c>
      <c r="S4" s="72" t="n">
        <v>0</v>
      </c>
      <c r="T4" s="27" t="str">
        <f aca="false">IF(P4="RAISED","CLOSED",IF(O4&lt;0,"EXPIRED",IF(O4&lt;=3,"CRITICAL",IF(O4&lt;=7,"URGENT","NORMAL"))))</f>
        <v>NORMAL</v>
      </c>
      <c r="U4" s="46" t="s">
        <v>5992</v>
      </c>
    </row>
    <row r="5" customFormat="false" ht="25.5" hidden="false" customHeight="true" outlineLevel="0" collapsed="false">
      <c r="A5" s="12" t="s">
        <v>847</v>
      </c>
      <c r="B5" s="12" t="s">
        <v>5993</v>
      </c>
      <c r="C5" s="12" t="s">
        <v>1663</v>
      </c>
      <c r="D5" s="12" t="s">
        <v>5994</v>
      </c>
      <c r="E5" s="12" t="s">
        <v>1341</v>
      </c>
      <c r="F5" s="12" t="s">
        <v>976</v>
      </c>
      <c r="G5" s="12" t="s">
        <v>5986</v>
      </c>
      <c r="H5" s="12" t="s">
        <v>5987</v>
      </c>
      <c r="I5" s="68" t="s">
        <v>1065</v>
      </c>
      <c r="J5" s="12" t="n">
        <v>0</v>
      </c>
      <c r="K5" s="12" t="n">
        <v>15</v>
      </c>
      <c r="L5" s="12" t="s">
        <v>978</v>
      </c>
      <c r="M5" s="69" t="n">
        <f aca="false">I5+J5</f>
        <v>46250</v>
      </c>
      <c r="N5" s="69" t="n">
        <f aca="false">I5+K5</f>
        <v>46265</v>
      </c>
      <c r="O5" s="70" t="n">
        <f aca="false">N5-DATE(2026,8,31)</f>
        <v>0</v>
      </c>
      <c r="P5" s="15" t="s">
        <v>5995</v>
      </c>
      <c r="Q5" s="12"/>
      <c r="R5" s="71" t="n">
        <v>62.8</v>
      </c>
      <c r="S5" s="72" t="n">
        <v>54.01</v>
      </c>
      <c r="T5" s="27" t="str">
        <f aca="false">IF(P5="RAISED","CLOSED",IF(O5&lt;0,"EXPIRED",IF(O5&lt;=3,"CRITICAL",IF(O5&lt;=7,"URGENT","NORMAL"))))</f>
        <v>CRITICAL</v>
      </c>
      <c r="U5" s="46" t="s">
        <v>5996</v>
      </c>
    </row>
    <row r="6" customFormat="false" ht="25.5" hidden="false" customHeight="true" outlineLevel="0" collapsed="false">
      <c r="A6" s="12" t="s">
        <v>852</v>
      </c>
      <c r="B6" s="12" t="s">
        <v>5997</v>
      </c>
      <c r="C6" s="12" t="s">
        <v>1789</v>
      </c>
      <c r="D6" s="12" t="s">
        <v>5998</v>
      </c>
      <c r="E6" s="12" t="s">
        <v>1341</v>
      </c>
      <c r="F6" s="12" t="s">
        <v>976</v>
      </c>
      <c r="G6" s="12" t="s">
        <v>5986</v>
      </c>
      <c r="H6" s="12" t="s">
        <v>5987</v>
      </c>
      <c r="I6" s="68" t="s">
        <v>1119</v>
      </c>
      <c r="J6" s="12" t="n">
        <v>0</v>
      </c>
      <c r="K6" s="12" t="n">
        <v>15</v>
      </c>
      <c r="L6" s="12" t="s">
        <v>990</v>
      </c>
      <c r="M6" s="69" t="n">
        <f aca="false">I6+J6</f>
        <v>46253</v>
      </c>
      <c r="N6" s="69" t="n">
        <f aca="false">I6+K6</f>
        <v>46268</v>
      </c>
      <c r="O6" s="70" t="n">
        <f aca="false">N6-DATE(2026,8,31)</f>
        <v>3</v>
      </c>
      <c r="P6" s="15" t="s">
        <v>5999</v>
      </c>
      <c r="Q6" s="12" t="s">
        <v>6000</v>
      </c>
      <c r="R6" s="71" t="n">
        <v>507</v>
      </c>
      <c r="S6" s="72" t="n">
        <v>435.99</v>
      </c>
      <c r="T6" s="27" t="str">
        <f aca="false">IF(P6="RAISED","CLOSED",IF(O6&lt;0,"EXPIRED",IF(O6&lt;=3,"CRITICAL",IF(O6&lt;=7,"URGENT","NORMAL"))))</f>
        <v>CLOSED</v>
      </c>
      <c r="U6" s="46" t="s">
        <v>6001</v>
      </c>
    </row>
    <row r="7" customFormat="false" ht="25.5" hidden="false" customHeight="true" outlineLevel="0" collapsed="false">
      <c r="A7" s="12" t="s">
        <v>857</v>
      </c>
      <c r="B7" s="12" t="s">
        <v>6002</v>
      </c>
      <c r="C7" s="12" t="s">
        <v>1683</v>
      </c>
      <c r="D7" s="12" t="s">
        <v>6003</v>
      </c>
      <c r="E7" s="12" t="s">
        <v>1684</v>
      </c>
      <c r="F7" s="12" t="s">
        <v>1085</v>
      </c>
      <c r="G7" s="12" t="s">
        <v>5986</v>
      </c>
      <c r="H7" s="12"/>
      <c r="I7" s="68" t="s">
        <v>1065</v>
      </c>
      <c r="J7" s="12" t="n">
        <v>0</v>
      </c>
      <c r="K7" s="12" t="n">
        <v>15</v>
      </c>
      <c r="L7" s="12" t="s">
        <v>978</v>
      </c>
      <c r="M7" s="69" t="n">
        <f aca="false">I7+J7</f>
        <v>46250</v>
      </c>
      <c r="N7" s="69" t="n">
        <f aca="false">I7+K7</f>
        <v>46265</v>
      </c>
      <c r="O7" s="70" t="n">
        <f aca="false">N7-DATE(2026,8,31)</f>
        <v>0</v>
      </c>
      <c r="P7" s="15" t="s">
        <v>6004</v>
      </c>
      <c r="Q7" s="12"/>
      <c r="R7" s="71" t="n">
        <v>180</v>
      </c>
      <c r="S7" s="72" t="n">
        <v>164.7</v>
      </c>
      <c r="T7" s="27" t="str">
        <f aca="false">IF(P7="RAISED","CLOSED",IF(O7&lt;0,"EXPIRED",IF(O7&lt;=3,"CRITICAL",IF(O7&lt;=7,"URGENT","NORMAL"))))</f>
        <v>CRITICAL</v>
      </c>
      <c r="U7" s="46" t="s">
        <v>6005</v>
      </c>
    </row>
    <row r="8" customFormat="false" ht="25.5" hidden="false" customHeight="true" outlineLevel="0" collapsed="false">
      <c r="A8" s="12" t="s">
        <v>862</v>
      </c>
      <c r="B8" s="12" t="s">
        <v>6006</v>
      </c>
      <c r="C8" s="12" t="s">
        <v>1819</v>
      </c>
      <c r="D8" s="12" t="s">
        <v>6007</v>
      </c>
      <c r="E8" s="12" t="s">
        <v>6008</v>
      </c>
      <c r="F8" s="12" t="s">
        <v>1021</v>
      </c>
      <c r="G8" s="12" t="s">
        <v>6009</v>
      </c>
      <c r="H8" s="12" t="s">
        <v>6010</v>
      </c>
      <c r="I8" s="68" t="s">
        <v>1137</v>
      </c>
      <c r="J8" s="12" t="n">
        <v>0</v>
      </c>
      <c r="K8" s="12" t="n">
        <v>60</v>
      </c>
      <c r="L8" s="12" t="s">
        <v>978</v>
      </c>
      <c r="M8" s="69" t="n">
        <f aca="false">I8+J8</f>
        <v>46255</v>
      </c>
      <c r="N8" s="69" t="n">
        <f aca="false">I8+K8</f>
        <v>46315</v>
      </c>
      <c r="O8" s="70" t="n">
        <f aca="false">N8-DATE(2026,8,31)</f>
        <v>50</v>
      </c>
      <c r="P8" s="15" t="s">
        <v>2555</v>
      </c>
      <c r="Q8" s="12"/>
      <c r="R8" s="71" t="n">
        <v>0</v>
      </c>
      <c r="S8" s="72" t="n">
        <v>228</v>
      </c>
      <c r="T8" s="27" t="str">
        <f aca="false">IF(P8="RAISED","CLOSED",IF(O8&lt;0,"EXPIRED",IF(O8&lt;=3,"CRITICAL",IF(O8&lt;=7,"URGENT","NORMAL"))))</f>
        <v>NORMAL</v>
      </c>
      <c r="U8" s="46" t="s">
        <v>6011</v>
      </c>
    </row>
    <row r="11" customFormat="false" ht="16.15" hidden="false" customHeight="false" outlineLevel="0" collapsed="false">
      <c r="A11" s="8" t="s">
        <v>6012</v>
      </c>
    </row>
    <row r="12" customFormat="false" ht="15" hidden="false" customHeight="false" outlineLevel="0" collapsed="false">
      <c r="A12" s="17" t="s">
        <v>6013</v>
      </c>
      <c r="B12" s="17" t="s">
        <v>6014</v>
      </c>
      <c r="C12" s="17" t="s">
        <v>838</v>
      </c>
    </row>
    <row r="13" customFormat="false" ht="57.45" hidden="false" customHeight="false" outlineLevel="0" collapsed="false">
      <c r="A13" s="18" t="s">
        <v>6015</v>
      </c>
      <c r="B13" s="11" t="s">
        <v>6016</v>
      </c>
      <c r="C13" s="11" t="s">
        <v>6017</v>
      </c>
    </row>
    <row r="14" customFormat="false" ht="46.25" hidden="false" customHeight="false" outlineLevel="0" collapsed="false">
      <c r="A14" s="18" t="s">
        <v>6018</v>
      </c>
      <c r="B14" s="11" t="s">
        <v>6019</v>
      </c>
      <c r="C14" s="11" t="s">
        <v>6020</v>
      </c>
    </row>
    <row r="15" customFormat="false" ht="35.05" hidden="false" customHeight="false" outlineLevel="0" collapsed="false">
      <c r="A15" s="18" t="s">
        <v>6021</v>
      </c>
      <c r="B15" s="11" t="s">
        <v>6022</v>
      </c>
      <c r="C15" s="11" t="s">
        <v>6023</v>
      </c>
    </row>
    <row r="16" customFormat="false" ht="35.05" hidden="false" customHeight="false" outlineLevel="0" collapsed="false">
      <c r="A16" s="18" t="s">
        <v>6024</v>
      </c>
      <c r="B16" s="11" t="s">
        <v>6025</v>
      </c>
      <c r="C16" s="11" t="s">
        <v>6026</v>
      </c>
    </row>
    <row r="17" customFormat="false" ht="35.05" hidden="false" customHeight="false" outlineLevel="0" collapsed="false">
      <c r="A17" s="18" t="s">
        <v>6027</v>
      </c>
      <c r="B17" s="11" t="s">
        <v>6028</v>
      </c>
      <c r="C17" s="11" t="s">
        <v>6029</v>
      </c>
    </row>
    <row r="20" customFormat="false" ht="16.15" hidden="false" customHeight="false" outlineLevel="0" collapsed="false">
      <c r="A20" s="8" t="s">
        <v>6030</v>
      </c>
    </row>
    <row r="21" customFormat="false" ht="15" hidden="false" customHeight="false" outlineLevel="0" collapsed="false">
      <c r="A21" s="17" t="s">
        <v>6031</v>
      </c>
      <c r="B21" s="17" t="s">
        <v>4567</v>
      </c>
      <c r="C21" s="17" t="s">
        <v>4426</v>
      </c>
    </row>
    <row r="22" customFormat="false" ht="57.45" hidden="false" customHeight="false" outlineLevel="0" collapsed="false">
      <c r="A22" s="18" t="s">
        <v>6032</v>
      </c>
      <c r="B22" s="11" t="s">
        <v>6033</v>
      </c>
      <c r="C22" s="11" t="s">
        <v>6034</v>
      </c>
    </row>
    <row r="23" customFormat="false" ht="79.85" hidden="false" customHeight="false" outlineLevel="0" collapsed="false">
      <c r="A23" s="18" t="s">
        <v>6035</v>
      </c>
      <c r="B23" s="11" t="s">
        <v>6036</v>
      </c>
      <c r="C23" s="11" t="s">
        <v>6037</v>
      </c>
    </row>
    <row r="24" customFormat="false" ht="57.45" hidden="false" customHeight="false" outlineLevel="0" collapsed="false">
      <c r="A24" s="18" t="s">
        <v>6038</v>
      </c>
      <c r="B24" s="11" t="s">
        <v>6039</v>
      </c>
      <c r="C24" s="11" t="s">
        <v>6040</v>
      </c>
    </row>
    <row r="25" customFormat="false" ht="91" hidden="false" customHeight="false" outlineLevel="0" collapsed="false">
      <c r="A25" s="18" t="s">
        <v>6041</v>
      </c>
      <c r="B25" s="11" t="s">
        <v>6042</v>
      </c>
      <c r="C25" s="11" t="s">
        <v>6043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38"/>
    <col collapsed="false" customWidth="true" hidden="false" outlineLevel="0" max="4" min="4" style="0" width="60"/>
    <col collapsed="false" customWidth="true" hidden="false" outlineLevel="0" max="5" min="5" style="0" width="62"/>
    <col collapsed="false" customWidth="true" hidden="false" outlineLevel="0" max="6" min="6" style="0" width="15"/>
    <col collapsed="false" customWidth="true" hidden="false" outlineLevel="0" max="7" min="7" style="0" width="96"/>
  </cols>
  <sheetData>
    <row r="1" customFormat="false" ht="16.15" hidden="false" customHeight="false" outlineLevel="0" collapsed="false">
      <c r="A1" s="8" t="s">
        <v>6044</v>
      </c>
    </row>
    <row r="2" customFormat="false" ht="30" hidden="false" customHeight="true" outlineLevel="0" collapsed="false">
      <c r="A2" s="9" t="s">
        <v>6045</v>
      </c>
      <c r="B2" s="9" t="s">
        <v>6046</v>
      </c>
      <c r="C2" s="9" t="s">
        <v>6047</v>
      </c>
      <c r="D2" s="9" t="s">
        <v>6048</v>
      </c>
      <c r="E2" s="9" t="s">
        <v>6049</v>
      </c>
      <c r="F2" s="9" t="s">
        <v>6050</v>
      </c>
      <c r="G2" s="9" t="s">
        <v>6051</v>
      </c>
    </row>
    <row r="3" customFormat="false" ht="39.75" hidden="false" customHeight="true" outlineLevel="0" collapsed="false">
      <c r="A3" s="12" t="s">
        <v>6052</v>
      </c>
      <c r="B3" s="46" t="s">
        <v>6053</v>
      </c>
      <c r="C3" s="12" t="s">
        <v>6054</v>
      </c>
      <c r="D3" s="46" t="s">
        <v>6055</v>
      </c>
      <c r="E3" s="46" t="s">
        <v>6056</v>
      </c>
      <c r="F3" s="27" t="s">
        <v>6057</v>
      </c>
      <c r="G3" s="46" t="s">
        <v>6058</v>
      </c>
    </row>
    <row r="4" customFormat="false" ht="39.75" hidden="false" customHeight="true" outlineLevel="0" collapsed="false">
      <c r="A4" s="12" t="s">
        <v>6059</v>
      </c>
      <c r="B4" s="46" t="s">
        <v>6060</v>
      </c>
      <c r="C4" s="12" t="s">
        <v>6061</v>
      </c>
      <c r="D4" s="46" t="s">
        <v>6062</v>
      </c>
      <c r="E4" s="46" t="s">
        <v>6063</v>
      </c>
      <c r="F4" s="27" t="s">
        <v>6057</v>
      </c>
      <c r="G4" s="46" t="s">
        <v>6064</v>
      </c>
    </row>
    <row r="5" customFormat="false" ht="39.75" hidden="false" customHeight="true" outlineLevel="0" collapsed="false">
      <c r="A5" s="12" t="s">
        <v>6065</v>
      </c>
      <c r="B5" s="46" t="s">
        <v>6066</v>
      </c>
      <c r="C5" s="12" t="s">
        <v>6061</v>
      </c>
      <c r="D5" s="46" t="s">
        <v>6067</v>
      </c>
      <c r="E5" s="46" t="s">
        <v>6068</v>
      </c>
      <c r="F5" s="27" t="s">
        <v>6057</v>
      </c>
      <c r="G5" s="46" t="s">
        <v>6069</v>
      </c>
    </row>
    <row r="6" customFormat="false" ht="39.75" hidden="false" customHeight="true" outlineLevel="0" collapsed="false">
      <c r="A6" s="12" t="s">
        <v>6070</v>
      </c>
      <c r="B6" s="46" t="s">
        <v>6071</v>
      </c>
      <c r="C6" s="12" t="s">
        <v>6061</v>
      </c>
      <c r="D6" s="46" t="s">
        <v>6072</v>
      </c>
      <c r="E6" s="46" t="s">
        <v>6073</v>
      </c>
      <c r="F6" s="27" t="s">
        <v>6057</v>
      </c>
      <c r="G6" s="46" t="s">
        <v>6074</v>
      </c>
    </row>
    <row r="7" customFormat="false" ht="39.75" hidden="false" customHeight="true" outlineLevel="0" collapsed="false">
      <c r="A7" s="12" t="s">
        <v>6075</v>
      </c>
      <c r="B7" s="46" t="s">
        <v>6076</v>
      </c>
      <c r="C7" s="12" t="s">
        <v>6061</v>
      </c>
      <c r="D7" s="46" t="s">
        <v>6077</v>
      </c>
      <c r="E7" s="46" t="s">
        <v>6078</v>
      </c>
      <c r="F7" s="27" t="s">
        <v>6057</v>
      </c>
      <c r="G7" s="46" t="s">
        <v>6079</v>
      </c>
    </row>
    <row r="8" customFormat="false" ht="39.75" hidden="false" customHeight="true" outlineLevel="0" collapsed="false">
      <c r="A8" s="12" t="s">
        <v>6080</v>
      </c>
      <c r="B8" s="46" t="s">
        <v>6081</v>
      </c>
      <c r="C8" s="12" t="s">
        <v>6061</v>
      </c>
      <c r="D8" s="46" t="s">
        <v>6082</v>
      </c>
      <c r="E8" s="46" t="s">
        <v>6083</v>
      </c>
      <c r="F8" s="27" t="s">
        <v>6057</v>
      </c>
      <c r="G8" s="46" t="s">
        <v>6084</v>
      </c>
    </row>
    <row r="9" customFormat="false" ht="39.75" hidden="false" customHeight="true" outlineLevel="0" collapsed="false">
      <c r="A9" s="12" t="s">
        <v>6085</v>
      </c>
      <c r="B9" s="46" t="s">
        <v>6086</v>
      </c>
      <c r="C9" s="12" t="s">
        <v>6061</v>
      </c>
      <c r="D9" s="46" t="s">
        <v>6087</v>
      </c>
      <c r="E9" s="46" t="s">
        <v>6088</v>
      </c>
      <c r="F9" s="27" t="s">
        <v>6057</v>
      </c>
      <c r="G9" s="46" t="s">
        <v>6089</v>
      </c>
    </row>
    <row r="10" customFormat="false" ht="39.75" hidden="false" customHeight="true" outlineLevel="0" collapsed="false">
      <c r="A10" s="12" t="s">
        <v>6090</v>
      </c>
      <c r="B10" s="46" t="s">
        <v>6091</v>
      </c>
      <c r="C10" s="12" t="s">
        <v>6061</v>
      </c>
      <c r="D10" s="46" t="s">
        <v>6092</v>
      </c>
      <c r="E10" s="46" t="s">
        <v>6093</v>
      </c>
      <c r="F10" s="27" t="s">
        <v>6057</v>
      </c>
      <c r="G10" s="46" t="s">
        <v>6094</v>
      </c>
    </row>
    <row r="11" customFormat="false" ht="39.75" hidden="false" customHeight="true" outlineLevel="0" collapsed="false">
      <c r="A11" s="12" t="s">
        <v>6095</v>
      </c>
      <c r="B11" s="46" t="s">
        <v>6096</v>
      </c>
      <c r="C11" s="12" t="s">
        <v>6061</v>
      </c>
      <c r="D11" s="46" t="s">
        <v>6097</v>
      </c>
      <c r="E11" s="46" t="s">
        <v>6098</v>
      </c>
      <c r="F11" s="27" t="s">
        <v>6057</v>
      </c>
      <c r="G11" s="46" t="s">
        <v>6099</v>
      </c>
    </row>
    <row r="12" customFormat="false" ht="39.75" hidden="false" customHeight="true" outlineLevel="0" collapsed="false">
      <c r="A12" s="12" t="s">
        <v>6100</v>
      </c>
      <c r="B12" s="46" t="s">
        <v>6101</v>
      </c>
      <c r="C12" s="12" t="s">
        <v>6102</v>
      </c>
      <c r="D12" s="46" t="s">
        <v>6103</v>
      </c>
      <c r="E12" s="46" t="s">
        <v>6104</v>
      </c>
      <c r="F12" s="27" t="s">
        <v>6057</v>
      </c>
      <c r="G12" s="46" t="s">
        <v>6105</v>
      </c>
    </row>
    <row r="13" customFormat="false" ht="39.75" hidden="false" customHeight="true" outlineLevel="0" collapsed="false">
      <c r="A13" s="12" t="s">
        <v>6106</v>
      </c>
      <c r="B13" s="46" t="s">
        <v>6107</v>
      </c>
      <c r="C13" s="12" t="s">
        <v>6108</v>
      </c>
      <c r="D13" s="46" t="s">
        <v>6109</v>
      </c>
      <c r="E13" s="46" t="s">
        <v>6110</v>
      </c>
      <c r="F13" s="27" t="s">
        <v>6057</v>
      </c>
      <c r="G13" s="46" t="s">
        <v>6111</v>
      </c>
    </row>
    <row r="14" customFormat="false" ht="39.75" hidden="false" customHeight="true" outlineLevel="0" collapsed="false">
      <c r="A14" s="12" t="s">
        <v>6112</v>
      </c>
      <c r="B14" s="46" t="s">
        <v>6113</v>
      </c>
      <c r="C14" s="12" t="s">
        <v>6114</v>
      </c>
      <c r="D14" s="46" t="s">
        <v>6115</v>
      </c>
      <c r="E14" s="46" t="s">
        <v>6116</v>
      </c>
      <c r="F14" s="27" t="s">
        <v>6057</v>
      </c>
      <c r="G14" s="46" t="s">
        <v>6117</v>
      </c>
    </row>
    <row r="15" customFormat="false" ht="39.75" hidden="false" customHeight="true" outlineLevel="0" collapsed="false">
      <c r="A15" s="12" t="s">
        <v>6118</v>
      </c>
      <c r="B15" s="46" t="s">
        <v>6119</v>
      </c>
      <c r="C15" s="12" t="s">
        <v>6120</v>
      </c>
      <c r="D15" s="46" t="s">
        <v>6121</v>
      </c>
      <c r="E15" s="46" t="s">
        <v>6122</v>
      </c>
      <c r="F15" s="27" t="s">
        <v>6057</v>
      </c>
      <c r="G15" s="46" t="s">
        <v>6123</v>
      </c>
    </row>
    <row r="16" customFormat="false" ht="39.75" hidden="false" customHeight="true" outlineLevel="0" collapsed="false">
      <c r="A16" s="12" t="s">
        <v>6124</v>
      </c>
      <c r="B16" s="46" t="s">
        <v>6125</v>
      </c>
      <c r="C16" s="12" t="s">
        <v>6061</v>
      </c>
      <c r="D16" s="46" t="s">
        <v>6126</v>
      </c>
      <c r="E16" s="46" t="s">
        <v>6127</v>
      </c>
      <c r="F16" s="27" t="s">
        <v>6057</v>
      </c>
      <c r="G16" s="46" t="s">
        <v>6128</v>
      </c>
    </row>
    <row r="17" customFormat="false" ht="39.75" hidden="false" customHeight="true" outlineLevel="0" collapsed="false">
      <c r="A17" s="12" t="s">
        <v>6129</v>
      </c>
      <c r="B17" s="46" t="s">
        <v>6130</v>
      </c>
      <c r="C17" s="12" t="s">
        <v>6061</v>
      </c>
      <c r="D17" s="46" t="s">
        <v>6131</v>
      </c>
      <c r="E17" s="46" t="s">
        <v>6132</v>
      </c>
      <c r="F17" s="27" t="s">
        <v>6057</v>
      </c>
      <c r="G17" s="46" t="s">
        <v>6133</v>
      </c>
    </row>
    <row r="18" customFormat="false" ht="39.75" hidden="false" customHeight="true" outlineLevel="0" collapsed="false">
      <c r="A18" s="12" t="s">
        <v>6134</v>
      </c>
      <c r="B18" s="46" t="s">
        <v>6135</v>
      </c>
      <c r="C18" s="12" t="s">
        <v>6102</v>
      </c>
      <c r="D18" s="46" t="s">
        <v>6136</v>
      </c>
      <c r="E18" s="46" t="s">
        <v>6137</v>
      </c>
      <c r="F18" s="27" t="s">
        <v>6138</v>
      </c>
      <c r="G18" s="46" t="s">
        <v>6139</v>
      </c>
    </row>
    <row r="19" customFormat="false" ht="39.75" hidden="false" customHeight="true" outlineLevel="0" collapsed="false">
      <c r="A19" s="12" t="s">
        <v>6140</v>
      </c>
      <c r="B19" s="46" t="s">
        <v>6141</v>
      </c>
      <c r="C19" s="12" t="s">
        <v>6102</v>
      </c>
      <c r="D19" s="46" t="s">
        <v>6142</v>
      </c>
      <c r="E19" s="46" t="s">
        <v>6143</v>
      </c>
      <c r="F19" s="27" t="s">
        <v>6138</v>
      </c>
      <c r="G19" s="46" t="s">
        <v>6144</v>
      </c>
    </row>
    <row r="20" customFormat="false" ht="39.75" hidden="false" customHeight="true" outlineLevel="0" collapsed="false">
      <c r="A20" s="12" t="s">
        <v>6145</v>
      </c>
      <c r="B20" s="46" t="s">
        <v>6146</v>
      </c>
      <c r="C20" s="12" t="s">
        <v>6102</v>
      </c>
      <c r="D20" s="46" t="s">
        <v>6147</v>
      </c>
      <c r="E20" s="46" t="s">
        <v>6148</v>
      </c>
      <c r="F20" s="27" t="s">
        <v>6138</v>
      </c>
      <c r="G20" s="46" t="s">
        <v>6149</v>
      </c>
    </row>
    <row r="21" customFormat="false" ht="39.75" hidden="false" customHeight="true" outlineLevel="0" collapsed="false">
      <c r="A21" s="12" t="s">
        <v>6150</v>
      </c>
      <c r="B21" s="46" t="s">
        <v>6151</v>
      </c>
      <c r="C21" s="12" t="s">
        <v>6102</v>
      </c>
      <c r="D21" s="46" t="s">
        <v>6152</v>
      </c>
      <c r="E21" s="46" t="s">
        <v>6153</v>
      </c>
      <c r="F21" s="27" t="s">
        <v>6138</v>
      </c>
      <c r="G21" s="46" t="s">
        <v>6154</v>
      </c>
    </row>
    <row r="22" customFormat="false" ht="39.75" hidden="false" customHeight="true" outlineLevel="0" collapsed="false">
      <c r="A22" s="12" t="s">
        <v>6155</v>
      </c>
      <c r="B22" s="46" t="s">
        <v>6156</v>
      </c>
      <c r="C22" s="12" t="s">
        <v>6114</v>
      </c>
      <c r="D22" s="46" t="s">
        <v>6157</v>
      </c>
      <c r="E22" s="46" t="s">
        <v>6158</v>
      </c>
      <c r="F22" s="27" t="s">
        <v>6138</v>
      </c>
      <c r="G22" s="46" t="s">
        <v>6159</v>
      </c>
    </row>
    <row r="23" customFormat="false" ht="39.75" hidden="false" customHeight="true" outlineLevel="0" collapsed="false">
      <c r="A23" s="12" t="s">
        <v>6160</v>
      </c>
      <c r="B23" s="46" t="s">
        <v>6161</v>
      </c>
      <c r="C23" s="12" t="s">
        <v>6114</v>
      </c>
      <c r="D23" s="46" t="s">
        <v>6162</v>
      </c>
      <c r="E23" s="46" t="s">
        <v>6163</v>
      </c>
      <c r="F23" s="27" t="s">
        <v>6138</v>
      </c>
      <c r="G23" s="46" t="s">
        <v>6164</v>
      </c>
    </row>
    <row r="24" customFormat="false" ht="39.75" hidden="false" customHeight="true" outlineLevel="0" collapsed="false">
      <c r="A24" s="12" t="s">
        <v>6165</v>
      </c>
      <c r="B24" s="46" t="s">
        <v>6166</v>
      </c>
      <c r="C24" s="12" t="s">
        <v>6114</v>
      </c>
      <c r="D24" s="46" t="s">
        <v>6167</v>
      </c>
      <c r="E24" s="46" t="s">
        <v>6168</v>
      </c>
      <c r="F24" s="27" t="s">
        <v>6138</v>
      </c>
      <c r="G24" s="46" t="s">
        <v>6169</v>
      </c>
    </row>
    <row r="25" customFormat="false" ht="39.75" hidden="false" customHeight="true" outlineLevel="0" collapsed="false">
      <c r="A25" s="12" t="s">
        <v>6170</v>
      </c>
      <c r="B25" s="46" t="s">
        <v>6171</v>
      </c>
      <c r="C25" s="12" t="s">
        <v>6114</v>
      </c>
      <c r="D25" s="46" t="s">
        <v>6172</v>
      </c>
      <c r="E25" s="46" t="s">
        <v>6173</v>
      </c>
      <c r="F25" s="27" t="s">
        <v>6138</v>
      </c>
      <c r="G25" s="46" t="s">
        <v>6174</v>
      </c>
    </row>
    <row r="26" customFormat="false" ht="39.75" hidden="false" customHeight="true" outlineLevel="0" collapsed="false">
      <c r="A26" s="12" t="s">
        <v>6175</v>
      </c>
      <c r="B26" s="46" t="s">
        <v>6176</v>
      </c>
      <c r="C26" s="12" t="s">
        <v>6061</v>
      </c>
      <c r="D26" s="46" t="s">
        <v>6177</v>
      </c>
      <c r="E26" s="46" t="s">
        <v>6178</v>
      </c>
      <c r="F26" s="27" t="s">
        <v>6138</v>
      </c>
      <c r="G26" s="46" t="s">
        <v>6179</v>
      </c>
    </row>
    <row r="27" customFormat="false" ht="39.75" hidden="false" customHeight="true" outlineLevel="0" collapsed="false">
      <c r="A27" s="12" t="s">
        <v>6180</v>
      </c>
      <c r="B27" s="46" t="s">
        <v>6181</v>
      </c>
      <c r="C27" s="12" t="s">
        <v>6114</v>
      </c>
      <c r="D27" s="46" t="s">
        <v>6182</v>
      </c>
      <c r="E27" s="46" t="s">
        <v>6183</v>
      </c>
      <c r="F27" s="27" t="s">
        <v>6138</v>
      </c>
      <c r="G27" s="46" t="s">
        <v>6184</v>
      </c>
    </row>
    <row r="28" customFormat="false" ht="39.75" hidden="false" customHeight="true" outlineLevel="0" collapsed="false">
      <c r="A28" s="12" t="s">
        <v>6185</v>
      </c>
      <c r="B28" s="46" t="s">
        <v>6186</v>
      </c>
      <c r="C28" s="12" t="s">
        <v>6061</v>
      </c>
      <c r="D28" s="46" t="s">
        <v>6187</v>
      </c>
      <c r="E28" s="46" t="s">
        <v>6188</v>
      </c>
      <c r="F28" s="27" t="s">
        <v>6138</v>
      </c>
      <c r="G28" s="46" t="s">
        <v>6189</v>
      </c>
    </row>
    <row r="29" customFormat="false" ht="39.75" hidden="false" customHeight="true" outlineLevel="0" collapsed="false">
      <c r="A29" s="12" t="s">
        <v>6190</v>
      </c>
      <c r="B29" s="46" t="s">
        <v>6191</v>
      </c>
      <c r="C29" s="12" t="s">
        <v>6114</v>
      </c>
      <c r="D29" s="46" t="s">
        <v>6192</v>
      </c>
      <c r="E29" s="46" t="s">
        <v>6193</v>
      </c>
      <c r="F29" s="27" t="s">
        <v>6138</v>
      </c>
      <c r="G29" s="46" t="s">
        <v>6194</v>
      </c>
    </row>
    <row r="30" customFormat="false" ht="39.75" hidden="false" customHeight="true" outlineLevel="0" collapsed="false">
      <c r="A30" s="12" t="s">
        <v>6195</v>
      </c>
      <c r="B30" s="46" t="s">
        <v>6196</v>
      </c>
      <c r="C30" s="12" t="s">
        <v>6197</v>
      </c>
      <c r="D30" s="46" t="s">
        <v>6198</v>
      </c>
      <c r="E30" s="46" t="s">
        <v>6199</v>
      </c>
      <c r="F30" s="27" t="s">
        <v>6138</v>
      </c>
      <c r="G30" s="46" t="s">
        <v>6200</v>
      </c>
    </row>
    <row r="31" customFormat="false" ht="39.75" hidden="false" customHeight="true" outlineLevel="0" collapsed="false">
      <c r="A31" s="12" t="s">
        <v>6201</v>
      </c>
      <c r="B31" s="46" t="s">
        <v>6202</v>
      </c>
      <c r="C31" s="12" t="s">
        <v>6061</v>
      </c>
      <c r="D31" s="46" t="s">
        <v>6203</v>
      </c>
      <c r="E31" s="46" t="s">
        <v>6204</v>
      </c>
      <c r="F31" s="27" t="s">
        <v>6138</v>
      </c>
      <c r="G31" s="46" t="s">
        <v>6205</v>
      </c>
    </row>
    <row r="32" customFormat="false" ht="39.75" hidden="false" customHeight="true" outlineLevel="0" collapsed="false">
      <c r="A32" s="12" t="s">
        <v>6206</v>
      </c>
      <c r="B32" s="46" t="s">
        <v>6207</v>
      </c>
      <c r="C32" s="12" t="s">
        <v>6114</v>
      </c>
      <c r="D32" s="46" t="s">
        <v>6208</v>
      </c>
      <c r="E32" s="46" t="s">
        <v>6209</v>
      </c>
      <c r="F32" s="27" t="s">
        <v>6138</v>
      </c>
      <c r="G32" s="46" t="s">
        <v>6210</v>
      </c>
    </row>
    <row r="33" customFormat="false" ht="39.75" hidden="false" customHeight="true" outlineLevel="0" collapsed="false">
      <c r="A33" s="12" t="s">
        <v>6211</v>
      </c>
      <c r="B33" s="46" t="s">
        <v>6212</v>
      </c>
      <c r="C33" s="12" t="s">
        <v>6213</v>
      </c>
      <c r="D33" s="46" t="s">
        <v>6214</v>
      </c>
      <c r="E33" s="46" t="s">
        <v>6215</v>
      </c>
      <c r="F33" s="27" t="s">
        <v>6138</v>
      </c>
      <c r="G33" s="46" t="s">
        <v>6216</v>
      </c>
    </row>
    <row r="34" customFormat="false" ht="39.75" hidden="false" customHeight="true" outlineLevel="0" collapsed="false">
      <c r="A34" s="12" t="s">
        <v>6217</v>
      </c>
      <c r="B34" s="46" t="s">
        <v>6218</v>
      </c>
      <c r="C34" s="12" t="s">
        <v>6114</v>
      </c>
      <c r="D34" s="46" t="s">
        <v>6219</v>
      </c>
      <c r="E34" s="46" t="s">
        <v>6220</v>
      </c>
      <c r="F34" s="27" t="s">
        <v>6138</v>
      </c>
      <c r="G34" s="46" t="s">
        <v>6221</v>
      </c>
    </row>
    <row r="35" customFormat="false" ht="39.75" hidden="false" customHeight="true" outlineLevel="0" collapsed="false">
      <c r="A35" s="12" t="s">
        <v>6222</v>
      </c>
      <c r="B35" s="46" t="s">
        <v>6223</v>
      </c>
      <c r="C35" s="12" t="s">
        <v>6061</v>
      </c>
      <c r="D35" s="46" t="s">
        <v>6224</v>
      </c>
      <c r="E35" s="46" t="s">
        <v>6225</v>
      </c>
      <c r="F35" s="27" t="s">
        <v>6138</v>
      </c>
      <c r="G35" s="46" t="s">
        <v>6226</v>
      </c>
    </row>
    <row r="36" customFormat="false" ht="39.75" hidden="false" customHeight="true" outlineLevel="0" collapsed="false">
      <c r="A36" s="12" t="s">
        <v>6227</v>
      </c>
      <c r="B36" s="46" t="s">
        <v>6228</v>
      </c>
      <c r="C36" s="12" t="s">
        <v>6229</v>
      </c>
      <c r="D36" s="46" t="s">
        <v>6230</v>
      </c>
      <c r="E36" s="46" t="s">
        <v>6231</v>
      </c>
      <c r="F36" s="27" t="s">
        <v>6232</v>
      </c>
      <c r="G36" s="46" t="s">
        <v>6233</v>
      </c>
    </row>
    <row r="37" customFormat="false" ht="39.75" hidden="false" customHeight="true" outlineLevel="0" collapsed="false">
      <c r="A37" s="12" t="s">
        <v>6234</v>
      </c>
      <c r="B37" s="46" t="s">
        <v>6235</v>
      </c>
      <c r="C37" s="12" t="s">
        <v>6061</v>
      </c>
      <c r="D37" s="46" t="s">
        <v>6236</v>
      </c>
      <c r="E37" s="46" t="s">
        <v>6237</v>
      </c>
      <c r="F37" s="27" t="s">
        <v>6238</v>
      </c>
      <c r="G37" s="46" t="s">
        <v>6239</v>
      </c>
    </row>
    <row r="38" customFormat="false" ht="39.75" hidden="false" customHeight="true" outlineLevel="0" collapsed="false">
      <c r="A38" s="12" t="s">
        <v>6240</v>
      </c>
      <c r="B38" s="46" t="s">
        <v>6241</v>
      </c>
      <c r="C38" s="12" t="s">
        <v>6242</v>
      </c>
      <c r="D38" s="46" t="s">
        <v>6243</v>
      </c>
      <c r="E38" s="46" t="s">
        <v>6244</v>
      </c>
      <c r="F38" s="27" t="s">
        <v>6245</v>
      </c>
      <c r="G38" s="46" t="s">
        <v>6246</v>
      </c>
    </row>
    <row r="39" customFormat="false" ht="39.75" hidden="false" customHeight="true" outlineLevel="0" collapsed="false">
      <c r="A39" s="12" t="s">
        <v>6247</v>
      </c>
      <c r="B39" s="46" t="s">
        <v>6248</v>
      </c>
      <c r="C39" s="12" t="s">
        <v>6242</v>
      </c>
      <c r="D39" s="46" t="s">
        <v>6249</v>
      </c>
      <c r="E39" s="46" t="s">
        <v>6250</v>
      </c>
      <c r="F39" s="27" t="s">
        <v>6245</v>
      </c>
      <c r="G39" s="46" t="s">
        <v>6251</v>
      </c>
    </row>
    <row r="40" customFormat="false" ht="39.75" hidden="false" customHeight="true" outlineLevel="0" collapsed="false">
      <c r="A40" s="12" t="s">
        <v>6252</v>
      </c>
      <c r="B40" s="46" t="s">
        <v>6253</v>
      </c>
      <c r="C40" s="12" t="s">
        <v>6254</v>
      </c>
      <c r="D40" s="46" t="s">
        <v>5749</v>
      </c>
      <c r="E40" s="46" t="s">
        <v>6250</v>
      </c>
      <c r="F40" s="27" t="s">
        <v>6245</v>
      </c>
      <c r="G40" s="46" t="s">
        <v>6255</v>
      </c>
    </row>
    <row r="41" customFormat="false" ht="39.75" hidden="false" customHeight="true" outlineLevel="0" collapsed="false">
      <c r="A41" s="12" t="s">
        <v>6256</v>
      </c>
      <c r="B41" s="46" t="s">
        <v>6257</v>
      </c>
      <c r="C41" s="12" t="s">
        <v>6258</v>
      </c>
      <c r="D41" s="46" t="s">
        <v>6259</v>
      </c>
      <c r="E41" s="46" t="s">
        <v>6260</v>
      </c>
      <c r="F41" s="27" t="s">
        <v>6245</v>
      </c>
      <c r="G41" s="46" t="s">
        <v>6261</v>
      </c>
    </row>
    <row r="42" customFormat="false" ht="39.75" hidden="false" customHeight="true" outlineLevel="0" collapsed="false">
      <c r="A42" s="12" t="s">
        <v>6262</v>
      </c>
      <c r="B42" s="46" t="s">
        <v>6263</v>
      </c>
      <c r="C42" s="12" t="s">
        <v>6264</v>
      </c>
      <c r="D42" s="46" t="s">
        <v>6265</v>
      </c>
      <c r="E42" s="46" t="s">
        <v>6250</v>
      </c>
      <c r="F42" s="27" t="s">
        <v>6245</v>
      </c>
      <c r="G42" s="46" t="s">
        <v>6266</v>
      </c>
    </row>
    <row r="43" customFormat="false" ht="39.75" hidden="false" customHeight="true" outlineLevel="0" collapsed="false">
      <c r="A43" s="12" t="s">
        <v>6267</v>
      </c>
      <c r="B43" s="46" t="s">
        <v>6268</v>
      </c>
      <c r="C43" s="12" t="s">
        <v>6269</v>
      </c>
      <c r="D43" s="46" t="s">
        <v>6270</v>
      </c>
      <c r="E43" s="46" t="s">
        <v>6271</v>
      </c>
      <c r="F43" s="27" t="s">
        <v>6245</v>
      </c>
      <c r="G43" s="46" t="s">
        <v>6272</v>
      </c>
    </row>
    <row r="44" customFormat="false" ht="39.75" hidden="false" customHeight="true" outlineLevel="0" collapsed="false">
      <c r="A44" s="12" t="s">
        <v>6273</v>
      </c>
      <c r="B44" s="46" t="s">
        <v>6274</v>
      </c>
      <c r="C44" s="12" t="s">
        <v>6275</v>
      </c>
      <c r="D44" s="46" t="s">
        <v>6276</v>
      </c>
      <c r="E44" s="46" t="s">
        <v>6250</v>
      </c>
      <c r="F44" s="27" t="s">
        <v>6245</v>
      </c>
      <c r="G44" s="46" t="s">
        <v>6277</v>
      </c>
    </row>
    <row r="45" customFormat="false" ht="39.75" hidden="false" customHeight="true" outlineLevel="0" collapsed="false">
      <c r="A45" s="12" t="s">
        <v>6278</v>
      </c>
      <c r="B45" s="46" t="s">
        <v>6279</v>
      </c>
      <c r="C45" s="12" t="s">
        <v>6280</v>
      </c>
      <c r="D45" s="46" t="s">
        <v>6281</v>
      </c>
      <c r="E45" s="46" t="s">
        <v>6250</v>
      </c>
      <c r="F45" s="27" t="s">
        <v>6245</v>
      </c>
      <c r="G45" s="46" t="s">
        <v>6282</v>
      </c>
    </row>
    <row r="46" customFormat="false" ht="39.75" hidden="false" customHeight="true" outlineLevel="0" collapsed="false">
      <c r="A46" s="12" t="s">
        <v>6283</v>
      </c>
      <c r="B46" s="46" t="s">
        <v>6284</v>
      </c>
      <c r="C46" s="12" t="s">
        <v>6285</v>
      </c>
      <c r="D46" s="46" t="s">
        <v>6286</v>
      </c>
      <c r="E46" s="46" t="s">
        <v>6250</v>
      </c>
      <c r="F46" s="27" t="s">
        <v>6245</v>
      </c>
      <c r="G46" s="46" t="s">
        <v>6287</v>
      </c>
    </row>
    <row r="47" customFormat="false" ht="39.75" hidden="false" customHeight="true" outlineLevel="0" collapsed="false">
      <c r="A47" s="12" t="s">
        <v>6288</v>
      </c>
      <c r="B47" s="46" t="s">
        <v>6289</v>
      </c>
      <c r="C47" s="12" t="s">
        <v>6290</v>
      </c>
      <c r="D47" s="46" t="s">
        <v>6291</v>
      </c>
      <c r="E47" s="46" t="s">
        <v>6292</v>
      </c>
      <c r="F47" s="27" t="s">
        <v>6138</v>
      </c>
      <c r="G47" s="46" t="s">
        <v>6293</v>
      </c>
    </row>
    <row r="48" customFormat="false" ht="39.75" hidden="false" customHeight="true" outlineLevel="0" collapsed="false">
      <c r="A48" s="12" t="s">
        <v>6294</v>
      </c>
      <c r="B48" s="46" t="s">
        <v>6295</v>
      </c>
      <c r="C48" s="12" t="s">
        <v>6296</v>
      </c>
      <c r="D48" s="46" t="s">
        <v>6297</v>
      </c>
      <c r="E48" s="46" t="s">
        <v>6298</v>
      </c>
      <c r="F48" s="27" t="s">
        <v>6138</v>
      </c>
      <c r="G48" s="46" t="s">
        <v>6299</v>
      </c>
    </row>
    <row r="49" customFormat="false" ht="39.75" hidden="false" customHeight="true" outlineLevel="0" collapsed="false">
      <c r="A49" s="12" t="s">
        <v>6300</v>
      </c>
      <c r="B49" s="46" t="s">
        <v>6301</v>
      </c>
      <c r="C49" s="12" t="s">
        <v>6302</v>
      </c>
      <c r="D49" s="46" t="s">
        <v>6303</v>
      </c>
      <c r="E49" s="46" t="s">
        <v>6304</v>
      </c>
      <c r="F49" s="27" t="s">
        <v>6138</v>
      </c>
      <c r="G49" s="46" t="s">
        <v>6305</v>
      </c>
    </row>
    <row r="50" customFormat="false" ht="39.75" hidden="false" customHeight="true" outlineLevel="0" collapsed="false">
      <c r="A50" s="12" t="s">
        <v>6306</v>
      </c>
      <c r="B50" s="46" t="s">
        <v>6307</v>
      </c>
      <c r="C50" s="12" t="s">
        <v>6296</v>
      </c>
      <c r="D50" s="46" t="s">
        <v>6308</v>
      </c>
      <c r="E50" s="46" t="s">
        <v>6309</v>
      </c>
      <c r="F50" s="27" t="s">
        <v>6138</v>
      </c>
      <c r="G50" s="46" t="s">
        <v>6310</v>
      </c>
    </row>
    <row r="51" customFormat="false" ht="39.75" hidden="false" customHeight="true" outlineLevel="0" collapsed="false">
      <c r="A51" s="12" t="s">
        <v>6311</v>
      </c>
      <c r="B51" s="46" t="s">
        <v>6312</v>
      </c>
      <c r="C51" s="12" t="s">
        <v>6296</v>
      </c>
      <c r="D51" s="46" t="s">
        <v>6313</v>
      </c>
      <c r="E51" s="46" t="s">
        <v>6314</v>
      </c>
      <c r="F51" s="27" t="s">
        <v>6138</v>
      </c>
      <c r="G51" s="46" t="s">
        <v>6315</v>
      </c>
    </row>
    <row r="52" customFormat="false" ht="39.75" hidden="false" customHeight="true" outlineLevel="0" collapsed="false">
      <c r="A52" s="12" t="s">
        <v>6316</v>
      </c>
      <c r="B52" s="46" t="s">
        <v>6317</v>
      </c>
      <c r="C52" s="12" t="s">
        <v>6318</v>
      </c>
      <c r="D52" s="46" t="s">
        <v>6319</v>
      </c>
      <c r="E52" s="46" t="s">
        <v>6320</v>
      </c>
      <c r="F52" s="27" t="s">
        <v>6138</v>
      </c>
      <c r="G52" s="46" t="s">
        <v>6321</v>
      </c>
    </row>
    <row r="53" customFormat="false" ht="39.75" hidden="false" customHeight="true" outlineLevel="0" collapsed="false">
      <c r="A53" s="12" t="s">
        <v>6322</v>
      </c>
      <c r="B53" s="46" t="s">
        <v>6323</v>
      </c>
      <c r="C53" s="12" t="s">
        <v>6296</v>
      </c>
      <c r="D53" s="46" t="s">
        <v>6324</v>
      </c>
      <c r="E53" s="46" t="s">
        <v>6325</v>
      </c>
      <c r="F53" s="27" t="s">
        <v>6057</v>
      </c>
      <c r="G53" s="46" t="s">
        <v>6326</v>
      </c>
    </row>
    <row r="54" customFormat="false" ht="39.75" hidden="false" customHeight="true" outlineLevel="0" collapsed="false">
      <c r="A54" s="12" t="s">
        <v>6327</v>
      </c>
      <c r="B54" s="46" t="s">
        <v>6328</v>
      </c>
      <c r="C54" s="12" t="s">
        <v>6296</v>
      </c>
      <c r="D54" s="46" t="s">
        <v>6329</v>
      </c>
      <c r="E54" s="46" t="s">
        <v>6330</v>
      </c>
      <c r="F54" s="27" t="s">
        <v>6138</v>
      </c>
      <c r="G54" s="46" t="s">
        <v>6331</v>
      </c>
    </row>
    <row r="55" customFormat="false" ht="39.75" hidden="false" customHeight="true" outlineLevel="0" collapsed="false">
      <c r="A55" s="12" t="s">
        <v>6332</v>
      </c>
      <c r="B55" s="46" t="s">
        <v>6333</v>
      </c>
      <c r="C55" s="12" t="s">
        <v>6334</v>
      </c>
      <c r="D55" s="46" t="s">
        <v>6335</v>
      </c>
      <c r="E55" s="46" t="s">
        <v>6336</v>
      </c>
      <c r="F55" s="27" t="s">
        <v>6138</v>
      </c>
      <c r="G55" s="46" t="s">
        <v>6337</v>
      </c>
    </row>
    <row r="56" customFormat="false" ht="39.75" hidden="false" customHeight="true" outlineLevel="0" collapsed="false">
      <c r="A56" s="12" t="s">
        <v>6338</v>
      </c>
      <c r="B56" s="46" t="s">
        <v>6339</v>
      </c>
      <c r="C56" s="12" t="s">
        <v>6340</v>
      </c>
      <c r="D56" s="46" t="s">
        <v>6341</v>
      </c>
      <c r="E56" s="46" t="s">
        <v>6342</v>
      </c>
      <c r="F56" s="27" t="s">
        <v>6138</v>
      </c>
      <c r="G56" s="46" t="s">
        <v>6343</v>
      </c>
    </row>
    <row r="57" customFormat="false" ht="39.75" hidden="false" customHeight="true" outlineLevel="0" collapsed="false">
      <c r="A57" s="12" t="s">
        <v>6344</v>
      </c>
      <c r="B57" s="46" t="s">
        <v>6345</v>
      </c>
      <c r="C57" s="12" t="s">
        <v>6346</v>
      </c>
      <c r="D57" s="46" t="s">
        <v>6347</v>
      </c>
      <c r="E57" s="46" t="s">
        <v>6250</v>
      </c>
      <c r="F57" s="27" t="s">
        <v>6245</v>
      </c>
      <c r="G57" s="46" t="s">
        <v>6348</v>
      </c>
    </row>
    <row r="60" customFormat="false" ht="16.15" hidden="false" customHeight="false" outlineLevel="0" collapsed="false">
      <c r="A60" s="8" t="s">
        <v>6349</v>
      </c>
    </row>
    <row r="61" customFormat="false" ht="15" hidden="false" customHeight="false" outlineLevel="0" collapsed="false">
      <c r="A61" s="17" t="s">
        <v>6350</v>
      </c>
      <c r="B61" s="17" t="s">
        <v>6351</v>
      </c>
      <c r="C61" s="17" t="s">
        <v>6031</v>
      </c>
      <c r="D61" s="17" t="s">
        <v>6352</v>
      </c>
    </row>
    <row r="62" customFormat="false" ht="25.5" hidden="false" customHeight="true" outlineLevel="0" collapsed="false">
      <c r="A62" s="18" t="s">
        <v>6353</v>
      </c>
      <c r="B62" s="11" t="s">
        <v>6354</v>
      </c>
      <c r="C62" s="11" t="s">
        <v>6355</v>
      </c>
      <c r="D62" s="11" t="s">
        <v>6356</v>
      </c>
    </row>
    <row r="63" customFormat="false" ht="25.5" hidden="false" customHeight="true" outlineLevel="0" collapsed="false">
      <c r="A63" s="18" t="s">
        <v>6357</v>
      </c>
      <c r="B63" s="11" t="s">
        <v>6358</v>
      </c>
      <c r="C63" s="11" t="s">
        <v>6359</v>
      </c>
      <c r="D63" s="11" t="s">
        <v>6360</v>
      </c>
    </row>
    <row r="64" customFormat="false" ht="25.5" hidden="false" customHeight="true" outlineLevel="0" collapsed="false">
      <c r="A64" s="18" t="s">
        <v>6361</v>
      </c>
      <c r="B64" s="11" t="s">
        <v>6358</v>
      </c>
      <c r="C64" s="11" t="s">
        <v>6362</v>
      </c>
      <c r="D64" s="11" t="s">
        <v>6360</v>
      </c>
    </row>
    <row r="65" customFormat="false" ht="25.5" hidden="false" customHeight="true" outlineLevel="0" collapsed="false">
      <c r="A65" s="18" t="s">
        <v>6102</v>
      </c>
      <c r="B65" s="11" t="s">
        <v>6363</v>
      </c>
      <c r="C65" s="11" t="s">
        <v>6364</v>
      </c>
      <c r="D65" s="11" t="s">
        <v>6365</v>
      </c>
    </row>
    <row r="66" customFormat="false" ht="25.5" hidden="false" customHeight="true" outlineLevel="0" collapsed="false">
      <c r="A66" s="18" t="s">
        <v>6366</v>
      </c>
      <c r="B66" s="11" t="s">
        <v>6250</v>
      </c>
      <c r="C66" s="11" t="s">
        <v>6367</v>
      </c>
      <c r="D66" s="11" t="s">
        <v>6360</v>
      </c>
    </row>
    <row r="67" customFormat="false" ht="25.5" hidden="false" customHeight="true" outlineLevel="0" collapsed="false">
      <c r="A67" s="18" t="s">
        <v>6368</v>
      </c>
      <c r="B67" s="11" t="s">
        <v>6369</v>
      </c>
      <c r="C67" s="11" t="s">
        <v>6370</v>
      </c>
      <c r="D67" s="11" t="s">
        <v>6360</v>
      </c>
    </row>
    <row r="68" customFormat="false" ht="25.5" hidden="false" customHeight="true" outlineLevel="0" collapsed="false">
      <c r="A68" s="18" t="s">
        <v>6371</v>
      </c>
      <c r="B68" s="11" t="s">
        <v>6372</v>
      </c>
      <c r="C68" s="11" t="s">
        <v>6373</v>
      </c>
      <c r="D68" s="11" t="s">
        <v>6374</v>
      </c>
    </row>
    <row r="69" customFormat="false" ht="25.5" hidden="false" customHeight="true" outlineLevel="0" collapsed="false">
      <c r="A69" s="18" t="s">
        <v>6375</v>
      </c>
      <c r="B69" s="11" t="s">
        <v>6376</v>
      </c>
      <c r="C69" s="11" t="s">
        <v>6377</v>
      </c>
      <c r="D69" s="11" t="s">
        <v>6360</v>
      </c>
    </row>
    <row r="70" customFormat="false" ht="25.5" hidden="false" customHeight="true" outlineLevel="0" collapsed="false">
      <c r="A70" s="18" t="s">
        <v>6340</v>
      </c>
      <c r="B70" s="11" t="s">
        <v>6378</v>
      </c>
      <c r="C70" s="11" t="s">
        <v>6379</v>
      </c>
      <c r="D70" s="11" t="s">
        <v>6380</v>
      </c>
    </row>
    <row r="71" customFormat="false" ht="25.5" hidden="false" customHeight="true" outlineLevel="0" collapsed="false">
      <c r="A71" s="73" t="s">
        <v>6381</v>
      </c>
      <c r="B71" s="11" t="s">
        <v>6382</v>
      </c>
      <c r="C71" s="11" t="s">
        <v>6383</v>
      </c>
      <c r="D71" s="11" t="s">
        <v>6360</v>
      </c>
    </row>
    <row r="72" customFormat="false" ht="15" hidden="false" customHeight="false" outlineLevel="0" collapsed="false">
      <c r="A72" s="17" t="s">
        <v>6384</v>
      </c>
      <c r="B72" s="17" t="s">
        <v>6350</v>
      </c>
      <c r="C72" s="17" t="s">
        <v>6385</v>
      </c>
      <c r="D72" s="17" t="s">
        <v>6386</v>
      </c>
    </row>
    <row r="73" customFormat="false" ht="25.5" hidden="false" customHeight="true" outlineLevel="0" collapsed="false">
      <c r="A73" s="18" t="s">
        <v>6387</v>
      </c>
      <c r="B73" s="11" t="s">
        <v>6388</v>
      </c>
      <c r="C73" s="11" t="s">
        <v>6389</v>
      </c>
      <c r="D73" s="11" t="s">
        <v>6390</v>
      </c>
    </row>
    <row r="74" customFormat="false" ht="25.5" hidden="false" customHeight="true" outlineLevel="0" collapsed="false">
      <c r="A74" s="18" t="s">
        <v>4063</v>
      </c>
      <c r="B74" s="11" t="s">
        <v>6102</v>
      </c>
      <c r="C74" s="11" t="s">
        <v>6391</v>
      </c>
      <c r="D74" s="11" t="s">
        <v>6392</v>
      </c>
    </row>
    <row r="75" customFormat="false" ht="25.5" hidden="false" customHeight="true" outlineLevel="0" collapsed="false">
      <c r="A75" s="18" t="s">
        <v>6393</v>
      </c>
      <c r="B75" s="11" t="s">
        <v>6102</v>
      </c>
      <c r="C75" s="11" t="s">
        <v>6394</v>
      </c>
      <c r="D75" s="11" t="s">
        <v>6395</v>
      </c>
    </row>
    <row r="76" customFormat="false" ht="25.5" hidden="false" customHeight="true" outlineLevel="0" collapsed="false">
      <c r="A76" s="18" t="s">
        <v>6396</v>
      </c>
      <c r="B76" s="11" t="s">
        <v>6397</v>
      </c>
      <c r="C76" s="11" t="s">
        <v>6398</v>
      </c>
      <c r="D76" s="11" t="s">
        <v>6399</v>
      </c>
    </row>
    <row r="77" customFormat="false" ht="25.5" hidden="false" customHeight="true" outlineLevel="0" collapsed="false">
      <c r="A77" s="18" t="s">
        <v>6400</v>
      </c>
      <c r="B77" s="11" t="s">
        <v>6401</v>
      </c>
      <c r="C77" s="11" t="s">
        <v>6402</v>
      </c>
      <c r="D77" s="11" t="s">
        <v>6403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2026-08-16T10:11:05Z</dcterms:created>
  <dc:creator>openpyxl</dc:creator>
  <dc:description/>
  <dc:language>en-US</dc:language>
  <cp:lastModifiedBy/>
  <dcterms:modified xsi:type="dcterms:W3CDTF">2026-08-16T10:11:06Z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