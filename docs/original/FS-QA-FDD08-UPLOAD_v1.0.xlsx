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uel Burn Upload" sheetId="2" state="visible" r:id="rId4"/>
    <sheet name="ROB Initial Load" sheetId="3" state="visible" r:id="rId5"/>
    <sheet name="Planned Burn Data" sheetId="4" state="visible" r:id="rId6"/>
    <sheet name="Reference Data" sheetId="5" state="visible" r:id="rId7"/>
    <sheet name="UAT Scena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<sst xmlns="http://schemas.openxmlformats.org/spreadsheetml/2006/main" count="560" uniqueCount="330">
  <si>
    <t xml:space="preserve">FUELSPHERE</t>
  </si>
  <si>
    <t xml:space="preserve">Airline Fuel Lifecycle Management Solution</t>
  </si>
  <si>
    <t xml:space="preserve">FDD-08: Fuel Burn &amp; ROB Tracking — UAT Upload Templates</t>
  </si>
  <si>
    <t xml:space="preserve">Document ID</t>
  </si>
  <si>
    <t xml:space="preserve">FS-QA-FDD08-UPLOAD_v1.0</t>
  </si>
  <si>
    <t xml:space="preserve">Module</t>
  </si>
  <si>
    <t xml:space="preserve">FDD-08: Fuel Burn &amp; ROB Tracking</t>
  </si>
  <si>
    <t xml:space="preserve">Purpose</t>
  </si>
  <si>
    <t xml:space="preserve">CSV/Upload templates for UAT testing without live integrations</t>
  </si>
  <si>
    <t xml:space="preserve">Environment</t>
  </si>
  <si>
    <t xml:space="preserve">QAS (UAT)</t>
  </si>
  <si>
    <t xml:space="preserve">Created By</t>
  </si>
  <si>
    <t xml:space="preserve">Diligent Global — Solution Architecture</t>
  </si>
  <si>
    <t xml:space="preserve">Created Date</t>
  </si>
  <si>
    <t xml:space="preserve">23-Mar-2026</t>
  </si>
  <si>
    <t xml:space="preserve">Version</t>
  </si>
  <si>
    <t xml:space="preserve">1.0</t>
  </si>
  <si>
    <t xml:space="preserve">Status</t>
  </si>
  <si>
    <t xml:space="preserve">Ready for UAT</t>
  </si>
  <si>
    <t xml:space="preserve">Sheet Index</t>
  </si>
  <si>
    <t xml:space="preserve">Sheet</t>
  </si>
  <si>
    <t xml:space="preserve">Upload Entity</t>
  </si>
  <si>
    <t xml:space="preserve">Fuel Burn Upload</t>
  </si>
  <si>
    <t xml:space="preserve">Simulate ACARS/EFB/Manual fuel burn records for FuelBurns entity</t>
  </si>
  <si>
    <t xml:space="preserve">FuelBurns</t>
  </si>
  <si>
    <t xml:space="preserve">ROB Initial Load</t>
  </si>
  <si>
    <t xml:space="preserve">Set opening ROB balances per aircraft tail before testing</t>
  </si>
  <si>
    <t xml:space="preserve">ROBLedger</t>
  </si>
  <si>
    <t xml:space="preserve">Planned Burn Data</t>
  </si>
  <si>
    <t xml:space="preserve">Load Jefferson-style planned burn values for variance calculations</t>
  </si>
  <si>
    <t xml:space="preserve">FuelBurns (plannedBurnKg)</t>
  </si>
  <si>
    <t xml:space="preserve">Reference Data</t>
  </si>
  <si>
    <t xml:space="preserve">Valid values for dropdowns: aircraft, airports, flights, data sources</t>
  </si>
  <si>
    <t xml:space="preserve">— (lookup)</t>
  </si>
  <si>
    <t xml:space="preserve">UAT Scenarios</t>
  </si>
  <si>
    <t xml:space="preserve">7 test scenarios mapping to UAT-FB-001 through UAT-FB-009</t>
  </si>
  <si>
    <t xml:space="preserve">— (guide)</t>
  </si>
  <si>
    <t xml:space="preserve">Usage Instructions</t>
  </si>
  <si>
    <t xml:space="preserve">1. Populate 'Reference Data' first with your QAS master data (aircraft tails, airport codes, flight numbers).</t>
  </si>
  <si>
    <t xml:space="preserve">2. Use 'ROB Initial Load' to set opening ROB balances for each aircraft before executing burn tests.</t>
  </si>
  <si>
    <t xml:space="preserve">3. Use 'Fuel Burn Upload' to simulate ACARS/EFB/Manual burn records — each row becomes a FuelBurn entity.</t>
  </si>
  <si>
    <t xml:space="preserve">4. Use 'Planned Burn Data' to load Jefferson-equivalent planned values for variance calculation testing.</t>
  </si>
  <si>
    <t xml:space="preserve">5. Follow the 'UAT Scenarios' sheet to execute test cases in the correct sequence.</t>
  </si>
  <si>
    <t xml:space="preserve">6. Export individual sheets as CSV for API upload via POST /api/burn/FuelBurns or use the manual entry UI.</t>
  </si>
  <si>
    <t xml:space="preserve">7. Blue-highlighted cells are tester input fields. System-calculated fields (variance, closing ROB) are auto-derived.</t>
  </si>
  <si>
    <t xml:space="preserve">8. Refer to FDD-08 HLD and FS-QA-002 UAT Plan for full acceptance criteria.</t>
  </si>
  <si>
    <t xml:space="preserve">Row #</t>
  </si>
  <si>
    <t xml:space="preserve">Flight Number</t>
  </si>
  <si>
    <t xml:space="preserve">Aircraft Tail</t>
  </si>
  <si>
    <t xml:space="preserve">Departure Airport
(IATA)</t>
  </si>
  <si>
    <t xml:space="preserve">Arrival Airport
(IATA)</t>
  </si>
  <si>
    <t xml:space="preserve">Burn Date
(YYYY-MM-DD)</t>
  </si>
  <si>
    <t xml:space="preserve">Block-Off Time
(HH:MM UTC)</t>
  </si>
  <si>
    <t xml:space="preserve">Block-On Time
(HH:MM UTC)</t>
  </si>
  <si>
    <t xml:space="preserve">Actual Burn (Kg)</t>
  </si>
  <si>
    <t xml:space="preserve">Data Source</t>
  </si>
  <si>
    <t xml:space="preserve">Planned Burn (Kg)
[Optional]</t>
  </si>
  <si>
    <t xml:space="preserve">Variance (Kg)
[Calculated]</t>
  </si>
  <si>
    <t xml:space="preserve">Variance %
[Calculated]</t>
  </si>
  <si>
    <t xml:space="preserve">Status
[Derived]</t>
  </si>
  <si>
    <t xml:space="preserve">Remarks / Pilot Notes</t>
  </si>
  <si>
    <t xml:space="preserve">SQ321</t>
  </si>
  <si>
    <t xml:space="preserve">9V-SMA</t>
  </si>
  <si>
    <t xml:space="preserve">SIN</t>
  </si>
  <si>
    <t xml:space="preserve">LHR</t>
  </si>
  <si>
    <t xml:space="preserve">2026-03-23</t>
  </si>
  <si>
    <t xml:space="preserve">01:30</t>
  </si>
  <si>
    <t xml:space="preserve">13:45</t>
  </si>
  <si>
    <t xml:space="preserve">ACARS</t>
  </si>
  <si>
    <t xml:space="preserve">Normal long-haul ACARS capture</t>
  </si>
  <si>
    <t xml:space="preserve">SQ826</t>
  </si>
  <si>
    <t xml:space="preserve">9V-SMB</t>
  </si>
  <si>
    <t xml:space="preserve">SYD</t>
  </si>
  <si>
    <t xml:space="preserve">08:00</t>
  </si>
  <si>
    <t xml:space="preserve">17:30</t>
  </si>
  <si>
    <t xml:space="preserve">SQ318</t>
  </si>
  <si>
    <t xml:space="preserve">9V-SKA</t>
  </si>
  <si>
    <t xml:space="preserve">CDG</t>
  </si>
  <si>
    <t xml:space="preserve">22:45</t>
  </si>
  <si>
    <t xml:space="preserve">05:10</t>
  </si>
  <si>
    <t xml:space="preserve">Slightly under plan — favorable</t>
  </si>
  <si>
    <t xml:space="preserve">SQ655</t>
  </si>
  <si>
    <t xml:space="preserve">9V-SMC</t>
  </si>
  <si>
    <t xml:space="preserve">HND</t>
  </si>
  <si>
    <t xml:space="preserve">2026-03-24</t>
  </si>
  <si>
    <t xml:space="preserve">07:15</t>
  </si>
  <si>
    <t xml:space="preserve">14:30</t>
  </si>
  <si>
    <t xml:space="preserve">EFB</t>
  </si>
  <si>
    <t xml:space="preserve">EFB entry — ACARS unavailable for this flight</t>
  </si>
  <si>
    <t xml:space="preserve">SQ972</t>
  </si>
  <si>
    <t xml:space="preserve">9V-SKB</t>
  </si>
  <si>
    <t xml:space="preserve">BOM</t>
  </si>
  <si>
    <t xml:space="preserve">09:00</t>
  </si>
  <si>
    <t xml:space="preserve">13:15</t>
  </si>
  <si>
    <t xml:space="preserve">Pilot manual reading at block-on</t>
  </si>
  <si>
    <t xml:space="preserve">SQ421</t>
  </si>
  <si>
    <t xml:space="preserve">21:00</t>
  </si>
  <si>
    <t xml:space="preserve">17:00</t>
  </si>
  <si>
    <t xml:space="preserve">Manual</t>
  </si>
  <si>
    <t xml:space="preserve">Manual entry — no ACARS/EFB data received</t>
  </si>
  <si>
    <t xml:space="preserve">DUPLICATE — should trigger FB403 error</t>
  </si>
  <si>
    <t xml:space="preserve">SQ222</t>
  </si>
  <si>
    <t xml:space="preserve">9V-SKC</t>
  </si>
  <si>
    <t xml:space="preserve">HKG</t>
  </si>
  <si>
    <t xml:space="preserve">2026-03-25</t>
  </si>
  <si>
    <t xml:space="preserve">06:00</t>
  </si>
  <si>
    <t xml:space="preserve">09:45</t>
  </si>
  <si>
    <t xml:space="preserve">High burn — expect &gt;5% variance warning</t>
  </si>
  <si>
    <t xml:space="preserve">SQ116</t>
  </si>
  <si>
    <t xml:space="preserve">9V-SMD</t>
  </si>
  <si>
    <t xml:space="preserve">NRT</t>
  </si>
  <si>
    <t xml:space="preserve">10:00</t>
  </si>
  <si>
    <t xml:space="preserve">Critical variance &gt;20% — should block, FB405</t>
  </si>
  <si>
    <t xml:space="preserve">SQ502</t>
  </si>
  <si>
    <t xml:space="preserve">9V-SKD</t>
  </si>
  <si>
    <t xml:space="preserve">DEL</t>
  </si>
  <si>
    <t xml:space="preserve">14:00</t>
  </si>
  <si>
    <t xml:space="preserve">19:30</t>
  </si>
  <si>
    <t xml:space="preserve">Excessive burn — should trigger FB402 negative ROB</t>
  </si>
  <si>
    <t xml:space="preserve">SQ025</t>
  </si>
  <si>
    <t xml:space="preserve">FRA</t>
  </si>
  <si>
    <t xml:space="preserve">23:30</t>
  </si>
  <si>
    <t xml:space="preserve">06:15</t>
  </si>
  <si>
    <t xml:space="preserve">Third flight for 9V-SMA — ROB chain test</t>
  </si>
  <si>
    <t xml:space="preserve">SQ026</t>
  </si>
  <si>
    <t xml:space="preserve">2026-03-26</t>
  </si>
  <si>
    <t xml:space="preserve">04:30</t>
  </si>
  <si>
    <t xml:space="preserve">Return leg — ROB chain continues</t>
  </si>
  <si>
    <t xml:space="preserve">Aircraft Type</t>
  </si>
  <si>
    <t xml:space="preserve">Record Date
(YYYY-MM-DD)</t>
  </si>
  <si>
    <t xml:space="preserve">Record Time
(HH:MM UTC)</t>
  </si>
  <si>
    <t xml:space="preserve">Airport
(IATA)</t>
  </si>
  <si>
    <t xml:space="preserve">Flight Number
[Optional]</t>
  </si>
  <si>
    <t xml:space="preserve">Opening ROB (Kg)</t>
  </si>
  <si>
    <t xml:space="preserve">Uplift (Kg)
[if applicable]</t>
  </si>
  <si>
    <t xml:space="preserve">Burn (Kg)
[if applicable]</t>
  </si>
  <si>
    <t xml:space="preserve">Adjustment (Kg)
[+/- if needed]</t>
  </si>
  <si>
    <t xml:space="preserve">Closing ROB (Kg)
[Calculated]</t>
  </si>
  <si>
    <t xml:space="preserve">Max Capacity (Kg)</t>
  </si>
  <si>
    <t xml:space="preserve">ROB % of Capacity
[Calculated]</t>
  </si>
  <si>
    <t xml:space="preserve">Notes</t>
  </si>
  <si>
    <t xml:space="preserve">A380-800</t>
  </si>
  <si>
    <t xml:space="preserve">2026-03-22</t>
  </si>
  <si>
    <t xml:space="preserve">23:59</t>
  </si>
  <si>
    <t xml:space="preserve">Initial load — evening before UAT start</t>
  </si>
  <si>
    <t xml:space="preserve">Initial load</t>
  </si>
  <si>
    <t xml:space="preserve">A350-900</t>
  </si>
  <si>
    <t xml:space="preserve">B777-300ER</t>
  </si>
  <si>
    <t xml:space="preserve">B737-800</t>
  </si>
  <si>
    <t xml:space="preserve">Initial load — short haul aircraft</t>
  </si>
  <si>
    <t xml:space="preserve">Low ROB — for negative ROB test (UAT-FB-007)</t>
  </si>
  <si>
    <t xml:space="preserve">00:30</t>
  </si>
  <si>
    <t xml:space="preserve">Uplift before SQ321 departure</t>
  </si>
  <si>
    <t xml:space="preserve">Route Distance
(NM)</t>
  </si>
  <si>
    <t xml:space="preserve">Planned Burn (Kg)</t>
  </si>
  <si>
    <t xml:space="preserve">Taxi Fuel (Kg)</t>
  </si>
  <si>
    <t xml:space="preserve">Total Planned (Kg)
[Calculated]</t>
  </si>
  <si>
    <t xml:space="preserve">Source</t>
  </si>
  <si>
    <t xml:space="preserve">Valid From
(YYYY-MM-DD)</t>
  </si>
  <si>
    <t xml:space="preserve">Valid To
(YYYY-MM-DD)</t>
  </si>
  <si>
    <t xml:space="preserve">Jefferson</t>
  </si>
  <si>
    <t xml:space="preserve">2026-01-01</t>
  </si>
  <si>
    <t xml:space="preserve">2026-06-30</t>
  </si>
  <si>
    <t xml:space="preserve">Long-haul SIN-LHR standard plan</t>
  </si>
  <si>
    <t xml:space="preserve">Medium-haul</t>
  </si>
  <si>
    <t xml:space="preserve">Return leg — slightly higher (headwinds)</t>
  </si>
  <si>
    <t xml:space="preserve">Short-haul</t>
  </si>
  <si>
    <t xml:space="preserve">Return leg</t>
  </si>
  <si>
    <t xml:space="preserve">Aircraft Fleet (Test Data)</t>
  </si>
  <si>
    <t xml:space="preserve">Valid Data Sources</t>
  </si>
  <si>
    <t xml:space="preserve">Tail Number</t>
  </si>
  <si>
    <t xml:space="preserve">Manufacturer</t>
  </si>
  <si>
    <t xml:space="preserve">Fuel Capacity (Kg)</t>
  </si>
  <si>
    <t xml:space="preserve">Code</t>
  </si>
  <si>
    <t xml:space="preserve">Description</t>
  </si>
  <si>
    <t xml:space="preserve">Priority</t>
  </si>
  <si>
    <t xml:space="preserve">Airbus</t>
  </si>
  <si>
    <t xml:space="preserve">Active</t>
  </si>
  <si>
    <t xml:space="preserve">Aircraft Communications Addressing &amp; Reporting System</t>
  </si>
  <si>
    <t xml:space="preserve">1 (Highest)</t>
  </si>
  <si>
    <t xml:space="preserve">Jefferson fuel burn calculation system</t>
  </si>
  <si>
    <t xml:space="preserve">2</t>
  </si>
  <si>
    <t xml:space="preserve">Electronic Flight Bag — pilot inputs</t>
  </si>
  <si>
    <t xml:space="preserve">3</t>
  </si>
  <si>
    <t xml:space="preserve">Operations Manager manual entry</t>
  </si>
  <si>
    <t xml:space="preserve">4 (Lowest)</t>
  </si>
  <si>
    <t xml:space="preserve">Boeing</t>
  </si>
  <si>
    <t xml:space="preserve">Variance Thresholds</t>
  </si>
  <si>
    <t xml:space="preserve">Range</t>
  </si>
  <si>
    <t xml:space="preserve">Action</t>
  </si>
  <si>
    <t xml:space="preserve">Color</t>
  </si>
  <si>
    <t xml:space="preserve">0% to ±5%</t>
  </si>
  <si>
    <t xml:space="preserve">Normal / Confirmed</t>
  </si>
  <si>
    <t xml:space="preserve">Auto-confirm</t>
  </si>
  <si>
    <t xml:space="preserve">Green</t>
  </si>
  <si>
    <t xml:space="preserve">&gt;5% to ±10%</t>
  </si>
  <si>
    <t xml:space="preserve">Warning</t>
  </si>
  <si>
    <t xml:space="preserve">Flag for review</t>
  </si>
  <si>
    <t xml:space="preserve">Amber</t>
  </si>
  <si>
    <t xml:space="preserve">&gt;10% to ±20%</t>
  </si>
  <si>
    <t xml:space="preserve">Exception</t>
  </si>
  <si>
    <t xml:space="preserve">Requires approval</t>
  </si>
  <si>
    <t xml:space="preserve">Orange</t>
  </si>
  <si>
    <t xml:space="preserve">Airports (Test Data)</t>
  </si>
  <si>
    <t xml:space="preserve">&gt;20%</t>
  </si>
  <si>
    <t xml:space="preserve">Critical</t>
  </si>
  <si>
    <t xml:space="preserve">Blocked — manual investigation</t>
  </si>
  <si>
    <t xml:space="preserve">Red</t>
  </si>
  <si>
    <t xml:space="preserve">IATA Code</t>
  </si>
  <si>
    <t xml:space="preserve">ICAO Code</t>
  </si>
  <si>
    <t xml:space="preserve">Airport Name</t>
  </si>
  <si>
    <t xml:space="preserve">City</t>
  </si>
  <si>
    <t xml:space="preserve">Country</t>
  </si>
  <si>
    <t xml:space="preserve">WSSS</t>
  </si>
  <si>
    <t xml:space="preserve">Singapore Changi</t>
  </si>
  <si>
    <t xml:space="preserve">Singapore</t>
  </si>
  <si>
    <t xml:space="preserve">SG</t>
  </si>
  <si>
    <t xml:space="preserve">Error Codes (FB4xx)</t>
  </si>
  <si>
    <t xml:space="preserve">EGLL</t>
  </si>
  <si>
    <t xml:space="preserve">London Heathrow</t>
  </si>
  <si>
    <t xml:space="preserve">London</t>
  </si>
  <si>
    <t xml:space="preserve">GB</t>
  </si>
  <si>
    <t xml:space="preserve">Resolution</t>
  </si>
  <si>
    <t xml:space="preserve">LFPG</t>
  </si>
  <si>
    <t xml:space="preserve">Paris Charles de Gaulle</t>
  </si>
  <si>
    <t xml:space="preserve">Paris</t>
  </si>
  <si>
    <t xml:space="preserve">FR</t>
  </si>
  <si>
    <t xml:space="preserve">FB401</t>
  </si>
  <si>
    <t xml:space="preserve">actualBurnKg must be &gt; 0</t>
  </si>
  <si>
    <t xml:space="preserve">Verify source data; manual correction</t>
  </si>
  <si>
    <t xml:space="preserve">EDDF</t>
  </si>
  <si>
    <t xml:space="preserve">Frankfurt Airport</t>
  </si>
  <si>
    <t xml:space="preserve">Frankfurt</t>
  </si>
  <si>
    <t xml:space="preserve">DE</t>
  </si>
  <si>
    <t xml:space="preserve">FB402</t>
  </si>
  <si>
    <t xml:space="preserve">closingROBKg cannot be negative</t>
  </si>
  <si>
    <t xml:space="preserve">Review opening ROB, uplift, burn values</t>
  </si>
  <si>
    <t xml:space="preserve">YSSY</t>
  </si>
  <si>
    <t xml:space="preserve">Sydney Kingsford Smith</t>
  </si>
  <si>
    <t xml:space="preserve">Sydney</t>
  </si>
  <si>
    <t xml:space="preserve">AU</t>
  </si>
  <si>
    <t xml:space="preserve">FB403</t>
  </si>
  <si>
    <t xml:space="preserve">Duplicate burn for flight/aircraft/date</t>
  </si>
  <si>
    <t xml:space="preserve">Archive or merge duplicate records</t>
  </si>
  <si>
    <t xml:space="preserve">RJTT</t>
  </si>
  <si>
    <t xml:space="preserve">Tokyo Haneda</t>
  </si>
  <si>
    <t xml:space="preserve">Tokyo</t>
  </si>
  <si>
    <t xml:space="preserve">JP</t>
  </si>
  <si>
    <t xml:space="preserve">FB404</t>
  </si>
  <si>
    <t xml:space="preserve">ACARS data format validation failed</t>
  </si>
  <si>
    <t xml:space="preserve">Check integration config; retry</t>
  </si>
  <si>
    <t xml:space="preserve">RJAA</t>
  </si>
  <si>
    <t xml:space="preserve">Tokyo Narita</t>
  </si>
  <si>
    <t xml:space="preserve">FB405</t>
  </si>
  <si>
    <t xml:space="preserve">Variance exceeds 20% threshold</t>
  </si>
  <si>
    <t xml:space="preserve">Manual review and adjustment required</t>
  </si>
  <si>
    <t xml:space="preserve">VABB</t>
  </si>
  <si>
    <t xml:space="preserve">Chhatrapati Shivaji</t>
  </si>
  <si>
    <t xml:space="preserve">Mumbai</t>
  </si>
  <si>
    <t xml:space="preserve">IN</t>
  </si>
  <si>
    <t xml:space="preserve">FB406</t>
  </si>
  <si>
    <t xml:space="preserve">ROB ledger gap detected</t>
  </si>
  <si>
    <t xml:space="preserve">Run reconciliation job</t>
  </si>
  <si>
    <t xml:space="preserve">VIDP</t>
  </si>
  <si>
    <t xml:space="preserve">Indira Gandhi International</t>
  </si>
  <si>
    <t xml:space="preserve">Delhi</t>
  </si>
  <si>
    <t xml:space="preserve">VHHH</t>
  </si>
  <si>
    <t xml:space="preserve">Hong Kong International</t>
  </si>
  <si>
    <t xml:space="preserve">Hong Kong</t>
  </si>
  <si>
    <t xml:space="preserve">HK</t>
  </si>
  <si>
    <t xml:space="preserve">Scenario #</t>
  </si>
  <si>
    <t xml:space="preserve">UAT ID
(FS-QA-002)</t>
  </si>
  <si>
    <t xml:space="preserve">Test Scenario</t>
  </si>
  <si>
    <t xml:space="preserve">Template Sheet</t>
  </si>
  <si>
    <t xml:space="preserve">Sample Row(s)</t>
  </si>
  <si>
    <t xml:space="preserve">Preconditions</t>
  </si>
  <si>
    <t xml:space="preserve">Steps</t>
  </si>
  <si>
    <t xml:space="preserve">Expected Result</t>
  </si>
  <si>
    <t xml:space="preserve">Validation Criteria</t>
  </si>
  <si>
    <t xml:space="preserve">UAT-FB-001</t>
  </si>
  <si>
    <t xml:space="preserve">ACARS Fuel Burn Ingestion</t>
  </si>
  <si>
    <t xml:space="preserve">Rows 1-3</t>
  </si>
  <si>
    <t xml:space="preserve">ROB Initial Load completed for 9V-SMA, 9V-SMB, 9V-SKA; Planned Burn Data loaded</t>
  </si>
  <si>
    <t xml:space="preserve">1. Upload rows 1-3 (ACARS source)
2. Verify records appear in Fuel Burn Register
3. Check variance auto-calculation
4. Verify ROB ledger updated for each aircraft</t>
  </si>
  <si>
    <t xml:space="preserve">Burn records created with status Confirmed (variance ≤5%); ROB ledger shows new closing balance</t>
  </si>
  <si>
    <t xml:space="preserve">Status = Confirmed; Variance calculated correctly; ROB = Opening + Uplift - Burn</t>
  </si>
  <si>
    <t xml:space="preserve">P1</t>
  </si>
  <si>
    <t xml:space="preserve">UAT-FB-002</t>
  </si>
  <si>
    <t xml:space="preserve">EFB Fuel Reading Submission</t>
  </si>
  <si>
    <t xml:space="preserve">Rows 4-5</t>
  </si>
  <si>
    <t xml:space="preserve">ROB Initial Load completed for 9V-SMC, 9V-SKB</t>
  </si>
  <si>
    <t xml:space="preserve">1. Upload rows 4-5 (EFB source)
2. Verify EFB data accepted as primary (no ACARS exists)
3. Check ROB updated</t>
  </si>
  <si>
    <t xml:space="preserve">Burn records created with dataSource=EFB; ROB updated from pilot readings</t>
  </si>
  <si>
    <t xml:space="preserve">dataSource = EFB; ROB recalculated; Variance computed against planned</t>
  </si>
  <si>
    <t xml:space="preserve">UAT-FB-003</t>
  </si>
  <si>
    <t xml:space="preserve">Manual Burn Entry</t>
  </si>
  <si>
    <t xml:space="preserve">Row 6</t>
  </si>
  <si>
    <t xml:space="preserve">ROB Initial Load completed; User has BurnDataEdit scope</t>
  </si>
  <si>
    <t xml:space="preserve">1. Upload row 6 (Manual source) OR enter via UI
2. Verify manual source flag
3. Confirm record created with Preliminary status initially</t>
  </si>
  <si>
    <t xml:space="preserve">Record created with dataSource=Manual; System flags for confirmation</t>
  </si>
  <si>
    <t xml:space="preserve">dataSource = Manual; Status transitions from Preliminary → Confirmed after review</t>
  </si>
  <si>
    <t xml:space="preserve">UAT-FB-005</t>
  </si>
  <si>
    <t xml:space="preserve">Duplicate Burn Record Detection</t>
  </si>
  <si>
    <t xml:space="preserve">Row 7</t>
  </si>
  <si>
    <t xml:space="preserve">Row 1 already uploaded (SQ321/9V-SMA/2026-03-23)</t>
  </si>
  <si>
    <t xml:space="preserve">1. Upload row 7 (same flight/aircraft/date as row 1, different source)
2. System should detect duplicate
3. Verify error FB403 raised</t>
  </si>
  <si>
    <t xml:space="preserve">Error FB403 — duplicate record rejected; Original ACARS record retained (higher priority than EFB)</t>
  </si>
  <si>
    <t xml:space="preserve">Error code = FB403; Original record unchanged; Error logged in Exception Management</t>
  </si>
  <si>
    <t xml:space="preserve">UAT-FB-006</t>
  </si>
  <si>
    <t xml:space="preserve">Variance &gt;5% Alert Generation</t>
  </si>
  <si>
    <t xml:space="preserve">Rows 8-9</t>
  </si>
  <si>
    <t xml:space="preserve">Planned Burn Data loaded for SQ222 and SQ116</t>
  </si>
  <si>
    <t xml:space="preserve">1. Upload row 8 (SQ222: ~13.6% variance) and row 9 (SQ116: ~23.5% variance)
2. Verify Warning status for row 8
3. Verify Critical/blocked status for row 9 (&gt;20% = FB405)</t>
  </si>
  <si>
    <t xml:space="preserve">Row 8: Status=Warning, visible in dashboard; Row 9: Status=Critical, error FB405, blocked</t>
  </si>
  <si>
    <t xml:space="preserve">Row 8: variance ~13.6% → Exception status; Row 9: variance ~23.5% → Critical, requires investigation</t>
  </si>
  <si>
    <t xml:space="preserve">UAT-FB-004
UAT-FB-007</t>
  </si>
  <si>
    <t xml:space="preserve">ROB Calculation &amp; Negative ROB Prevention</t>
  </si>
  <si>
    <t xml:space="preserve">Fuel Burn Upload
+ ROB Initial Load</t>
  </si>
  <si>
    <t xml:space="preserve">Burn Row 10
+ ROB Row 8</t>
  </si>
  <si>
    <t xml:space="preserve">9V-SKD loaded with opening ROB = 45,000 Kg (deliberately low)</t>
  </si>
  <si>
    <t xml:space="preserve">1. Verify ROB Initial Load row 8 (9V-SKD: 45,000 Kg)
2. Upload burn row 10 (95,000 Kg burn — exceeds ROB)
3. System should reject: closingROB would be negative
4. Verify error FB402</t>
  </si>
  <si>
    <t xml:space="preserve">Error FB402 — negative closing ROB prevented; Record blocked; Adjustment required</t>
  </si>
  <si>
    <t xml:space="preserve">closingROB = 45000 - 95000 = -50000 → BLOCKED; Error FB402 logged</t>
  </si>
  <si>
    <t xml:space="preserve">UAT-FB-008
UAT-FB-009
UAT-FB-010</t>
  </si>
  <si>
    <t xml:space="preserve">ROB Chain, Adjustment Workflow &amp; Finance Event</t>
  </si>
  <si>
    <t xml:space="preserve">Burn Rows 1,6,11,12
+ ROB Row 1,9</t>
  </si>
  <si>
    <t xml:space="preserve">Full ROB chain for 9V-SMA: Initial load → Uplift → SQ321 burn → SQ421 return → SQ025 → SQ026</t>
  </si>
  <si>
    <t xml:space="preserve">1. Load ROB initial (row 1: 125,000 Kg)
2. Uplift (row 9: +95,000 Kg)
3. Upload burns in sequence: SQ321, SQ421, SQ025, SQ026
4. Verify ROB ledger chain integrity
5. Test manual ROB adjustment (adjustROB action)
6. Verify FuelBurnConfirmed event published to Event Mesh
7. Confirm Finance module receives consumption trigger</t>
  </si>
  <si>
    <t xml:space="preserve">ROB ledger shows continuous chain; Each closing ROB = previous closing + uplift - burn; Adjustment requires approval; Finance event published on confirmation</t>
  </si>
  <si>
    <t xml:space="preserve">ROB chain unbroken; adjustROB requires BurnDataEdit + approval; Event Mesh topic fuelsphere/burn/created populated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</si>
</sst>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\%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2"/>
      <color rgb="FFF7941D"/>
      <name val="Arial"/>
      <family val="0"/>
      <charset val="1"/>
    </font>
    <font>
      <b val="true"/>
      <sz val="14"/>
      <color rgb="FF1B365D"/>
      <name val="Arial"/>
      <family val="0"/>
      <charset val="1"/>
    </font>
    <font>
      <b val="true"/>
      <sz val="11"/>
      <color rgb="FF1B365D"/>
      <name val="Arial"/>
      <family val="0"/>
      <charset val="1"/>
    </font>
    <font>
      <sz val="10"/>
      <color rgb="FF32363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32363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65D"/>
        <bgColor rgb="FF32363A"/>
      </patternFill>
    </fill>
    <fill>
      <patternFill patternType="solid">
        <fgColor rgb="FFF2F2F2"/>
        <bgColor rgb="FFE8F5E9"/>
      </patternFill>
    </fill>
    <fill>
      <patternFill patternType="solid">
        <fgColor rgb="FFE8F0FE"/>
        <bgColor rgb="FFF2F2F2"/>
      </patternFill>
    </fill>
    <fill>
      <patternFill patternType="solid">
        <fgColor rgb="FFE8F5E9"/>
        <bgColor rgb="FFF2F2F2"/>
      </patternFill>
    </fill>
    <fill>
      <patternFill patternType="solid">
        <fgColor rgb="FFFFF8E1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FFEBEE"/>
        <bgColor rgb="FFFFF3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70F2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F2F2F2"/>
      <rgbColor rgb="FFFFF3E0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7941D"/>
      <rgbColor rgb="FFE76500"/>
      <rgbColor rgb="FF6C6C6C"/>
      <rgbColor rgb="FF969696"/>
      <rgbColor rgb="FF1B365D"/>
      <rgbColor rgb="FF30914C"/>
      <rgbColor rgb="FF003300"/>
      <rgbColor rgb="FF333300"/>
      <rgbColor rgb="FFD32F2F"/>
      <rgbColor rgb="FF993366"/>
      <rgbColor rgb="FF333399"/>
      <rgbColor rgb="FF3236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65D"/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7.3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6" customFormat="false" ht="15" hidden="false" customHeight="true" outlineLevel="0" collapsed="false">
      <c r="A6" s="4" t="s">
        <v>3</v>
      </c>
      <c r="B6" s="5" t="s">
        <v>4</v>
      </c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A7" s="4" t="s">
        <v>5</v>
      </c>
      <c r="B7" s="5" t="s">
        <v>6</v>
      </c>
      <c r="C7" s="5"/>
      <c r="D7" s="5"/>
      <c r="E7" s="5"/>
      <c r="F7" s="5"/>
      <c r="G7" s="5"/>
      <c r="H7" s="5"/>
    </row>
    <row r="8" customFormat="false" ht="15" hidden="false" customHeight="true" outlineLevel="0" collapsed="false">
      <c r="A8" s="4" t="s">
        <v>7</v>
      </c>
      <c r="B8" s="5" t="s">
        <v>8</v>
      </c>
      <c r="C8" s="5"/>
      <c r="D8" s="5"/>
      <c r="E8" s="5"/>
      <c r="F8" s="5"/>
      <c r="G8" s="5"/>
      <c r="H8" s="5"/>
    </row>
    <row r="9" customFormat="false" ht="15" hidden="false" customHeight="true" outlineLevel="0" collapsed="false">
      <c r="A9" s="4" t="s">
        <v>9</v>
      </c>
      <c r="B9" s="5" t="s">
        <v>10</v>
      </c>
      <c r="C9" s="5"/>
      <c r="D9" s="5"/>
      <c r="E9" s="5"/>
      <c r="F9" s="5"/>
      <c r="G9" s="5"/>
      <c r="H9" s="5"/>
    </row>
    <row r="10" customFormat="false" ht="15" hidden="false" customHeight="true" outlineLevel="0" collapsed="false">
      <c r="A10" s="4" t="s">
        <v>11</v>
      </c>
      <c r="B10" s="5" t="s">
        <v>12</v>
      </c>
      <c r="C10" s="5"/>
      <c r="D10" s="5"/>
      <c r="E10" s="5"/>
      <c r="F10" s="5"/>
      <c r="G10" s="5"/>
      <c r="H10" s="5"/>
    </row>
    <row r="11" customFormat="false" ht="15" hidden="false" customHeight="true" outlineLevel="0" collapsed="false">
      <c r="A11" s="4" t="s">
        <v>13</v>
      </c>
      <c r="B11" s="5" t="s">
        <v>14</v>
      </c>
      <c r="C11" s="5"/>
      <c r="D11" s="5"/>
      <c r="E11" s="5"/>
      <c r="F11" s="5"/>
      <c r="G11" s="5"/>
      <c r="H11" s="5"/>
    </row>
    <row r="12" customFormat="false" ht="15" hidden="false" customHeight="true" outlineLevel="0" collapsed="false">
      <c r="A12" s="4" t="s">
        <v>15</v>
      </c>
      <c r="B12" s="5" t="s">
        <v>16</v>
      </c>
      <c r="C12" s="5"/>
      <c r="D12" s="5"/>
      <c r="E12" s="5"/>
      <c r="F12" s="5"/>
      <c r="G12" s="5"/>
      <c r="H12" s="5"/>
    </row>
    <row r="13" customFormat="false" ht="15" hidden="false" customHeight="true" outlineLevel="0" collapsed="false">
      <c r="A13" s="4" t="s">
        <v>17</v>
      </c>
      <c r="B13" s="5" t="s">
        <v>18</v>
      </c>
      <c r="C13" s="5"/>
      <c r="D13" s="5"/>
      <c r="E13" s="5"/>
      <c r="F13" s="5"/>
      <c r="G13" s="5"/>
      <c r="H13" s="5"/>
    </row>
    <row r="16" customFormat="false" ht="15" hidden="false" customHeight="false" outlineLevel="0" collapsed="false">
      <c r="A16" s="6" t="s">
        <v>19</v>
      </c>
    </row>
    <row r="17" customFormat="false" ht="15" hidden="false" customHeight="false" outlineLevel="0" collapsed="false">
      <c r="A17" s="7" t="s">
        <v>20</v>
      </c>
      <c r="B17" s="7" t="s">
        <v>7</v>
      </c>
      <c r="C17" s="7" t="s">
        <v>21</v>
      </c>
    </row>
    <row r="18" customFormat="false" ht="57.45" hidden="false" customHeight="false" outlineLevel="0" collapsed="false">
      <c r="A18" s="8" t="s">
        <v>22</v>
      </c>
      <c r="B18" s="8" t="s">
        <v>23</v>
      </c>
      <c r="C18" s="8" t="s">
        <v>24</v>
      </c>
    </row>
    <row r="19" customFormat="false" ht="46.25" hidden="false" customHeight="false" outlineLevel="0" collapsed="false">
      <c r="A19" s="8" t="s">
        <v>25</v>
      </c>
      <c r="B19" s="8" t="s">
        <v>26</v>
      </c>
      <c r="C19" s="8" t="s">
        <v>27</v>
      </c>
    </row>
    <row r="20" customFormat="false" ht="46.25" hidden="false" customHeight="false" outlineLevel="0" collapsed="false">
      <c r="A20" s="8" t="s">
        <v>28</v>
      </c>
      <c r="B20" s="8" t="s">
        <v>29</v>
      </c>
      <c r="C20" s="8" t="s">
        <v>30</v>
      </c>
    </row>
    <row r="21" customFormat="false" ht="57.45" hidden="false" customHeight="false" outlineLevel="0" collapsed="false">
      <c r="A21" s="8" t="s">
        <v>31</v>
      </c>
      <c r="B21" s="8" t="s">
        <v>32</v>
      </c>
      <c r="C21" s="8" t="s">
        <v>33</v>
      </c>
    </row>
    <row r="22" customFormat="false" ht="46.25" hidden="false" customHeight="false" outlineLevel="0" collapsed="false">
      <c r="A22" s="8" t="s">
        <v>34</v>
      </c>
      <c r="B22" s="8" t="s">
        <v>35</v>
      </c>
      <c r="C22" s="8" t="s">
        <v>36</v>
      </c>
    </row>
    <row r="25" customFormat="false" ht="15" hidden="false" customHeight="false" outlineLevel="0" collapsed="false">
      <c r="A25" s="6" t="s">
        <v>37</v>
      </c>
    </row>
    <row r="26" customFormat="false" ht="15" hidden="false" customHeight="false" outlineLevel="0" collapsed="false">
      <c r="A26" s="9" t="s">
        <v>38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9" t="s">
        <v>39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0" collapsed="false">
      <c r="A28" s="9" t="s">
        <v>40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9" t="s">
        <v>41</v>
      </c>
      <c r="B29" s="9"/>
      <c r="C29" s="9"/>
      <c r="D29" s="9"/>
      <c r="E29" s="9"/>
      <c r="F29" s="9"/>
      <c r="G29" s="9"/>
      <c r="H29" s="9"/>
    </row>
    <row r="30" customFormat="false" ht="15" hidden="false" customHeight="false" outlineLevel="0" collapsed="false">
      <c r="A30" s="9" t="s">
        <v>42</v>
      </c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9" t="s">
        <v>43</v>
      </c>
      <c r="B31" s="9"/>
      <c r="C31" s="9"/>
      <c r="D31" s="9"/>
      <c r="E31" s="9"/>
      <c r="F31" s="9"/>
      <c r="G31" s="9"/>
      <c r="H31" s="9"/>
    </row>
    <row r="32" customFormat="false" ht="15" hidden="false" customHeight="false" outlineLevel="0" collapsed="false">
      <c r="A32" s="9" t="s">
        <v>44</v>
      </c>
      <c r="B32" s="9"/>
      <c r="C32" s="9"/>
      <c r="D32" s="9"/>
      <c r="E32" s="9"/>
      <c r="F32" s="9"/>
      <c r="G32" s="9"/>
      <c r="H32" s="9"/>
    </row>
    <row r="33" customFormat="false" ht="15" hidden="false" customHeight="false" outlineLevel="0" collapsed="false">
      <c r="A33" s="9" t="s">
        <v>45</v>
      </c>
      <c r="B33" s="9"/>
      <c r="C33" s="9"/>
      <c r="D33" s="9"/>
      <c r="E33" s="9"/>
      <c r="F33" s="9"/>
      <c r="G33" s="9"/>
      <c r="H33" s="9"/>
    </row>
  </sheetData>
  <mergeCells count="19">
    <mergeCell ref="A1:H1"/>
    <mergeCell ref="A2:H2"/>
    <mergeCell ref="A4:H4"/>
    <mergeCell ref="B6:H6"/>
    <mergeCell ref="B7:H7"/>
    <mergeCell ref="B8:H8"/>
    <mergeCell ref="B9:H9"/>
    <mergeCell ref="B10:H10"/>
    <mergeCell ref="B11:H11"/>
    <mergeCell ref="B12:H12"/>
    <mergeCell ref="B13:H13"/>
    <mergeCell ref="A26:H26"/>
    <mergeCell ref="A27:H27"/>
    <mergeCell ref="A28:H28"/>
    <mergeCell ref="A29:H29"/>
    <mergeCell ref="A30:H30"/>
    <mergeCell ref="A31:H31"/>
    <mergeCell ref="A32:H32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F2"/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25"/>
  </cols>
  <sheetData>
    <row r="1" customFormat="false" ht="39.75" hidden="false" customHeight="true" outlineLevel="0" collapsed="false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</row>
    <row r="2" customFormat="false" ht="23.85" hidden="false" customHeight="false" outlineLevel="0" collapsed="false">
      <c r="A2" s="11" t="n">
        <v>1</v>
      </c>
      <c r="B2" s="12" t="s">
        <v>61</v>
      </c>
      <c r="C2" s="12" t="s">
        <v>62</v>
      </c>
      <c r="D2" s="12" t="s">
        <v>63</v>
      </c>
      <c r="E2" s="12" t="s">
        <v>64</v>
      </c>
      <c r="F2" s="12" t="s">
        <v>65</v>
      </c>
      <c r="G2" s="12" t="s">
        <v>66</v>
      </c>
      <c r="H2" s="12" t="s">
        <v>67</v>
      </c>
      <c r="I2" s="13" t="n">
        <v>85420.5</v>
      </c>
      <c r="J2" s="12" t="s">
        <v>68</v>
      </c>
      <c r="K2" s="13" t="n">
        <v>84000</v>
      </c>
      <c r="L2" s="14" t="n">
        <f aca="false">IF(K2="","",I2-K2)</f>
        <v>1420.5</v>
      </c>
      <c r="M2" s="15" t="n">
        <f aca="false">IF(K2="","",(L2/K2)*100)</f>
        <v>1.69107142857143</v>
      </c>
      <c r="N2" s="11" t="str">
        <f aca="false">IF(M2="","Preliminary",IF(ABS(M2)&lt;=5,"Confirmed",IF(ABS(M2)&lt;=10,"Warning",IF(ABS(M2)&lt;=20,"Exception","Critical"))))</f>
        <v>Confirmed</v>
      </c>
      <c r="O2" s="12" t="s">
        <v>69</v>
      </c>
    </row>
    <row r="3" customFormat="false" ht="15" hidden="false" customHeight="false" outlineLevel="0" collapsed="false">
      <c r="A3" s="11" t="n">
        <v>2</v>
      </c>
      <c r="B3" s="12" t="s">
        <v>70</v>
      </c>
      <c r="C3" s="12" t="s">
        <v>71</v>
      </c>
      <c r="D3" s="12" t="s">
        <v>63</v>
      </c>
      <c r="E3" s="12" t="s">
        <v>72</v>
      </c>
      <c r="F3" s="12" t="s">
        <v>65</v>
      </c>
      <c r="G3" s="12" t="s">
        <v>73</v>
      </c>
      <c r="H3" s="12" t="s">
        <v>74</v>
      </c>
      <c r="I3" s="13" t="n">
        <v>42150.75</v>
      </c>
      <c r="J3" s="12" t="s">
        <v>68</v>
      </c>
      <c r="K3" s="13" t="n">
        <v>41500</v>
      </c>
      <c r="L3" s="14" t="n">
        <f aca="false">IF(K3="","",I3-K3)</f>
        <v>650.75</v>
      </c>
      <c r="M3" s="15" t="n">
        <f aca="false">IF(K3="","",(L3/K3)*100)</f>
        <v>1.56807228915663</v>
      </c>
      <c r="N3" s="11" t="str">
        <f aca="false">IF(M3="","Preliminary",IF(ABS(M3)&lt;=5,"Confirmed",IF(ABS(M3)&lt;=10,"Warning",IF(ABS(M3)&lt;=20,"Exception","Critical"))))</f>
        <v>Confirmed</v>
      </c>
      <c r="O3" s="12"/>
    </row>
    <row r="4" customFormat="false" ht="23.85" hidden="false" customHeight="false" outlineLevel="0" collapsed="false">
      <c r="A4" s="11" t="n">
        <v>3</v>
      </c>
      <c r="B4" s="12" t="s">
        <v>75</v>
      </c>
      <c r="C4" s="12" t="s">
        <v>76</v>
      </c>
      <c r="D4" s="12" t="s">
        <v>63</v>
      </c>
      <c r="E4" s="12" t="s">
        <v>77</v>
      </c>
      <c r="F4" s="12" t="s">
        <v>65</v>
      </c>
      <c r="G4" s="12" t="s">
        <v>78</v>
      </c>
      <c r="H4" s="12" t="s">
        <v>79</v>
      </c>
      <c r="I4" s="13" t="n">
        <v>78900</v>
      </c>
      <c r="J4" s="12" t="s">
        <v>68</v>
      </c>
      <c r="K4" s="13" t="n">
        <v>79500</v>
      </c>
      <c r="L4" s="14" t="n">
        <f aca="false">IF(K4="","",I4-K4)</f>
        <v>-600</v>
      </c>
      <c r="M4" s="15" t="n">
        <f aca="false">IF(K4="","",(L4/K4)*100)</f>
        <v>-0.754716981132076</v>
      </c>
      <c r="N4" s="11" t="str">
        <f aca="false">IF(M4="","Preliminary",IF(ABS(M4)&lt;=5,"Confirmed",IF(ABS(M4)&lt;=10,"Warning",IF(ABS(M4)&lt;=20,"Exception","Critical"))))</f>
        <v>Confirmed</v>
      </c>
      <c r="O4" s="12" t="s">
        <v>80</v>
      </c>
    </row>
    <row r="5" customFormat="false" ht="23.85" hidden="false" customHeight="false" outlineLevel="0" collapsed="false">
      <c r="A5" s="11" t="n">
        <v>4</v>
      </c>
      <c r="B5" s="12" t="s">
        <v>81</v>
      </c>
      <c r="C5" s="12" t="s">
        <v>82</v>
      </c>
      <c r="D5" s="12" t="s">
        <v>63</v>
      </c>
      <c r="E5" s="12" t="s">
        <v>83</v>
      </c>
      <c r="F5" s="12" t="s">
        <v>84</v>
      </c>
      <c r="G5" s="12" t="s">
        <v>85</v>
      </c>
      <c r="H5" s="12" t="s">
        <v>86</v>
      </c>
      <c r="I5" s="13" t="n">
        <v>28750</v>
      </c>
      <c r="J5" s="12" t="s">
        <v>87</v>
      </c>
      <c r="K5" s="13" t="n">
        <v>28000</v>
      </c>
      <c r="L5" s="14" t="n">
        <f aca="false">IF(K5="","",I5-K5)</f>
        <v>750</v>
      </c>
      <c r="M5" s="15" t="n">
        <f aca="false">IF(K5="","",(L5/K5)*100)</f>
        <v>2.67857142857143</v>
      </c>
      <c r="N5" s="11" t="str">
        <f aca="false">IF(M5="","Preliminary",IF(ABS(M5)&lt;=5,"Confirmed",IF(ABS(M5)&lt;=10,"Warning",IF(ABS(M5)&lt;=20,"Exception","Critical"))))</f>
        <v>Confirmed</v>
      </c>
      <c r="O5" s="12" t="s">
        <v>88</v>
      </c>
    </row>
    <row r="6" customFormat="false" ht="23.85" hidden="false" customHeight="false" outlineLevel="0" collapsed="false">
      <c r="A6" s="11" t="n">
        <v>5</v>
      </c>
      <c r="B6" s="12" t="s">
        <v>89</v>
      </c>
      <c r="C6" s="12" t="s">
        <v>90</v>
      </c>
      <c r="D6" s="12" t="s">
        <v>63</v>
      </c>
      <c r="E6" s="12" t="s">
        <v>91</v>
      </c>
      <c r="F6" s="12" t="s">
        <v>84</v>
      </c>
      <c r="G6" s="12" t="s">
        <v>92</v>
      </c>
      <c r="H6" s="12" t="s">
        <v>93</v>
      </c>
      <c r="I6" s="13" t="n">
        <v>22400.5</v>
      </c>
      <c r="J6" s="12" t="s">
        <v>87</v>
      </c>
      <c r="K6" s="13" t="n">
        <v>22000</v>
      </c>
      <c r="L6" s="14" t="n">
        <f aca="false">IF(K6="","",I6-K6)</f>
        <v>400.5</v>
      </c>
      <c r="M6" s="15" t="n">
        <f aca="false">IF(K6="","",(L6/K6)*100)</f>
        <v>1.82045454545455</v>
      </c>
      <c r="N6" s="11" t="str">
        <f aca="false">IF(M6="","Preliminary",IF(ABS(M6)&lt;=5,"Confirmed",IF(ABS(M6)&lt;=10,"Warning",IF(ABS(M6)&lt;=20,"Exception","Critical"))))</f>
        <v>Confirmed</v>
      </c>
      <c r="O6" s="12" t="s">
        <v>94</v>
      </c>
    </row>
    <row r="7" customFormat="false" ht="23.85" hidden="false" customHeight="false" outlineLevel="0" collapsed="false">
      <c r="A7" s="11" t="n">
        <v>6</v>
      </c>
      <c r="B7" s="12" t="s">
        <v>95</v>
      </c>
      <c r="C7" s="12" t="s">
        <v>62</v>
      </c>
      <c r="D7" s="12" t="s">
        <v>64</v>
      </c>
      <c r="E7" s="12" t="s">
        <v>63</v>
      </c>
      <c r="F7" s="12" t="s">
        <v>84</v>
      </c>
      <c r="G7" s="12" t="s">
        <v>96</v>
      </c>
      <c r="H7" s="12" t="s">
        <v>97</v>
      </c>
      <c r="I7" s="13" t="n">
        <v>86200</v>
      </c>
      <c r="J7" s="12" t="s">
        <v>98</v>
      </c>
      <c r="K7" s="13" t="n">
        <v>84500</v>
      </c>
      <c r="L7" s="14" t="n">
        <f aca="false">IF(K7="","",I7-K7)</f>
        <v>1700</v>
      </c>
      <c r="M7" s="15" t="n">
        <f aca="false">IF(K7="","",(L7/K7)*100)</f>
        <v>2.01183431952663</v>
      </c>
      <c r="N7" s="11" t="str">
        <f aca="false">IF(M7="","Preliminary",IF(ABS(M7)&lt;=5,"Confirmed",IF(ABS(M7)&lt;=10,"Warning",IF(ABS(M7)&lt;=20,"Exception","Critical"))))</f>
        <v>Confirmed</v>
      </c>
      <c r="O7" s="12" t="s">
        <v>99</v>
      </c>
    </row>
    <row r="8" customFormat="false" ht="23.85" hidden="false" customHeight="false" outlineLevel="0" collapsed="false">
      <c r="A8" s="11" t="n">
        <v>7</v>
      </c>
      <c r="B8" s="12" t="s">
        <v>61</v>
      </c>
      <c r="C8" s="12" t="s">
        <v>62</v>
      </c>
      <c r="D8" s="12" t="s">
        <v>63</v>
      </c>
      <c r="E8" s="12" t="s">
        <v>64</v>
      </c>
      <c r="F8" s="12" t="s">
        <v>65</v>
      </c>
      <c r="G8" s="12" t="s">
        <v>66</v>
      </c>
      <c r="H8" s="12" t="s">
        <v>67</v>
      </c>
      <c r="I8" s="13" t="n">
        <v>85500</v>
      </c>
      <c r="J8" s="12" t="s">
        <v>87</v>
      </c>
      <c r="K8" s="13" t="n">
        <v>84000</v>
      </c>
      <c r="L8" s="14" t="n">
        <f aca="false">IF(K8="","",I8-K8)</f>
        <v>1500</v>
      </c>
      <c r="M8" s="15" t="n">
        <f aca="false">IF(K8="","",(L8/K8)*100)</f>
        <v>1.78571428571429</v>
      </c>
      <c r="N8" s="11" t="str">
        <f aca="false">IF(M8="","Preliminary",IF(ABS(M8)&lt;=5,"Confirmed",IF(ABS(M8)&lt;=10,"Warning",IF(ABS(M8)&lt;=20,"Exception","Critical"))))</f>
        <v>Confirmed</v>
      </c>
      <c r="O8" s="12" t="s">
        <v>100</v>
      </c>
    </row>
    <row r="9" customFormat="false" ht="23.85" hidden="false" customHeight="false" outlineLevel="0" collapsed="false">
      <c r="A9" s="11" t="n">
        <v>8</v>
      </c>
      <c r="B9" s="12" t="s">
        <v>101</v>
      </c>
      <c r="C9" s="12" t="s">
        <v>102</v>
      </c>
      <c r="D9" s="12" t="s">
        <v>63</v>
      </c>
      <c r="E9" s="12" t="s">
        <v>103</v>
      </c>
      <c r="F9" s="12" t="s">
        <v>104</v>
      </c>
      <c r="G9" s="12" t="s">
        <v>105</v>
      </c>
      <c r="H9" s="12" t="s">
        <v>106</v>
      </c>
      <c r="I9" s="13" t="n">
        <v>14200</v>
      </c>
      <c r="J9" s="12" t="s">
        <v>68</v>
      </c>
      <c r="K9" s="13" t="n">
        <v>12500</v>
      </c>
      <c r="L9" s="14" t="n">
        <f aca="false">IF(K9="","",I9-K9)</f>
        <v>1700</v>
      </c>
      <c r="M9" s="15" t="n">
        <f aca="false">IF(K9="","",(L9/K9)*100)</f>
        <v>13.6</v>
      </c>
      <c r="N9" s="11" t="str">
        <f aca="false">IF(M9="","Preliminary",IF(ABS(M9)&lt;=5,"Confirmed",IF(ABS(M9)&lt;=10,"Warning",IF(ABS(M9)&lt;=20,"Exception","Critical"))))</f>
        <v>Exception</v>
      </c>
      <c r="O9" s="12" t="s">
        <v>107</v>
      </c>
    </row>
    <row r="10" customFormat="false" ht="23.85" hidden="false" customHeight="false" outlineLevel="0" collapsed="false">
      <c r="A10" s="11" t="n">
        <v>9</v>
      </c>
      <c r="B10" s="12" t="s">
        <v>108</v>
      </c>
      <c r="C10" s="12" t="s">
        <v>109</v>
      </c>
      <c r="D10" s="12" t="s">
        <v>63</v>
      </c>
      <c r="E10" s="12" t="s">
        <v>110</v>
      </c>
      <c r="F10" s="12" t="s">
        <v>104</v>
      </c>
      <c r="G10" s="12" t="s">
        <v>111</v>
      </c>
      <c r="H10" s="12" t="s">
        <v>74</v>
      </c>
      <c r="I10" s="13" t="n">
        <v>42000</v>
      </c>
      <c r="J10" s="12" t="s">
        <v>68</v>
      </c>
      <c r="K10" s="13" t="n">
        <v>34000</v>
      </c>
      <c r="L10" s="14" t="n">
        <f aca="false">IF(K10="","",I10-K10)</f>
        <v>8000</v>
      </c>
      <c r="M10" s="15" t="n">
        <f aca="false">IF(K10="","",(L10/K10)*100)</f>
        <v>23.5294117647059</v>
      </c>
      <c r="N10" s="11" t="str">
        <f aca="false">IF(M10="","Preliminary",IF(ABS(M10)&lt;=5,"Confirmed",IF(ABS(M10)&lt;=10,"Warning",IF(ABS(M10)&lt;=20,"Exception","Critical"))))</f>
        <v>Critical</v>
      </c>
      <c r="O10" s="12" t="s">
        <v>112</v>
      </c>
    </row>
    <row r="11" customFormat="false" ht="23.85" hidden="false" customHeight="false" outlineLevel="0" collapsed="false">
      <c r="A11" s="11" t="n">
        <v>10</v>
      </c>
      <c r="B11" s="12" t="s">
        <v>113</v>
      </c>
      <c r="C11" s="12" t="s">
        <v>114</v>
      </c>
      <c r="D11" s="12" t="s">
        <v>63</v>
      </c>
      <c r="E11" s="12" t="s">
        <v>115</v>
      </c>
      <c r="F11" s="12" t="s">
        <v>104</v>
      </c>
      <c r="G11" s="12" t="s">
        <v>116</v>
      </c>
      <c r="H11" s="12" t="s">
        <v>117</v>
      </c>
      <c r="I11" s="13" t="n">
        <v>95000</v>
      </c>
      <c r="J11" s="12" t="s">
        <v>98</v>
      </c>
      <c r="K11" s="13" t="n">
        <v>25000</v>
      </c>
      <c r="L11" s="14" t="n">
        <f aca="false">IF(K11="","",I11-K11)</f>
        <v>70000</v>
      </c>
      <c r="M11" s="15" t="n">
        <f aca="false">IF(K11="","",(L11/K11)*100)</f>
        <v>280</v>
      </c>
      <c r="N11" s="11" t="str">
        <f aca="false">IF(M11="","Preliminary",IF(ABS(M11)&lt;=5,"Confirmed",IF(ABS(M11)&lt;=10,"Warning",IF(ABS(M11)&lt;=20,"Exception","Critical"))))</f>
        <v>Critical</v>
      </c>
      <c r="O11" s="12" t="s">
        <v>118</v>
      </c>
    </row>
    <row r="12" customFormat="false" ht="23.85" hidden="false" customHeight="false" outlineLevel="0" collapsed="false">
      <c r="A12" s="11" t="n">
        <v>11</v>
      </c>
      <c r="B12" s="12" t="s">
        <v>119</v>
      </c>
      <c r="C12" s="12" t="s">
        <v>62</v>
      </c>
      <c r="D12" s="12" t="s">
        <v>63</v>
      </c>
      <c r="E12" s="12" t="s">
        <v>120</v>
      </c>
      <c r="F12" s="12" t="s">
        <v>104</v>
      </c>
      <c r="G12" s="12" t="s">
        <v>121</v>
      </c>
      <c r="H12" s="12" t="s">
        <v>122</v>
      </c>
      <c r="I12" s="13" t="n">
        <v>72350</v>
      </c>
      <c r="J12" s="12" t="s">
        <v>68</v>
      </c>
      <c r="K12" s="13" t="n">
        <v>71000</v>
      </c>
      <c r="L12" s="14" t="n">
        <f aca="false">IF(K12="","",I12-K12)</f>
        <v>1350</v>
      </c>
      <c r="M12" s="15" t="n">
        <f aca="false">IF(K12="","",(L12/K12)*100)</f>
        <v>1.90140845070423</v>
      </c>
      <c r="N12" s="11" t="str">
        <f aca="false">IF(M12="","Preliminary",IF(ABS(M12)&lt;=5,"Confirmed",IF(ABS(M12)&lt;=10,"Warning",IF(ABS(M12)&lt;=20,"Exception","Critical"))))</f>
        <v>Confirmed</v>
      </c>
      <c r="O12" s="12" t="s">
        <v>123</v>
      </c>
    </row>
    <row r="13" customFormat="false" ht="23.85" hidden="false" customHeight="false" outlineLevel="0" collapsed="false">
      <c r="A13" s="11" t="n">
        <v>12</v>
      </c>
      <c r="B13" s="12" t="s">
        <v>124</v>
      </c>
      <c r="C13" s="12" t="s">
        <v>62</v>
      </c>
      <c r="D13" s="12" t="s">
        <v>120</v>
      </c>
      <c r="E13" s="12" t="s">
        <v>63</v>
      </c>
      <c r="F13" s="12" t="s">
        <v>125</v>
      </c>
      <c r="G13" s="12" t="s">
        <v>111</v>
      </c>
      <c r="H13" s="12" t="s">
        <v>126</v>
      </c>
      <c r="I13" s="13" t="n">
        <v>73100</v>
      </c>
      <c r="J13" s="12" t="s">
        <v>68</v>
      </c>
      <c r="K13" s="13" t="n">
        <v>72500</v>
      </c>
      <c r="L13" s="14" t="n">
        <f aca="false">IF(K13="","",I13-K13)</f>
        <v>600</v>
      </c>
      <c r="M13" s="15" t="n">
        <f aca="false">IF(K13="","",(L13/K13)*100)</f>
        <v>0.827586206896552</v>
      </c>
      <c r="N13" s="11" t="str">
        <f aca="false">IF(M13="","Preliminary",IF(ABS(M13)&lt;=5,"Confirmed",IF(ABS(M13)&lt;=10,"Warning",IF(ABS(M13)&lt;=20,"Exception","Critical"))))</f>
        <v>Confirmed</v>
      </c>
      <c r="O13" s="12" t="s">
        <v>127</v>
      </c>
    </row>
    <row r="14" customFormat="false" ht="15" hidden="false" customHeight="false" outlineLevel="0" collapsed="false">
      <c r="A14" s="16" t="n">
        <v>13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4" t="str">
        <f aca="false">IF(K14="","",I14-K14)</f>
        <v/>
      </c>
      <c r="M14" s="15" t="str">
        <f aca="false">IF(K14="","",(L14/K14)*100)</f>
        <v/>
      </c>
      <c r="N14" s="11" t="str">
        <f aca="false">IF(M14="","Preliminary",IF(ABS(M14)&lt;=5,"Confirmed",IF(ABS(M14)&lt;=10,"Warning",IF(ABS(M14)&lt;=20,"Exception","Critical"))))</f>
        <v>Preliminary</v>
      </c>
      <c r="O14" s="12"/>
    </row>
    <row r="15" customFormat="false" ht="15" hidden="false" customHeight="false" outlineLevel="0" collapsed="false">
      <c r="A15" s="16" t="n">
        <v>14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4" t="str">
        <f aca="false">IF(K15="","",I15-K15)</f>
        <v/>
      </c>
      <c r="M15" s="15" t="str">
        <f aca="false">IF(K15="","",(L15/K15)*100)</f>
        <v/>
      </c>
      <c r="N15" s="11" t="str">
        <f aca="false">IF(M15="","Preliminary",IF(ABS(M15)&lt;=5,"Confirmed",IF(ABS(M15)&lt;=10,"Warning",IF(ABS(M15)&lt;=20,"Exception","Critical"))))</f>
        <v>Preliminary</v>
      </c>
      <c r="O15" s="12"/>
    </row>
    <row r="16" customFormat="false" ht="15" hidden="false" customHeight="false" outlineLevel="0" collapsed="false">
      <c r="A16" s="16" t="n">
        <v>15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4" t="str">
        <f aca="false">IF(K16="","",I16-K16)</f>
        <v/>
      </c>
      <c r="M16" s="15" t="str">
        <f aca="false">IF(K16="","",(L16/K16)*100)</f>
        <v/>
      </c>
      <c r="N16" s="11" t="str">
        <f aca="false">IF(M16="","Preliminary",IF(ABS(M16)&lt;=5,"Confirmed",IF(ABS(M16)&lt;=10,"Warning",IF(ABS(M16)&lt;=20,"Exception","Critical"))))</f>
        <v>Preliminary</v>
      </c>
      <c r="O16" s="12"/>
    </row>
    <row r="17" customFormat="false" ht="15" hidden="false" customHeight="false" outlineLevel="0" collapsed="false">
      <c r="A17" s="16" t="n">
        <v>16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4" t="str">
        <f aca="false">IF(K17="","",I17-K17)</f>
        <v/>
      </c>
      <c r="M17" s="15" t="str">
        <f aca="false">IF(K17="","",(L17/K17)*100)</f>
        <v/>
      </c>
      <c r="N17" s="11" t="str">
        <f aca="false">IF(M17="","Preliminary",IF(ABS(M17)&lt;=5,"Confirmed",IF(ABS(M17)&lt;=10,"Warning",IF(ABS(M17)&lt;=20,"Exception","Critical"))))</f>
        <v>Preliminary</v>
      </c>
      <c r="O17" s="12"/>
    </row>
    <row r="18" customFormat="false" ht="15" hidden="false" customHeight="false" outlineLevel="0" collapsed="false">
      <c r="A18" s="16" t="n">
        <v>17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4" t="str">
        <f aca="false">IF(K18="","",I18-K18)</f>
        <v/>
      </c>
      <c r="M18" s="15" t="str">
        <f aca="false">IF(K18="","",(L18/K18)*100)</f>
        <v/>
      </c>
      <c r="N18" s="11" t="str">
        <f aca="false">IF(M18="","Preliminary",IF(ABS(M18)&lt;=5,"Confirmed",IF(ABS(M18)&lt;=10,"Warning",IF(ABS(M18)&lt;=20,"Exception","Critical"))))</f>
        <v>Preliminary</v>
      </c>
      <c r="O18" s="12"/>
    </row>
    <row r="19" customFormat="false" ht="15" hidden="false" customHeight="false" outlineLevel="0" collapsed="false">
      <c r="A19" s="16" t="n">
        <v>18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4" t="str">
        <f aca="false">IF(K19="","",I19-K19)</f>
        <v/>
      </c>
      <c r="M19" s="15" t="str">
        <f aca="false">IF(K19="","",(L19/K19)*100)</f>
        <v/>
      </c>
      <c r="N19" s="11" t="str">
        <f aca="false">IF(M19="","Preliminary",IF(ABS(M19)&lt;=5,"Confirmed",IF(ABS(M19)&lt;=10,"Warning",IF(ABS(M19)&lt;=20,"Exception","Critical"))))</f>
        <v>Preliminary</v>
      </c>
      <c r="O19" s="12"/>
    </row>
    <row r="20" customFormat="false" ht="15" hidden="false" customHeight="false" outlineLevel="0" collapsed="false">
      <c r="A20" s="16" t="n">
        <v>19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4" t="str">
        <f aca="false">IF(K20="","",I20-K20)</f>
        <v/>
      </c>
      <c r="M20" s="15" t="str">
        <f aca="false">IF(K20="","",(L20/K20)*100)</f>
        <v/>
      </c>
      <c r="N20" s="11" t="str">
        <f aca="false">IF(M20="","Preliminary",IF(ABS(M20)&lt;=5,"Confirmed",IF(ABS(M20)&lt;=10,"Warning",IF(ABS(M20)&lt;=20,"Exception","Critical"))))</f>
        <v>Preliminary</v>
      </c>
      <c r="O20" s="12"/>
    </row>
    <row r="21" customFormat="false" ht="15" hidden="false" customHeight="false" outlineLevel="0" collapsed="false">
      <c r="A21" s="16" t="n">
        <v>20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4" t="str">
        <f aca="false">IF(K21="","",I21-K21)</f>
        <v/>
      </c>
      <c r="M21" s="15" t="str">
        <f aca="false">IF(K21="","",(L21/K21)*100)</f>
        <v/>
      </c>
      <c r="N21" s="11" t="str">
        <f aca="false">IF(M21="","Preliminary",IF(ABS(M21)&lt;=5,"Confirmed",IF(ABS(M21)&lt;=10,"Warning",IF(ABS(M21)&lt;=20,"Exception","Critical"))))</f>
        <v>Preliminary</v>
      </c>
      <c r="O21" s="12"/>
    </row>
    <row r="22" customFormat="false" ht="15" hidden="false" customHeight="false" outlineLevel="0" collapsed="false">
      <c r="A22" s="16" t="n">
        <v>21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4" t="str">
        <f aca="false">IF(K22="","",I22-K22)</f>
        <v/>
      </c>
      <c r="M22" s="15" t="str">
        <f aca="false">IF(K22="","",(L22/K22)*100)</f>
        <v/>
      </c>
      <c r="N22" s="11" t="str">
        <f aca="false">IF(M22="","Preliminary",IF(ABS(M22)&lt;=5,"Confirmed",IF(ABS(M22)&lt;=10,"Warning",IF(ABS(M22)&lt;=20,"Exception","Critical"))))</f>
        <v>Preliminary</v>
      </c>
      <c r="O22" s="12"/>
    </row>
    <row r="23" customFormat="false" ht="15" hidden="false" customHeight="false" outlineLevel="0" collapsed="false">
      <c r="A23" s="16" t="n">
        <v>22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4" t="str">
        <f aca="false">IF(K23="","",I23-K23)</f>
        <v/>
      </c>
      <c r="M23" s="15" t="str">
        <f aca="false">IF(K23="","",(L23/K23)*100)</f>
        <v/>
      </c>
      <c r="N23" s="11" t="str">
        <f aca="false">IF(M23="","Preliminary",IF(ABS(M23)&lt;=5,"Confirmed",IF(ABS(M23)&lt;=10,"Warning",IF(ABS(M23)&lt;=20,"Exception","Critical"))))</f>
        <v>Preliminary</v>
      </c>
      <c r="O23" s="12"/>
    </row>
    <row r="24" customFormat="false" ht="15" hidden="false" customHeight="false" outlineLevel="0" collapsed="false">
      <c r="A24" s="16" t="n">
        <v>23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4" t="str">
        <f aca="false">IF(K24="","",I24-K24)</f>
        <v/>
      </c>
      <c r="M24" s="15" t="str">
        <f aca="false">IF(K24="","",(L24/K24)*100)</f>
        <v/>
      </c>
      <c r="N24" s="11" t="str">
        <f aca="false">IF(M24="","Preliminary",IF(ABS(M24)&lt;=5,"Confirmed",IF(ABS(M24)&lt;=10,"Warning",IF(ABS(M24)&lt;=20,"Exception","Critical"))))</f>
        <v>Preliminary</v>
      </c>
      <c r="O24" s="12"/>
    </row>
    <row r="25" customFormat="false" ht="15" hidden="false" customHeight="false" outlineLevel="0" collapsed="false">
      <c r="A25" s="16" t="n">
        <v>24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4" t="str">
        <f aca="false">IF(K25="","",I25-K25)</f>
        <v/>
      </c>
      <c r="M25" s="15" t="str">
        <f aca="false">IF(K25="","",(L25/K25)*100)</f>
        <v/>
      </c>
      <c r="N25" s="11" t="str">
        <f aca="false">IF(M25="","Preliminary",IF(ABS(M25)&lt;=5,"Confirmed",IF(ABS(M25)&lt;=10,"Warning",IF(ABS(M25)&lt;=20,"Exception","Critical"))))</f>
        <v>Preliminary</v>
      </c>
      <c r="O25" s="12"/>
    </row>
    <row r="26" customFormat="false" ht="15" hidden="false" customHeight="false" outlineLevel="0" collapsed="false">
      <c r="A26" s="16" t="n">
        <v>25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4" t="str">
        <f aca="false">IF(K26="","",I26-K26)</f>
        <v/>
      </c>
      <c r="M26" s="15" t="str">
        <f aca="false">IF(K26="","",(L26/K26)*100)</f>
        <v/>
      </c>
      <c r="N26" s="11" t="str">
        <f aca="false">IF(M26="","Preliminary",IF(ABS(M26)&lt;=5,"Confirmed",IF(ABS(M26)&lt;=10,"Warning",IF(ABS(M26)&lt;=20,"Exception","Critical"))))</f>
        <v>Preliminary</v>
      </c>
      <c r="O26" s="12"/>
    </row>
    <row r="27" customFormat="false" ht="15" hidden="false" customHeight="false" outlineLevel="0" collapsed="false">
      <c r="A27" s="16" t="n">
        <v>26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4" t="str">
        <f aca="false">IF(K27="","",I27-K27)</f>
        <v/>
      </c>
      <c r="M27" s="15" t="str">
        <f aca="false">IF(K27="","",(L27/K27)*100)</f>
        <v/>
      </c>
      <c r="N27" s="11" t="str">
        <f aca="false">IF(M27="","Preliminary",IF(ABS(M27)&lt;=5,"Confirmed",IF(ABS(M27)&lt;=10,"Warning",IF(ABS(M27)&lt;=20,"Exception","Critical"))))</f>
        <v>Preliminary</v>
      </c>
      <c r="O27" s="12"/>
    </row>
    <row r="28" customFormat="false" ht="15" hidden="false" customHeight="false" outlineLevel="0" collapsed="false">
      <c r="A28" s="16" t="n">
        <v>27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4" t="str">
        <f aca="false">IF(K28="","",I28-K28)</f>
        <v/>
      </c>
      <c r="M28" s="15" t="str">
        <f aca="false">IF(K28="","",(L28/K28)*100)</f>
        <v/>
      </c>
      <c r="N28" s="11" t="str">
        <f aca="false">IF(M28="","Preliminary",IF(ABS(M28)&lt;=5,"Confirmed",IF(ABS(M28)&lt;=10,"Warning",IF(ABS(M28)&lt;=20,"Exception","Critical"))))</f>
        <v>Preliminary</v>
      </c>
      <c r="O28" s="12"/>
    </row>
    <row r="29" customFormat="false" ht="15" hidden="false" customHeight="false" outlineLevel="0" collapsed="false">
      <c r="A29" s="16" t="n">
        <v>28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4" t="str">
        <f aca="false">IF(K29="","",I29-K29)</f>
        <v/>
      </c>
      <c r="M29" s="15" t="str">
        <f aca="false">IF(K29="","",(L29/K29)*100)</f>
        <v/>
      </c>
      <c r="N29" s="11" t="str">
        <f aca="false">IF(M29="","Preliminary",IF(ABS(M29)&lt;=5,"Confirmed",IF(ABS(M29)&lt;=10,"Warning",IF(ABS(M29)&lt;=20,"Exception","Critical"))))</f>
        <v>Preliminary</v>
      </c>
      <c r="O29" s="12"/>
    </row>
    <row r="30" customFormat="false" ht="15" hidden="false" customHeight="false" outlineLevel="0" collapsed="false">
      <c r="A30" s="16" t="n">
        <v>29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4" t="str">
        <f aca="false">IF(K30="","",I30-K30)</f>
        <v/>
      </c>
      <c r="M30" s="15" t="str">
        <f aca="false">IF(K30="","",(L30/K30)*100)</f>
        <v/>
      </c>
      <c r="N30" s="11" t="str">
        <f aca="false">IF(M30="","Preliminary",IF(ABS(M30)&lt;=5,"Confirmed",IF(ABS(M30)&lt;=10,"Warning",IF(ABS(M30)&lt;=20,"Exception","Critical"))))</f>
        <v>Preliminary</v>
      </c>
      <c r="O30" s="12"/>
    </row>
    <row r="31" customFormat="false" ht="15" hidden="false" customHeight="false" outlineLevel="0" collapsed="false">
      <c r="A31" s="16" t="n">
        <v>30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4" t="str">
        <f aca="false">IF(K31="","",I31-K31)</f>
        <v/>
      </c>
      <c r="M31" s="15" t="str">
        <f aca="false">IF(K31="","",(L31/K31)*100)</f>
        <v/>
      </c>
      <c r="N31" s="11" t="str">
        <f aca="false">IF(M31="","Preliminary",IF(ABS(M31)&lt;=5,"Confirmed",IF(ABS(M31)&lt;=10,"Warning",IF(ABS(M31)&lt;=20,"Exception","Critical"))))</f>
        <v>Preliminary</v>
      </c>
      <c r="O31" s="12"/>
    </row>
  </sheetData>
  <dataValidations count="1">
    <dataValidation allowBlank="false" errorStyle="stop" operator="between" prompt="Select the data source" promptTitle="Data Source" showDropDown="false" showErrorMessage="false" showInputMessage="false" sqref="J2:J100" type="list">
      <formula1>"ACARS,EFB,Manual,Jefferson"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0914C"/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16"/>
    <col collapsed="false" customWidth="true" hidden="false" outlineLevel="0" max="15" min="15" style="0" width="25"/>
  </cols>
  <sheetData>
    <row r="1" customFormat="false" ht="39.75" hidden="false" customHeight="true" outlineLevel="0" collapsed="false">
      <c r="A1" s="10" t="s">
        <v>46</v>
      </c>
      <c r="B1" s="10" t="s">
        <v>48</v>
      </c>
      <c r="C1" s="10" t="s">
        <v>128</v>
      </c>
      <c r="D1" s="10" t="s">
        <v>129</v>
      </c>
      <c r="E1" s="10" t="s">
        <v>130</v>
      </c>
      <c r="F1" s="10" t="s">
        <v>131</v>
      </c>
      <c r="G1" s="10" t="s">
        <v>132</v>
      </c>
      <c r="H1" s="10" t="s">
        <v>133</v>
      </c>
      <c r="I1" s="10" t="s">
        <v>134</v>
      </c>
      <c r="J1" s="10" t="s">
        <v>135</v>
      </c>
      <c r="K1" s="10" t="s">
        <v>136</v>
      </c>
      <c r="L1" s="10" t="s">
        <v>137</v>
      </c>
      <c r="M1" s="10" t="s">
        <v>138</v>
      </c>
      <c r="N1" s="10" t="s">
        <v>139</v>
      </c>
      <c r="O1" s="10" t="s">
        <v>140</v>
      </c>
    </row>
    <row r="2" customFormat="false" ht="23.85" hidden="false" customHeight="false" outlineLevel="0" collapsed="false">
      <c r="A2" s="11" t="n">
        <v>1</v>
      </c>
      <c r="B2" s="12" t="s">
        <v>62</v>
      </c>
      <c r="C2" s="12" t="s">
        <v>141</v>
      </c>
      <c r="D2" s="12" t="s">
        <v>142</v>
      </c>
      <c r="E2" s="12" t="s">
        <v>143</v>
      </c>
      <c r="F2" s="12" t="s">
        <v>63</v>
      </c>
      <c r="G2" s="12"/>
      <c r="H2" s="13" t="n">
        <v>125000</v>
      </c>
      <c r="I2" s="13" t="n">
        <v>0</v>
      </c>
      <c r="J2" s="13" t="n">
        <v>0</v>
      </c>
      <c r="K2" s="13" t="n">
        <v>0</v>
      </c>
      <c r="L2" s="17" t="n">
        <f aca="false">H2+I2-J2+K2</f>
        <v>125000</v>
      </c>
      <c r="M2" s="13" t="n">
        <v>253983</v>
      </c>
      <c r="N2" s="18" t="n">
        <f aca="false">IF(M2=0,"",L2/M2)</f>
        <v>0.492158924022474</v>
      </c>
      <c r="O2" s="12" t="s">
        <v>144</v>
      </c>
    </row>
    <row r="3" customFormat="false" ht="15" hidden="false" customHeight="false" outlineLevel="0" collapsed="false">
      <c r="A3" s="11" t="n">
        <v>2</v>
      </c>
      <c r="B3" s="12" t="s">
        <v>71</v>
      </c>
      <c r="C3" s="12" t="s">
        <v>141</v>
      </c>
      <c r="D3" s="12" t="s">
        <v>142</v>
      </c>
      <c r="E3" s="12" t="s">
        <v>143</v>
      </c>
      <c r="F3" s="12" t="s">
        <v>63</v>
      </c>
      <c r="G3" s="12"/>
      <c r="H3" s="13" t="n">
        <v>98500</v>
      </c>
      <c r="I3" s="13" t="n">
        <v>0</v>
      </c>
      <c r="J3" s="13" t="n">
        <v>0</v>
      </c>
      <c r="K3" s="13" t="n">
        <v>0</v>
      </c>
      <c r="L3" s="17" t="n">
        <f aca="false">H3+I3-J3+K3</f>
        <v>98500</v>
      </c>
      <c r="M3" s="13" t="n">
        <v>253983</v>
      </c>
      <c r="N3" s="18" t="n">
        <f aca="false">IF(M3=0,"",L3/M3)</f>
        <v>0.38782123212971</v>
      </c>
      <c r="O3" s="12" t="s">
        <v>145</v>
      </c>
    </row>
    <row r="4" customFormat="false" ht="15" hidden="false" customHeight="false" outlineLevel="0" collapsed="false">
      <c r="A4" s="11" t="n">
        <v>3</v>
      </c>
      <c r="B4" s="12" t="s">
        <v>82</v>
      </c>
      <c r="C4" s="12" t="s">
        <v>146</v>
      </c>
      <c r="D4" s="12" t="s">
        <v>142</v>
      </c>
      <c r="E4" s="12" t="s">
        <v>143</v>
      </c>
      <c r="F4" s="12" t="s">
        <v>63</v>
      </c>
      <c r="G4" s="12"/>
      <c r="H4" s="13" t="n">
        <v>65000</v>
      </c>
      <c r="I4" s="13" t="n">
        <v>0</v>
      </c>
      <c r="J4" s="13" t="n">
        <v>0</v>
      </c>
      <c r="K4" s="13" t="n">
        <v>0</v>
      </c>
      <c r="L4" s="17" t="n">
        <f aca="false">H4+I4-J4+K4</f>
        <v>65000</v>
      </c>
      <c r="M4" s="13" t="n">
        <v>141000</v>
      </c>
      <c r="N4" s="18" t="n">
        <f aca="false">IF(M4=0,"",L4/M4)</f>
        <v>0.460992907801418</v>
      </c>
      <c r="O4" s="12" t="s">
        <v>145</v>
      </c>
    </row>
    <row r="5" customFormat="false" ht="15" hidden="false" customHeight="false" outlineLevel="0" collapsed="false">
      <c r="A5" s="11" t="n">
        <v>4</v>
      </c>
      <c r="B5" s="12" t="s">
        <v>109</v>
      </c>
      <c r="C5" s="12" t="s">
        <v>146</v>
      </c>
      <c r="D5" s="12" t="s">
        <v>142</v>
      </c>
      <c r="E5" s="12" t="s">
        <v>143</v>
      </c>
      <c r="F5" s="12" t="s">
        <v>63</v>
      </c>
      <c r="G5" s="12"/>
      <c r="H5" s="13" t="n">
        <v>72000</v>
      </c>
      <c r="I5" s="13" t="n">
        <v>0</v>
      </c>
      <c r="J5" s="13" t="n">
        <v>0</v>
      </c>
      <c r="K5" s="13" t="n">
        <v>0</v>
      </c>
      <c r="L5" s="17" t="n">
        <f aca="false">H5+I5-J5+K5</f>
        <v>72000</v>
      </c>
      <c r="M5" s="13" t="n">
        <v>141000</v>
      </c>
      <c r="N5" s="18" t="n">
        <f aca="false">IF(M5=0,"",L5/M5)</f>
        <v>0.51063829787234</v>
      </c>
      <c r="O5" s="12" t="s">
        <v>145</v>
      </c>
    </row>
    <row r="6" customFormat="false" ht="15" hidden="false" customHeight="false" outlineLevel="0" collapsed="false">
      <c r="A6" s="11" t="n">
        <v>5</v>
      </c>
      <c r="B6" s="12" t="s">
        <v>76</v>
      </c>
      <c r="C6" s="12" t="s">
        <v>141</v>
      </c>
      <c r="D6" s="12" t="s">
        <v>142</v>
      </c>
      <c r="E6" s="12" t="s">
        <v>143</v>
      </c>
      <c r="F6" s="12" t="s">
        <v>63</v>
      </c>
      <c r="G6" s="12"/>
      <c r="H6" s="13" t="n">
        <v>115000</v>
      </c>
      <c r="I6" s="13" t="n">
        <v>0</v>
      </c>
      <c r="J6" s="13" t="n">
        <v>0</v>
      </c>
      <c r="K6" s="13" t="n">
        <v>0</v>
      </c>
      <c r="L6" s="17" t="n">
        <f aca="false">H6+I6-J6+K6</f>
        <v>115000</v>
      </c>
      <c r="M6" s="13" t="n">
        <v>253983</v>
      </c>
      <c r="N6" s="18" t="n">
        <f aca="false">IF(M6=0,"",L6/M6)</f>
        <v>0.452786210100676</v>
      </c>
      <c r="O6" s="12" t="s">
        <v>145</v>
      </c>
    </row>
    <row r="7" customFormat="false" ht="15" hidden="false" customHeight="false" outlineLevel="0" collapsed="false">
      <c r="A7" s="11" t="n">
        <v>6</v>
      </c>
      <c r="B7" s="12" t="s">
        <v>90</v>
      </c>
      <c r="C7" s="12" t="s">
        <v>147</v>
      </c>
      <c r="D7" s="12" t="s">
        <v>142</v>
      </c>
      <c r="E7" s="12" t="s">
        <v>143</v>
      </c>
      <c r="F7" s="12" t="s">
        <v>63</v>
      </c>
      <c r="G7" s="12"/>
      <c r="H7" s="13" t="n">
        <v>88000</v>
      </c>
      <c r="I7" s="13" t="n">
        <v>0</v>
      </c>
      <c r="J7" s="13" t="n">
        <v>0</v>
      </c>
      <c r="K7" s="13" t="n">
        <v>0</v>
      </c>
      <c r="L7" s="17" t="n">
        <f aca="false">H7+I7-J7+K7</f>
        <v>88000</v>
      </c>
      <c r="M7" s="13" t="n">
        <v>181280</v>
      </c>
      <c r="N7" s="18" t="n">
        <f aca="false">IF(M7=0,"",L7/M7)</f>
        <v>0.485436893203884</v>
      </c>
      <c r="O7" s="12" t="s">
        <v>145</v>
      </c>
    </row>
    <row r="8" customFormat="false" ht="23.85" hidden="false" customHeight="false" outlineLevel="0" collapsed="false">
      <c r="A8" s="11" t="n">
        <v>7</v>
      </c>
      <c r="B8" s="12" t="s">
        <v>102</v>
      </c>
      <c r="C8" s="12" t="s">
        <v>148</v>
      </c>
      <c r="D8" s="12" t="s">
        <v>142</v>
      </c>
      <c r="E8" s="12" t="s">
        <v>143</v>
      </c>
      <c r="F8" s="12" t="s">
        <v>63</v>
      </c>
      <c r="G8" s="12"/>
      <c r="H8" s="13" t="n">
        <v>18500</v>
      </c>
      <c r="I8" s="13" t="n">
        <v>0</v>
      </c>
      <c r="J8" s="13" t="n">
        <v>0</v>
      </c>
      <c r="K8" s="13" t="n">
        <v>0</v>
      </c>
      <c r="L8" s="17" t="n">
        <f aca="false">H8+I8-J8+K8</f>
        <v>18500</v>
      </c>
      <c r="M8" s="13" t="n">
        <v>26020</v>
      </c>
      <c r="N8" s="18" t="n">
        <f aca="false">IF(M8=0,"",L8/M8)</f>
        <v>0.710991544965411</v>
      </c>
      <c r="O8" s="12" t="s">
        <v>149</v>
      </c>
    </row>
    <row r="9" customFormat="false" ht="23.85" hidden="false" customHeight="false" outlineLevel="0" collapsed="false">
      <c r="A9" s="11" t="n">
        <v>8</v>
      </c>
      <c r="B9" s="12" t="s">
        <v>114</v>
      </c>
      <c r="C9" s="12" t="s">
        <v>147</v>
      </c>
      <c r="D9" s="12" t="s">
        <v>142</v>
      </c>
      <c r="E9" s="12" t="s">
        <v>143</v>
      </c>
      <c r="F9" s="12" t="s">
        <v>63</v>
      </c>
      <c r="G9" s="12"/>
      <c r="H9" s="13" t="n">
        <v>45000</v>
      </c>
      <c r="I9" s="13" t="n">
        <v>0</v>
      </c>
      <c r="J9" s="13" t="n">
        <v>0</v>
      </c>
      <c r="K9" s="13" t="n">
        <v>0</v>
      </c>
      <c r="L9" s="17" t="n">
        <f aca="false">H9+I9-J9+K9</f>
        <v>45000</v>
      </c>
      <c r="M9" s="13" t="n">
        <v>181280</v>
      </c>
      <c r="N9" s="18" t="n">
        <f aca="false">IF(M9=0,"",L9/M9)</f>
        <v>0.248234774933804</v>
      </c>
      <c r="O9" s="12" t="s">
        <v>150</v>
      </c>
    </row>
    <row r="10" customFormat="false" ht="15" hidden="false" customHeight="false" outlineLevel="0" collapsed="false">
      <c r="A10" s="11" t="n">
        <v>9</v>
      </c>
      <c r="B10" s="12" t="s">
        <v>62</v>
      </c>
      <c r="C10" s="12" t="s">
        <v>141</v>
      </c>
      <c r="D10" s="12" t="s">
        <v>65</v>
      </c>
      <c r="E10" s="12" t="s">
        <v>151</v>
      </c>
      <c r="F10" s="12" t="s">
        <v>63</v>
      </c>
      <c r="G10" s="12" t="s">
        <v>61</v>
      </c>
      <c r="H10" s="13" t="n">
        <v>125000</v>
      </c>
      <c r="I10" s="13" t="n">
        <v>95000</v>
      </c>
      <c r="J10" s="13" t="n">
        <v>0</v>
      </c>
      <c r="K10" s="13" t="n">
        <v>0</v>
      </c>
      <c r="L10" s="17" t="n">
        <f aca="false">H10+I10-J10+K10</f>
        <v>220000</v>
      </c>
      <c r="M10" s="13" t="n">
        <v>253983</v>
      </c>
      <c r="N10" s="18" t="n">
        <f aca="false">IF(M10=0,"",L10/M10)</f>
        <v>0.866199706279554</v>
      </c>
      <c r="O10" s="12" t="s">
        <v>152</v>
      </c>
    </row>
    <row r="11" customFormat="false" ht="15" hidden="false" customHeight="false" outlineLevel="0" collapsed="false">
      <c r="A11" s="16" t="n">
        <v>10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9" t="n">
        <f aca="false">H11+I11-J11+K11</f>
        <v>0</v>
      </c>
      <c r="M11" s="12"/>
      <c r="N11" s="18" t="str">
        <f aca="false">IF(M11=0,"",L11/M11)</f>
        <v/>
      </c>
      <c r="O11" s="12"/>
    </row>
    <row r="12" customFormat="false" ht="15" hidden="false" customHeight="false" outlineLevel="0" collapsed="false">
      <c r="A12" s="16" t="n">
        <v>11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9" t="n">
        <f aca="false">H12+I12-J12+K12</f>
        <v>0</v>
      </c>
      <c r="M12" s="12"/>
      <c r="N12" s="18" t="str">
        <f aca="false">IF(M12=0,"",L12/M12)</f>
        <v/>
      </c>
      <c r="O12" s="12"/>
    </row>
    <row r="13" customFormat="false" ht="15" hidden="false" customHeight="false" outlineLevel="0" collapsed="false">
      <c r="A13" s="16" t="n">
        <v>12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9" t="n">
        <f aca="false">H13+I13-J13+K13</f>
        <v>0</v>
      </c>
      <c r="M13" s="12"/>
      <c r="N13" s="18" t="str">
        <f aca="false">IF(M13=0,"",L13/M13)</f>
        <v/>
      </c>
      <c r="O13" s="12"/>
    </row>
    <row r="14" customFormat="false" ht="15" hidden="false" customHeight="false" outlineLevel="0" collapsed="false">
      <c r="A14" s="16" t="n">
        <v>13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9" t="n">
        <f aca="false">H14+I14-J14+K14</f>
        <v>0</v>
      </c>
      <c r="M14" s="12"/>
      <c r="N14" s="18" t="str">
        <f aca="false">IF(M14=0,"",L14/M14)</f>
        <v/>
      </c>
      <c r="O14" s="12"/>
    </row>
    <row r="15" customFormat="false" ht="15" hidden="false" customHeight="false" outlineLevel="0" collapsed="false">
      <c r="A15" s="16" t="n">
        <v>14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9" t="n">
        <f aca="false">H15+I15-J15+K15</f>
        <v>0</v>
      </c>
      <c r="M15" s="12"/>
      <c r="N15" s="18" t="str">
        <f aca="false">IF(M15=0,"",L15/M15)</f>
        <v/>
      </c>
      <c r="O15" s="12"/>
    </row>
    <row r="16" customFormat="false" ht="15" hidden="false" customHeight="false" outlineLevel="0" collapsed="false">
      <c r="A16" s="16" t="n">
        <v>15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9" t="n">
        <f aca="false">H16+I16-J16+K16</f>
        <v>0</v>
      </c>
      <c r="M16" s="12"/>
      <c r="N16" s="18" t="str">
        <f aca="false">IF(M16=0,"",L16/M16)</f>
        <v/>
      </c>
      <c r="O16" s="12"/>
    </row>
    <row r="17" customFormat="false" ht="15" hidden="false" customHeight="false" outlineLevel="0" collapsed="false">
      <c r="A17" s="16" t="n">
        <v>16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9" t="n">
        <f aca="false">H17+I17-J17+K17</f>
        <v>0</v>
      </c>
      <c r="M17" s="12"/>
      <c r="N17" s="18" t="str">
        <f aca="false">IF(M17=0,"",L17/M17)</f>
        <v/>
      </c>
      <c r="O17" s="12"/>
    </row>
    <row r="18" customFormat="false" ht="15" hidden="false" customHeight="false" outlineLevel="0" collapsed="false">
      <c r="A18" s="16" t="n">
        <v>17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9" t="n">
        <f aca="false">H18+I18-J18+K18</f>
        <v>0</v>
      </c>
      <c r="M18" s="12"/>
      <c r="N18" s="18" t="str">
        <f aca="false">IF(M18=0,"",L18/M18)</f>
        <v/>
      </c>
      <c r="O18" s="12"/>
    </row>
    <row r="19" customFormat="false" ht="15" hidden="false" customHeight="false" outlineLevel="0" collapsed="false">
      <c r="A19" s="16" t="n">
        <v>18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9" t="n">
        <f aca="false">H19+I19-J19+K19</f>
        <v>0</v>
      </c>
      <c r="M19" s="12"/>
      <c r="N19" s="18" t="str">
        <f aca="false">IF(M19=0,"",L19/M19)</f>
        <v/>
      </c>
      <c r="O19" s="12"/>
    </row>
    <row r="20" customFormat="false" ht="15" hidden="false" customHeight="false" outlineLevel="0" collapsed="false">
      <c r="A20" s="16" t="n">
        <v>19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9" t="n">
        <f aca="false">H20+I20-J20+K20</f>
        <v>0</v>
      </c>
      <c r="M20" s="12"/>
      <c r="N20" s="18" t="str">
        <f aca="false">IF(M20=0,"",L20/M20)</f>
        <v/>
      </c>
      <c r="O20" s="12"/>
    </row>
    <row r="21" customFormat="false" ht="15" hidden="false" customHeight="false" outlineLevel="0" collapsed="false">
      <c r="A21" s="16" t="n">
        <v>20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9" t="n">
        <f aca="false">H21+I21-J21+K21</f>
        <v>0</v>
      </c>
      <c r="M21" s="12"/>
      <c r="N21" s="18" t="str">
        <f aca="false">IF(M21=0,"",L21/M21)</f>
        <v/>
      </c>
      <c r="O21" s="12"/>
    </row>
    <row r="22" customFormat="false" ht="15" hidden="false" customHeight="false" outlineLevel="0" collapsed="false">
      <c r="A22" s="16" t="n">
        <v>21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9" t="n">
        <f aca="false">H22+I22-J22+K22</f>
        <v>0</v>
      </c>
      <c r="M22" s="12"/>
      <c r="N22" s="18" t="str">
        <f aca="false">IF(M22=0,"",L22/M22)</f>
        <v/>
      </c>
      <c r="O22" s="12"/>
    </row>
    <row r="23" customFormat="false" ht="15" hidden="false" customHeight="false" outlineLevel="0" collapsed="false">
      <c r="A23" s="16" t="n">
        <v>22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9" t="n">
        <f aca="false">H23+I23-J23+K23</f>
        <v>0</v>
      </c>
      <c r="M23" s="12"/>
      <c r="N23" s="18" t="str">
        <f aca="false">IF(M23=0,"",L23/M23)</f>
        <v/>
      </c>
      <c r="O23" s="12"/>
    </row>
    <row r="24" customFormat="false" ht="15" hidden="false" customHeight="false" outlineLevel="0" collapsed="false">
      <c r="A24" s="16" t="n">
        <v>23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9" t="n">
        <f aca="false">H24+I24-J24+K24</f>
        <v>0</v>
      </c>
      <c r="M24" s="12"/>
      <c r="N24" s="18" t="str">
        <f aca="false">IF(M24=0,"",L24/M24)</f>
        <v/>
      </c>
      <c r="O24" s="12"/>
    </row>
    <row r="25" customFormat="false" ht="15" hidden="false" customHeight="false" outlineLevel="0" collapsed="false">
      <c r="A25" s="16" t="n">
        <v>24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9" t="n">
        <f aca="false">H25+I25-J25+K25</f>
        <v>0</v>
      </c>
      <c r="M25" s="12"/>
      <c r="N25" s="18" t="str">
        <f aca="false">IF(M25=0,"",L25/M25)</f>
        <v/>
      </c>
      <c r="O25" s="12"/>
    </row>
    <row r="26" customFormat="false" ht="15" hidden="false" customHeight="false" outlineLevel="0" collapsed="false">
      <c r="A26" s="16" t="n">
        <v>25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9" t="n">
        <f aca="false">H26+I26-J26+K26</f>
        <v>0</v>
      </c>
      <c r="M26" s="12"/>
      <c r="N26" s="18" t="str">
        <f aca="false">IF(M26=0,"",L26/M26)</f>
        <v/>
      </c>
      <c r="O26" s="12"/>
    </row>
    <row r="27" customFormat="false" ht="15" hidden="false" customHeight="false" outlineLevel="0" collapsed="false">
      <c r="A27" s="16" t="n">
        <v>26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9" t="n">
        <f aca="false">H27+I27-J27+K27</f>
        <v>0</v>
      </c>
      <c r="M27" s="12"/>
      <c r="N27" s="18" t="str">
        <f aca="false">IF(M27=0,"",L27/M27)</f>
        <v/>
      </c>
      <c r="O27" s="12"/>
    </row>
    <row r="28" customFormat="false" ht="15" hidden="false" customHeight="false" outlineLevel="0" collapsed="false">
      <c r="A28" s="16" t="n">
        <v>27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9" t="n">
        <f aca="false">H28+I28-J28+K28</f>
        <v>0</v>
      </c>
      <c r="M28" s="12"/>
      <c r="N28" s="18" t="str">
        <f aca="false">IF(M28=0,"",L28/M28)</f>
        <v/>
      </c>
      <c r="O28" s="12"/>
    </row>
    <row r="29" customFormat="false" ht="15" hidden="false" customHeight="false" outlineLevel="0" collapsed="false">
      <c r="A29" s="16" t="n">
        <v>28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9" t="n">
        <f aca="false">H29+I29-J29+K29</f>
        <v>0</v>
      </c>
      <c r="M29" s="12"/>
      <c r="N29" s="18" t="str">
        <f aca="false">IF(M29=0,"",L29/M29)</f>
        <v/>
      </c>
      <c r="O2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6500"/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25"/>
  </cols>
  <sheetData>
    <row r="1" customFormat="false" ht="39.75" hidden="false" customHeight="true" outlineLevel="0" collapsed="false">
      <c r="A1" s="10" t="s">
        <v>46</v>
      </c>
      <c r="B1" s="10" t="s">
        <v>47</v>
      </c>
      <c r="C1" s="10" t="s">
        <v>128</v>
      </c>
      <c r="D1" s="10" t="s">
        <v>49</v>
      </c>
      <c r="E1" s="10" t="s">
        <v>50</v>
      </c>
      <c r="F1" s="10" t="s">
        <v>153</v>
      </c>
      <c r="G1" s="10" t="s">
        <v>154</v>
      </c>
      <c r="H1" s="10" t="s">
        <v>155</v>
      </c>
      <c r="I1" s="10" t="s">
        <v>156</v>
      </c>
      <c r="J1" s="10" t="s">
        <v>157</v>
      </c>
      <c r="K1" s="10" t="s">
        <v>158</v>
      </c>
      <c r="L1" s="10" t="s">
        <v>159</v>
      </c>
      <c r="M1" s="10" t="s">
        <v>140</v>
      </c>
    </row>
    <row r="2" customFormat="false" ht="23.85" hidden="false" customHeight="false" outlineLevel="0" collapsed="false">
      <c r="A2" s="11" t="n">
        <v>1</v>
      </c>
      <c r="B2" s="12" t="s">
        <v>61</v>
      </c>
      <c r="C2" s="12" t="s">
        <v>141</v>
      </c>
      <c r="D2" s="12" t="s">
        <v>63</v>
      </c>
      <c r="E2" s="12" t="s">
        <v>64</v>
      </c>
      <c r="F2" s="12" t="n">
        <v>5895</v>
      </c>
      <c r="G2" s="13" t="n">
        <v>82500</v>
      </c>
      <c r="H2" s="13" t="n">
        <v>1500</v>
      </c>
      <c r="I2" s="20" t="n">
        <f aca="false">G2+H2</f>
        <v>84000</v>
      </c>
      <c r="J2" s="12" t="s">
        <v>160</v>
      </c>
      <c r="K2" s="12" t="s">
        <v>161</v>
      </c>
      <c r="L2" s="12" t="s">
        <v>162</v>
      </c>
      <c r="M2" s="12" t="s">
        <v>163</v>
      </c>
    </row>
    <row r="3" customFormat="false" ht="15" hidden="false" customHeight="false" outlineLevel="0" collapsed="false">
      <c r="A3" s="11" t="n">
        <v>2</v>
      </c>
      <c r="B3" s="12" t="s">
        <v>70</v>
      </c>
      <c r="C3" s="12" t="s">
        <v>141</v>
      </c>
      <c r="D3" s="12" t="s">
        <v>63</v>
      </c>
      <c r="E3" s="12" t="s">
        <v>72</v>
      </c>
      <c r="F3" s="12" t="n">
        <v>3370</v>
      </c>
      <c r="G3" s="13" t="n">
        <v>40200</v>
      </c>
      <c r="H3" s="13" t="n">
        <v>1300</v>
      </c>
      <c r="I3" s="20" t="n">
        <f aca="false">G3+H3</f>
        <v>41500</v>
      </c>
      <c r="J3" s="12" t="s">
        <v>160</v>
      </c>
      <c r="K3" s="12" t="s">
        <v>161</v>
      </c>
      <c r="L3" s="12" t="s">
        <v>162</v>
      </c>
      <c r="M3" s="12"/>
    </row>
    <row r="4" customFormat="false" ht="15" hidden="false" customHeight="false" outlineLevel="0" collapsed="false">
      <c r="A4" s="11" t="n">
        <v>3</v>
      </c>
      <c r="B4" s="12" t="s">
        <v>75</v>
      </c>
      <c r="C4" s="12" t="s">
        <v>141</v>
      </c>
      <c r="D4" s="12" t="s">
        <v>63</v>
      </c>
      <c r="E4" s="12" t="s">
        <v>77</v>
      </c>
      <c r="F4" s="12" t="n">
        <v>5665</v>
      </c>
      <c r="G4" s="13" t="n">
        <v>78000</v>
      </c>
      <c r="H4" s="13" t="n">
        <v>1500</v>
      </c>
      <c r="I4" s="20" t="n">
        <f aca="false">G4+H4</f>
        <v>79500</v>
      </c>
      <c r="J4" s="12" t="s">
        <v>160</v>
      </c>
      <c r="K4" s="12" t="s">
        <v>161</v>
      </c>
      <c r="L4" s="12" t="s">
        <v>162</v>
      </c>
      <c r="M4" s="12"/>
    </row>
    <row r="5" customFormat="false" ht="15" hidden="false" customHeight="false" outlineLevel="0" collapsed="false">
      <c r="A5" s="11" t="n">
        <v>4</v>
      </c>
      <c r="B5" s="12" t="s">
        <v>81</v>
      </c>
      <c r="C5" s="12" t="s">
        <v>146</v>
      </c>
      <c r="D5" s="12" t="s">
        <v>63</v>
      </c>
      <c r="E5" s="12" t="s">
        <v>83</v>
      </c>
      <c r="F5" s="12" t="n">
        <v>2890</v>
      </c>
      <c r="G5" s="13" t="n">
        <v>27000</v>
      </c>
      <c r="H5" s="13" t="n">
        <v>1000</v>
      </c>
      <c r="I5" s="20" t="n">
        <f aca="false">G5+H5</f>
        <v>28000</v>
      </c>
      <c r="J5" s="12" t="s">
        <v>160</v>
      </c>
      <c r="K5" s="12" t="s">
        <v>161</v>
      </c>
      <c r="L5" s="12" t="s">
        <v>162</v>
      </c>
      <c r="M5" s="12" t="s">
        <v>164</v>
      </c>
    </row>
    <row r="6" customFormat="false" ht="15" hidden="false" customHeight="false" outlineLevel="0" collapsed="false">
      <c r="A6" s="11" t="n">
        <v>5</v>
      </c>
      <c r="B6" s="12" t="s">
        <v>89</v>
      </c>
      <c r="C6" s="12" t="s">
        <v>147</v>
      </c>
      <c r="D6" s="12" t="s">
        <v>63</v>
      </c>
      <c r="E6" s="12" t="s">
        <v>91</v>
      </c>
      <c r="F6" s="12" t="n">
        <v>2345</v>
      </c>
      <c r="G6" s="13" t="n">
        <v>21200</v>
      </c>
      <c r="H6" s="13" t="n">
        <v>800</v>
      </c>
      <c r="I6" s="20" t="n">
        <f aca="false">G6+H6</f>
        <v>22000</v>
      </c>
      <c r="J6" s="12" t="s">
        <v>160</v>
      </c>
      <c r="K6" s="12" t="s">
        <v>161</v>
      </c>
      <c r="L6" s="12" t="s">
        <v>162</v>
      </c>
      <c r="M6" s="12"/>
    </row>
    <row r="7" customFormat="false" ht="23.85" hidden="false" customHeight="false" outlineLevel="0" collapsed="false">
      <c r="A7" s="11" t="n">
        <v>6</v>
      </c>
      <c r="B7" s="12" t="s">
        <v>95</v>
      </c>
      <c r="C7" s="12" t="s">
        <v>141</v>
      </c>
      <c r="D7" s="12" t="s">
        <v>64</v>
      </c>
      <c r="E7" s="12" t="s">
        <v>63</v>
      </c>
      <c r="F7" s="12" t="n">
        <v>5895</v>
      </c>
      <c r="G7" s="13" t="n">
        <v>83000</v>
      </c>
      <c r="H7" s="13" t="n">
        <v>1500</v>
      </c>
      <c r="I7" s="20" t="n">
        <f aca="false">G7+H7</f>
        <v>84500</v>
      </c>
      <c r="J7" s="12" t="s">
        <v>160</v>
      </c>
      <c r="K7" s="12" t="s">
        <v>161</v>
      </c>
      <c r="L7" s="12" t="s">
        <v>162</v>
      </c>
      <c r="M7" s="12" t="s">
        <v>165</v>
      </c>
    </row>
    <row r="8" customFormat="false" ht="15" hidden="false" customHeight="false" outlineLevel="0" collapsed="false">
      <c r="A8" s="11" t="n">
        <v>7</v>
      </c>
      <c r="B8" s="12" t="s">
        <v>101</v>
      </c>
      <c r="C8" s="12" t="s">
        <v>148</v>
      </c>
      <c r="D8" s="12" t="s">
        <v>63</v>
      </c>
      <c r="E8" s="12" t="s">
        <v>103</v>
      </c>
      <c r="F8" s="12" t="n">
        <v>1420</v>
      </c>
      <c r="G8" s="13" t="n">
        <v>11800</v>
      </c>
      <c r="H8" s="13" t="n">
        <v>700</v>
      </c>
      <c r="I8" s="20" t="n">
        <f aca="false">G8+H8</f>
        <v>12500</v>
      </c>
      <c r="J8" s="12" t="s">
        <v>160</v>
      </c>
      <c r="K8" s="12" t="s">
        <v>161</v>
      </c>
      <c r="L8" s="12" t="s">
        <v>162</v>
      </c>
      <c r="M8" s="12" t="s">
        <v>166</v>
      </c>
    </row>
    <row r="9" customFormat="false" ht="15" hidden="false" customHeight="false" outlineLevel="0" collapsed="false">
      <c r="A9" s="11" t="n">
        <v>8</v>
      </c>
      <c r="B9" s="12" t="s">
        <v>108</v>
      </c>
      <c r="C9" s="12" t="s">
        <v>146</v>
      </c>
      <c r="D9" s="12" t="s">
        <v>63</v>
      </c>
      <c r="E9" s="12" t="s">
        <v>110</v>
      </c>
      <c r="F9" s="12" t="n">
        <v>2880</v>
      </c>
      <c r="G9" s="13" t="n">
        <v>33000</v>
      </c>
      <c r="H9" s="13" t="n">
        <v>1000</v>
      </c>
      <c r="I9" s="20" t="n">
        <f aca="false">G9+H9</f>
        <v>34000</v>
      </c>
      <c r="J9" s="12" t="s">
        <v>160</v>
      </c>
      <c r="K9" s="12" t="s">
        <v>161</v>
      </c>
      <c r="L9" s="12" t="s">
        <v>162</v>
      </c>
      <c r="M9" s="12"/>
    </row>
    <row r="10" customFormat="false" ht="15" hidden="false" customHeight="false" outlineLevel="0" collapsed="false">
      <c r="A10" s="11" t="n">
        <v>9</v>
      </c>
      <c r="B10" s="12" t="s">
        <v>113</v>
      </c>
      <c r="C10" s="12" t="s">
        <v>147</v>
      </c>
      <c r="D10" s="12" t="s">
        <v>63</v>
      </c>
      <c r="E10" s="12" t="s">
        <v>115</v>
      </c>
      <c r="F10" s="12" t="n">
        <v>2340</v>
      </c>
      <c r="G10" s="13" t="n">
        <v>24200</v>
      </c>
      <c r="H10" s="13" t="n">
        <v>800</v>
      </c>
      <c r="I10" s="20" t="n">
        <f aca="false">G10+H10</f>
        <v>25000</v>
      </c>
      <c r="J10" s="12" t="s">
        <v>160</v>
      </c>
      <c r="K10" s="12" t="s">
        <v>161</v>
      </c>
      <c r="L10" s="12" t="s">
        <v>162</v>
      </c>
      <c r="M10" s="12"/>
    </row>
    <row r="11" customFormat="false" ht="15" hidden="false" customHeight="false" outlineLevel="0" collapsed="false">
      <c r="A11" s="11" t="n">
        <v>10</v>
      </c>
      <c r="B11" s="12" t="s">
        <v>119</v>
      </c>
      <c r="C11" s="12" t="s">
        <v>141</v>
      </c>
      <c r="D11" s="12" t="s">
        <v>63</v>
      </c>
      <c r="E11" s="12" t="s">
        <v>120</v>
      </c>
      <c r="F11" s="12" t="n">
        <v>5565</v>
      </c>
      <c r="G11" s="13" t="n">
        <v>69500</v>
      </c>
      <c r="H11" s="13" t="n">
        <v>1500</v>
      </c>
      <c r="I11" s="20" t="n">
        <f aca="false">G11+H11</f>
        <v>71000</v>
      </c>
      <c r="J11" s="12" t="s">
        <v>160</v>
      </c>
      <c r="K11" s="12" t="s">
        <v>161</v>
      </c>
      <c r="L11" s="12" t="s">
        <v>162</v>
      </c>
      <c r="M11" s="12"/>
    </row>
    <row r="12" customFormat="false" ht="15" hidden="false" customHeight="false" outlineLevel="0" collapsed="false">
      <c r="A12" s="11" t="n">
        <v>11</v>
      </c>
      <c r="B12" s="12" t="s">
        <v>124</v>
      </c>
      <c r="C12" s="12" t="s">
        <v>141</v>
      </c>
      <c r="D12" s="12" t="s">
        <v>120</v>
      </c>
      <c r="E12" s="12" t="s">
        <v>63</v>
      </c>
      <c r="F12" s="12" t="n">
        <v>5565</v>
      </c>
      <c r="G12" s="13" t="n">
        <v>71000</v>
      </c>
      <c r="H12" s="13" t="n">
        <v>1500</v>
      </c>
      <c r="I12" s="20" t="n">
        <f aca="false">G12+H12</f>
        <v>72500</v>
      </c>
      <c r="J12" s="12" t="s">
        <v>160</v>
      </c>
      <c r="K12" s="12" t="s">
        <v>161</v>
      </c>
      <c r="L12" s="12" t="s">
        <v>162</v>
      </c>
      <c r="M12" s="12" t="s">
        <v>167</v>
      </c>
    </row>
    <row r="13" customFormat="false" ht="15" hidden="false" customHeight="false" outlineLevel="0" collapsed="false">
      <c r="A13" s="16" t="n">
        <v>12</v>
      </c>
      <c r="B13" s="12"/>
      <c r="C13" s="12"/>
      <c r="D13" s="12"/>
      <c r="E13" s="12"/>
      <c r="F13" s="12"/>
      <c r="G13" s="12"/>
      <c r="H13" s="12"/>
      <c r="I13" s="14" t="n">
        <f aca="false">G13+H13</f>
        <v>0</v>
      </c>
      <c r="J13" s="12"/>
      <c r="K13" s="12"/>
      <c r="L13" s="12"/>
      <c r="M13" s="12"/>
    </row>
    <row r="14" customFormat="false" ht="15" hidden="false" customHeight="false" outlineLevel="0" collapsed="false">
      <c r="A14" s="16" t="n">
        <v>13</v>
      </c>
      <c r="B14" s="12"/>
      <c r="C14" s="12"/>
      <c r="D14" s="12"/>
      <c r="E14" s="12"/>
      <c r="F14" s="12"/>
      <c r="G14" s="12"/>
      <c r="H14" s="12"/>
      <c r="I14" s="14" t="n">
        <f aca="false">G14+H14</f>
        <v>0</v>
      </c>
      <c r="J14" s="12"/>
      <c r="K14" s="12"/>
      <c r="L14" s="12"/>
      <c r="M14" s="12"/>
    </row>
    <row r="15" customFormat="false" ht="15" hidden="false" customHeight="false" outlineLevel="0" collapsed="false">
      <c r="A15" s="16" t="n">
        <v>14</v>
      </c>
      <c r="B15" s="12"/>
      <c r="C15" s="12"/>
      <c r="D15" s="12"/>
      <c r="E15" s="12"/>
      <c r="F15" s="12"/>
      <c r="G15" s="12"/>
      <c r="H15" s="12"/>
      <c r="I15" s="14" t="n">
        <f aca="false">G15+H15</f>
        <v>0</v>
      </c>
      <c r="J15" s="12"/>
      <c r="K15" s="12"/>
      <c r="L15" s="12"/>
      <c r="M15" s="12"/>
    </row>
    <row r="16" customFormat="false" ht="15" hidden="false" customHeight="false" outlineLevel="0" collapsed="false">
      <c r="A16" s="16" t="n">
        <v>15</v>
      </c>
      <c r="B16" s="12"/>
      <c r="C16" s="12"/>
      <c r="D16" s="12"/>
      <c r="E16" s="12"/>
      <c r="F16" s="12"/>
      <c r="G16" s="12"/>
      <c r="H16" s="12"/>
      <c r="I16" s="14" t="n">
        <f aca="false">G16+H16</f>
        <v>0</v>
      </c>
      <c r="J16" s="12"/>
      <c r="K16" s="12"/>
      <c r="L16" s="12"/>
      <c r="M16" s="12"/>
    </row>
    <row r="17" customFormat="false" ht="15" hidden="false" customHeight="false" outlineLevel="0" collapsed="false">
      <c r="A17" s="16" t="n">
        <v>16</v>
      </c>
      <c r="B17" s="12"/>
      <c r="C17" s="12"/>
      <c r="D17" s="12"/>
      <c r="E17" s="12"/>
      <c r="F17" s="12"/>
      <c r="G17" s="12"/>
      <c r="H17" s="12"/>
      <c r="I17" s="14" t="n">
        <f aca="false">G17+H17</f>
        <v>0</v>
      </c>
      <c r="J17" s="12"/>
      <c r="K17" s="12"/>
      <c r="L17" s="12"/>
      <c r="M17" s="12"/>
    </row>
    <row r="18" customFormat="false" ht="15" hidden="false" customHeight="false" outlineLevel="0" collapsed="false">
      <c r="A18" s="16" t="n">
        <v>17</v>
      </c>
      <c r="B18" s="12"/>
      <c r="C18" s="12"/>
      <c r="D18" s="12"/>
      <c r="E18" s="12"/>
      <c r="F18" s="12"/>
      <c r="G18" s="12"/>
      <c r="H18" s="12"/>
      <c r="I18" s="14" t="n">
        <f aca="false">G18+H18</f>
        <v>0</v>
      </c>
      <c r="J18" s="12"/>
      <c r="K18" s="12"/>
      <c r="L18" s="12"/>
      <c r="M18" s="12"/>
    </row>
    <row r="19" customFormat="false" ht="15" hidden="false" customHeight="false" outlineLevel="0" collapsed="false">
      <c r="A19" s="16" t="n">
        <v>18</v>
      </c>
      <c r="B19" s="12"/>
      <c r="C19" s="12"/>
      <c r="D19" s="12"/>
      <c r="E19" s="12"/>
      <c r="F19" s="12"/>
      <c r="G19" s="12"/>
      <c r="H19" s="12"/>
      <c r="I19" s="14" t="n">
        <f aca="false">G19+H19</f>
        <v>0</v>
      </c>
      <c r="J19" s="12"/>
      <c r="K19" s="12"/>
      <c r="L19" s="12"/>
      <c r="M19" s="12"/>
    </row>
    <row r="20" customFormat="false" ht="15" hidden="false" customHeight="false" outlineLevel="0" collapsed="false">
      <c r="A20" s="16" t="n">
        <v>19</v>
      </c>
      <c r="B20" s="12"/>
      <c r="C20" s="12"/>
      <c r="D20" s="12"/>
      <c r="E20" s="12"/>
      <c r="F20" s="12"/>
      <c r="G20" s="12"/>
      <c r="H20" s="12"/>
      <c r="I20" s="14" t="n">
        <f aca="false">G20+H20</f>
        <v>0</v>
      </c>
      <c r="J20" s="12"/>
      <c r="K20" s="12"/>
      <c r="L20" s="12"/>
      <c r="M20" s="12"/>
    </row>
    <row r="21" customFormat="false" ht="15" hidden="false" customHeight="false" outlineLevel="0" collapsed="false">
      <c r="A21" s="16" t="n">
        <v>20</v>
      </c>
      <c r="B21" s="12"/>
      <c r="C21" s="12"/>
      <c r="D21" s="12"/>
      <c r="E21" s="12"/>
      <c r="F21" s="12"/>
      <c r="G21" s="12"/>
      <c r="H21" s="12"/>
      <c r="I21" s="14" t="n">
        <f aca="false">G21+H21</f>
        <v>0</v>
      </c>
      <c r="J21" s="12"/>
      <c r="K21" s="12"/>
      <c r="L21" s="12"/>
      <c r="M21" s="12"/>
    </row>
    <row r="22" customFormat="false" ht="15" hidden="false" customHeight="false" outlineLevel="0" collapsed="false">
      <c r="A22" s="16" t="n">
        <v>21</v>
      </c>
      <c r="B22" s="12"/>
      <c r="C22" s="12"/>
      <c r="D22" s="12"/>
      <c r="E22" s="12"/>
      <c r="F22" s="12"/>
      <c r="G22" s="12"/>
      <c r="H22" s="12"/>
      <c r="I22" s="14" t="n">
        <f aca="false">G22+H22</f>
        <v>0</v>
      </c>
      <c r="J22" s="12"/>
      <c r="K22" s="12"/>
      <c r="L22" s="12"/>
      <c r="M22" s="12"/>
    </row>
    <row r="23" customFormat="false" ht="15" hidden="false" customHeight="false" outlineLevel="0" collapsed="false">
      <c r="A23" s="16" t="n">
        <v>22</v>
      </c>
      <c r="B23" s="12"/>
      <c r="C23" s="12"/>
      <c r="D23" s="12"/>
      <c r="E23" s="12"/>
      <c r="F23" s="12"/>
      <c r="G23" s="12"/>
      <c r="H23" s="12"/>
      <c r="I23" s="14" t="n">
        <f aca="false">G23+H23</f>
        <v>0</v>
      </c>
      <c r="J23" s="12"/>
      <c r="K23" s="12"/>
      <c r="L23" s="12"/>
      <c r="M23" s="12"/>
    </row>
    <row r="24" customFormat="false" ht="15" hidden="false" customHeight="false" outlineLevel="0" collapsed="false">
      <c r="A24" s="16" t="n">
        <v>23</v>
      </c>
      <c r="B24" s="12"/>
      <c r="C24" s="12"/>
      <c r="D24" s="12"/>
      <c r="E24" s="12"/>
      <c r="F24" s="12"/>
      <c r="G24" s="12"/>
      <c r="H24" s="12"/>
      <c r="I24" s="14" t="n">
        <f aca="false">G24+H24</f>
        <v>0</v>
      </c>
      <c r="J24" s="12"/>
      <c r="K24" s="12"/>
      <c r="L24" s="12"/>
      <c r="M2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6C6C"/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"/>
    <col collapsed="false" customWidth="true" hidden="false" outlineLevel="0" max="10" min="7" style="0" width="30"/>
  </cols>
  <sheetData>
    <row r="1" customFormat="false" ht="15" hidden="false" customHeight="false" outlineLevel="0" collapsed="false">
      <c r="A1" s="21" t="s">
        <v>168</v>
      </c>
      <c r="B1" s="21"/>
      <c r="C1" s="21"/>
      <c r="D1" s="21"/>
      <c r="E1" s="21"/>
      <c r="G1" s="21" t="s">
        <v>169</v>
      </c>
      <c r="H1" s="21"/>
      <c r="I1" s="21"/>
    </row>
    <row r="2" customFormat="false" ht="15" hidden="false" customHeight="false" outlineLevel="0" collapsed="false">
      <c r="A2" s="10" t="s">
        <v>170</v>
      </c>
      <c r="B2" s="10" t="s">
        <v>128</v>
      </c>
      <c r="C2" s="10" t="s">
        <v>171</v>
      </c>
      <c r="D2" s="10" t="s">
        <v>172</v>
      </c>
      <c r="E2" s="10" t="s">
        <v>17</v>
      </c>
      <c r="F2" s="10"/>
      <c r="G2" s="10" t="s">
        <v>173</v>
      </c>
      <c r="H2" s="10" t="s">
        <v>174</v>
      </c>
      <c r="I2" s="10" t="s">
        <v>175</v>
      </c>
    </row>
    <row r="3" customFormat="false" ht="15" hidden="false" customHeight="false" outlineLevel="0" collapsed="false">
      <c r="A3" s="22" t="s">
        <v>62</v>
      </c>
      <c r="B3" s="22" t="s">
        <v>141</v>
      </c>
      <c r="C3" s="22" t="s">
        <v>176</v>
      </c>
      <c r="D3" s="23" t="n">
        <v>253983</v>
      </c>
      <c r="E3" s="22" t="s">
        <v>177</v>
      </c>
      <c r="G3" s="22" t="s">
        <v>68</v>
      </c>
      <c r="H3" s="22" t="s">
        <v>178</v>
      </c>
      <c r="I3" s="22" t="s">
        <v>179</v>
      </c>
    </row>
    <row r="4" customFormat="false" ht="15" hidden="false" customHeight="false" outlineLevel="0" collapsed="false">
      <c r="A4" s="22" t="s">
        <v>71</v>
      </c>
      <c r="B4" s="22" t="s">
        <v>141</v>
      </c>
      <c r="C4" s="22" t="s">
        <v>176</v>
      </c>
      <c r="D4" s="23" t="n">
        <v>253983</v>
      </c>
      <c r="E4" s="22" t="s">
        <v>177</v>
      </c>
      <c r="G4" s="22" t="s">
        <v>160</v>
      </c>
      <c r="H4" s="22" t="s">
        <v>180</v>
      </c>
      <c r="I4" s="22" t="s">
        <v>181</v>
      </c>
    </row>
    <row r="5" customFormat="false" ht="15" hidden="false" customHeight="false" outlineLevel="0" collapsed="false">
      <c r="A5" s="22" t="s">
        <v>82</v>
      </c>
      <c r="B5" s="22" t="s">
        <v>146</v>
      </c>
      <c r="C5" s="22" t="s">
        <v>176</v>
      </c>
      <c r="D5" s="23" t="n">
        <v>141000</v>
      </c>
      <c r="E5" s="22" t="s">
        <v>177</v>
      </c>
      <c r="G5" s="22" t="s">
        <v>87</v>
      </c>
      <c r="H5" s="22" t="s">
        <v>182</v>
      </c>
      <c r="I5" s="22" t="s">
        <v>183</v>
      </c>
    </row>
    <row r="6" customFormat="false" ht="15" hidden="false" customHeight="false" outlineLevel="0" collapsed="false">
      <c r="A6" s="22" t="s">
        <v>109</v>
      </c>
      <c r="B6" s="22" t="s">
        <v>146</v>
      </c>
      <c r="C6" s="22" t="s">
        <v>176</v>
      </c>
      <c r="D6" s="23" t="n">
        <v>141000</v>
      </c>
      <c r="E6" s="22" t="s">
        <v>177</v>
      </c>
      <c r="G6" s="22" t="s">
        <v>98</v>
      </c>
      <c r="H6" s="22" t="s">
        <v>184</v>
      </c>
      <c r="I6" s="22" t="s">
        <v>185</v>
      </c>
    </row>
    <row r="7" customFormat="false" ht="15" hidden="false" customHeight="false" outlineLevel="0" collapsed="false">
      <c r="A7" s="22" t="s">
        <v>76</v>
      </c>
      <c r="B7" s="22" t="s">
        <v>141</v>
      </c>
      <c r="C7" s="22" t="s">
        <v>176</v>
      </c>
      <c r="D7" s="23" t="n">
        <v>253983</v>
      </c>
      <c r="E7" s="22" t="s">
        <v>177</v>
      </c>
    </row>
    <row r="8" customFormat="false" ht="15" hidden="false" customHeight="false" outlineLevel="0" collapsed="false">
      <c r="A8" s="22" t="s">
        <v>90</v>
      </c>
      <c r="B8" s="22" t="s">
        <v>147</v>
      </c>
      <c r="C8" s="22" t="s">
        <v>186</v>
      </c>
      <c r="D8" s="23" t="n">
        <v>181280</v>
      </c>
      <c r="E8" s="22" t="s">
        <v>177</v>
      </c>
      <c r="G8" s="21" t="s">
        <v>187</v>
      </c>
      <c r="H8" s="21"/>
      <c r="I8" s="21"/>
      <c r="J8" s="21"/>
    </row>
    <row r="9" customFormat="false" ht="15" hidden="false" customHeight="false" outlineLevel="0" collapsed="false">
      <c r="A9" s="10" t="s">
        <v>102</v>
      </c>
      <c r="B9" s="10" t="s">
        <v>148</v>
      </c>
      <c r="C9" s="10" t="s">
        <v>186</v>
      </c>
      <c r="D9" s="24" t="n">
        <v>26020</v>
      </c>
      <c r="E9" s="10" t="s">
        <v>177</v>
      </c>
      <c r="F9" s="10"/>
      <c r="G9" s="10" t="s">
        <v>188</v>
      </c>
      <c r="H9" s="10" t="s">
        <v>17</v>
      </c>
      <c r="I9" s="10" t="s">
        <v>189</v>
      </c>
      <c r="J9" s="10" t="s">
        <v>190</v>
      </c>
    </row>
    <row r="10" customFormat="false" ht="15" hidden="false" customHeight="false" outlineLevel="0" collapsed="false">
      <c r="A10" s="22" t="s">
        <v>114</v>
      </c>
      <c r="B10" s="22" t="s">
        <v>147</v>
      </c>
      <c r="C10" s="22" t="s">
        <v>186</v>
      </c>
      <c r="D10" s="23" t="n">
        <v>181280</v>
      </c>
      <c r="E10" s="22" t="s">
        <v>177</v>
      </c>
      <c r="G10" s="25" t="s">
        <v>191</v>
      </c>
      <c r="H10" s="25" t="s">
        <v>192</v>
      </c>
      <c r="I10" s="25" t="s">
        <v>193</v>
      </c>
      <c r="J10" s="25" t="s">
        <v>194</v>
      </c>
    </row>
    <row r="11" customFormat="false" ht="15" hidden="false" customHeight="false" outlineLevel="0" collapsed="false">
      <c r="G11" s="26" t="s">
        <v>195</v>
      </c>
      <c r="H11" s="26" t="s">
        <v>196</v>
      </c>
      <c r="I11" s="26" t="s">
        <v>197</v>
      </c>
      <c r="J11" s="26" t="s">
        <v>198</v>
      </c>
    </row>
    <row r="12" customFormat="false" ht="15" hidden="false" customHeight="false" outlineLevel="0" collapsed="false">
      <c r="G12" s="27" t="s">
        <v>199</v>
      </c>
      <c r="H12" s="27" t="s">
        <v>200</v>
      </c>
      <c r="I12" s="27" t="s">
        <v>201</v>
      </c>
      <c r="J12" s="27" t="s">
        <v>202</v>
      </c>
    </row>
    <row r="13" customFormat="false" ht="15" hidden="false" customHeight="false" outlineLevel="0" collapsed="false">
      <c r="A13" s="21" t="s">
        <v>203</v>
      </c>
      <c r="B13" s="21"/>
      <c r="C13" s="21"/>
      <c r="D13" s="21"/>
      <c r="E13" s="21"/>
      <c r="G13" s="28" t="s">
        <v>204</v>
      </c>
      <c r="H13" s="28" t="s">
        <v>205</v>
      </c>
      <c r="I13" s="28" t="s">
        <v>206</v>
      </c>
      <c r="J13" s="28" t="s">
        <v>207</v>
      </c>
    </row>
    <row r="14" customFormat="false" ht="15" hidden="false" customHeight="false" outlineLevel="0" collapsed="false">
      <c r="A14" s="10" t="s">
        <v>208</v>
      </c>
      <c r="B14" s="10" t="s">
        <v>209</v>
      </c>
      <c r="C14" s="10" t="s">
        <v>210</v>
      </c>
      <c r="D14" s="10" t="s">
        <v>211</v>
      </c>
      <c r="E14" s="10" t="s">
        <v>212</v>
      </c>
    </row>
    <row r="15" customFormat="false" ht="15" hidden="false" customHeight="false" outlineLevel="0" collapsed="false">
      <c r="A15" s="22" t="s">
        <v>63</v>
      </c>
      <c r="B15" s="22" t="s">
        <v>213</v>
      </c>
      <c r="C15" s="22" t="s">
        <v>214</v>
      </c>
      <c r="D15" s="22" t="s">
        <v>215</v>
      </c>
      <c r="E15" s="22" t="s">
        <v>216</v>
      </c>
      <c r="G15" s="21" t="s">
        <v>217</v>
      </c>
      <c r="H15" s="21"/>
      <c r="I15" s="21"/>
    </row>
    <row r="16" customFormat="false" ht="15" hidden="false" customHeight="false" outlineLevel="0" collapsed="false">
      <c r="A16" s="10" t="s">
        <v>64</v>
      </c>
      <c r="B16" s="10" t="s">
        <v>218</v>
      </c>
      <c r="C16" s="10" t="s">
        <v>219</v>
      </c>
      <c r="D16" s="10" t="s">
        <v>220</v>
      </c>
      <c r="E16" s="10" t="s">
        <v>221</v>
      </c>
      <c r="F16" s="10"/>
      <c r="G16" s="10" t="s">
        <v>173</v>
      </c>
      <c r="H16" s="10" t="s">
        <v>174</v>
      </c>
      <c r="I16" s="10" t="s">
        <v>222</v>
      </c>
    </row>
    <row r="17" customFormat="false" ht="15" hidden="false" customHeight="false" outlineLevel="0" collapsed="false">
      <c r="A17" s="22" t="s">
        <v>77</v>
      </c>
      <c r="B17" s="22" t="s">
        <v>223</v>
      </c>
      <c r="C17" s="22" t="s">
        <v>224</v>
      </c>
      <c r="D17" s="22" t="s">
        <v>225</v>
      </c>
      <c r="E17" s="22" t="s">
        <v>226</v>
      </c>
      <c r="G17" s="22" t="s">
        <v>227</v>
      </c>
      <c r="H17" s="22" t="s">
        <v>228</v>
      </c>
      <c r="I17" s="22" t="s">
        <v>229</v>
      </c>
    </row>
    <row r="18" customFormat="false" ht="15" hidden="false" customHeight="false" outlineLevel="0" collapsed="false">
      <c r="A18" s="22" t="s">
        <v>120</v>
      </c>
      <c r="B18" s="22" t="s">
        <v>230</v>
      </c>
      <c r="C18" s="22" t="s">
        <v>231</v>
      </c>
      <c r="D18" s="22" t="s">
        <v>232</v>
      </c>
      <c r="E18" s="22" t="s">
        <v>233</v>
      </c>
      <c r="G18" s="22" t="s">
        <v>234</v>
      </c>
      <c r="H18" s="22" t="s">
        <v>235</v>
      </c>
      <c r="I18" s="22" t="s">
        <v>236</v>
      </c>
    </row>
    <row r="19" customFormat="false" ht="15" hidden="false" customHeight="false" outlineLevel="0" collapsed="false">
      <c r="A19" s="22" t="s">
        <v>72</v>
      </c>
      <c r="B19" s="22" t="s">
        <v>237</v>
      </c>
      <c r="C19" s="22" t="s">
        <v>238</v>
      </c>
      <c r="D19" s="22" t="s">
        <v>239</v>
      </c>
      <c r="E19" s="22" t="s">
        <v>240</v>
      </c>
      <c r="G19" s="22" t="s">
        <v>241</v>
      </c>
      <c r="H19" s="22" t="s">
        <v>242</v>
      </c>
      <c r="I19" s="22" t="s">
        <v>243</v>
      </c>
    </row>
    <row r="20" customFormat="false" ht="15" hidden="false" customHeight="false" outlineLevel="0" collapsed="false">
      <c r="A20" s="22" t="s">
        <v>83</v>
      </c>
      <c r="B20" s="22" t="s">
        <v>244</v>
      </c>
      <c r="C20" s="22" t="s">
        <v>245</v>
      </c>
      <c r="D20" s="22" t="s">
        <v>246</v>
      </c>
      <c r="E20" s="22" t="s">
        <v>247</v>
      </c>
      <c r="G20" s="22" t="s">
        <v>248</v>
      </c>
      <c r="H20" s="22" t="s">
        <v>249</v>
      </c>
      <c r="I20" s="22" t="s">
        <v>250</v>
      </c>
    </row>
    <row r="21" customFormat="false" ht="15" hidden="false" customHeight="false" outlineLevel="0" collapsed="false">
      <c r="A21" s="22" t="s">
        <v>110</v>
      </c>
      <c r="B21" s="22" t="s">
        <v>251</v>
      </c>
      <c r="C21" s="22" t="s">
        <v>252</v>
      </c>
      <c r="D21" s="22" t="s">
        <v>246</v>
      </c>
      <c r="E21" s="22" t="s">
        <v>247</v>
      </c>
      <c r="G21" s="22" t="s">
        <v>253</v>
      </c>
      <c r="H21" s="22" t="s">
        <v>254</v>
      </c>
      <c r="I21" s="22" t="s">
        <v>255</v>
      </c>
    </row>
    <row r="22" customFormat="false" ht="15" hidden="false" customHeight="false" outlineLevel="0" collapsed="false">
      <c r="A22" s="22" t="s">
        <v>91</v>
      </c>
      <c r="B22" s="22" t="s">
        <v>256</v>
      </c>
      <c r="C22" s="22" t="s">
        <v>257</v>
      </c>
      <c r="D22" s="22" t="s">
        <v>258</v>
      </c>
      <c r="E22" s="22" t="s">
        <v>259</v>
      </c>
      <c r="G22" s="22" t="s">
        <v>260</v>
      </c>
      <c r="H22" s="22" t="s">
        <v>261</v>
      </c>
      <c r="I22" s="22" t="s">
        <v>262</v>
      </c>
    </row>
    <row r="23" customFormat="false" ht="15" hidden="false" customHeight="false" outlineLevel="0" collapsed="false">
      <c r="A23" s="22" t="s">
        <v>115</v>
      </c>
      <c r="B23" s="22" t="s">
        <v>263</v>
      </c>
      <c r="C23" s="22" t="s">
        <v>264</v>
      </c>
      <c r="D23" s="22" t="s">
        <v>265</v>
      </c>
      <c r="E23" s="22" t="s">
        <v>259</v>
      </c>
    </row>
    <row r="24" customFormat="false" ht="15" hidden="false" customHeight="false" outlineLevel="0" collapsed="false">
      <c r="A24" s="22" t="s">
        <v>103</v>
      </c>
      <c r="B24" s="22" t="s">
        <v>266</v>
      </c>
      <c r="C24" s="22" t="s">
        <v>267</v>
      </c>
      <c r="D24" s="22" t="s">
        <v>268</v>
      </c>
      <c r="E24" s="22" t="s">
        <v>269</v>
      </c>
    </row>
  </sheetData>
  <mergeCells count="5">
    <mergeCell ref="A1:E1"/>
    <mergeCell ref="G1:I1"/>
    <mergeCell ref="G8:J8"/>
    <mergeCell ref="A13:E13"/>
    <mergeCell ref="G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2F2F"/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35"/>
    <col collapsed="false" customWidth="true" hidden="false" outlineLevel="0" max="10" min="10" style="0" width="8"/>
  </cols>
  <sheetData>
    <row r="1" customFormat="false" ht="39.75" hidden="false" customHeight="true" outlineLevel="0" collapsed="false">
      <c r="A1" s="10" t="s">
        <v>270</v>
      </c>
      <c r="B1" s="10" t="s">
        <v>271</v>
      </c>
      <c r="C1" s="10" t="s">
        <v>272</v>
      </c>
      <c r="D1" s="10" t="s">
        <v>273</v>
      </c>
      <c r="E1" s="10" t="s">
        <v>274</v>
      </c>
      <c r="F1" s="10" t="s">
        <v>275</v>
      </c>
      <c r="G1" s="10" t="s">
        <v>276</v>
      </c>
      <c r="H1" s="10" t="s">
        <v>277</v>
      </c>
      <c r="I1" s="10" t="s">
        <v>278</v>
      </c>
      <c r="J1" s="10" t="s">
        <v>175</v>
      </c>
    </row>
    <row r="2" customFormat="false" ht="99.75" hidden="false" customHeight="true" outlineLevel="0" collapsed="false">
      <c r="A2" s="8" t="n">
        <v>1</v>
      </c>
      <c r="B2" s="8" t="s">
        <v>279</v>
      </c>
      <c r="C2" s="8" t="s">
        <v>280</v>
      </c>
      <c r="D2" s="8" t="s">
        <v>22</v>
      </c>
      <c r="E2" s="8" t="s">
        <v>281</v>
      </c>
      <c r="F2" s="8" t="s">
        <v>282</v>
      </c>
      <c r="G2" s="8" t="s">
        <v>283</v>
      </c>
      <c r="H2" s="8" t="s">
        <v>284</v>
      </c>
      <c r="I2" s="8" t="s">
        <v>285</v>
      </c>
      <c r="J2" s="8" t="s">
        <v>286</v>
      </c>
    </row>
    <row r="3" customFormat="false" ht="99.75" hidden="false" customHeight="true" outlineLevel="0" collapsed="false">
      <c r="A3" s="8" t="n">
        <v>2</v>
      </c>
      <c r="B3" s="8" t="s">
        <v>287</v>
      </c>
      <c r="C3" s="8" t="s">
        <v>288</v>
      </c>
      <c r="D3" s="8" t="s">
        <v>22</v>
      </c>
      <c r="E3" s="8" t="s">
        <v>289</v>
      </c>
      <c r="F3" s="8" t="s">
        <v>290</v>
      </c>
      <c r="G3" s="8" t="s">
        <v>291</v>
      </c>
      <c r="H3" s="8" t="s">
        <v>292</v>
      </c>
      <c r="I3" s="8" t="s">
        <v>293</v>
      </c>
      <c r="J3" s="8" t="s">
        <v>286</v>
      </c>
    </row>
    <row r="4" customFormat="false" ht="99.75" hidden="false" customHeight="true" outlineLevel="0" collapsed="false">
      <c r="A4" s="8" t="n">
        <v>3</v>
      </c>
      <c r="B4" s="8" t="s">
        <v>294</v>
      </c>
      <c r="C4" s="8" t="s">
        <v>295</v>
      </c>
      <c r="D4" s="8" t="s">
        <v>22</v>
      </c>
      <c r="E4" s="8" t="s">
        <v>296</v>
      </c>
      <c r="F4" s="8" t="s">
        <v>297</v>
      </c>
      <c r="G4" s="8" t="s">
        <v>298</v>
      </c>
      <c r="H4" s="8" t="s">
        <v>299</v>
      </c>
      <c r="I4" s="8" t="s">
        <v>300</v>
      </c>
      <c r="J4" s="8" t="s">
        <v>286</v>
      </c>
    </row>
    <row r="5" customFormat="false" ht="99.75" hidden="false" customHeight="true" outlineLevel="0" collapsed="false">
      <c r="A5" s="8" t="n">
        <v>4</v>
      </c>
      <c r="B5" s="8" t="s">
        <v>301</v>
      </c>
      <c r="C5" s="8" t="s">
        <v>302</v>
      </c>
      <c r="D5" s="8" t="s">
        <v>22</v>
      </c>
      <c r="E5" s="8" t="s">
        <v>303</v>
      </c>
      <c r="F5" s="8" t="s">
        <v>304</v>
      </c>
      <c r="G5" s="8" t="s">
        <v>305</v>
      </c>
      <c r="H5" s="8" t="s">
        <v>306</v>
      </c>
      <c r="I5" s="8" t="s">
        <v>307</v>
      </c>
      <c r="J5" s="8" t="s">
        <v>286</v>
      </c>
    </row>
    <row r="6" customFormat="false" ht="99.75" hidden="false" customHeight="true" outlineLevel="0" collapsed="false">
      <c r="A6" s="8" t="n">
        <v>5</v>
      </c>
      <c r="B6" s="8" t="s">
        <v>308</v>
      </c>
      <c r="C6" s="8" t="s">
        <v>309</v>
      </c>
      <c r="D6" s="8" t="s">
        <v>22</v>
      </c>
      <c r="E6" s="8" t="s">
        <v>310</v>
      </c>
      <c r="F6" s="8" t="s">
        <v>311</v>
      </c>
      <c r="G6" s="8" t="s">
        <v>312</v>
      </c>
      <c r="H6" s="8" t="s">
        <v>313</v>
      </c>
      <c r="I6" s="8" t="s">
        <v>314</v>
      </c>
      <c r="J6" s="8" t="s">
        <v>286</v>
      </c>
    </row>
    <row r="7" customFormat="false" ht="99.75" hidden="false" customHeight="true" outlineLevel="0" collapsed="false">
      <c r="A7" s="8" t="n">
        <v>6</v>
      </c>
      <c r="B7" s="8" t="s">
        <v>315</v>
      </c>
      <c r="C7" s="8" t="s">
        <v>316</v>
      </c>
      <c r="D7" s="8" t="s">
        <v>317</v>
      </c>
      <c r="E7" s="8" t="s">
        <v>318</v>
      </c>
      <c r="F7" s="8" t="s">
        <v>319</v>
      </c>
      <c r="G7" s="8" t="s">
        <v>320</v>
      </c>
      <c r="H7" s="8" t="s">
        <v>321</v>
      </c>
      <c r="I7" s="8" t="s">
        <v>322</v>
      </c>
      <c r="J7" s="8" t="s">
        <v>286</v>
      </c>
    </row>
    <row r="8" customFormat="false" ht="99.75" hidden="false" customHeight="true" outlineLevel="0" collapsed="false">
      <c r="A8" s="8" t="n">
        <v>7</v>
      </c>
      <c r="B8" s="8" t="s">
        <v>323</v>
      </c>
      <c r="C8" s="8" t="s">
        <v>324</v>
      </c>
      <c r="D8" s="8" t="s">
        <v>317</v>
      </c>
      <c r="E8" s="8" t="s">
        <v>325</v>
      </c>
      <c r="F8" s="8" t="s">
        <v>326</v>
      </c>
      <c r="G8" s="8" t="s">
        <v>327</v>
      </c>
      <c r="H8" s="8" t="s">
        <v>328</v>
      </c>
      <c r="I8" s="8" t="s">
        <v>329</v>
      </c>
      <c r="J8" s="8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2026-03-23T02:47:38Z</dcterms:created>
  <dc:creator>openpyxl</dc:creator>
  <dc:description/>
  <dc:language>en-US</dc:language>
  <cp:lastModifiedBy/>
  <dcterms:modified xsi:type="dcterms:W3CDTF">2026-03-23T02:47:38Z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