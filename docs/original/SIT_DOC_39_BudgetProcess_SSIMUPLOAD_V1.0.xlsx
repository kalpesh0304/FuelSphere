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codeName="ThisWorkbook"/>
  <mc:AlternateContent xmlns:mc="http://schemas.openxmlformats.org/markup-compatibility/2006">
    <mc:Choice Requires="x15">
      <x15ac:absPath xmlns:x15ac="http://schemas.microsoft.com/office/spreadsheetml/2010/11/ac" url="C:\Users\Diligent Guest\Desktop\Etihad\TestScripts_Blank\SIT\"/>
    </mc:Choice>
  </mc:AlternateContent>
  <xr:revisionPtr revIDLastSave="0" documentId="13_ncr:1_{A95DCA08-1106-4395-ADC7-CC1980AFF7CF}" xr6:coauthVersionLast="45" xr6:coauthVersionMax="45" xr10:uidLastSave="{00000000-0000-0000-0000-000000000000}"/>
  <bookViews>
    <workbookView xWindow="-120" yWindow="-120" windowWidth="20730" windowHeight="11160" tabRatio="845" activeTab="2" xr2:uid="{00000000-000D-0000-FFFF-FFFF00000000}"/>
  </bookViews>
  <sheets>
    <sheet name="Test Case Information" sheetId="2" r:id="rId1"/>
    <sheet name="ECC_Steps" sheetId="44" state="hidden" r:id="rId2"/>
    <sheet name="ECC" sheetId="52" r:id="rId3"/>
    <sheet name="39.1.1 to 39.1.18" sheetId="45" r:id="rId4"/>
    <sheet name="Test Conditions" sheetId="39" r:id="rId5"/>
    <sheet name="SIT_Issues" sheetId="50" r:id="rId6"/>
    <sheet name="Lookup Values" sheetId="15" state="hidden" r:id="rId7"/>
    <sheet name="Sheet1" sheetId="10" state="hidden" r:id="rId8"/>
  </sheets>
  <externalReferences>
    <externalReference r:id="rId9"/>
    <externalReference r:id="rId10"/>
    <externalReference r:id="rId11"/>
  </externalReferences>
  <definedNames>
    <definedName name="_xlnm._FilterDatabase" localSheetId="4" hidden="1">'Test Conditions'!$A$1:$AA$21</definedName>
    <definedName name="lst_PassFail" localSheetId="2">'[1]Lookup Values'!$A$3:$A$5</definedName>
    <definedName name="lst_PassFail" localSheetId="1">'[2]Lookup Values'!$A$3:$A$5</definedName>
    <definedName name="lst_PassFail" localSheetId="5">'[3]Lookup Values'!$A$3:$A$5</definedName>
    <definedName name="lst_PassFail">'Lookup Values'!$A$3:$A$5</definedName>
    <definedName name="lst_Status" localSheetId="2">'[1]Lookup Values'!$C$3:$C$7</definedName>
    <definedName name="lst_Status" localSheetId="1">'[2]Lookup Values'!$C$3:$C$7</definedName>
    <definedName name="lst_Status" localSheetId="5">'[3]Lookup Values'!$C$3:$C$7</definedName>
    <definedName name="lst_Status">'Lookup Values'!$C$3:$C$7</definedName>
  </definedNames>
  <calcPr calcId="181029"/>
  <customWorkbookViews>
    <customWorkbookView name="malharao.mujumdar - Personal View" guid="{1F7F0D89-116A-47E0-AC3A-B919DFD8E13D}" mergeInterval="0" personalView="1" maximized="1" xWindow="1" yWindow="1" windowWidth="1020" windowHeight="543" tabRatio="741" activeSheetId="1"/>
    <customWorkbookView name="Accenture - Personal View" guid="{07598AF1-CDB5-45A8-8A7B-EDC11378B741}" mergeInterval="0" personalView="1" maximized="1" windowWidth="1020" windowHeight="592" tabRatio="741" activeSheetId="4"/>
    <customWorkbookView name="payal.bhatia - Personal View" guid="{E99FA451-3917-47EB-A521-5323E48A68AA}" mergeInterval="0" personalView="1" maximized="1" windowWidth="1276" windowHeight="598" tabRatio="741" activeSheetId="3"/>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4" i="52" l="1"/>
  <c r="G3" i="52"/>
  <c r="G2" i="52"/>
  <c r="C4" i="52"/>
  <c r="C3" i="52"/>
  <c r="C2" i="52"/>
  <c r="K2" i="44" l="1"/>
  <c r="B2" i="44"/>
  <c r="F4" i="44"/>
  <c r="F3" i="44"/>
  <c r="F2" i="44"/>
  <c r="B4" i="44"/>
  <c r="B3" i="44"/>
</calcChain>
</file>

<file path=xl/sharedStrings.xml><?xml version="1.0" encoding="utf-8"?>
<sst xmlns="http://schemas.openxmlformats.org/spreadsheetml/2006/main" count="1278" uniqueCount="438">
  <si>
    <t>Comments</t>
  </si>
  <si>
    <t>Test Case Description:</t>
  </si>
  <si>
    <t>Date Reviewed:</t>
  </si>
  <si>
    <t>Reviewed By:</t>
  </si>
  <si>
    <t>Executed By:</t>
  </si>
  <si>
    <t>Test Case Name:</t>
  </si>
  <si>
    <t>Version</t>
  </si>
  <si>
    <t>Version details</t>
  </si>
  <si>
    <t>Date</t>
  </si>
  <si>
    <t>Document Information</t>
  </si>
  <si>
    <t>Location</t>
  </si>
  <si>
    <t>Owning Team</t>
  </si>
  <si>
    <t>Contributing Team(s)</t>
  </si>
  <si>
    <t>Document History</t>
  </si>
  <si>
    <t>Author(s)</t>
  </si>
  <si>
    <t>Document Review</t>
  </si>
  <si>
    <t>Name</t>
  </si>
  <si>
    <t>Position</t>
  </si>
  <si>
    <t>Action</t>
  </si>
  <si>
    <t>Document Summary</t>
  </si>
  <si>
    <t>Short Description</t>
  </si>
  <si>
    <t>Related Documents</t>
  </si>
  <si>
    <t>Related Business Process(s):</t>
  </si>
  <si>
    <t>Document Details</t>
  </si>
  <si>
    <t>Version Details</t>
  </si>
  <si>
    <t>Document Control</t>
  </si>
  <si>
    <t>Expected Results</t>
  </si>
  <si>
    <t>Date Tested:</t>
  </si>
  <si>
    <t>Passed</t>
  </si>
  <si>
    <t>Failed</t>
  </si>
  <si>
    <t>Procedure</t>
  </si>
  <si>
    <t>Input Data</t>
  </si>
  <si>
    <t>Pass/Fail</t>
  </si>
  <si>
    <t>Pass / Fail</t>
  </si>
  <si>
    <t>Partial Pass</t>
  </si>
  <si>
    <t>Test Status</t>
  </si>
  <si>
    <t>Not Started</t>
  </si>
  <si>
    <t>In Progress</t>
  </si>
  <si>
    <t>Completed</t>
  </si>
  <si>
    <t>Execution Status</t>
  </si>
  <si>
    <t>Test Case Name</t>
  </si>
  <si>
    <t>Test Case Description</t>
  </si>
  <si>
    <t>Test Case ID</t>
  </si>
  <si>
    <t>Actual Result</t>
  </si>
  <si>
    <t>Test Scenario Name:</t>
  </si>
  <si>
    <t>Test Scenario Description:</t>
  </si>
  <si>
    <t>Test Case ID:</t>
  </si>
  <si>
    <t>Defect Number</t>
  </si>
  <si>
    <t>Testing Script Executed By:</t>
  </si>
  <si>
    <t>Test Scenario Name</t>
  </si>
  <si>
    <t>Test Scenario Description</t>
  </si>
  <si>
    <t>Level 2 Process</t>
  </si>
  <si>
    <t>ECC</t>
  </si>
  <si>
    <t>Functional Area and Level 2 Process:</t>
  </si>
  <si>
    <t>System (ECC, PI, MW, 3rd Party System)</t>
  </si>
  <si>
    <t xml:space="preserve">Transaction Code </t>
  </si>
  <si>
    <t>N.A.</t>
  </si>
  <si>
    <t>1.0</t>
  </si>
  <si>
    <t>First draft</t>
  </si>
  <si>
    <t>Condition Covered</t>
  </si>
  <si>
    <t>Business Process (Level 3)</t>
  </si>
  <si>
    <t>Test Scenarios</t>
  </si>
  <si>
    <t>Test Scenario Code</t>
  </si>
  <si>
    <t>T Code</t>
  </si>
  <si>
    <t>Number of Conditions</t>
  </si>
  <si>
    <t>Test Condition Description</t>
  </si>
  <si>
    <t>Script Writing Effort</t>
  </si>
  <si>
    <t>SAP Module</t>
  </si>
  <si>
    <t>3rd Party Interface</t>
  </si>
  <si>
    <t>RIEFW IDs</t>
  </si>
  <si>
    <t>Conversion ID</t>
  </si>
  <si>
    <t>SIT-2</t>
  </si>
  <si>
    <t>SIT-3</t>
  </si>
  <si>
    <t>Complexity</t>
  </si>
  <si>
    <t>ECC / Ariba  /SF Integrated Scenario ID</t>
  </si>
  <si>
    <t>Candidate for Automation for Product Test Regression</t>
  </si>
  <si>
    <t>Script Execution Effort</t>
  </si>
  <si>
    <t>Planned Start Date</t>
  </si>
  <si>
    <t>Planned End Date</t>
  </si>
  <si>
    <t>Actual Start Date</t>
  </si>
  <si>
    <t>Actual End Date</t>
  </si>
  <si>
    <t>Medium</t>
  </si>
  <si>
    <t>N.A</t>
  </si>
  <si>
    <t>GPO/EY POC</t>
  </si>
  <si>
    <t xml:space="preserve">Ajesh </t>
  </si>
  <si>
    <t>SAP-Direct Operating Costs</t>
  </si>
  <si>
    <t>Ajesh</t>
  </si>
  <si>
    <t>BP310 Direct Operating Costs</t>
  </si>
  <si>
    <t>ZFIN_DOC_RM</t>
  </si>
  <si>
    <t>execute the transactions and the relevant rate master screen should be shown based on the role defined</t>
  </si>
  <si>
    <t>DOC</t>
  </si>
  <si>
    <t xml:space="preserve"> SAP DOC-Direct Operating Costs</t>
  </si>
  <si>
    <t>SAP DOC-Direct Operating Costs</t>
  </si>
  <si>
    <t>Enter transaction code for rate master maintenance</t>
  </si>
  <si>
    <t>Rate master maintenance screen</t>
  </si>
  <si>
    <t>Choose the rate master upload option</t>
  </si>
  <si>
    <t>Master Data Create -NEW -RATE MASTER</t>
  </si>
  <si>
    <t xml:space="preserve">Select the radio button for Manual Maintenance (Create) </t>
  </si>
  <si>
    <t>Rate Type - A</t>
  </si>
  <si>
    <t>Relevant Rate type Parameter is selected</t>
  </si>
  <si>
    <t>Relevant Station Code Parameter is selected</t>
  </si>
  <si>
    <t>Relevant Outline Agreement number is selected</t>
  </si>
  <si>
    <t>Choose Outline Agreement  - 06200000007</t>
  </si>
  <si>
    <t>SIT_DOC_23</t>
  </si>
  <si>
    <t>SIT Status (Pass/Fail)</t>
  </si>
  <si>
    <t>Test case</t>
  </si>
  <si>
    <t>Test Condition / Steps</t>
  </si>
  <si>
    <t>Test condition</t>
  </si>
  <si>
    <t>Test Case Code</t>
  </si>
  <si>
    <t>Chamy</t>
  </si>
  <si>
    <t>SIT-1</t>
  </si>
  <si>
    <t>Requirement ID / Test Scenario</t>
  </si>
  <si>
    <t>2. Contract Management</t>
  </si>
  <si>
    <t>Step No.</t>
  </si>
  <si>
    <t xml:space="preserve">Select Rate Type  press "F4" - Choose  "A"  Parameter  - press               </t>
  </si>
  <si>
    <t xml:space="preserve">Select Station code press "F4" - Choose  Station Code  Parameter  - 
press Enter               </t>
  </si>
  <si>
    <t>Select Outline Agreement  press "F4" - Choose  Outline Agreement number -  press Enter (if Applicable)</t>
  </si>
  <si>
    <t>Select Outline Agreement   Item press "F4" - Choose  Outline Agreement Item     
-  press Enter (If applicable)</t>
  </si>
  <si>
    <t>Choose Outline Agreement  item - 020</t>
  </si>
  <si>
    <t>Relevant Outline Agreement item is selected</t>
  </si>
  <si>
    <t>Select Begin Date from Calendar</t>
  </si>
  <si>
    <t>Enter Date - 01.03.2019</t>
  </si>
  <si>
    <t>Enter Valid Begin Date</t>
  </si>
  <si>
    <t>Valid Date is Entered</t>
  </si>
  <si>
    <t>Select End Date from Calendar</t>
  </si>
  <si>
    <t>Enter Date - 31.12.2019</t>
  </si>
  <si>
    <t>Enter Valid End Date</t>
  </si>
  <si>
    <t xml:space="preserve">Select Charges Applied on - Press F4 - Choose Charges Applied on </t>
  </si>
  <si>
    <t>Choose Charges Applied on - AR</t>
  </si>
  <si>
    <t>Relevant Charges Applied on is selected</t>
  </si>
  <si>
    <t xml:space="preserve">Select Service ID  press "F4" - Choose  Service ID    -  press Enter               </t>
  </si>
  <si>
    <t>Choose Service ID  - 60000519</t>
  </si>
  <si>
    <t>Relevant Service ID is selected</t>
  </si>
  <si>
    <t xml:space="preserve">Select Service Type press "F4" - Choose  Service Type  -  press Enter               </t>
  </si>
  <si>
    <t>Choose Service Type  - J</t>
  </si>
  <si>
    <t>Relevant Service Type is selected</t>
  </si>
  <si>
    <t xml:space="preserve">Select Passenger/Freighter press "F4" - Choose  Passenger/Freighter  -  press Enter               </t>
  </si>
  <si>
    <t>Choose Passenger/Freighter  - PA</t>
  </si>
  <si>
    <t>Relevant Passenger/Freighter is selected</t>
  </si>
  <si>
    <t xml:space="preserve">Select Tail Number press "F4" - Choose  Tail Number (If applicable) -  press Enter               </t>
  </si>
  <si>
    <t>Choose Tail Number  - A6AFE</t>
  </si>
  <si>
    <t>Relevant Tail Number is selected</t>
  </si>
  <si>
    <t xml:space="preserve">Based on Tail Number, Aircraft Type is automatically filled - Press Enter in Tail Number field                 </t>
  </si>
  <si>
    <t>Aircraft Type - 321 (filled based on Tail Number</t>
  </si>
  <si>
    <t>Relevant Aircraft Type is filled based on Tail Number</t>
  </si>
  <si>
    <t xml:space="preserve">Based on Tail Number, Aircraft Family is automatically filled - Press Enter in Tail Number field                 </t>
  </si>
  <si>
    <t>Aircraft Family - 320 (filled based on Tail Number</t>
  </si>
  <si>
    <t>Relevant Aircraft Family is filled based on Tail Number</t>
  </si>
  <si>
    <t xml:space="preserve">Based on Tail Number, Body Type is automatically filled - Press Enter in Tail Number field                 </t>
  </si>
  <si>
    <t>Body Type - NB (filled based on Tail Number</t>
  </si>
  <si>
    <t>Relevant Body Type is filled based on Tail Number</t>
  </si>
  <si>
    <t xml:space="preserve">Select Sector press "F4" - Choose  Sector (If applicable) -  press Enter               </t>
  </si>
  <si>
    <t>Choose Sector  - LHRAUH</t>
  </si>
  <si>
    <t>Relevant Sector is selected</t>
  </si>
  <si>
    <t xml:space="preserve">Select Flight Number press "F4" - Choose  Flight Number (If applicable) -  press Enter               </t>
  </si>
  <si>
    <t>Choose Flight Number  - 12</t>
  </si>
  <si>
    <t>Relevant Flight Number is selected</t>
  </si>
  <si>
    <t>Click on Active Check box</t>
  </si>
  <si>
    <t>Tick- Active Check box</t>
  </si>
  <si>
    <t>Choose only the active rate master records</t>
  </si>
  <si>
    <t>Click on Unit Rate Indicator (If applicable)</t>
  </si>
  <si>
    <t>Tick- Unit Rate Indicator</t>
  </si>
  <si>
    <t>Choose Unit Rate Indicator for per Unit of quantity (if applicable)</t>
  </si>
  <si>
    <t xml:space="preserve">Select Invoice Currency press "F4" - Choose  Invoice Currency (If applicable) -  press Enter               </t>
  </si>
  <si>
    <t>Choose Invoice Currency - EUR</t>
  </si>
  <si>
    <t>Relevant Invoice Currency is selected</t>
  </si>
  <si>
    <t xml:space="preserve">Select Base Variable press "F4" - Choose  Base Variable (If applicable) -  press Enter               </t>
  </si>
  <si>
    <t>Choose Base Variable - MTOW</t>
  </si>
  <si>
    <t>Relevant Base Variable is selected</t>
  </si>
  <si>
    <t xml:space="preserve">Input relevant Formulae manually and click on Simulate   </t>
  </si>
  <si>
    <t>Enter Formulae  - USAGE * RATE</t>
  </si>
  <si>
    <t>Relevant Formulae is entered and simulated</t>
  </si>
  <si>
    <t>Enter Season ID for Season</t>
  </si>
  <si>
    <t>Enter Season ID - 1</t>
  </si>
  <si>
    <t>Season ID is Entered</t>
  </si>
  <si>
    <t>Enter Sequence for Season</t>
  </si>
  <si>
    <t>Enter Sequence - 1</t>
  </si>
  <si>
    <t>Sequence is Entered</t>
  </si>
  <si>
    <t>Enter Season Start Date (MMDD) format</t>
  </si>
  <si>
    <t>Enter Season Start Date (MMDD) - 0101</t>
  </si>
  <si>
    <t>Start Date for the season is entered</t>
  </si>
  <si>
    <t>Enter Season End Date (MMDD) format</t>
  </si>
  <si>
    <t>Enter Season End Date (MMDD) - 0101</t>
  </si>
  <si>
    <t>End Date for the season is entered</t>
  </si>
  <si>
    <t>Enter FROM Time for Season in given (hh:mm:ss) format</t>
  </si>
  <si>
    <t>Enter From Time for the Season - 00:22:00</t>
  </si>
  <si>
    <t xml:space="preserve">From Time for the Season is entered </t>
  </si>
  <si>
    <t>Enter TO Time for Season in given (hh:mm:ss) format</t>
  </si>
  <si>
    <t>Enter TO Time for the Season - 23:59::59</t>
  </si>
  <si>
    <t xml:space="preserve">TO Time for the Season is entered </t>
  </si>
  <si>
    <t>Click on Day of the week - Mon to Sun (If applicable)</t>
  </si>
  <si>
    <t>Tick Day of the week - MON</t>
  </si>
  <si>
    <t>Tick applied on MON</t>
  </si>
  <si>
    <t xml:space="preserve">Enter Base Variable - It should be same as we entered above Base Variable (If applicable)                </t>
  </si>
  <si>
    <t>Enter Base Variable - MTOW</t>
  </si>
  <si>
    <t>Relevant Base Variable is Entered</t>
  </si>
  <si>
    <t xml:space="preserve">Enter Formulae - It should be same as we entered above Formulae (If applicable)                </t>
  </si>
  <si>
    <t>Relevant Formulae is entered.</t>
  </si>
  <si>
    <t>Enter Season ID for Rate Variable</t>
  </si>
  <si>
    <t>Season ID for Rate Variable is Entered</t>
  </si>
  <si>
    <t>Enter Sequence for Rate Variable</t>
  </si>
  <si>
    <t>Sequence for Rate Variable is Entered</t>
  </si>
  <si>
    <t>Select Function from "F4" - choose Function from the given options</t>
  </si>
  <si>
    <t>Choose Function - LE (Less Than Equal)</t>
  </si>
  <si>
    <t>Relevant Function is selected</t>
  </si>
  <si>
    <t>Select Lower Value for the Function</t>
  </si>
  <si>
    <t>Enter Low Value for Function - 0,000</t>
  </si>
  <si>
    <t>Entered Low value for the function</t>
  </si>
  <si>
    <t>Select High Value for the Function</t>
  </si>
  <si>
    <t>Enter High Value for Function - 100,000</t>
  </si>
  <si>
    <t>Entered High value for the function</t>
  </si>
  <si>
    <t xml:space="preserve">Select Unit of Measurement (UOM) from "F4" </t>
  </si>
  <si>
    <t>Enter UOM - TO</t>
  </si>
  <si>
    <t xml:space="preserve">Entered Relevant UOM </t>
  </si>
  <si>
    <t>Enter Rate Variable Manually</t>
  </si>
  <si>
    <t>Enter Rate Variable - 10</t>
  </si>
  <si>
    <t>Relevant Rate Variable is entered</t>
  </si>
  <si>
    <t xml:space="preserve">After completion of above step , Click on Save button </t>
  </si>
  <si>
    <t>Click on SAVE button</t>
  </si>
  <si>
    <t>Based on given data Rate Master data is saved</t>
  </si>
  <si>
    <t>Flight to Settle</t>
  </si>
  <si>
    <t>Initial Version</t>
  </si>
  <si>
    <t>DOC Test Script</t>
  </si>
  <si>
    <t>Requirement ID / Test Scenario Description</t>
  </si>
  <si>
    <t>Test Scenario ID</t>
  </si>
  <si>
    <t>Enter T code</t>
  </si>
  <si>
    <t>Defect No</t>
  </si>
  <si>
    <t>Title</t>
  </si>
  <si>
    <t>Test Case Name/ID</t>
  </si>
  <si>
    <t>Function/Spec/Reqts</t>
  </si>
  <si>
    <t>Component</t>
  </si>
  <si>
    <t>Issue Description</t>
  </si>
  <si>
    <t>Test Data</t>
  </si>
  <si>
    <t>Issue Open Date</t>
  </si>
  <si>
    <t>Raised By</t>
  </si>
  <si>
    <t>Priority</t>
  </si>
  <si>
    <t>Relevance</t>
  </si>
  <si>
    <t>Assigned To</t>
  </si>
  <si>
    <t>Solution</t>
  </si>
  <si>
    <t>Issue STATUS</t>
  </si>
  <si>
    <t>Issue Closed Date</t>
  </si>
  <si>
    <t>Documents Update needed</t>
  </si>
  <si>
    <t>Documents Updated</t>
  </si>
  <si>
    <t>Item Type</t>
  </si>
  <si>
    <t>Path</t>
  </si>
  <si>
    <t>Defect</t>
  </si>
  <si>
    <t>Item</t>
  </si>
  <si>
    <t>teams/EtihadDOCInternal/Lists/SIT</t>
  </si>
  <si>
    <t xml:space="preserve">Choose Station Code </t>
  </si>
  <si>
    <t xml:space="preserve">Enter Trasaction  - </t>
  </si>
  <si>
    <t>Add screen shots or details for elaboration of issue</t>
  </si>
  <si>
    <t>NA</t>
  </si>
  <si>
    <t>Pass</t>
  </si>
  <si>
    <t>EAC - Abu Dhabi</t>
  </si>
  <si>
    <t>SIT_DOC_39</t>
  </si>
  <si>
    <t>Budget Process - SSIM UPLOAD</t>
  </si>
  <si>
    <t xml:space="preserve">39_1_Budget Process - SSIM UPLOAD </t>
  </si>
  <si>
    <t>SIT_DOC_39_1</t>
  </si>
  <si>
    <t>Test Script for Budget Process- SSIM Upload</t>
  </si>
  <si>
    <t>SIT_DOC_39-1 Budget Process - SSIM UPLOAD</t>
  </si>
  <si>
    <t xml:space="preserve">SIT_DOC_39-1.1 </t>
  </si>
  <si>
    <t>SIT_DOC_39-1.2</t>
  </si>
  <si>
    <t>SIT_DOC_39-1.3</t>
  </si>
  <si>
    <t>SIT_DOC_39-1.4</t>
  </si>
  <si>
    <t>SIT_DOC_39-1.5</t>
  </si>
  <si>
    <t xml:space="preserve">In SAP Easy access Menu,Enter the transaction code to view SSIM Upload Program and press enter or 
</t>
  </si>
  <si>
    <t>SIT_DOC_39-1.1</t>
  </si>
  <si>
    <t>SIT_DOC_39-1.6</t>
  </si>
  <si>
    <t>SIT_DOC_39-1.7</t>
  </si>
  <si>
    <t>SIT_DOC_39-1.8</t>
  </si>
  <si>
    <t>SIT_DOC_39-1.9</t>
  </si>
  <si>
    <t>SIT_DOC_39-1.10</t>
  </si>
  <si>
    <t>SIT_DOC_39-1.11</t>
  </si>
  <si>
    <t>SIT_DOC_39-1.12</t>
  </si>
  <si>
    <t>SIT_DOC_39-1.13</t>
  </si>
  <si>
    <t>SIT_DOC_39-1.14</t>
  </si>
  <si>
    <t>SIT_DOC_39-1.15</t>
  </si>
  <si>
    <t>SIT_DOC_39-1.16</t>
  </si>
  <si>
    <t>SIT_DOC_39-1.17</t>
  </si>
  <si>
    <t>SIT_DOC_39-1.18</t>
  </si>
  <si>
    <t>Invalid file format:If file format is different than SSIM, program - First line check ''1AIRLINE STANDARD SCHEDULE DATA SET'</t>
  </si>
  <si>
    <t>Invalid file format:If file format is different than SSIM, program - &amp; record serial number should be 000001. record serial number should no tbe repeated and should be sequential.(195 to 200)</t>
  </si>
  <si>
    <t>Invalid Flight Number</t>
  </si>
  <si>
    <t>Invalid pair Flight Number</t>
  </si>
  <si>
    <t xml:space="preserve">Pair Flight Number = Blank </t>
  </si>
  <si>
    <t>Invalid Aircraft Code</t>
  </si>
  <si>
    <t>Invalid departure Station Code</t>
  </si>
  <si>
    <t>Invalid arival Station Code</t>
  </si>
  <si>
    <t>File is for different year from that entered in selection screen</t>
  </si>
  <si>
    <t>upload 2019 file enter year 2020 in selection screen</t>
  </si>
  <si>
    <t>upload 2019 file enter year 2019 in selection screen</t>
  </si>
  <si>
    <t>upload 2020 file enter year 2020 in selection screen</t>
  </si>
  <si>
    <t>Re-upload 2019 file with lesser number of records, select 2019 on selection screen</t>
  </si>
  <si>
    <t>Re-upload 2019 file with lesser number of records, select 2020 on selection screen</t>
  </si>
  <si>
    <t>Re-upload 2019 file with more records enter 2019 on selection screen</t>
  </si>
  <si>
    <t xml:space="preserve">Re-upload 2019 file with same records but different data. </t>
  </si>
  <si>
    <t xml:space="preserve">Validated all fields uploaded for one record in SSIM file. </t>
  </si>
  <si>
    <t>Year</t>
  </si>
  <si>
    <t>ZFIN_DOC_BDG</t>
  </si>
  <si>
    <t>Execute the transactions and the relevant SSIM upload program will be displayed.</t>
  </si>
  <si>
    <t>SSIM upload program screen is displayed.</t>
  </si>
  <si>
    <t>SSIM Upload- Invalid File Format</t>
  </si>
  <si>
    <t>SSIM Upload- Invalid Flight Number</t>
  </si>
  <si>
    <t>SSIM Upload- Invalid Aircraft Code</t>
  </si>
  <si>
    <t>SSIM Upload- Invalid Pair Flight Number</t>
  </si>
  <si>
    <t>SSIM Upload- Invalid Departure Station Code</t>
  </si>
  <si>
    <t>SSIM Upload- Blank Pair Flight Number</t>
  </si>
  <si>
    <t>SSIM Upload- Invalid Aircreaft Code</t>
  </si>
  <si>
    <t>SSIM Upload- Invalid Arrival Station Code</t>
  </si>
  <si>
    <t>SSIM Upload- Different Year</t>
  </si>
  <si>
    <t>SSIM Upload- Valid Year</t>
  </si>
  <si>
    <t>SSIM Upload- Reupload</t>
  </si>
  <si>
    <t>SSIM Upload- Validate Report</t>
  </si>
  <si>
    <t>E-160</t>
  </si>
  <si>
    <t>Enter the year to which SSIM file is to be uploaded
upload file should be selected from the local desktop by pressing F4
Do not check Test Run (Tick)</t>
  </si>
  <si>
    <t>Popup screen will be displayed</t>
  </si>
  <si>
    <t>Popup displayed</t>
  </si>
  <si>
    <t xml:space="preserve">If there are no records exist for that year in Database, It will give popup that no records exist,do you want to continue, click on Yes </t>
  </si>
  <si>
    <t>Output ALV screen for uploaded SSIM data will be displayed</t>
  </si>
  <si>
    <t>Uploaded SSIM data is displayed</t>
  </si>
  <si>
    <t>If the File format is wrong, it should not upload the file
First line of the file should be:1AIRLINE STANDARD SCHEDULE DATA SET</t>
  </si>
  <si>
    <t>Error:File format is invalid</t>
  </si>
  <si>
    <t>Fail</t>
  </si>
  <si>
    <t>File uploaded successfully</t>
  </si>
  <si>
    <t>39-1.1</t>
  </si>
  <si>
    <t>SSIM Upload:Transacction:ZFIN_DOC_BDG</t>
  </si>
  <si>
    <t>Surendra</t>
  </si>
  <si>
    <t>First Line is incorrect</t>
  </si>
  <si>
    <t>Though File uploaded</t>
  </si>
  <si>
    <t>Enter T-Code -ZFIN_DOC_BDG</t>
  </si>
  <si>
    <t>Click on Yes</t>
  </si>
  <si>
    <t>File uploaded</t>
  </si>
  <si>
    <t>If there are no records exist for that year in Database, It will give popup that no records exist,do you want to continue, click on Yes</t>
  </si>
  <si>
    <t>If the File format is wrong, it should not upload the file
record serial number should be 000001. Record serial number should not be repeated and should be sequential.(195 to 200)</t>
  </si>
  <si>
    <t>Uploaded wrong record serial numbers and repeated as below</t>
  </si>
  <si>
    <t>Record serial number should be like below</t>
  </si>
  <si>
    <t>Instead of giving error uploaded successfully</t>
  </si>
  <si>
    <t>2.Instead of error, file uploaded though it contains wrong record serial number and repeated in the file</t>
  </si>
  <si>
    <t>39-1.2</t>
  </si>
  <si>
    <t>Surendra Nuvvula</t>
  </si>
  <si>
    <t>Invalid file format:If file format is different than SSIM, program - with character in year field</t>
  </si>
  <si>
    <t>If the File format is wrong, it should not upload the file
If the year is wrong with any character in the year field</t>
  </si>
  <si>
    <t>39-1.3</t>
  </si>
  <si>
    <t>End Date format is wrong but the file uploaded successfully</t>
  </si>
  <si>
    <t>Year Format</t>
  </si>
  <si>
    <t>3.Year field is filled with character though uploaded successfully</t>
  </si>
  <si>
    <t>If the File has invalid Flight Number, it should not allow to upload that record/file</t>
  </si>
  <si>
    <t>Error:Invalid Flight Number</t>
  </si>
  <si>
    <t>Invalid Flight Number: 000</t>
  </si>
  <si>
    <t>Uploaded with Invalid Flight Number</t>
  </si>
  <si>
    <t>39-1.4</t>
  </si>
  <si>
    <t>4.File uploaded with Invalid Flight Number</t>
  </si>
  <si>
    <t>Error:Invalid Pair Flight Number</t>
  </si>
  <si>
    <t>39-1.5</t>
  </si>
  <si>
    <t>39-1.6</t>
  </si>
  <si>
    <t>If the File has Invalid Aircraft Code, it should not allow to upload that record/file</t>
  </si>
  <si>
    <t>SSIM Upload- Pair Flight Number=Blank</t>
  </si>
  <si>
    <t>39-1.7</t>
  </si>
  <si>
    <t>XYZ,PQR</t>
  </si>
  <si>
    <t>YZ</t>
  </si>
  <si>
    <t>2BIRLINE STANDARD SCHEDULE DATA SET</t>
  </si>
  <si>
    <t>Error:Invalid Aircraft Code</t>
  </si>
  <si>
    <t>If the File has invalid Departure Station Code, it should not allow to upload that record/file</t>
  </si>
  <si>
    <t>If the File has Invalid Arrival Station Code, it should not allow to upload that record/file</t>
  </si>
  <si>
    <t>If the File has invalid Pair Flight Number(Onward Flight No), it should not allow to upload that record/file</t>
  </si>
  <si>
    <t>If the File has Blank Pair Flight Number, it should allow to upload that record/file</t>
  </si>
  <si>
    <t>File should be uploaded</t>
  </si>
  <si>
    <t>6.Invalid Aircraft code is uploaded</t>
  </si>
  <si>
    <t>XYZ</t>
  </si>
  <si>
    <t>Invalid Pair(Onward) Flight Number</t>
  </si>
  <si>
    <t>It should validate the pair flight number from the flight master and also it should allow the blank pair(onward) flight number in the SSIM file</t>
  </si>
  <si>
    <t>5.It should allow the blank pair(onward) flight number in the SSIM file and valid pair flight number of the flight master</t>
  </si>
  <si>
    <t>Successful</t>
  </si>
  <si>
    <t>FAIL</t>
  </si>
  <si>
    <t>7. Invalid Departure Station Code</t>
  </si>
  <si>
    <t>8. Invalid Arrival Station Code</t>
  </si>
  <si>
    <t>ZYX</t>
  </si>
  <si>
    <t>39-1.8</t>
  </si>
  <si>
    <t>Invalid Departure Station</t>
  </si>
  <si>
    <t>Invalid Arrival Station</t>
  </si>
  <si>
    <t>Error:Invalid Departure Station Code</t>
  </si>
  <si>
    <t>Error:Invalid Arrival Station Code</t>
  </si>
  <si>
    <t>If the file belongs to one year(2020) and you upload it for other year(2019) in selection screen it should give popup that the file is not for the specified year</t>
  </si>
  <si>
    <t>SSIM Upload- Different year in selection screen</t>
  </si>
  <si>
    <t>39-1.9</t>
  </si>
  <si>
    <t>Different year in selection screen compared to file</t>
  </si>
  <si>
    <t>Popup should be for different year</t>
  </si>
  <si>
    <t>9. 2020 in selection screen, file is for 2019; Popup should come that the fileis with different year</t>
  </si>
  <si>
    <t>Expected Popup should be displayed</t>
  </si>
  <si>
    <t>Wrong Popup displayed</t>
  </si>
  <si>
    <t>File = 2019, Selection Screen Year =2019 then popup if the records existing and press YES to continue</t>
  </si>
  <si>
    <t>Expected Popup displayed</t>
  </si>
  <si>
    <t>File = 2020, Selection Screen Year =2020 then popup if the records existing and press YES to continue</t>
  </si>
  <si>
    <t>Reupload the File = 2019, Selection Screen Year =2019 but with less no of records to the earlier uploaded file, then delete existing and upload the current no of records</t>
  </si>
  <si>
    <t>File should be uploaded with current no of records after deleting existing records</t>
  </si>
  <si>
    <t>Existing are not deleted, new records are just overwritten</t>
  </si>
  <si>
    <t>SSIM Upload- Same file with less no of records</t>
  </si>
  <si>
    <t>After upload still 8211 records exist</t>
  </si>
  <si>
    <t>39-1.10</t>
  </si>
  <si>
    <t>SSIM Upload- Reupload same file but with less records</t>
  </si>
  <si>
    <t>10. Existings records should be deleted and new records should be uploaded even though count is less</t>
  </si>
  <si>
    <t>Re-upload 2019 file with lesser number of records, select 2020 on selection screen; It should throw a popup for different year in file and selection screen</t>
  </si>
  <si>
    <t>Expected popup with different year</t>
  </si>
  <si>
    <t>39-1.09</t>
  </si>
  <si>
    <t xml:space="preserve">In Table </t>
  </si>
  <si>
    <t>Re-upload 2020 file with more records enter 2020 on selection screen</t>
  </si>
  <si>
    <t>No.of records increased but it doesnot match the file's total records;validation required</t>
  </si>
  <si>
    <t>SSIM Upload- Reupload same file but with more records</t>
  </si>
  <si>
    <t>11. New records updated but the total no of records in the file is not matched with the uploaded no of records</t>
  </si>
  <si>
    <t>39-1.11</t>
  </si>
  <si>
    <t xml:space="preserve">Re-upload 2020 file with same records but different data. </t>
  </si>
  <si>
    <t>It should delete existing data and update the new data of newly uploaded file</t>
  </si>
  <si>
    <t>New data is uploaded</t>
  </si>
  <si>
    <t>Existing records</t>
  </si>
  <si>
    <t xml:space="preserve">Validate all fields uploaded for one record in SSIM file.
Report Name: </t>
  </si>
  <si>
    <t>Validate all fields</t>
  </si>
  <si>
    <t>Report is not yet imported to QE1</t>
  </si>
  <si>
    <t>SSIM Upload- Report:ZFIN_DOC_SSIM</t>
  </si>
  <si>
    <t>12. Report is not yet imported to QE1</t>
  </si>
  <si>
    <t>SSIM Upload- General Defects</t>
  </si>
  <si>
    <t>Arun Nigam</t>
  </si>
  <si>
    <t>13.Please correct the following
A.Update UTC is in name of the fields
B.Add new field:UTC/Time variation for Arrival Station
C.Change the name of the existing field:UTC/Time variation for Arrival Station to UTC / Time varient forDeparting station
D.Correct the Passenger spelling
E.Correct Travel time in hours
F.Change the Name of the field "Flight Number" in the 16th field of ALV to Onward Flight Number
G.Apply all the changes to report as well
H.Flight Number is 4 char length as per FS so make it 4 in SAP table level as well.
I.Leg Number should be added as part of Primary Key</t>
  </si>
  <si>
    <t>1. First Line of the File is incorrect, though the file is uploaded</t>
  </si>
  <si>
    <t>PASS</t>
  </si>
  <si>
    <t>Pending</t>
  </si>
  <si>
    <t>D0001</t>
  </si>
  <si>
    <t>D0002</t>
  </si>
  <si>
    <t>D0003</t>
  </si>
  <si>
    <t>D0004</t>
  </si>
  <si>
    <t>D0005</t>
  </si>
  <si>
    <t>D0006</t>
  </si>
  <si>
    <t>D0007</t>
  </si>
  <si>
    <t>D0008</t>
  </si>
  <si>
    <t>D0009</t>
  </si>
  <si>
    <t>D0010</t>
  </si>
  <si>
    <t>D0011</t>
  </si>
  <si>
    <t>D0012</t>
  </si>
  <si>
    <t>D0013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</si>
</sst>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font>
      <sz val="10"/>
      <name val="Arial"/>
    </font>
    <font>
      <sz val="8"/>
      <name val="Arial"/>
      <family val="2"/>
    </font>
    <font>
      <sz val="10"/>
      <name val="Calibri"/>
      <family val="2"/>
    </font>
    <font>
      <sz val="10"/>
      <name val="Arial"/>
      <family val="2"/>
    </font>
    <font>
      <b/>
      <sz val="10"/>
      <name val="Arial"/>
      <family val="2"/>
    </font>
    <font>
      <b/>
      <sz val="10"/>
      <color theme="0"/>
      <name val="Etihad"/>
    </font>
    <font>
      <sz val="10"/>
      <name val="Etihad"/>
    </font>
    <font>
      <sz val="10"/>
      <color theme="1"/>
      <name val="Etihad"/>
    </font>
    <font>
      <b/>
      <sz val="10"/>
      <color theme="1"/>
      <name val="Etihad"/>
    </font>
    <font>
      <b/>
      <sz val="10"/>
      <name val="Etihad"/>
    </font>
    <font>
      <sz val="10"/>
      <color theme="0"/>
      <name val="Etihad"/>
    </font>
    <font>
      <i/>
      <sz val="10"/>
      <color theme="0"/>
      <name val="Etihad"/>
    </font>
    <font>
      <sz val="10"/>
      <color rgb="FF000000"/>
      <name val="Etihad"/>
    </font>
    <font>
      <b/>
      <i/>
      <sz val="10"/>
      <color indexed="9"/>
      <name val="Etihad"/>
    </font>
    <font>
      <b/>
      <sz val="11"/>
      <color theme="0"/>
      <name val="Calibri"/>
      <family val="2"/>
      <scheme val="minor"/>
    </font>
    <font>
      <sz val="11"/>
      <name val="Calibri"/>
      <family val="2"/>
    </font>
    <font>
      <b/>
      <sz val="10"/>
      <color theme="0"/>
      <name val="Arial Narrow"/>
      <family val="2"/>
    </font>
    <font>
      <b/>
      <sz val="10"/>
      <name val="Arial Narrow"/>
      <family val="2"/>
    </font>
    <font>
      <sz val="10"/>
      <name val="Arial Narrow"/>
      <family val="2"/>
    </font>
    <font>
      <sz val="10"/>
      <color theme="0"/>
      <name val="Arial Narrow"/>
      <family val="2"/>
    </font>
    <font>
      <i/>
      <sz val="10"/>
      <color theme="0"/>
      <name val="Arial Narrow"/>
      <family val="2"/>
    </font>
    <font>
      <sz val="10"/>
      <color theme="1"/>
      <name val="Arial Narrow"/>
      <family val="2"/>
    </font>
    <font>
      <sz val="10"/>
      <color rgb="FF000000"/>
      <name val="Arial Narrow"/>
      <family val="2"/>
    </font>
    <font>
      <sz val="10"/>
      <color theme="1"/>
      <name val="Calibri"/>
      <family val="2"/>
      <scheme val="minor"/>
    </font>
    <font>
      <sz val="10"/>
      <color rgb="FF000000"/>
      <name val="Segoe UI"/>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C9900"/>
        <bgColor indexed="64"/>
      </patternFill>
    </fill>
    <fill>
      <patternFill patternType="solid">
        <fgColor theme="4"/>
        <bgColor theme="4"/>
      </patternFill>
    </fill>
  </fills>
  <borders count="38">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3" fillId="0" borderId="0"/>
  </cellStyleXfs>
  <cellXfs count="225">
    <xf numFmtId="0" fontId="0" fillId="0" borderId="0" xfId="0"/>
    <xf numFmtId="0" fontId="0" fillId="0" borderId="17" xfId="0" applyBorder="1"/>
    <xf numFmtId="0" fontId="4" fillId="0" borderId="0" xfId="0" applyFont="1"/>
    <xf numFmtId="0" fontId="3" fillId="0" borderId="17" xfId="0" applyFont="1" applyBorder="1"/>
    <xf numFmtId="0" fontId="6" fillId="0" borderId="0" xfId="0" applyFont="1" applyFill="1"/>
    <xf numFmtId="0" fontId="7" fillId="2" borderId="19" xfId="0" applyFont="1" applyFill="1" applyBorder="1" applyAlignment="1">
      <alignment horizontal="left" vertical="center"/>
    </xf>
    <xf numFmtId="0" fontId="7" fillId="2" borderId="20" xfId="0" applyFont="1" applyFill="1" applyBorder="1" applyAlignment="1">
      <alignment horizontal="left" vertical="center"/>
    </xf>
    <xf numFmtId="0" fontId="7" fillId="2" borderId="21" xfId="0" applyFont="1" applyFill="1" applyBorder="1" applyAlignment="1">
      <alignment horizontal="left" vertical="center"/>
    </xf>
    <xf numFmtId="0" fontId="8"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7" fillId="2" borderId="0" xfId="0" applyFont="1" applyFill="1" applyBorder="1" applyAlignment="1">
      <alignment horizontal="left" vertical="center"/>
    </xf>
    <xf numFmtId="0" fontId="7" fillId="2" borderId="22" xfId="0" applyFont="1" applyFill="1" applyBorder="1" applyAlignment="1">
      <alignment horizontal="left" vertical="center"/>
    </xf>
    <xf numFmtId="0" fontId="7" fillId="2" borderId="0" xfId="0" applyFont="1" applyFill="1" applyAlignment="1">
      <alignment horizontal="left" vertical="center"/>
    </xf>
    <xf numFmtId="0" fontId="8" fillId="2" borderId="30" xfId="0" applyFont="1" applyFill="1" applyBorder="1" applyAlignment="1">
      <alignment horizontal="left" vertical="center"/>
    </xf>
    <xf numFmtId="0" fontId="7" fillId="2" borderId="31" xfId="0" applyFont="1" applyFill="1" applyBorder="1" applyAlignment="1">
      <alignment horizontal="left" vertical="center" wrapText="1"/>
    </xf>
    <xf numFmtId="0" fontId="8" fillId="2" borderId="32" xfId="0" applyFont="1" applyFill="1" applyBorder="1" applyAlignment="1">
      <alignment horizontal="left" vertical="center"/>
    </xf>
    <xf numFmtId="0" fontId="8" fillId="2" borderId="4" xfId="0" applyFont="1" applyFill="1" applyBorder="1" applyAlignment="1">
      <alignment horizontal="left" vertical="center"/>
    </xf>
    <xf numFmtId="0" fontId="8" fillId="2" borderId="25" xfId="0" applyFont="1" applyFill="1" applyBorder="1" applyAlignment="1">
      <alignment horizontal="left" vertical="center"/>
    </xf>
    <xf numFmtId="0" fontId="7" fillId="2" borderId="26" xfId="0" applyFont="1" applyFill="1" applyBorder="1" applyAlignment="1">
      <alignment horizontal="left" vertical="center" wrapText="1"/>
    </xf>
    <xf numFmtId="0" fontId="8" fillId="2" borderId="10" xfId="0" applyFont="1" applyFill="1" applyBorder="1" applyAlignment="1">
      <alignment horizontal="left" vertical="center"/>
    </xf>
    <xf numFmtId="164" fontId="7" fillId="2" borderId="5" xfId="0" applyNumberFormat="1" applyFont="1" applyFill="1" applyBorder="1" applyAlignment="1">
      <alignment horizontal="left" vertical="center"/>
    </xf>
    <xf numFmtId="15" fontId="7" fillId="2" borderId="5" xfId="0" applyNumberFormat="1" applyFont="1" applyFill="1" applyBorder="1" applyAlignment="1">
      <alignment horizontal="left" vertical="center"/>
    </xf>
    <xf numFmtId="0" fontId="7" fillId="2" borderId="5" xfId="0" applyFont="1" applyFill="1" applyBorder="1" applyAlignment="1">
      <alignment horizontal="left" vertical="center"/>
    </xf>
    <xf numFmtId="0" fontId="8" fillId="2" borderId="6" xfId="0" applyFont="1" applyFill="1" applyBorder="1" applyAlignment="1">
      <alignment horizontal="left" vertical="center"/>
    </xf>
    <xf numFmtId="0" fontId="7" fillId="2" borderId="7" xfId="0" applyFont="1" applyFill="1" applyBorder="1" applyAlignment="1">
      <alignment horizontal="left" vertical="center"/>
    </xf>
    <xf numFmtId="0" fontId="7" fillId="2" borderId="27" xfId="0" applyFont="1" applyFill="1" applyBorder="1" applyAlignment="1">
      <alignment horizontal="left" vertical="center"/>
    </xf>
    <xf numFmtId="0" fontId="8" fillId="3" borderId="3" xfId="0" applyFont="1" applyFill="1" applyBorder="1" applyAlignment="1">
      <alignment horizontal="left" vertical="center" wrapText="1"/>
    </xf>
    <xf numFmtId="0" fontId="8" fillId="4" borderId="10"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8" xfId="0" applyFont="1" applyFill="1" applyBorder="1" applyAlignment="1">
      <alignment horizontal="left" vertical="center"/>
    </xf>
    <xf numFmtId="0" fontId="7" fillId="2" borderId="4" xfId="0" applyFont="1" applyFill="1" applyBorder="1" applyAlignment="1">
      <alignment horizontal="center" vertical="center"/>
    </xf>
    <xf numFmtId="164" fontId="7" fillId="2" borderId="5"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left" vertical="center"/>
    </xf>
    <xf numFmtId="164" fontId="7" fillId="2" borderId="7" xfId="0" applyNumberFormat="1" applyFont="1" applyFill="1" applyBorder="1" applyAlignment="1">
      <alignment horizontal="center" vertical="center"/>
    </xf>
    <xf numFmtId="0" fontId="8" fillId="2" borderId="10"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4" borderId="10"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7" fillId="2" borderId="4" xfId="0" applyFont="1" applyFill="1" applyBorder="1" applyAlignment="1">
      <alignment horizontal="left" vertical="center" wrapText="1"/>
    </xf>
    <xf numFmtId="164" fontId="7" fillId="2" borderId="8" xfId="0" applyNumberFormat="1" applyFont="1" applyFill="1" applyBorder="1" applyAlignment="1">
      <alignment horizontal="left" vertical="center" wrapText="1"/>
    </xf>
    <xf numFmtId="0" fontId="7" fillId="2" borderId="6" xfId="0" applyFont="1" applyFill="1" applyBorder="1" applyAlignment="1">
      <alignment horizontal="left" vertical="center" wrapText="1"/>
    </xf>
    <xf numFmtId="164" fontId="7" fillId="2" borderId="9" xfId="0" applyNumberFormat="1" applyFont="1" applyFill="1" applyBorder="1" applyAlignment="1">
      <alignment horizontal="left" vertical="center" wrapText="1"/>
    </xf>
    <xf numFmtId="0" fontId="7" fillId="2" borderId="9" xfId="0" applyFont="1" applyFill="1" applyBorder="1" applyAlignment="1">
      <alignment horizontal="center" vertical="center" wrapText="1"/>
    </xf>
    <xf numFmtId="0" fontId="7" fillId="2" borderId="27" xfId="0" applyFont="1" applyFill="1" applyBorder="1" applyAlignment="1">
      <alignment horizontal="left" vertical="center" wrapText="1"/>
    </xf>
    <xf numFmtId="15" fontId="7" fillId="2" borderId="0" xfId="0" applyNumberFormat="1"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3" borderId="1" xfId="0" applyFont="1" applyFill="1" applyBorder="1" applyAlignment="1">
      <alignment horizontal="left" vertical="center"/>
    </xf>
    <xf numFmtId="0" fontId="8" fillId="4" borderId="11"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8" fillId="2" borderId="16" xfId="0" applyFont="1" applyFill="1" applyBorder="1" applyAlignment="1">
      <alignment vertical="center" wrapText="1"/>
    </xf>
    <xf numFmtId="0" fontId="7" fillId="2" borderId="28" xfId="0" applyFont="1" applyFill="1" applyBorder="1" applyAlignment="1">
      <alignment horizontal="left" vertical="center"/>
    </xf>
    <xf numFmtId="0" fontId="7" fillId="2" borderId="23" xfId="0" applyFont="1" applyFill="1" applyBorder="1" applyAlignment="1">
      <alignment horizontal="left" vertical="center"/>
    </xf>
    <xf numFmtId="0" fontId="7" fillId="2" borderId="24" xfId="0" applyFont="1" applyFill="1" applyBorder="1" applyAlignment="1">
      <alignment horizontal="left" vertical="center"/>
    </xf>
    <xf numFmtId="0" fontId="5" fillId="5" borderId="19" xfId="3" applyFont="1" applyFill="1" applyBorder="1" applyAlignment="1">
      <alignment vertical="center" wrapText="1"/>
    </xf>
    <xf numFmtId="0" fontId="5" fillId="5" borderId="20" xfId="3" applyFont="1" applyFill="1" applyBorder="1" applyAlignment="1">
      <alignment horizontal="center" vertical="center" wrapText="1"/>
    </xf>
    <xf numFmtId="0" fontId="9" fillId="5" borderId="20" xfId="3" applyFont="1" applyFill="1" applyBorder="1" applyAlignment="1">
      <alignment vertical="top" wrapText="1"/>
    </xf>
    <xf numFmtId="0" fontId="6" fillId="5" borderId="20" xfId="3" applyFont="1" applyFill="1" applyBorder="1" applyAlignment="1">
      <alignment vertical="center" wrapText="1"/>
    </xf>
    <xf numFmtId="0" fontId="9" fillId="5" borderId="21" xfId="3" applyFont="1" applyFill="1" applyBorder="1" applyAlignment="1">
      <alignment horizontal="right" vertical="top" wrapText="1"/>
    </xf>
    <xf numFmtId="0" fontId="6" fillId="0" borderId="0" xfId="3" applyFont="1"/>
    <xf numFmtId="0" fontId="10" fillId="5" borderId="27" xfId="3" applyFont="1" applyFill="1" applyBorder="1" applyAlignment="1">
      <alignment horizontal="right" vertical="top" wrapText="1"/>
    </xf>
    <xf numFmtId="0" fontId="6" fillId="3" borderId="17" xfId="3" applyFont="1" applyFill="1" applyBorder="1" applyAlignment="1">
      <alignment horizontal="left" vertical="top" wrapText="1"/>
    </xf>
    <xf numFmtId="0" fontId="9" fillId="5" borderId="0" xfId="3" applyFont="1" applyFill="1" applyAlignment="1">
      <alignment horizontal="right" vertical="top" wrapText="1"/>
    </xf>
    <xf numFmtId="0" fontId="10" fillId="5" borderId="0" xfId="3" applyFont="1" applyFill="1" applyAlignment="1">
      <alignment horizontal="right" vertical="top" wrapText="1"/>
    </xf>
    <xf numFmtId="0" fontId="5" fillId="5" borderId="0" xfId="3" applyFont="1" applyFill="1" applyAlignment="1">
      <alignment horizontal="right" vertical="center" wrapText="1"/>
    </xf>
    <xf numFmtId="0" fontId="9" fillId="2" borderId="17" xfId="3" applyFont="1" applyFill="1" applyBorder="1" applyAlignment="1">
      <alignment horizontal="left" vertical="top" wrapText="1"/>
    </xf>
    <xf numFmtId="0" fontId="6" fillId="5" borderId="0" xfId="3" applyFont="1" applyFill="1" applyAlignment="1">
      <alignment vertical="center" wrapText="1"/>
    </xf>
    <xf numFmtId="0" fontId="9" fillId="5" borderId="22" xfId="3" applyFont="1" applyFill="1" applyBorder="1" applyAlignment="1">
      <alignment horizontal="right" vertical="top" wrapText="1"/>
    </xf>
    <xf numFmtId="0" fontId="6" fillId="3" borderId="29" xfId="3" applyFont="1" applyFill="1" applyBorder="1" applyAlignment="1">
      <alignment horizontal="left" vertical="top" wrapText="1"/>
    </xf>
    <xf numFmtId="164" fontId="9" fillId="2" borderId="17" xfId="3" applyNumberFormat="1" applyFont="1" applyFill="1" applyBorder="1" applyAlignment="1">
      <alignment horizontal="right" vertical="top" wrapText="1"/>
    </xf>
    <xf numFmtId="0" fontId="6" fillId="5" borderId="0" xfId="3" applyFont="1" applyFill="1" applyAlignment="1">
      <alignment horizontal="left" vertical="center" wrapText="1"/>
    </xf>
    <xf numFmtId="0" fontId="6" fillId="3" borderId="17" xfId="3" applyFont="1" applyFill="1" applyBorder="1" applyAlignment="1">
      <alignment vertical="top"/>
    </xf>
    <xf numFmtId="0" fontId="5" fillId="5" borderId="23" xfId="3" applyFont="1" applyFill="1" applyBorder="1" applyAlignment="1">
      <alignment horizontal="left" vertical="center" wrapText="1"/>
    </xf>
    <xf numFmtId="0" fontId="9" fillId="5" borderId="23" xfId="3" applyFont="1" applyFill="1" applyBorder="1" applyAlignment="1">
      <alignment horizontal="left" vertical="center" wrapText="1"/>
    </xf>
    <xf numFmtId="0" fontId="11" fillId="5" borderId="23" xfId="3" applyFont="1" applyFill="1" applyBorder="1" applyAlignment="1">
      <alignment vertical="center" wrapText="1"/>
    </xf>
    <xf numFmtId="0" fontId="9" fillId="5" borderId="23" xfId="3" applyFont="1" applyFill="1" applyBorder="1" applyAlignment="1">
      <alignment horizontal="right" vertical="top" wrapText="1"/>
    </xf>
    <xf numFmtId="0" fontId="9" fillId="5" borderId="24" xfId="3" applyFont="1" applyFill="1" applyBorder="1" applyAlignment="1">
      <alignment horizontal="right" vertical="top" wrapText="1"/>
    </xf>
    <xf numFmtId="0" fontId="5" fillId="5" borderId="18" xfId="3" applyFont="1" applyFill="1" applyBorder="1" applyAlignment="1">
      <alignment horizontal="center" vertical="center" wrapText="1"/>
    </xf>
    <xf numFmtId="0" fontId="6" fillId="0" borderId="17" xfId="3" applyFont="1" applyBorder="1" applyAlignment="1">
      <alignment horizontal="center" vertical="center"/>
    </xf>
    <xf numFmtId="0" fontId="7" fillId="0" borderId="17" xfId="3" applyFont="1" applyBorder="1" applyAlignment="1" applyProtection="1">
      <alignment vertical="center" wrapText="1"/>
      <protection locked="0"/>
    </xf>
    <xf numFmtId="0" fontId="12" fillId="0" borderId="17" xfId="3" applyFont="1" applyBorder="1" applyAlignment="1">
      <alignment vertical="center"/>
    </xf>
    <xf numFmtId="0" fontId="7" fillId="0" borderId="17" xfId="3" applyFont="1" applyBorder="1" applyAlignment="1" applyProtection="1">
      <alignment horizontal="center" vertical="center" wrapText="1"/>
      <protection locked="0"/>
    </xf>
    <xf numFmtId="0" fontId="7" fillId="0" borderId="29" xfId="3" applyFont="1" applyBorder="1" applyAlignment="1" applyProtection="1">
      <alignment vertical="top" wrapText="1"/>
      <protection locked="0"/>
    </xf>
    <xf numFmtId="0" fontId="6" fillId="0" borderId="0" xfId="3" applyFont="1" applyAlignment="1">
      <alignment vertical="center"/>
    </xf>
    <xf numFmtId="0" fontId="6" fillId="0" borderId="17" xfId="3" applyFont="1" applyBorder="1" applyAlignment="1">
      <alignment horizontal="center" vertical="center" wrapText="1"/>
    </xf>
    <xf numFmtId="0" fontId="6" fillId="0" borderId="17" xfId="3" applyFont="1" applyBorder="1"/>
    <xf numFmtId="0" fontId="9" fillId="0" borderId="0" xfId="3" applyFont="1"/>
    <xf numFmtId="0" fontId="6" fillId="0" borderId="0" xfId="0" applyFont="1"/>
    <xf numFmtId="0" fontId="13" fillId="0" borderId="0" xfId="2" applyFont="1" applyFill="1" applyBorder="1" applyAlignment="1">
      <alignment vertical="top"/>
    </xf>
    <xf numFmtId="0" fontId="7" fillId="2" borderId="17" xfId="2" applyFont="1" applyFill="1" applyBorder="1" applyAlignment="1">
      <alignment vertical="top"/>
    </xf>
    <xf numFmtId="0" fontId="7" fillId="2" borderId="17" xfId="0" applyFont="1" applyFill="1" applyBorder="1" applyAlignment="1">
      <alignment vertical="top"/>
    </xf>
    <xf numFmtId="0" fontId="6" fillId="2" borderId="17" xfId="2" applyFont="1" applyFill="1" applyBorder="1" applyAlignment="1">
      <alignment horizontal="center" vertical="top" wrapText="1"/>
    </xf>
    <xf numFmtId="0" fontId="6" fillId="2" borderId="17" xfId="2" quotePrefix="1" applyFont="1" applyFill="1" applyBorder="1" applyAlignment="1">
      <alignment vertical="top" wrapText="1"/>
    </xf>
    <xf numFmtId="0" fontId="6" fillId="2" borderId="17" xfId="2" applyFont="1" applyFill="1" applyBorder="1" applyAlignment="1">
      <alignment vertical="top" wrapText="1"/>
    </xf>
    <xf numFmtId="14" fontId="6" fillId="2" borderId="17" xfId="2" applyNumberFormat="1" applyFont="1" applyFill="1" applyBorder="1" applyAlignment="1">
      <alignment vertical="top" wrapText="1"/>
    </xf>
    <xf numFmtId="14" fontId="6" fillId="2" borderId="17" xfId="2" applyNumberFormat="1" applyFont="1" applyFill="1" applyBorder="1" applyAlignment="1">
      <alignment horizontal="center" vertical="top" wrapText="1"/>
    </xf>
    <xf numFmtId="164" fontId="6" fillId="2" borderId="17" xfId="2" applyNumberFormat="1" applyFont="1" applyFill="1" applyBorder="1" applyAlignment="1">
      <alignment horizontal="center" vertical="top" wrapText="1"/>
    </xf>
    <xf numFmtId="0" fontId="6" fillId="2" borderId="17" xfId="2" applyNumberFormat="1" applyFont="1" applyFill="1" applyBorder="1" applyAlignment="1">
      <alignment vertical="top" wrapText="1"/>
    </xf>
    <xf numFmtId="0" fontId="6" fillId="0" borderId="0" xfId="2" applyFont="1" applyFill="1" applyBorder="1" applyAlignment="1">
      <alignment vertical="top"/>
    </xf>
    <xf numFmtId="0" fontId="7" fillId="0" borderId="17" xfId="0" applyFont="1" applyBorder="1" applyAlignment="1">
      <alignment vertical="top" wrapText="1"/>
    </xf>
    <xf numFmtId="0" fontId="6" fillId="0" borderId="0" xfId="2" applyFont="1" applyFill="1" applyBorder="1" applyAlignment="1">
      <alignment horizontal="center" vertical="top" wrapText="1"/>
    </xf>
    <xf numFmtId="0" fontId="6" fillId="0" borderId="0" xfId="2" applyFont="1" applyFill="1" applyBorder="1" applyAlignment="1">
      <alignment vertical="top" wrapText="1"/>
    </xf>
    <xf numFmtId="0" fontId="6" fillId="0" borderId="0" xfId="2" applyNumberFormat="1" applyFont="1" applyFill="1" applyBorder="1" applyAlignment="1">
      <alignment vertical="top" wrapText="1"/>
    </xf>
    <xf numFmtId="0" fontId="6" fillId="0" borderId="0" xfId="2" applyNumberFormat="1" applyFont="1" applyFill="1" applyBorder="1" applyAlignment="1">
      <alignment horizontal="center" vertical="top" wrapText="1"/>
    </xf>
    <xf numFmtId="0" fontId="6" fillId="2" borderId="0" xfId="2" applyFont="1" applyFill="1" applyBorder="1" applyAlignment="1">
      <alignment horizontal="center" vertical="top" wrapText="1"/>
    </xf>
    <xf numFmtId="0" fontId="8" fillId="3" borderId="17" xfId="0" applyFont="1" applyFill="1" applyBorder="1" applyAlignment="1">
      <alignment vertical="top" wrapText="1"/>
    </xf>
    <xf numFmtId="0" fontId="6" fillId="2" borderId="17" xfId="2" applyFont="1" applyFill="1" applyBorder="1" applyAlignment="1">
      <alignment horizontal="left" vertical="top" wrapText="1"/>
    </xf>
    <xf numFmtId="0" fontId="6" fillId="0" borderId="0" xfId="2" applyFont="1" applyFill="1" applyBorder="1" applyAlignment="1">
      <alignment horizontal="left" vertical="top" wrapText="1"/>
    </xf>
    <xf numFmtId="0" fontId="6" fillId="2" borderId="17" xfId="0" applyFont="1" applyFill="1" applyBorder="1" applyAlignment="1">
      <alignment horizontal="left" vertical="top"/>
    </xf>
    <xf numFmtId="0" fontId="14" fillId="6" borderId="34" xfId="0" applyFont="1" applyFill="1" applyBorder="1"/>
    <xf numFmtId="0" fontId="14" fillId="6" borderId="35" xfId="0" applyFont="1" applyFill="1" applyBorder="1"/>
    <xf numFmtId="0" fontId="14" fillId="6" borderId="36" xfId="0" applyFont="1" applyFill="1" applyBorder="1"/>
    <xf numFmtId="49" fontId="0" fillId="0" borderId="35" xfId="0" applyNumberFormat="1" applyBorder="1"/>
    <xf numFmtId="0" fontId="0" fillId="0" borderId="35" xfId="0" applyBorder="1" applyAlignment="1">
      <alignment wrapText="1"/>
    </xf>
    <xf numFmtId="14" fontId="0" fillId="0" borderId="35" xfId="0" applyNumberFormat="1" applyBorder="1"/>
    <xf numFmtId="49" fontId="0" fillId="0" borderId="36" xfId="0" applyNumberFormat="1" applyBorder="1"/>
    <xf numFmtId="0" fontId="15" fillId="0" borderId="0" xfId="0" applyFont="1" applyAlignment="1">
      <alignment vertical="center"/>
    </xf>
    <xf numFmtId="0" fontId="16" fillId="5" borderId="19" xfId="0" applyFont="1" applyFill="1" applyBorder="1" applyAlignment="1">
      <alignment vertical="center" wrapText="1"/>
    </xf>
    <xf numFmtId="0" fontId="16" fillId="5" borderId="20" xfId="0" applyFont="1" applyFill="1" applyBorder="1" applyAlignment="1">
      <alignment vertical="center" wrapText="1"/>
    </xf>
    <xf numFmtId="0" fontId="16" fillId="5" borderId="20" xfId="0" applyFont="1" applyFill="1" applyBorder="1" applyAlignment="1">
      <alignment horizontal="center" vertical="center" wrapText="1"/>
    </xf>
    <xf numFmtId="0" fontId="17" fillId="5" borderId="20" xfId="0" applyFont="1" applyFill="1" applyBorder="1" applyAlignment="1">
      <alignment vertical="top" wrapText="1"/>
    </xf>
    <xf numFmtId="0" fontId="18" fillId="5" borderId="20" xfId="0" applyFont="1" applyFill="1" applyBorder="1" applyAlignment="1">
      <alignment vertical="center" wrapText="1"/>
    </xf>
    <xf numFmtId="0" fontId="17" fillId="5" borderId="21" xfId="0" applyFont="1" applyFill="1" applyBorder="1" applyAlignment="1">
      <alignment horizontal="right" vertical="top" wrapText="1"/>
    </xf>
    <xf numFmtId="0" fontId="18" fillId="0" borderId="0" xfId="0" applyFont="1"/>
    <xf numFmtId="0" fontId="19" fillId="5" borderId="27" xfId="0" applyFont="1" applyFill="1" applyBorder="1" applyAlignment="1">
      <alignment horizontal="right" vertical="top" wrapText="1"/>
    </xf>
    <xf numFmtId="0" fontId="19" fillId="5" borderId="0" xfId="0" applyFont="1" applyFill="1" applyAlignment="1">
      <alignment horizontal="right" vertical="top" wrapText="1"/>
    </xf>
    <xf numFmtId="0" fontId="18" fillId="3" borderId="17" xfId="0" applyFont="1" applyFill="1" applyBorder="1" applyAlignment="1">
      <alignment horizontal="left" vertical="top" wrapText="1"/>
    </xf>
    <xf numFmtId="0" fontId="17" fillId="5" borderId="0" xfId="0" applyFont="1" applyFill="1" applyAlignment="1">
      <alignment horizontal="right" vertical="top" wrapText="1"/>
    </xf>
    <xf numFmtId="0" fontId="16" fillId="5" borderId="0" xfId="0" applyFont="1" applyFill="1" applyAlignment="1">
      <alignment horizontal="right" vertical="center" wrapText="1"/>
    </xf>
    <xf numFmtId="0" fontId="17" fillId="2" borderId="17" xfId="0" applyFont="1" applyFill="1" applyBorder="1" applyAlignment="1">
      <alignment horizontal="right" vertical="top" wrapText="1"/>
    </xf>
    <xf numFmtId="0" fontId="18" fillId="5" borderId="0" xfId="0" applyFont="1" applyFill="1" applyAlignment="1">
      <alignment vertical="center" wrapText="1"/>
    </xf>
    <xf numFmtId="0" fontId="17" fillId="5" borderId="22" xfId="0" applyFont="1" applyFill="1" applyBorder="1" applyAlignment="1">
      <alignment horizontal="right" vertical="top" wrapText="1"/>
    </xf>
    <xf numFmtId="0" fontId="18" fillId="3" borderId="29" xfId="0" applyFont="1" applyFill="1" applyBorder="1" applyAlignment="1">
      <alignment horizontal="left" vertical="top" wrapText="1"/>
    </xf>
    <xf numFmtId="164" fontId="17" fillId="2" borderId="17" xfId="0" applyNumberFormat="1" applyFont="1" applyFill="1" applyBorder="1" applyAlignment="1">
      <alignment horizontal="right" vertical="top" wrapText="1"/>
    </xf>
    <xf numFmtId="0" fontId="18" fillId="5" borderId="0" xfId="0" applyFont="1" applyFill="1" applyAlignment="1">
      <alignment horizontal="left" vertical="center" wrapText="1"/>
    </xf>
    <xf numFmtId="0" fontId="18" fillId="3" borderId="17" xfId="0" applyFont="1" applyFill="1" applyBorder="1" applyAlignment="1">
      <alignment vertical="top"/>
    </xf>
    <xf numFmtId="0" fontId="16" fillId="5" borderId="23" xfId="0" applyFont="1" applyFill="1" applyBorder="1" applyAlignment="1">
      <alignment horizontal="left" vertical="center" wrapText="1"/>
    </xf>
    <xf numFmtId="0" fontId="17" fillId="5" borderId="23" xfId="0" applyFont="1" applyFill="1" applyBorder="1" applyAlignment="1">
      <alignment horizontal="left" vertical="center" wrapText="1"/>
    </xf>
    <xf numFmtId="0" fontId="20" fillId="5" borderId="23" xfId="0" applyFont="1" applyFill="1" applyBorder="1" applyAlignment="1">
      <alignment vertical="center" wrapText="1"/>
    </xf>
    <xf numFmtId="0" fontId="17" fillId="5" borderId="23" xfId="0" applyFont="1" applyFill="1" applyBorder="1" applyAlignment="1">
      <alignment horizontal="right" vertical="top" wrapText="1"/>
    </xf>
    <xf numFmtId="0" fontId="17" fillId="5" borderId="24" xfId="0" applyFont="1" applyFill="1" applyBorder="1" applyAlignment="1">
      <alignment horizontal="right" vertical="top" wrapText="1"/>
    </xf>
    <xf numFmtId="0" fontId="16" fillId="5" borderId="18" xfId="0" applyFont="1" applyFill="1" applyBorder="1" applyAlignment="1">
      <alignment horizontal="center" vertical="center" wrapText="1"/>
    </xf>
    <xf numFmtId="0" fontId="18" fillId="0" borderId="17" xfId="0" applyFont="1" applyBorder="1" applyAlignment="1">
      <alignment horizontal="center" vertical="center"/>
    </xf>
    <xf numFmtId="0" fontId="21" fillId="0" borderId="17" xfId="0" applyFont="1" applyBorder="1" applyAlignment="1" applyProtection="1">
      <alignment vertical="center" wrapText="1"/>
      <protection locked="0"/>
    </xf>
    <xf numFmtId="0" fontId="22" fillId="0" borderId="17" xfId="0" applyFont="1" applyBorder="1" applyAlignment="1">
      <alignment vertical="center"/>
    </xf>
    <xf numFmtId="0" fontId="21" fillId="0" borderId="17" xfId="0" applyFont="1" applyBorder="1" applyAlignment="1" applyProtection="1">
      <alignment horizontal="center" vertical="center" wrapText="1"/>
      <protection locked="0"/>
    </xf>
    <xf numFmtId="0" fontId="21" fillId="0" borderId="17" xfId="0" applyFont="1" applyBorder="1" applyAlignment="1" applyProtection="1">
      <alignment vertical="top" wrapText="1"/>
      <protection locked="0"/>
    </xf>
    <xf numFmtId="0" fontId="18" fillId="0" borderId="0" xfId="0" applyFont="1" applyAlignment="1">
      <alignment vertical="center"/>
    </xf>
    <xf numFmtId="0" fontId="21" fillId="0" borderId="17" xfId="3" applyFont="1" applyBorder="1" applyAlignment="1" applyProtection="1">
      <alignment vertical="center" wrapText="1"/>
      <protection locked="0"/>
    </xf>
    <xf numFmtId="0" fontId="21" fillId="0" borderId="17" xfId="3" applyFont="1" applyBorder="1" applyAlignment="1" applyProtection="1">
      <alignment horizontal="center" vertical="center" wrapText="1"/>
      <protection locked="0"/>
    </xf>
    <xf numFmtId="0" fontId="21" fillId="0" borderId="17" xfId="3" applyFont="1" applyBorder="1" applyAlignment="1" applyProtection="1">
      <alignment vertical="top" wrapText="1"/>
      <protection locked="0"/>
    </xf>
    <xf numFmtId="0" fontId="18" fillId="0" borderId="17" xfId="3" applyFont="1" applyBorder="1" applyAlignment="1">
      <alignment horizontal="center" vertical="center" wrapText="1"/>
    </xf>
    <xf numFmtId="0" fontId="18" fillId="0" borderId="17" xfId="0" applyFont="1" applyBorder="1"/>
    <xf numFmtId="0" fontId="9" fillId="2" borderId="17" xfId="2" applyFont="1" applyFill="1" applyBorder="1" applyAlignment="1">
      <alignment horizontal="left" vertical="top" wrapText="1"/>
    </xf>
    <xf numFmtId="0" fontId="24" fillId="0" borderId="17" xfId="0" applyFont="1" applyBorder="1" applyAlignment="1">
      <alignment vertical="center"/>
    </xf>
    <xf numFmtId="0" fontId="9" fillId="2" borderId="0" xfId="2" applyFont="1" applyFill="1" applyBorder="1" applyAlignment="1">
      <alignment horizontal="left" vertical="top" wrapText="1"/>
    </xf>
    <xf numFmtId="0" fontId="23" fillId="0" borderId="17" xfId="0" applyFont="1" applyBorder="1" applyAlignment="1" applyProtection="1">
      <alignment vertical="center" wrapText="1"/>
      <protection locked="0"/>
    </xf>
    <xf numFmtId="0" fontId="24" fillId="0" borderId="17" xfId="0" applyFont="1" applyBorder="1" applyAlignment="1">
      <alignment vertical="center" wrapText="1"/>
    </xf>
    <xf numFmtId="0" fontId="21" fillId="0" borderId="17" xfId="0" applyFont="1" applyBorder="1" applyAlignment="1" applyProtection="1">
      <alignment horizontal="left" vertical="center" wrapText="1"/>
      <protection locked="0"/>
    </xf>
    <xf numFmtId="0" fontId="6" fillId="0" borderId="17" xfId="0" applyFont="1" applyBorder="1"/>
    <xf numFmtId="0" fontId="23" fillId="0" borderId="17" xfId="0" applyFont="1" applyBorder="1" applyAlignment="1" applyProtection="1">
      <alignment vertical="top" wrapText="1"/>
      <protection locked="0"/>
    </xf>
    <xf numFmtId="0" fontId="6" fillId="2" borderId="37" xfId="2" applyFont="1" applyFill="1" applyBorder="1" applyAlignment="1">
      <alignment vertical="top" wrapText="1"/>
    </xf>
    <xf numFmtId="0" fontId="6" fillId="0" borderId="17" xfId="2" applyFont="1" applyFill="1" applyBorder="1" applyAlignment="1">
      <alignment horizontal="left" vertical="top" wrapText="1"/>
    </xf>
    <xf numFmtId="0" fontId="6" fillId="0" borderId="17" xfId="2" applyFont="1" applyFill="1" applyBorder="1" applyAlignment="1">
      <alignment vertical="top" wrapText="1"/>
    </xf>
    <xf numFmtId="0" fontId="6" fillId="0" borderId="17" xfId="2" applyNumberFormat="1" applyFont="1" applyFill="1" applyBorder="1" applyAlignment="1">
      <alignment horizontal="center" vertical="top" wrapText="1"/>
    </xf>
    <xf numFmtId="0" fontId="6" fillId="0" borderId="17" xfId="2" applyFont="1" applyFill="1" applyBorder="1" applyAlignment="1">
      <alignment vertical="top"/>
    </xf>
    <xf numFmtId="49" fontId="3" fillId="0" borderId="35" xfId="0" applyNumberFormat="1" applyFont="1" applyBorder="1"/>
    <xf numFmtId="0" fontId="3" fillId="0" borderId="0" xfId="0" applyFont="1"/>
    <xf numFmtId="49" fontId="3" fillId="0" borderId="34" xfId="0" applyNumberFormat="1" applyFont="1" applyBorder="1"/>
    <xf numFmtId="49" fontId="3" fillId="0" borderId="0" xfId="0" applyNumberFormat="1" applyFont="1" applyFill="1" applyBorder="1"/>
    <xf numFmtId="49" fontId="3" fillId="0" borderId="0" xfId="0" applyNumberFormat="1" applyFont="1" applyBorder="1"/>
    <xf numFmtId="0" fontId="14" fillId="6" borderId="17" xfId="0" applyFont="1" applyFill="1" applyBorder="1"/>
    <xf numFmtId="0" fontId="3" fillId="0" borderId="17" xfId="0" applyFont="1" applyBorder="1" applyAlignment="1">
      <alignment wrapText="1"/>
    </xf>
    <xf numFmtId="14" fontId="0" fillId="0" borderId="17" xfId="0" applyNumberFormat="1" applyBorder="1"/>
    <xf numFmtId="49" fontId="0" fillId="0" borderId="17" xfId="0" applyNumberFormat="1" applyBorder="1"/>
    <xf numFmtId="49" fontId="3" fillId="0" borderId="17" xfId="0" applyNumberFormat="1" applyFont="1" applyBorder="1"/>
    <xf numFmtId="0" fontId="0" fillId="0" borderId="17" xfId="0" applyBorder="1" applyAlignment="1">
      <alignment wrapText="1"/>
    </xf>
    <xf numFmtId="49" fontId="3" fillId="0" borderId="17" xfId="0" applyNumberFormat="1" applyFont="1" applyFill="1" applyBorder="1"/>
    <xf numFmtId="49" fontId="3" fillId="0" borderId="17" xfId="0" applyNumberFormat="1" applyFont="1" applyFill="1" applyBorder="1" applyAlignment="1">
      <alignment horizontal="left" wrapText="1"/>
    </xf>
    <xf numFmtId="49" fontId="3" fillId="0" borderId="17" xfId="0" applyNumberFormat="1" applyFont="1" applyFill="1" applyBorder="1" applyAlignment="1">
      <alignment wrapText="1"/>
    </xf>
    <xf numFmtId="0" fontId="7" fillId="2" borderId="9"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8" xfId="0" applyFont="1" applyFill="1" applyBorder="1" applyAlignment="1">
      <alignment horizontal="left" vertical="center"/>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8" fillId="4" borderId="12" xfId="0" applyFont="1" applyFill="1" applyBorder="1" applyAlignment="1">
      <alignment horizontal="center" vertical="center" wrapText="1"/>
    </xf>
    <xf numFmtId="0" fontId="7" fillId="4" borderId="12" xfId="0" applyFont="1" applyFill="1" applyBorder="1" applyAlignment="1">
      <alignment horizontal="center" vertical="center"/>
    </xf>
    <xf numFmtId="0" fontId="5" fillId="5" borderId="2" xfId="0" applyFont="1" applyFill="1" applyBorder="1" applyAlignment="1" applyProtection="1">
      <alignment horizontal="center" vertical="center" wrapText="1"/>
    </xf>
    <xf numFmtId="0" fontId="5" fillId="5" borderId="3" xfId="0" applyFont="1" applyFill="1" applyBorder="1" applyAlignment="1" applyProtection="1">
      <alignment horizontal="center" vertical="center" wrapText="1"/>
    </xf>
    <xf numFmtId="0" fontId="5" fillId="5" borderId="1" xfId="0" applyFont="1" applyFill="1" applyBorder="1" applyAlignment="1" applyProtection="1">
      <alignment horizontal="center" vertical="center" wrapText="1"/>
    </xf>
    <xf numFmtId="0" fontId="7" fillId="2" borderId="7" xfId="0" applyFont="1" applyFill="1" applyBorder="1" applyAlignment="1">
      <alignment horizontal="left" vertical="center"/>
    </xf>
    <xf numFmtId="0" fontId="7" fillId="2" borderId="5" xfId="0" applyFont="1" applyFill="1" applyBorder="1" applyAlignment="1">
      <alignment horizontal="left" vertical="center"/>
    </xf>
    <xf numFmtId="0" fontId="7" fillId="2" borderId="9" xfId="0" applyFont="1" applyFill="1" applyBorder="1" applyAlignment="1">
      <alignment horizontal="left" vertical="center"/>
    </xf>
    <xf numFmtId="0" fontId="7" fillId="4" borderId="11" xfId="0" applyFont="1" applyFill="1" applyBorder="1" applyAlignment="1">
      <alignment horizontal="center" vertical="center"/>
    </xf>
    <xf numFmtId="0" fontId="5" fillId="5" borderId="20" xfId="3" applyFont="1" applyFill="1" applyBorder="1" applyAlignment="1">
      <alignment horizontal="center" vertical="center" wrapText="1"/>
    </xf>
    <xf numFmtId="0" fontId="9" fillId="0" borderId="17" xfId="3" applyFont="1" applyBorder="1" applyAlignment="1">
      <alignment horizontal="center" vertical="top" wrapText="1"/>
    </xf>
    <xf numFmtId="0" fontId="18" fillId="0" borderId="17" xfId="0" applyFont="1" applyBorder="1" applyAlignment="1">
      <alignment horizontal="center" vertical="top" wrapText="1"/>
    </xf>
    <xf numFmtId="0" fontId="17" fillId="0" borderId="17" xfId="0" applyFont="1" applyBorder="1" applyAlignment="1">
      <alignment horizontal="center" vertical="top" wrapText="1"/>
    </xf>
    <xf numFmtId="0" fontId="17" fillId="0" borderId="29" xfId="0" applyFont="1" applyBorder="1" applyAlignment="1">
      <alignment horizontal="center" vertical="top" wrapText="1"/>
    </xf>
    <xf numFmtId="0" fontId="17" fillId="0" borderId="33" xfId="0" applyFont="1" applyBorder="1" applyAlignment="1">
      <alignment horizontal="center" vertical="top" wrapText="1"/>
    </xf>
    <xf numFmtId="0" fontId="17" fillId="0" borderId="18" xfId="0" applyFont="1" applyBorder="1" applyAlignment="1">
      <alignment horizontal="center" vertical="top" wrapText="1"/>
    </xf>
    <xf numFmtId="0" fontId="16" fillId="5" borderId="20" xfId="0" applyFont="1" applyFill="1" applyBorder="1" applyAlignment="1">
      <alignment horizontal="center" vertical="center" wrapText="1"/>
    </xf>
    <xf numFmtId="0" fontId="18" fillId="0" borderId="29" xfId="0" applyFont="1" applyBorder="1" applyAlignment="1">
      <alignment horizontal="center" vertical="top" wrapText="1"/>
    </xf>
    <xf numFmtId="0" fontId="18" fillId="0" borderId="33" xfId="0" applyFont="1" applyBorder="1" applyAlignment="1">
      <alignment horizontal="center" vertical="top" wrapText="1"/>
    </xf>
    <xf numFmtId="0" fontId="18" fillId="0" borderId="18" xfId="0" applyFont="1" applyBorder="1" applyAlignment="1">
      <alignment horizontal="center" vertical="top" wrapText="1"/>
    </xf>
    <xf numFmtId="0" fontId="5" fillId="5" borderId="17" xfId="2" applyNumberFormat="1" applyFont="1" applyFill="1" applyBorder="1" applyAlignment="1">
      <alignment horizontal="center" vertical="top" wrapText="1"/>
    </xf>
    <xf numFmtId="0" fontId="5" fillId="5" borderId="29" xfId="2" applyFont="1" applyFill="1" applyBorder="1" applyAlignment="1">
      <alignment horizontal="center" vertical="top" wrapText="1"/>
    </xf>
    <xf numFmtId="0" fontId="5" fillId="5" borderId="33" xfId="2" applyFont="1" applyFill="1" applyBorder="1" applyAlignment="1">
      <alignment horizontal="center" vertical="top" wrapText="1"/>
    </xf>
    <xf numFmtId="0" fontId="5" fillId="5" borderId="18" xfId="2" applyFont="1" applyFill="1" applyBorder="1" applyAlignment="1">
      <alignment horizontal="center" vertical="top" wrapText="1"/>
    </xf>
    <xf numFmtId="0" fontId="5" fillId="5" borderId="29" xfId="2" applyNumberFormat="1" applyFont="1" applyFill="1" applyBorder="1" applyAlignment="1">
      <alignment horizontal="center" vertical="top" wrapText="1"/>
    </xf>
    <xf numFmtId="0" fontId="5" fillId="5" borderId="33" xfId="2" applyNumberFormat="1" applyFont="1" applyFill="1" applyBorder="1" applyAlignment="1">
      <alignment horizontal="center" vertical="top" wrapText="1"/>
    </xf>
    <xf numFmtId="0" fontId="5" fillId="5" borderId="18" xfId="2" applyNumberFormat="1" applyFont="1" applyFill="1" applyBorder="1" applyAlignment="1">
      <alignment horizontal="center" vertical="top" wrapText="1"/>
    </xf>
    <xf numFmtId="0" fontId="5" fillId="5" borderId="29" xfId="2" applyFont="1" applyFill="1" applyBorder="1" applyAlignment="1">
      <alignment horizontal="center" vertical="top"/>
    </xf>
    <xf numFmtId="0" fontId="5" fillId="5" borderId="33" xfId="2" applyFont="1" applyFill="1" applyBorder="1" applyAlignment="1">
      <alignment horizontal="center" vertical="top"/>
    </xf>
    <xf numFmtId="0" fontId="5" fillId="5" borderId="18" xfId="2" applyFont="1" applyFill="1" applyBorder="1" applyAlignment="1">
      <alignment horizontal="center" vertical="top"/>
    </xf>
    <xf numFmtId="0" fontId="5" fillId="5" borderId="29" xfId="2" applyFont="1" applyFill="1" applyBorder="1" applyAlignment="1">
      <alignment horizontal="left" vertical="top" wrapText="1"/>
    </xf>
    <xf numFmtId="0" fontId="5" fillId="5" borderId="33" xfId="2" applyFont="1" applyFill="1" applyBorder="1" applyAlignment="1">
      <alignment horizontal="left" vertical="top" wrapText="1"/>
    </xf>
    <xf numFmtId="0" fontId="5" fillId="5" borderId="18" xfId="2" applyFont="1" applyFill="1" applyBorder="1" applyAlignment="1">
      <alignment horizontal="left" vertical="top" wrapText="1"/>
    </xf>
    <xf numFmtId="0" fontId="5" fillId="5" borderId="29" xfId="2" applyNumberFormat="1" applyFont="1" applyFill="1" applyBorder="1" applyAlignment="1">
      <alignment horizontal="left" vertical="top" wrapText="1"/>
    </xf>
  </cellXfs>
  <cellStyles count="4">
    <cellStyle name="Normal" xfId="0" builtinId="0"/>
    <cellStyle name="Normal 10 2 2" xfId="3" xr:uid="{00000000-0005-0000-0000-000001000000}"/>
    <cellStyle name="Normal 2" xfId="1" xr:uid="{00000000-0005-0000-0000-000002000000}"/>
    <cellStyle name="Normal 4" xfId="2" xr:uid="{00000000-0005-0000-0000-000003000000}"/>
  </cellStyles>
  <dxfs count="36">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5" tint="0.5999633777886288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18" Type="http://schemas.openxmlformats.org/officeDocument/2006/relationships/image" Target="../media/image23.png"/><Relationship Id="rId26" Type="http://schemas.openxmlformats.org/officeDocument/2006/relationships/image" Target="../media/image31.png"/><Relationship Id="rId3" Type="http://schemas.openxmlformats.org/officeDocument/2006/relationships/image" Target="../media/image8.png"/><Relationship Id="rId21" Type="http://schemas.openxmlformats.org/officeDocument/2006/relationships/image" Target="../media/image26.pn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5" Type="http://schemas.openxmlformats.org/officeDocument/2006/relationships/image" Target="../media/image30.png"/><Relationship Id="rId2" Type="http://schemas.openxmlformats.org/officeDocument/2006/relationships/image" Target="../media/image7.png"/><Relationship Id="rId16" Type="http://schemas.openxmlformats.org/officeDocument/2006/relationships/image" Target="../media/image21.png"/><Relationship Id="rId20" Type="http://schemas.openxmlformats.org/officeDocument/2006/relationships/image" Target="../media/image25.png"/><Relationship Id="rId29" Type="http://schemas.openxmlformats.org/officeDocument/2006/relationships/image" Target="../media/image34.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24" Type="http://schemas.openxmlformats.org/officeDocument/2006/relationships/image" Target="../media/image29.png"/><Relationship Id="rId32" Type="http://schemas.openxmlformats.org/officeDocument/2006/relationships/image" Target="../media/image37.png"/><Relationship Id="rId5" Type="http://schemas.openxmlformats.org/officeDocument/2006/relationships/image" Target="../media/image10.png"/><Relationship Id="rId15" Type="http://schemas.openxmlformats.org/officeDocument/2006/relationships/image" Target="../media/image20.png"/><Relationship Id="rId23" Type="http://schemas.openxmlformats.org/officeDocument/2006/relationships/image" Target="../media/image28.png"/><Relationship Id="rId28" Type="http://schemas.openxmlformats.org/officeDocument/2006/relationships/image" Target="../media/image33.png"/><Relationship Id="rId10" Type="http://schemas.openxmlformats.org/officeDocument/2006/relationships/image" Target="../media/image15.png"/><Relationship Id="rId19" Type="http://schemas.openxmlformats.org/officeDocument/2006/relationships/image" Target="../media/image24.png"/><Relationship Id="rId31" Type="http://schemas.openxmlformats.org/officeDocument/2006/relationships/image" Target="../media/image36.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 Id="rId22" Type="http://schemas.openxmlformats.org/officeDocument/2006/relationships/image" Target="../media/image27.png"/><Relationship Id="rId27" Type="http://schemas.openxmlformats.org/officeDocument/2006/relationships/image" Target="../media/image32.png"/><Relationship Id="rId30" Type="http://schemas.openxmlformats.org/officeDocument/2006/relationships/image" Target="../media/image3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9.png"/><Relationship Id="rId18" Type="http://schemas.openxmlformats.org/officeDocument/2006/relationships/image" Target="../media/image28.png"/><Relationship Id="rId3" Type="http://schemas.openxmlformats.org/officeDocument/2006/relationships/image" Target="../media/image9.png"/><Relationship Id="rId21" Type="http://schemas.openxmlformats.org/officeDocument/2006/relationships/image" Target="../media/image31.png"/><Relationship Id="rId7" Type="http://schemas.openxmlformats.org/officeDocument/2006/relationships/image" Target="../media/image15.png"/><Relationship Id="rId12" Type="http://schemas.openxmlformats.org/officeDocument/2006/relationships/image" Target="../media/image18.png"/><Relationship Id="rId17" Type="http://schemas.openxmlformats.org/officeDocument/2006/relationships/image" Target="../media/image26.png"/><Relationship Id="rId2" Type="http://schemas.openxmlformats.org/officeDocument/2006/relationships/image" Target="../media/image8.png"/><Relationship Id="rId16" Type="http://schemas.openxmlformats.org/officeDocument/2006/relationships/image" Target="../media/image27.png"/><Relationship Id="rId20" Type="http://schemas.openxmlformats.org/officeDocument/2006/relationships/image" Target="../media/image30.png"/><Relationship Id="rId1" Type="http://schemas.openxmlformats.org/officeDocument/2006/relationships/image" Target="../media/image38.png"/><Relationship Id="rId6" Type="http://schemas.openxmlformats.org/officeDocument/2006/relationships/image" Target="../media/image12.png"/><Relationship Id="rId11" Type="http://schemas.openxmlformats.org/officeDocument/2006/relationships/image" Target="../media/image23.png"/><Relationship Id="rId24" Type="http://schemas.openxmlformats.org/officeDocument/2006/relationships/image" Target="../media/image34.png"/><Relationship Id="rId5" Type="http://schemas.openxmlformats.org/officeDocument/2006/relationships/image" Target="../media/image11.png"/><Relationship Id="rId15" Type="http://schemas.openxmlformats.org/officeDocument/2006/relationships/image" Target="../media/image25.png"/><Relationship Id="rId23" Type="http://schemas.openxmlformats.org/officeDocument/2006/relationships/image" Target="../media/image33.png"/><Relationship Id="rId10" Type="http://schemas.openxmlformats.org/officeDocument/2006/relationships/image" Target="../media/image22.png"/><Relationship Id="rId19" Type="http://schemas.openxmlformats.org/officeDocument/2006/relationships/image" Target="../media/image29.png"/><Relationship Id="rId4" Type="http://schemas.openxmlformats.org/officeDocument/2006/relationships/image" Target="../media/image10.png"/><Relationship Id="rId9" Type="http://schemas.openxmlformats.org/officeDocument/2006/relationships/image" Target="../media/image17.png"/><Relationship Id="rId14" Type="http://schemas.openxmlformats.org/officeDocument/2006/relationships/image" Target="../media/image24.png"/><Relationship Id="rId22"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6</xdr:col>
      <xdr:colOff>1331931</xdr:colOff>
      <xdr:row>0</xdr:row>
      <xdr:rowOff>110957</xdr:rowOff>
    </xdr:from>
    <xdr:to>
      <xdr:col>8</xdr:col>
      <xdr:colOff>252</xdr:colOff>
      <xdr:row>0</xdr:row>
      <xdr:rowOff>664127</xdr:rowOff>
    </xdr:to>
    <xdr:pic>
      <xdr:nvPicPr>
        <xdr:cNvPr id="16" name="Picture 15" descr="http://photos.prnewswire.com/prnvar/20110126/AQ34470LOGO?max=400">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57069" y="110957"/>
          <a:ext cx="1150297" cy="55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81643</xdr:colOff>
      <xdr:row>0</xdr:row>
      <xdr:rowOff>140896</xdr:rowOff>
    </xdr:from>
    <xdr:to>
      <xdr:col>0</xdr:col>
      <xdr:colOff>1169719</xdr:colOff>
      <xdr:row>0</xdr:row>
      <xdr:rowOff>775607</xdr:rowOff>
    </xdr:to>
    <xdr:pic>
      <xdr:nvPicPr>
        <xdr:cNvPr id="18" name="Picture 17" descr="https://www.dfwairport.com/cs/groups/webcontent/documents/webasset/p2_246083.jpg">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643" y="140896"/>
          <a:ext cx="1088076" cy="634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55638</xdr:colOff>
      <xdr:row>0</xdr:row>
      <xdr:rowOff>44041</xdr:rowOff>
    </xdr:from>
    <xdr:to>
      <xdr:col>0</xdr:col>
      <xdr:colOff>933462</xdr:colOff>
      <xdr:row>0</xdr:row>
      <xdr:rowOff>556105</xdr:rowOff>
    </xdr:to>
    <xdr:pic>
      <xdr:nvPicPr>
        <xdr:cNvPr id="2" name="Picture 1" descr="https://www.dfwairport.com/cs/groups/webcontent/documents/webasset/p2_246083.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638" y="44041"/>
          <a:ext cx="877824" cy="512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3485444</xdr:colOff>
      <xdr:row>7</xdr:row>
      <xdr:rowOff>67028</xdr:rowOff>
    </xdr:from>
    <xdr:to>
      <xdr:col>3</xdr:col>
      <xdr:colOff>3668324</xdr:colOff>
      <xdr:row>7</xdr:row>
      <xdr:rowOff>295628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790994" y="3219803"/>
          <a:ext cx="182880" cy="228600"/>
        </a:xfrm>
        <a:prstGeom prst="rect">
          <a:avLst/>
        </a:prstGeom>
      </xdr:spPr>
    </xdr:pic>
    <xdr:clientData/>
  </xdr:twoCellAnchor>
  <xdr:oneCellAnchor>
    <xdr:from>
      <xdr:col>3</xdr:col>
      <xdr:colOff>3333748</xdr:colOff>
      <xdr:row>28</xdr:row>
      <xdr:rowOff>10583</xdr:rowOff>
    </xdr:from>
    <xdr:ext cx="586155" cy="211667"/>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9639298" y="13059833"/>
          <a:ext cx="586155" cy="21166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55638</xdr:colOff>
      <xdr:row>0</xdr:row>
      <xdr:rowOff>44041</xdr:rowOff>
    </xdr:from>
    <xdr:to>
      <xdr:col>0</xdr:col>
      <xdr:colOff>933462</xdr:colOff>
      <xdr:row>0</xdr:row>
      <xdr:rowOff>556105</xdr:rowOff>
    </xdr:to>
    <xdr:pic>
      <xdr:nvPicPr>
        <xdr:cNvPr id="2" name="Picture 1" descr="https://www.dfwairport.com/cs/groups/webcontent/documents/webasset/p2_246083.jp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638" y="44041"/>
          <a:ext cx="877824" cy="512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1493592</xdr:colOff>
      <xdr:row>6</xdr:row>
      <xdr:rowOff>169381</xdr:rowOff>
    </xdr:from>
    <xdr:to>
      <xdr:col>4</xdr:col>
      <xdr:colOff>1720536</xdr:colOff>
      <xdr:row>6</xdr:row>
      <xdr:rowOff>396562</xdr:rowOff>
    </xdr:to>
    <xdr:pic>
      <xdr:nvPicPr>
        <xdr:cNvPr id="3" name="Picture 2">
          <a:extLst>
            <a:ext uri="{FF2B5EF4-FFF2-40B4-BE49-F238E27FC236}">
              <a16:creationId xmlns:a16="http://schemas.microsoft.com/office/drawing/2014/main" id="{ED86DE8B-8D3A-4472-ADC0-6546A4F33417}"/>
            </a:ext>
          </a:extLst>
        </xdr:cNvPr>
        <xdr:cNvPicPr>
          <a:picLocks noChangeAspect="1"/>
        </xdr:cNvPicPr>
      </xdr:nvPicPr>
      <xdr:blipFill>
        <a:blip xmlns:r="http://schemas.openxmlformats.org/officeDocument/2006/relationships" r:embed="rId2"/>
        <a:stretch>
          <a:fillRect/>
        </a:stretch>
      </xdr:blipFill>
      <xdr:spPr>
        <a:xfrm>
          <a:off x="7456242" y="2560156"/>
          <a:ext cx="226944" cy="2271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4</xdr:col>
      <xdr:colOff>313600</xdr:colOff>
      <xdr:row>14</xdr:row>
      <xdr:rowOff>66464</xdr:rowOff>
    </xdr:to>
    <xdr:pic>
      <xdr:nvPicPr>
        <xdr:cNvPr id="2" name="Picture 1">
          <a:extLst>
            <a:ext uri="{FF2B5EF4-FFF2-40B4-BE49-F238E27FC236}">
              <a16:creationId xmlns:a16="http://schemas.microsoft.com/office/drawing/2014/main" id="{F30E8C1E-048E-404D-85AC-C5B0B03908F4}"/>
            </a:ext>
          </a:extLst>
        </xdr:cNvPr>
        <xdr:cNvPicPr>
          <a:picLocks noChangeAspect="1"/>
        </xdr:cNvPicPr>
      </xdr:nvPicPr>
      <xdr:blipFill>
        <a:blip xmlns:r="http://schemas.openxmlformats.org/officeDocument/2006/relationships" r:embed="rId1"/>
        <a:stretch>
          <a:fillRect/>
        </a:stretch>
      </xdr:blipFill>
      <xdr:spPr>
        <a:xfrm>
          <a:off x="0" y="647700"/>
          <a:ext cx="5800000" cy="1685714"/>
        </a:xfrm>
        <a:prstGeom prst="rect">
          <a:avLst/>
        </a:prstGeom>
      </xdr:spPr>
    </xdr:pic>
    <xdr:clientData/>
  </xdr:twoCellAnchor>
  <xdr:twoCellAnchor editAs="oneCell">
    <xdr:from>
      <xdr:col>0</xdr:col>
      <xdr:colOff>0</xdr:colOff>
      <xdr:row>18</xdr:row>
      <xdr:rowOff>0</xdr:rowOff>
    </xdr:from>
    <xdr:to>
      <xdr:col>5</xdr:col>
      <xdr:colOff>484952</xdr:colOff>
      <xdr:row>39</xdr:row>
      <xdr:rowOff>75765</xdr:rowOff>
    </xdr:to>
    <xdr:pic>
      <xdr:nvPicPr>
        <xdr:cNvPr id="3" name="Picture 2">
          <a:extLst>
            <a:ext uri="{FF2B5EF4-FFF2-40B4-BE49-F238E27FC236}">
              <a16:creationId xmlns:a16="http://schemas.microsoft.com/office/drawing/2014/main" id="{49A61BE8-7D07-4228-8422-04EAF26A0B93}"/>
            </a:ext>
          </a:extLst>
        </xdr:cNvPr>
        <xdr:cNvPicPr>
          <a:picLocks noChangeAspect="1"/>
        </xdr:cNvPicPr>
      </xdr:nvPicPr>
      <xdr:blipFill>
        <a:blip xmlns:r="http://schemas.openxmlformats.org/officeDocument/2006/relationships" r:embed="rId2"/>
        <a:stretch>
          <a:fillRect/>
        </a:stretch>
      </xdr:blipFill>
      <xdr:spPr>
        <a:xfrm>
          <a:off x="0" y="2914650"/>
          <a:ext cx="6580952" cy="3476190"/>
        </a:xfrm>
        <a:prstGeom prst="rect">
          <a:avLst/>
        </a:prstGeom>
      </xdr:spPr>
    </xdr:pic>
    <xdr:clientData/>
  </xdr:twoCellAnchor>
  <xdr:twoCellAnchor editAs="oneCell">
    <xdr:from>
      <xdr:col>0</xdr:col>
      <xdr:colOff>0</xdr:colOff>
      <xdr:row>42</xdr:row>
      <xdr:rowOff>0</xdr:rowOff>
    </xdr:from>
    <xdr:to>
      <xdr:col>14</xdr:col>
      <xdr:colOff>46171</xdr:colOff>
      <xdr:row>67</xdr:row>
      <xdr:rowOff>37589</xdr:rowOff>
    </xdr:to>
    <xdr:pic>
      <xdr:nvPicPr>
        <xdr:cNvPr id="4" name="Picture 3">
          <a:extLst>
            <a:ext uri="{FF2B5EF4-FFF2-40B4-BE49-F238E27FC236}">
              <a16:creationId xmlns:a16="http://schemas.microsoft.com/office/drawing/2014/main" id="{BEE3CBCF-D1EE-4CB4-AB80-D4A6007DF8E3}"/>
            </a:ext>
          </a:extLst>
        </xdr:cNvPr>
        <xdr:cNvPicPr>
          <a:picLocks noChangeAspect="1"/>
        </xdr:cNvPicPr>
      </xdr:nvPicPr>
      <xdr:blipFill>
        <a:blip xmlns:r="http://schemas.openxmlformats.org/officeDocument/2006/relationships" r:embed="rId3"/>
        <a:stretch>
          <a:fillRect/>
        </a:stretch>
      </xdr:blipFill>
      <xdr:spPr>
        <a:xfrm>
          <a:off x="0" y="6800850"/>
          <a:ext cx="11628571" cy="4085714"/>
        </a:xfrm>
        <a:prstGeom prst="rect">
          <a:avLst/>
        </a:prstGeom>
      </xdr:spPr>
    </xdr:pic>
    <xdr:clientData/>
  </xdr:twoCellAnchor>
  <xdr:twoCellAnchor editAs="oneCell">
    <xdr:from>
      <xdr:col>0</xdr:col>
      <xdr:colOff>95250</xdr:colOff>
      <xdr:row>71</xdr:row>
      <xdr:rowOff>142875</xdr:rowOff>
    </xdr:from>
    <xdr:to>
      <xdr:col>14</xdr:col>
      <xdr:colOff>522374</xdr:colOff>
      <xdr:row>102</xdr:row>
      <xdr:rowOff>94629</xdr:rowOff>
    </xdr:to>
    <xdr:pic>
      <xdr:nvPicPr>
        <xdr:cNvPr id="5" name="Picture 4">
          <a:extLst>
            <a:ext uri="{FF2B5EF4-FFF2-40B4-BE49-F238E27FC236}">
              <a16:creationId xmlns:a16="http://schemas.microsoft.com/office/drawing/2014/main" id="{BF393DBF-D15D-42B6-94C0-39EEE83B5D34}"/>
            </a:ext>
          </a:extLst>
        </xdr:cNvPr>
        <xdr:cNvPicPr>
          <a:picLocks noChangeAspect="1"/>
        </xdr:cNvPicPr>
      </xdr:nvPicPr>
      <xdr:blipFill>
        <a:blip xmlns:r="http://schemas.openxmlformats.org/officeDocument/2006/relationships" r:embed="rId4"/>
        <a:stretch>
          <a:fillRect/>
        </a:stretch>
      </xdr:blipFill>
      <xdr:spPr>
        <a:xfrm>
          <a:off x="95250" y="11639550"/>
          <a:ext cx="12009524" cy="4971429"/>
        </a:xfrm>
        <a:prstGeom prst="rect">
          <a:avLst/>
        </a:prstGeom>
      </xdr:spPr>
    </xdr:pic>
    <xdr:clientData/>
  </xdr:twoCellAnchor>
  <xdr:twoCellAnchor editAs="oneCell">
    <xdr:from>
      <xdr:col>0</xdr:col>
      <xdr:colOff>95250</xdr:colOff>
      <xdr:row>104</xdr:row>
      <xdr:rowOff>142875</xdr:rowOff>
    </xdr:from>
    <xdr:to>
      <xdr:col>15</xdr:col>
      <xdr:colOff>217536</xdr:colOff>
      <xdr:row>135</xdr:row>
      <xdr:rowOff>66057</xdr:rowOff>
    </xdr:to>
    <xdr:pic>
      <xdr:nvPicPr>
        <xdr:cNvPr id="6" name="Picture 5">
          <a:extLst>
            <a:ext uri="{FF2B5EF4-FFF2-40B4-BE49-F238E27FC236}">
              <a16:creationId xmlns:a16="http://schemas.microsoft.com/office/drawing/2014/main" id="{23D3E888-D40E-4408-ACA8-C85D74637006}"/>
            </a:ext>
          </a:extLst>
        </xdr:cNvPr>
        <xdr:cNvPicPr>
          <a:picLocks noChangeAspect="1"/>
        </xdr:cNvPicPr>
      </xdr:nvPicPr>
      <xdr:blipFill>
        <a:blip xmlns:r="http://schemas.openxmlformats.org/officeDocument/2006/relationships" r:embed="rId5"/>
        <a:stretch>
          <a:fillRect/>
        </a:stretch>
      </xdr:blipFill>
      <xdr:spPr>
        <a:xfrm>
          <a:off x="95250" y="16983075"/>
          <a:ext cx="12314286" cy="4942857"/>
        </a:xfrm>
        <a:prstGeom prst="rect">
          <a:avLst/>
        </a:prstGeom>
      </xdr:spPr>
    </xdr:pic>
    <xdr:clientData/>
  </xdr:twoCellAnchor>
  <xdr:twoCellAnchor editAs="oneCell">
    <xdr:from>
      <xdr:col>0</xdr:col>
      <xdr:colOff>0</xdr:colOff>
      <xdr:row>139</xdr:row>
      <xdr:rowOff>0</xdr:rowOff>
    </xdr:from>
    <xdr:to>
      <xdr:col>13</xdr:col>
      <xdr:colOff>370057</xdr:colOff>
      <xdr:row>149</xdr:row>
      <xdr:rowOff>56940</xdr:rowOff>
    </xdr:to>
    <xdr:pic>
      <xdr:nvPicPr>
        <xdr:cNvPr id="7" name="Picture 6">
          <a:extLst>
            <a:ext uri="{FF2B5EF4-FFF2-40B4-BE49-F238E27FC236}">
              <a16:creationId xmlns:a16="http://schemas.microsoft.com/office/drawing/2014/main" id="{A3253DED-E0E6-4883-A8C0-79D1D1FEB165}"/>
            </a:ext>
          </a:extLst>
        </xdr:cNvPr>
        <xdr:cNvPicPr>
          <a:picLocks noChangeAspect="1"/>
        </xdr:cNvPicPr>
      </xdr:nvPicPr>
      <xdr:blipFill>
        <a:blip xmlns:r="http://schemas.openxmlformats.org/officeDocument/2006/relationships" r:embed="rId6"/>
        <a:stretch>
          <a:fillRect/>
        </a:stretch>
      </xdr:blipFill>
      <xdr:spPr>
        <a:xfrm>
          <a:off x="0" y="22507575"/>
          <a:ext cx="11342857" cy="1676190"/>
        </a:xfrm>
        <a:prstGeom prst="rect">
          <a:avLst/>
        </a:prstGeom>
      </xdr:spPr>
    </xdr:pic>
    <xdr:clientData/>
  </xdr:twoCellAnchor>
  <xdr:twoCellAnchor editAs="oneCell">
    <xdr:from>
      <xdr:col>0</xdr:col>
      <xdr:colOff>342900</xdr:colOff>
      <xdr:row>154</xdr:row>
      <xdr:rowOff>152400</xdr:rowOff>
    </xdr:from>
    <xdr:to>
      <xdr:col>6</xdr:col>
      <xdr:colOff>275395</xdr:colOff>
      <xdr:row>182</xdr:row>
      <xdr:rowOff>132786</xdr:rowOff>
    </xdr:to>
    <xdr:pic>
      <xdr:nvPicPr>
        <xdr:cNvPr id="8" name="Picture 7">
          <a:extLst>
            <a:ext uri="{FF2B5EF4-FFF2-40B4-BE49-F238E27FC236}">
              <a16:creationId xmlns:a16="http://schemas.microsoft.com/office/drawing/2014/main" id="{7542EFB5-6DB4-439D-B582-1D205CA57D88}"/>
            </a:ext>
          </a:extLst>
        </xdr:cNvPr>
        <xdr:cNvPicPr>
          <a:picLocks noChangeAspect="1"/>
        </xdr:cNvPicPr>
      </xdr:nvPicPr>
      <xdr:blipFill>
        <a:blip xmlns:r="http://schemas.openxmlformats.org/officeDocument/2006/relationships" r:embed="rId7"/>
        <a:stretch>
          <a:fillRect/>
        </a:stretch>
      </xdr:blipFill>
      <xdr:spPr>
        <a:xfrm>
          <a:off x="342900" y="25088850"/>
          <a:ext cx="6638095" cy="4514286"/>
        </a:xfrm>
        <a:prstGeom prst="rect">
          <a:avLst/>
        </a:prstGeom>
      </xdr:spPr>
    </xdr:pic>
    <xdr:clientData/>
  </xdr:twoCellAnchor>
  <xdr:twoCellAnchor editAs="oneCell">
    <xdr:from>
      <xdr:col>0</xdr:col>
      <xdr:colOff>238125</xdr:colOff>
      <xdr:row>184</xdr:row>
      <xdr:rowOff>28575</xdr:rowOff>
    </xdr:from>
    <xdr:to>
      <xdr:col>4</xdr:col>
      <xdr:colOff>608868</xdr:colOff>
      <xdr:row>194</xdr:row>
      <xdr:rowOff>47420</xdr:rowOff>
    </xdr:to>
    <xdr:pic>
      <xdr:nvPicPr>
        <xdr:cNvPr id="9" name="Picture 8">
          <a:extLst>
            <a:ext uri="{FF2B5EF4-FFF2-40B4-BE49-F238E27FC236}">
              <a16:creationId xmlns:a16="http://schemas.microsoft.com/office/drawing/2014/main" id="{6787C6AF-E875-474B-89E7-7AB57D3B51B7}"/>
            </a:ext>
          </a:extLst>
        </xdr:cNvPr>
        <xdr:cNvPicPr>
          <a:picLocks noChangeAspect="1"/>
        </xdr:cNvPicPr>
      </xdr:nvPicPr>
      <xdr:blipFill>
        <a:blip xmlns:r="http://schemas.openxmlformats.org/officeDocument/2006/relationships" r:embed="rId8"/>
        <a:stretch>
          <a:fillRect/>
        </a:stretch>
      </xdr:blipFill>
      <xdr:spPr>
        <a:xfrm>
          <a:off x="238125" y="29822775"/>
          <a:ext cx="5857143" cy="1638095"/>
        </a:xfrm>
        <a:prstGeom prst="rect">
          <a:avLst/>
        </a:prstGeom>
      </xdr:spPr>
    </xdr:pic>
    <xdr:clientData/>
  </xdr:twoCellAnchor>
  <xdr:twoCellAnchor editAs="oneCell">
    <xdr:from>
      <xdr:col>0</xdr:col>
      <xdr:colOff>238125</xdr:colOff>
      <xdr:row>195</xdr:row>
      <xdr:rowOff>66675</xdr:rowOff>
    </xdr:from>
    <xdr:to>
      <xdr:col>3</xdr:col>
      <xdr:colOff>132754</xdr:colOff>
      <xdr:row>205</xdr:row>
      <xdr:rowOff>66473</xdr:rowOff>
    </xdr:to>
    <xdr:pic>
      <xdr:nvPicPr>
        <xdr:cNvPr id="10" name="Picture 9">
          <a:extLst>
            <a:ext uri="{FF2B5EF4-FFF2-40B4-BE49-F238E27FC236}">
              <a16:creationId xmlns:a16="http://schemas.microsoft.com/office/drawing/2014/main" id="{C2B2F316-DD93-48BF-ACAB-47E49F49B1C7}"/>
            </a:ext>
          </a:extLst>
        </xdr:cNvPr>
        <xdr:cNvPicPr>
          <a:picLocks noChangeAspect="1"/>
        </xdr:cNvPicPr>
      </xdr:nvPicPr>
      <xdr:blipFill>
        <a:blip xmlns:r="http://schemas.openxmlformats.org/officeDocument/2006/relationships" r:embed="rId9"/>
        <a:stretch>
          <a:fillRect/>
        </a:stretch>
      </xdr:blipFill>
      <xdr:spPr>
        <a:xfrm>
          <a:off x="238125" y="31642050"/>
          <a:ext cx="4771429" cy="1619048"/>
        </a:xfrm>
        <a:prstGeom prst="rect">
          <a:avLst/>
        </a:prstGeom>
      </xdr:spPr>
    </xdr:pic>
    <xdr:clientData/>
  </xdr:twoCellAnchor>
  <xdr:twoCellAnchor editAs="oneCell">
    <xdr:from>
      <xdr:col>0</xdr:col>
      <xdr:colOff>247650</xdr:colOff>
      <xdr:row>207</xdr:row>
      <xdr:rowOff>142875</xdr:rowOff>
    </xdr:from>
    <xdr:to>
      <xdr:col>13</xdr:col>
      <xdr:colOff>312945</xdr:colOff>
      <xdr:row>223</xdr:row>
      <xdr:rowOff>75884</xdr:rowOff>
    </xdr:to>
    <xdr:pic>
      <xdr:nvPicPr>
        <xdr:cNvPr id="14" name="Picture 13">
          <a:extLst>
            <a:ext uri="{FF2B5EF4-FFF2-40B4-BE49-F238E27FC236}">
              <a16:creationId xmlns:a16="http://schemas.microsoft.com/office/drawing/2014/main" id="{90BB41E0-D7C5-49B2-84F2-7FEF0D6050D1}"/>
            </a:ext>
          </a:extLst>
        </xdr:cNvPr>
        <xdr:cNvPicPr>
          <a:picLocks noChangeAspect="1"/>
        </xdr:cNvPicPr>
      </xdr:nvPicPr>
      <xdr:blipFill>
        <a:blip xmlns:r="http://schemas.openxmlformats.org/officeDocument/2006/relationships" r:embed="rId10"/>
        <a:stretch>
          <a:fillRect/>
        </a:stretch>
      </xdr:blipFill>
      <xdr:spPr>
        <a:xfrm>
          <a:off x="247650" y="33661350"/>
          <a:ext cx="11038095" cy="2523809"/>
        </a:xfrm>
        <a:prstGeom prst="rect">
          <a:avLst/>
        </a:prstGeom>
      </xdr:spPr>
    </xdr:pic>
    <xdr:clientData/>
  </xdr:twoCellAnchor>
  <xdr:twoCellAnchor editAs="oneCell">
    <xdr:from>
      <xdr:col>0</xdr:col>
      <xdr:colOff>323850</xdr:colOff>
      <xdr:row>227</xdr:row>
      <xdr:rowOff>0</xdr:rowOff>
    </xdr:from>
    <xdr:to>
      <xdr:col>5</xdr:col>
      <xdr:colOff>132612</xdr:colOff>
      <xdr:row>247</xdr:row>
      <xdr:rowOff>104357</xdr:rowOff>
    </xdr:to>
    <xdr:pic>
      <xdr:nvPicPr>
        <xdr:cNvPr id="20" name="Picture 19">
          <a:extLst>
            <a:ext uri="{FF2B5EF4-FFF2-40B4-BE49-F238E27FC236}">
              <a16:creationId xmlns:a16="http://schemas.microsoft.com/office/drawing/2014/main" id="{72344E29-CBE1-4C80-A866-F0CFFC32A26C}"/>
            </a:ext>
          </a:extLst>
        </xdr:cNvPr>
        <xdr:cNvPicPr>
          <a:picLocks noChangeAspect="1"/>
        </xdr:cNvPicPr>
      </xdr:nvPicPr>
      <xdr:blipFill>
        <a:blip xmlns:r="http://schemas.openxmlformats.org/officeDocument/2006/relationships" r:embed="rId11"/>
        <a:stretch>
          <a:fillRect/>
        </a:stretch>
      </xdr:blipFill>
      <xdr:spPr>
        <a:xfrm>
          <a:off x="323850" y="36756975"/>
          <a:ext cx="5904762" cy="3342857"/>
        </a:xfrm>
        <a:prstGeom prst="rect">
          <a:avLst/>
        </a:prstGeom>
      </xdr:spPr>
    </xdr:pic>
    <xdr:clientData/>
  </xdr:twoCellAnchor>
  <xdr:twoCellAnchor editAs="oneCell">
    <xdr:from>
      <xdr:col>0</xdr:col>
      <xdr:colOff>314325</xdr:colOff>
      <xdr:row>248</xdr:row>
      <xdr:rowOff>104775</xdr:rowOff>
    </xdr:from>
    <xdr:to>
      <xdr:col>6</xdr:col>
      <xdr:colOff>208725</xdr:colOff>
      <xdr:row>256</xdr:row>
      <xdr:rowOff>56994</xdr:rowOff>
    </xdr:to>
    <xdr:pic>
      <xdr:nvPicPr>
        <xdr:cNvPr id="36" name="Picture 35">
          <a:extLst>
            <a:ext uri="{FF2B5EF4-FFF2-40B4-BE49-F238E27FC236}">
              <a16:creationId xmlns:a16="http://schemas.microsoft.com/office/drawing/2014/main" id="{35EBEE24-FDA9-49FA-B10F-FD27C56CB9FC}"/>
            </a:ext>
          </a:extLst>
        </xdr:cNvPr>
        <xdr:cNvPicPr>
          <a:picLocks noChangeAspect="1"/>
        </xdr:cNvPicPr>
      </xdr:nvPicPr>
      <xdr:blipFill>
        <a:blip xmlns:r="http://schemas.openxmlformats.org/officeDocument/2006/relationships" r:embed="rId12"/>
        <a:stretch>
          <a:fillRect/>
        </a:stretch>
      </xdr:blipFill>
      <xdr:spPr>
        <a:xfrm>
          <a:off x="314325" y="40262175"/>
          <a:ext cx="6600000" cy="1247619"/>
        </a:xfrm>
        <a:prstGeom prst="rect">
          <a:avLst/>
        </a:prstGeom>
      </xdr:spPr>
    </xdr:pic>
    <xdr:clientData/>
  </xdr:twoCellAnchor>
  <xdr:twoCellAnchor editAs="oneCell">
    <xdr:from>
      <xdr:col>1</xdr:col>
      <xdr:colOff>0</xdr:colOff>
      <xdr:row>317</xdr:row>
      <xdr:rowOff>0</xdr:rowOff>
    </xdr:from>
    <xdr:to>
      <xdr:col>9</xdr:col>
      <xdr:colOff>37180</xdr:colOff>
      <xdr:row>337</xdr:row>
      <xdr:rowOff>161500</xdr:rowOff>
    </xdr:to>
    <xdr:pic>
      <xdr:nvPicPr>
        <xdr:cNvPr id="38" name="Picture 37">
          <a:extLst>
            <a:ext uri="{FF2B5EF4-FFF2-40B4-BE49-F238E27FC236}">
              <a16:creationId xmlns:a16="http://schemas.microsoft.com/office/drawing/2014/main" id="{2F8AAF4A-135E-441B-AC1B-3A44DC92F5B3}"/>
            </a:ext>
          </a:extLst>
        </xdr:cNvPr>
        <xdr:cNvPicPr>
          <a:picLocks noChangeAspect="1"/>
        </xdr:cNvPicPr>
      </xdr:nvPicPr>
      <xdr:blipFill>
        <a:blip xmlns:r="http://schemas.openxmlformats.org/officeDocument/2006/relationships" r:embed="rId13"/>
        <a:stretch>
          <a:fillRect/>
        </a:stretch>
      </xdr:blipFill>
      <xdr:spPr>
        <a:xfrm>
          <a:off x="1209675" y="50520600"/>
          <a:ext cx="7361905" cy="3400000"/>
        </a:xfrm>
        <a:prstGeom prst="rect">
          <a:avLst/>
        </a:prstGeom>
      </xdr:spPr>
    </xdr:pic>
    <xdr:clientData/>
  </xdr:twoCellAnchor>
  <xdr:twoCellAnchor editAs="oneCell">
    <xdr:from>
      <xdr:col>1</xdr:col>
      <xdr:colOff>0</xdr:colOff>
      <xdr:row>339</xdr:row>
      <xdr:rowOff>0</xdr:rowOff>
    </xdr:from>
    <xdr:to>
      <xdr:col>6</xdr:col>
      <xdr:colOff>437408</xdr:colOff>
      <xdr:row>347</xdr:row>
      <xdr:rowOff>28410</xdr:rowOff>
    </xdr:to>
    <xdr:pic>
      <xdr:nvPicPr>
        <xdr:cNvPr id="39" name="Picture 38">
          <a:extLst>
            <a:ext uri="{FF2B5EF4-FFF2-40B4-BE49-F238E27FC236}">
              <a16:creationId xmlns:a16="http://schemas.microsoft.com/office/drawing/2014/main" id="{05BE51AD-E336-4B08-9662-AD368174D0F9}"/>
            </a:ext>
          </a:extLst>
        </xdr:cNvPr>
        <xdr:cNvPicPr>
          <a:picLocks noChangeAspect="1"/>
        </xdr:cNvPicPr>
      </xdr:nvPicPr>
      <xdr:blipFill>
        <a:blip xmlns:r="http://schemas.openxmlformats.org/officeDocument/2006/relationships" r:embed="rId14"/>
        <a:stretch>
          <a:fillRect/>
        </a:stretch>
      </xdr:blipFill>
      <xdr:spPr>
        <a:xfrm>
          <a:off x="1209675" y="54082950"/>
          <a:ext cx="5933333" cy="1323810"/>
        </a:xfrm>
        <a:prstGeom prst="rect">
          <a:avLst/>
        </a:prstGeom>
      </xdr:spPr>
    </xdr:pic>
    <xdr:clientData/>
  </xdr:twoCellAnchor>
  <xdr:twoCellAnchor editAs="oneCell">
    <xdr:from>
      <xdr:col>0</xdr:col>
      <xdr:colOff>1200150</xdr:colOff>
      <xdr:row>285</xdr:row>
      <xdr:rowOff>104776</xdr:rowOff>
    </xdr:from>
    <xdr:to>
      <xdr:col>10</xdr:col>
      <xdr:colOff>494245</xdr:colOff>
      <xdr:row>303</xdr:row>
      <xdr:rowOff>123826</xdr:rowOff>
    </xdr:to>
    <xdr:pic>
      <xdr:nvPicPr>
        <xdr:cNvPr id="40" name="Picture 39">
          <a:extLst>
            <a:ext uri="{FF2B5EF4-FFF2-40B4-BE49-F238E27FC236}">
              <a16:creationId xmlns:a16="http://schemas.microsoft.com/office/drawing/2014/main" id="{44E4B4A2-6649-464A-BC92-83A1546F35A8}"/>
            </a:ext>
          </a:extLst>
        </xdr:cNvPr>
        <xdr:cNvPicPr>
          <a:picLocks noChangeAspect="1"/>
        </xdr:cNvPicPr>
      </xdr:nvPicPr>
      <xdr:blipFill>
        <a:blip xmlns:r="http://schemas.openxmlformats.org/officeDocument/2006/relationships" r:embed="rId15"/>
        <a:stretch>
          <a:fillRect/>
        </a:stretch>
      </xdr:blipFill>
      <xdr:spPr>
        <a:xfrm>
          <a:off x="1200150" y="45443776"/>
          <a:ext cx="8438095" cy="2933700"/>
        </a:xfrm>
        <a:prstGeom prst="rect">
          <a:avLst/>
        </a:prstGeom>
      </xdr:spPr>
    </xdr:pic>
    <xdr:clientData/>
  </xdr:twoCellAnchor>
  <xdr:twoCellAnchor editAs="oneCell">
    <xdr:from>
      <xdr:col>0</xdr:col>
      <xdr:colOff>1200150</xdr:colOff>
      <xdr:row>304</xdr:row>
      <xdr:rowOff>0</xdr:rowOff>
    </xdr:from>
    <xdr:to>
      <xdr:col>14</xdr:col>
      <xdr:colOff>141559</xdr:colOff>
      <xdr:row>314</xdr:row>
      <xdr:rowOff>114083</xdr:rowOff>
    </xdr:to>
    <xdr:pic>
      <xdr:nvPicPr>
        <xdr:cNvPr id="41" name="Picture 40">
          <a:extLst>
            <a:ext uri="{FF2B5EF4-FFF2-40B4-BE49-F238E27FC236}">
              <a16:creationId xmlns:a16="http://schemas.microsoft.com/office/drawing/2014/main" id="{37798CE1-CDF0-4D78-BA80-784192BC93C6}"/>
            </a:ext>
          </a:extLst>
        </xdr:cNvPr>
        <xdr:cNvPicPr>
          <a:picLocks noChangeAspect="1"/>
        </xdr:cNvPicPr>
      </xdr:nvPicPr>
      <xdr:blipFill>
        <a:blip xmlns:r="http://schemas.openxmlformats.org/officeDocument/2006/relationships" r:embed="rId16"/>
        <a:stretch>
          <a:fillRect/>
        </a:stretch>
      </xdr:blipFill>
      <xdr:spPr>
        <a:xfrm>
          <a:off x="1200150" y="48415575"/>
          <a:ext cx="10523809" cy="1733333"/>
        </a:xfrm>
        <a:prstGeom prst="rect">
          <a:avLst/>
        </a:prstGeom>
      </xdr:spPr>
    </xdr:pic>
    <xdr:clientData/>
  </xdr:twoCellAnchor>
  <xdr:twoCellAnchor editAs="oneCell">
    <xdr:from>
      <xdr:col>0</xdr:col>
      <xdr:colOff>381000</xdr:colOff>
      <xdr:row>258</xdr:row>
      <xdr:rowOff>66675</xdr:rowOff>
    </xdr:from>
    <xdr:to>
      <xdr:col>8</xdr:col>
      <xdr:colOff>75248</xdr:colOff>
      <xdr:row>271</xdr:row>
      <xdr:rowOff>133350</xdr:rowOff>
    </xdr:to>
    <xdr:pic>
      <xdr:nvPicPr>
        <xdr:cNvPr id="42" name="Picture 41">
          <a:extLst>
            <a:ext uri="{FF2B5EF4-FFF2-40B4-BE49-F238E27FC236}">
              <a16:creationId xmlns:a16="http://schemas.microsoft.com/office/drawing/2014/main" id="{DCCF01DD-2AA9-4915-BF7B-003ABAE5DA60}"/>
            </a:ext>
          </a:extLst>
        </xdr:cNvPr>
        <xdr:cNvPicPr>
          <a:picLocks noChangeAspect="1"/>
        </xdr:cNvPicPr>
      </xdr:nvPicPr>
      <xdr:blipFill>
        <a:blip xmlns:r="http://schemas.openxmlformats.org/officeDocument/2006/relationships" r:embed="rId17"/>
        <a:stretch>
          <a:fillRect/>
        </a:stretch>
      </xdr:blipFill>
      <xdr:spPr>
        <a:xfrm>
          <a:off x="381000" y="41843325"/>
          <a:ext cx="7619048" cy="2171700"/>
        </a:xfrm>
        <a:prstGeom prst="rect">
          <a:avLst/>
        </a:prstGeom>
      </xdr:spPr>
    </xdr:pic>
    <xdr:clientData/>
  </xdr:twoCellAnchor>
  <xdr:twoCellAnchor editAs="oneCell">
    <xdr:from>
      <xdr:col>0</xdr:col>
      <xdr:colOff>419100</xdr:colOff>
      <xdr:row>272</xdr:row>
      <xdr:rowOff>133350</xdr:rowOff>
    </xdr:from>
    <xdr:to>
      <xdr:col>11</xdr:col>
      <xdr:colOff>17881</xdr:colOff>
      <xdr:row>281</xdr:row>
      <xdr:rowOff>123644</xdr:rowOff>
    </xdr:to>
    <xdr:pic>
      <xdr:nvPicPr>
        <xdr:cNvPr id="43" name="Picture 42">
          <a:extLst>
            <a:ext uri="{FF2B5EF4-FFF2-40B4-BE49-F238E27FC236}">
              <a16:creationId xmlns:a16="http://schemas.microsoft.com/office/drawing/2014/main" id="{83CB4FE1-227D-4ED3-A20D-89F30F174EB2}"/>
            </a:ext>
          </a:extLst>
        </xdr:cNvPr>
        <xdr:cNvPicPr>
          <a:picLocks noChangeAspect="1"/>
        </xdr:cNvPicPr>
      </xdr:nvPicPr>
      <xdr:blipFill>
        <a:blip xmlns:r="http://schemas.openxmlformats.org/officeDocument/2006/relationships" r:embed="rId18"/>
        <a:stretch>
          <a:fillRect/>
        </a:stretch>
      </xdr:blipFill>
      <xdr:spPr>
        <a:xfrm>
          <a:off x="419100" y="44176950"/>
          <a:ext cx="9352381" cy="1447619"/>
        </a:xfrm>
        <a:prstGeom prst="rect">
          <a:avLst/>
        </a:prstGeom>
      </xdr:spPr>
    </xdr:pic>
    <xdr:clientData/>
  </xdr:twoCellAnchor>
  <xdr:twoCellAnchor editAs="oneCell">
    <xdr:from>
      <xdr:col>1</xdr:col>
      <xdr:colOff>0</xdr:colOff>
      <xdr:row>350</xdr:row>
      <xdr:rowOff>0</xdr:rowOff>
    </xdr:from>
    <xdr:to>
      <xdr:col>8</xdr:col>
      <xdr:colOff>18208</xdr:colOff>
      <xdr:row>367</xdr:row>
      <xdr:rowOff>9180</xdr:rowOff>
    </xdr:to>
    <xdr:pic>
      <xdr:nvPicPr>
        <xdr:cNvPr id="46" name="Picture 45">
          <a:extLst>
            <a:ext uri="{FF2B5EF4-FFF2-40B4-BE49-F238E27FC236}">
              <a16:creationId xmlns:a16="http://schemas.microsoft.com/office/drawing/2014/main" id="{E93F064F-E307-4E03-89B7-C9C1C4C165CC}"/>
            </a:ext>
          </a:extLst>
        </xdr:cNvPr>
        <xdr:cNvPicPr>
          <a:picLocks noChangeAspect="1"/>
        </xdr:cNvPicPr>
      </xdr:nvPicPr>
      <xdr:blipFill>
        <a:blip xmlns:r="http://schemas.openxmlformats.org/officeDocument/2006/relationships" r:embed="rId19"/>
        <a:stretch>
          <a:fillRect/>
        </a:stretch>
      </xdr:blipFill>
      <xdr:spPr>
        <a:xfrm>
          <a:off x="1209675" y="56673750"/>
          <a:ext cx="6733333" cy="2761905"/>
        </a:xfrm>
        <a:prstGeom prst="rect">
          <a:avLst/>
        </a:prstGeom>
      </xdr:spPr>
    </xdr:pic>
    <xdr:clientData/>
  </xdr:twoCellAnchor>
  <xdr:twoCellAnchor editAs="oneCell">
    <xdr:from>
      <xdr:col>1</xdr:col>
      <xdr:colOff>0</xdr:colOff>
      <xdr:row>378</xdr:row>
      <xdr:rowOff>0</xdr:rowOff>
    </xdr:from>
    <xdr:to>
      <xdr:col>8</xdr:col>
      <xdr:colOff>18208</xdr:colOff>
      <xdr:row>395</xdr:row>
      <xdr:rowOff>9180</xdr:rowOff>
    </xdr:to>
    <xdr:pic>
      <xdr:nvPicPr>
        <xdr:cNvPr id="47" name="Picture 46">
          <a:extLst>
            <a:ext uri="{FF2B5EF4-FFF2-40B4-BE49-F238E27FC236}">
              <a16:creationId xmlns:a16="http://schemas.microsoft.com/office/drawing/2014/main" id="{F22318F8-89AE-4F8B-879C-CB3F9C0124F8}"/>
            </a:ext>
          </a:extLst>
        </xdr:cNvPr>
        <xdr:cNvPicPr>
          <a:picLocks noChangeAspect="1"/>
        </xdr:cNvPicPr>
      </xdr:nvPicPr>
      <xdr:blipFill>
        <a:blip xmlns:r="http://schemas.openxmlformats.org/officeDocument/2006/relationships" r:embed="rId19"/>
        <a:stretch>
          <a:fillRect/>
        </a:stretch>
      </xdr:blipFill>
      <xdr:spPr>
        <a:xfrm>
          <a:off x="1209675" y="61207650"/>
          <a:ext cx="6733333" cy="2761905"/>
        </a:xfrm>
        <a:prstGeom prst="rect">
          <a:avLst/>
        </a:prstGeom>
      </xdr:spPr>
    </xdr:pic>
    <xdr:clientData/>
  </xdr:twoCellAnchor>
  <xdr:twoCellAnchor editAs="oneCell">
    <xdr:from>
      <xdr:col>1</xdr:col>
      <xdr:colOff>0</xdr:colOff>
      <xdr:row>368</xdr:row>
      <xdr:rowOff>0</xdr:rowOff>
    </xdr:from>
    <xdr:to>
      <xdr:col>11</xdr:col>
      <xdr:colOff>0</xdr:colOff>
      <xdr:row>375</xdr:row>
      <xdr:rowOff>152400</xdr:rowOff>
    </xdr:to>
    <xdr:pic>
      <xdr:nvPicPr>
        <xdr:cNvPr id="48" name="Picture 47">
          <a:extLst>
            <a:ext uri="{FF2B5EF4-FFF2-40B4-BE49-F238E27FC236}">
              <a16:creationId xmlns:a16="http://schemas.microsoft.com/office/drawing/2014/main" id="{C670107F-2FC8-43CD-B8F3-2B8FCBD1AD5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09675" y="59588400"/>
          <a:ext cx="85439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396</xdr:row>
      <xdr:rowOff>0</xdr:rowOff>
    </xdr:from>
    <xdr:to>
      <xdr:col>11</xdr:col>
      <xdr:colOff>0</xdr:colOff>
      <xdr:row>403</xdr:row>
      <xdr:rowOff>152400</xdr:rowOff>
    </xdr:to>
    <xdr:pic>
      <xdr:nvPicPr>
        <xdr:cNvPr id="49" name="Picture 48">
          <a:extLst>
            <a:ext uri="{FF2B5EF4-FFF2-40B4-BE49-F238E27FC236}">
              <a16:creationId xmlns:a16="http://schemas.microsoft.com/office/drawing/2014/main" id="{7176B27E-EDAB-456F-9ED5-12B73AA17765}"/>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09675" y="64122300"/>
          <a:ext cx="85439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407</xdr:row>
      <xdr:rowOff>0</xdr:rowOff>
    </xdr:from>
    <xdr:to>
      <xdr:col>6</xdr:col>
      <xdr:colOff>56456</xdr:colOff>
      <xdr:row>416</xdr:row>
      <xdr:rowOff>85532</xdr:rowOff>
    </xdr:to>
    <xdr:pic>
      <xdr:nvPicPr>
        <xdr:cNvPr id="50" name="Picture 49">
          <a:extLst>
            <a:ext uri="{FF2B5EF4-FFF2-40B4-BE49-F238E27FC236}">
              <a16:creationId xmlns:a16="http://schemas.microsoft.com/office/drawing/2014/main" id="{F13B53CD-2482-4C00-8C4C-85EB9B530E3B}"/>
            </a:ext>
          </a:extLst>
        </xdr:cNvPr>
        <xdr:cNvPicPr>
          <a:picLocks noChangeAspect="1"/>
        </xdr:cNvPicPr>
      </xdr:nvPicPr>
      <xdr:blipFill>
        <a:blip xmlns:r="http://schemas.openxmlformats.org/officeDocument/2006/relationships" r:embed="rId21"/>
        <a:stretch>
          <a:fillRect/>
        </a:stretch>
      </xdr:blipFill>
      <xdr:spPr>
        <a:xfrm>
          <a:off x="1209675" y="65903475"/>
          <a:ext cx="5552381" cy="1542857"/>
        </a:xfrm>
        <a:prstGeom prst="rect">
          <a:avLst/>
        </a:prstGeom>
      </xdr:spPr>
    </xdr:pic>
    <xdr:clientData/>
  </xdr:twoCellAnchor>
  <xdr:twoCellAnchor editAs="oneCell">
    <xdr:from>
      <xdr:col>1</xdr:col>
      <xdr:colOff>0</xdr:colOff>
      <xdr:row>417</xdr:row>
      <xdr:rowOff>0</xdr:rowOff>
    </xdr:from>
    <xdr:to>
      <xdr:col>4</xdr:col>
      <xdr:colOff>313751</xdr:colOff>
      <xdr:row>426</xdr:row>
      <xdr:rowOff>9342</xdr:rowOff>
    </xdr:to>
    <xdr:pic>
      <xdr:nvPicPr>
        <xdr:cNvPr id="52" name="Picture 51">
          <a:extLst>
            <a:ext uri="{FF2B5EF4-FFF2-40B4-BE49-F238E27FC236}">
              <a16:creationId xmlns:a16="http://schemas.microsoft.com/office/drawing/2014/main" id="{60E0F7E8-2F93-4CF6-A993-63AD0F08407C}"/>
            </a:ext>
          </a:extLst>
        </xdr:cNvPr>
        <xdr:cNvPicPr>
          <a:picLocks noChangeAspect="1"/>
        </xdr:cNvPicPr>
      </xdr:nvPicPr>
      <xdr:blipFill>
        <a:blip xmlns:r="http://schemas.openxmlformats.org/officeDocument/2006/relationships" r:embed="rId22"/>
        <a:stretch>
          <a:fillRect/>
        </a:stretch>
      </xdr:blipFill>
      <xdr:spPr>
        <a:xfrm>
          <a:off x="1209675" y="67522725"/>
          <a:ext cx="4590476" cy="1466667"/>
        </a:xfrm>
        <a:prstGeom prst="rect">
          <a:avLst/>
        </a:prstGeom>
      </xdr:spPr>
    </xdr:pic>
    <xdr:clientData/>
  </xdr:twoCellAnchor>
  <xdr:twoCellAnchor editAs="oneCell">
    <xdr:from>
      <xdr:col>1</xdr:col>
      <xdr:colOff>0</xdr:colOff>
      <xdr:row>429</xdr:row>
      <xdr:rowOff>0</xdr:rowOff>
    </xdr:from>
    <xdr:to>
      <xdr:col>12</xdr:col>
      <xdr:colOff>17903</xdr:colOff>
      <xdr:row>445</xdr:row>
      <xdr:rowOff>123486</xdr:rowOff>
    </xdr:to>
    <xdr:pic>
      <xdr:nvPicPr>
        <xdr:cNvPr id="53" name="Picture 52">
          <a:extLst>
            <a:ext uri="{FF2B5EF4-FFF2-40B4-BE49-F238E27FC236}">
              <a16:creationId xmlns:a16="http://schemas.microsoft.com/office/drawing/2014/main" id="{6F75C23E-0C9C-457C-AD65-029004A85FC3}"/>
            </a:ext>
          </a:extLst>
        </xdr:cNvPr>
        <xdr:cNvPicPr>
          <a:picLocks noChangeAspect="1"/>
        </xdr:cNvPicPr>
      </xdr:nvPicPr>
      <xdr:blipFill>
        <a:blip xmlns:r="http://schemas.openxmlformats.org/officeDocument/2006/relationships" r:embed="rId23"/>
        <a:stretch>
          <a:fillRect/>
        </a:stretch>
      </xdr:blipFill>
      <xdr:spPr>
        <a:xfrm>
          <a:off x="1209675" y="69465825"/>
          <a:ext cx="9171428" cy="2714286"/>
        </a:xfrm>
        <a:prstGeom prst="rect">
          <a:avLst/>
        </a:prstGeom>
      </xdr:spPr>
    </xdr:pic>
    <xdr:clientData/>
  </xdr:twoCellAnchor>
  <xdr:twoCellAnchor editAs="oneCell">
    <xdr:from>
      <xdr:col>1</xdr:col>
      <xdr:colOff>0</xdr:colOff>
      <xdr:row>447</xdr:row>
      <xdr:rowOff>0</xdr:rowOff>
    </xdr:from>
    <xdr:to>
      <xdr:col>4</xdr:col>
      <xdr:colOff>418513</xdr:colOff>
      <xdr:row>456</xdr:row>
      <xdr:rowOff>85532</xdr:rowOff>
    </xdr:to>
    <xdr:pic>
      <xdr:nvPicPr>
        <xdr:cNvPr id="54" name="Picture 53">
          <a:extLst>
            <a:ext uri="{FF2B5EF4-FFF2-40B4-BE49-F238E27FC236}">
              <a16:creationId xmlns:a16="http://schemas.microsoft.com/office/drawing/2014/main" id="{354CFC65-7108-40D9-AF17-FC5BC8A21446}"/>
            </a:ext>
          </a:extLst>
        </xdr:cNvPr>
        <xdr:cNvPicPr>
          <a:picLocks noChangeAspect="1"/>
        </xdr:cNvPicPr>
      </xdr:nvPicPr>
      <xdr:blipFill>
        <a:blip xmlns:r="http://schemas.openxmlformats.org/officeDocument/2006/relationships" r:embed="rId24"/>
        <a:stretch>
          <a:fillRect/>
        </a:stretch>
      </xdr:blipFill>
      <xdr:spPr>
        <a:xfrm>
          <a:off x="1209675" y="72380475"/>
          <a:ext cx="4695238" cy="1542857"/>
        </a:xfrm>
        <a:prstGeom prst="rect">
          <a:avLst/>
        </a:prstGeom>
      </xdr:spPr>
    </xdr:pic>
    <xdr:clientData/>
  </xdr:twoCellAnchor>
  <xdr:twoCellAnchor editAs="oneCell">
    <xdr:from>
      <xdr:col>1</xdr:col>
      <xdr:colOff>0</xdr:colOff>
      <xdr:row>460</xdr:row>
      <xdr:rowOff>0</xdr:rowOff>
    </xdr:from>
    <xdr:to>
      <xdr:col>8</xdr:col>
      <xdr:colOff>132494</xdr:colOff>
      <xdr:row>473</xdr:row>
      <xdr:rowOff>104499</xdr:rowOff>
    </xdr:to>
    <xdr:pic>
      <xdr:nvPicPr>
        <xdr:cNvPr id="55" name="Picture 54">
          <a:extLst>
            <a:ext uri="{FF2B5EF4-FFF2-40B4-BE49-F238E27FC236}">
              <a16:creationId xmlns:a16="http://schemas.microsoft.com/office/drawing/2014/main" id="{AAEC726B-6670-49C7-8C07-EB84A6A811BA}"/>
            </a:ext>
          </a:extLst>
        </xdr:cNvPr>
        <xdr:cNvPicPr>
          <a:picLocks noChangeAspect="1"/>
        </xdr:cNvPicPr>
      </xdr:nvPicPr>
      <xdr:blipFill>
        <a:blip xmlns:r="http://schemas.openxmlformats.org/officeDocument/2006/relationships" r:embed="rId25"/>
        <a:stretch>
          <a:fillRect/>
        </a:stretch>
      </xdr:blipFill>
      <xdr:spPr>
        <a:xfrm>
          <a:off x="1209675" y="74485500"/>
          <a:ext cx="6847619" cy="2209524"/>
        </a:xfrm>
        <a:prstGeom prst="rect">
          <a:avLst/>
        </a:prstGeom>
      </xdr:spPr>
    </xdr:pic>
    <xdr:clientData/>
  </xdr:twoCellAnchor>
  <xdr:twoCellAnchor editAs="oneCell">
    <xdr:from>
      <xdr:col>1</xdr:col>
      <xdr:colOff>0</xdr:colOff>
      <xdr:row>477</xdr:row>
      <xdr:rowOff>0</xdr:rowOff>
    </xdr:from>
    <xdr:to>
      <xdr:col>12</xdr:col>
      <xdr:colOff>95250</xdr:colOff>
      <xdr:row>499</xdr:row>
      <xdr:rowOff>57150</xdr:rowOff>
    </xdr:to>
    <xdr:pic>
      <xdr:nvPicPr>
        <xdr:cNvPr id="56" name="Picture 55">
          <a:extLst>
            <a:ext uri="{FF2B5EF4-FFF2-40B4-BE49-F238E27FC236}">
              <a16:creationId xmlns:a16="http://schemas.microsoft.com/office/drawing/2014/main" id="{E17C6FA2-4DB4-4223-8ED4-067DB4A6D3C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09675" y="77238225"/>
          <a:ext cx="9248775"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502</xdr:row>
      <xdr:rowOff>0</xdr:rowOff>
    </xdr:from>
    <xdr:to>
      <xdr:col>6</xdr:col>
      <xdr:colOff>46932</xdr:colOff>
      <xdr:row>518</xdr:row>
      <xdr:rowOff>18724</xdr:rowOff>
    </xdr:to>
    <xdr:pic>
      <xdr:nvPicPr>
        <xdr:cNvPr id="57" name="Picture 56">
          <a:extLst>
            <a:ext uri="{FF2B5EF4-FFF2-40B4-BE49-F238E27FC236}">
              <a16:creationId xmlns:a16="http://schemas.microsoft.com/office/drawing/2014/main" id="{55B58EAD-BE02-44DC-8698-94580A80B5B2}"/>
            </a:ext>
          </a:extLst>
        </xdr:cNvPr>
        <xdr:cNvPicPr>
          <a:picLocks noChangeAspect="1"/>
        </xdr:cNvPicPr>
      </xdr:nvPicPr>
      <xdr:blipFill>
        <a:blip xmlns:r="http://schemas.openxmlformats.org/officeDocument/2006/relationships" r:embed="rId27"/>
        <a:stretch>
          <a:fillRect/>
        </a:stretch>
      </xdr:blipFill>
      <xdr:spPr>
        <a:xfrm>
          <a:off x="1209675" y="81448275"/>
          <a:ext cx="5542857" cy="2609524"/>
        </a:xfrm>
        <a:prstGeom prst="rect">
          <a:avLst/>
        </a:prstGeom>
      </xdr:spPr>
    </xdr:pic>
    <xdr:clientData/>
  </xdr:twoCellAnchor>
  <xdr:twoCellAnchor editAs="oneCell">
    <xdr:from>
      <xdr:col>1</xdr:col>
      <xdr:colOff>0</xdr:colOff>
      <xdr:row>519</xdr:row>
      <xdr:rowOff>0</xdr:rowOff>
    </xdr:from>
    <xdr:to>
      <xdr:col>4</xdr:col>
      <xdr:colOff>418513</xdr:colOff>
      <xdr:row>528</xdr:row>
      <xdr:rowOff>161723</xdr:rowOff>
    </xdr:to>
    <xdr:pic>
      <xdr:nvPicPr>
        <xdr:cNvPr id="58" name="Picture 57">
          <a:extLst>
            <a:ext uri="{FF2B5EF4-FFF2-40B4-BE49-F238E27FC236}">
              <a16:creationId xmlns:a16="http://schemas.microsoft.com/office/drawing/2014/main" id="{16CC5E53-16F8-47E1-B03D-7468D71DF892}"/>
            </a:ext>
          </a:extLst>
        </xdr:cNvPr>
        <xdr:cNvPicPr>
          <a:picLocks noChangeAspect="1"/>
        </xdr:cNvPicPr>
      </xdr:nvPicPr>
      <xdr:blipFill>
        <a:blip xmlns:r="http://schemas.openxmlformats.org/officeDocument/2006/relationships" r:embed="rId28"/>
        <a:stretch>
          <a:fillRect/>
        </a:stretch>
      </xdr:blipFill>
      <xdr:spPr>
        <a:xfrm>
          <a:off x="1209675" y="84201000"/>
          <a:ext cx="4695238" cy="1619048"/>
        </a:xfrm>
        <a:prstGeom prst="rect">
          <a:avLst/>
        </a:prstGeom>
      </xdr:spPr>
    </xdr:pic>
    <xdr:clientData/>
  </xdr:twoCellAnchor>
  <xdr:twoCellAnchor editAs="oneCell">
    <xdr:from>
      <xdr:col>1</xdr:col>
      <xdr:colOff>0</xdr:colOff>
      <xdr:row>531</xdr:row>
      <xdr:rowOff>85725</xdr:rowOff>
    </xdr:from>
    <xdr:to>
      <xdr:col>9</xdr:col>
      <xdr:colOff>189561</xdr:colOff>
      <xdr:row>546</xdr:row>
      <xdr:rowOff>152088</xdr:rowOff>
    </xdr:to>
    <xdr:pic>
      <xdr:nvPicPr>
        <xdr:cNvPr id="59" name="Picture 58">
          <a:extLst>
            <a:ext uri="{FF2B5EF4-FFF2-40B4-BE49-F238E27FC236}">
              <a16:creationId xmlns:a16="http://schemas.microsoft.com/office/drawing/2014/main" id="{852DEF14-AAC5-42B2-A76F-14CF5841714B}"/>
            </a:ext>
          </a:extLst>
        </xdr:cNvPr>
        <xdr:cNvPicPr>
          <a:picLocks noChangeAspect="1"/>
        </xdr:cNvPicPr>
      </xdr:nvPicPr>
      <xdr:blipFill>
        <a:blip xmlns:r="http://schemas.openxmlformats.org/officeDocument/2006/relationships" r:embed="rId29"/>
        <a:stretch>
          <a:fillRect/>
        </a:stretch>
      </xdr:blipFill>
      <xdr:spPr>
        <a:xfrm>
          <a:off x="1209675" y="86229825"/>
          <a:ext cx="7514286" cy="2495238"/>
        </a:xfrm>
        <a:prstGeom prst="rect">
          <a:avLst/>
        </a:prstGeom>
      </xdr:spPr>
    </xdr:pic>
    <xdr:clientData/>
  </xdr:twoCellAnchor>
  <xdr:twoCellAnchor editAs="oneCell">
    <xdr:from>
      <xdr:col>1</xdr:col>
      <xdr:colOff>0</xdr:colOff>
      <xdr:row>550</xdr:row>
      <xdr:rowOff>0</xdr:rowOff>
    </xdr:from>
    <xdr:to>
      <xdr:col>11</xdr:col>
      <xdr:colOff>503694</xdr:colOff>
      <xdr:row>570</xdr:row>
      <xdr:rowOff>161500</xdr:rowOff>
    </xdr:to>
    <xdr:pic>
      <xdr:nvPicPr>
        <xdr:cNvPr id="60" name="Picture 59">
          <a:extLst>
            <a:ext uri="{FF2B5EF4-FFF2-40B4-BE49-F238E27FC236}">
              <a16:creationId xmlns:a16="http://schemas.microsoft.com/office/drawing/2014/main" id="{44D6B642-AE61-4DC6-8A49-1B6701A4BE64}"/>
            </a:ext>
          </a:extLst>
        </xdr:cNvPr>
        <xdr:cNvPicPr>
          <a:picLocks noChangeAspect="1"/>
        </xdr:cNvPicPr>
      </xdr:nvPicPr>
      <xdr:blipFill>
        <a:blip xmlns:r="http://schemas.openxmlformats.org/officeDocument/2006/relationships" r:embed="rId30"/>
        <a:stretch>
          <a:fillRect/>
        </a:stretch>
      </xdr:blipFill>
      <xdr:spPr>
        <a:xfrm>
          <a:off x="1209675" y="89382600"/>
          <a:ext cx="9047619" cy="3400000"/>
        </a:xfrm>
        <a:prstGeom prst="rect">
          <a:avLst/>
        </a:prstGeom>
      </xdr:spPr>
    </xdr:pic>
    <xdr:clientData/>
  </xdr:twoCellAnchor>
  <xdr:twoCellAnchor editAs="oneCell">
    <xdr:from>
      <xdr:col>1</xdr:col>
      <xdr:colOff>0</xdr:colOff>
      <xdr:row>573</xdr:row>
      <xdr:rowOff>0</xdr:rowOff>
    </xdr:from>
    <xdr:to>
      <xdr:col>9</xdr:col>
      <xdr:colOff>189561</xdr:colOff>
      <xdr:row>588</xdr:row>
      <xdr:rowOff>66363</xdr:rowOff>
    </xdr:to>
    <xdr:pic>
      <xdr:nvPicPr>
        <xdr:cNvPr id="61" name="Picture 60">
          <a:extLst>
            <a:ext uri="{FF2B5EF4-FFF2-40B4-BE49-F238E27FC236}">
              <a16:creationId xmlns:a16="http://schemas.microsoft.com/office/drawing/2014/main" id="{B9306149-89CC-407E-9443-4D9A1BB8FDB2}"/>
            </a:ext>
          </a:extLst>
        </xdr:cNvPr>
        <xdr:cNvPicPr>
          <a:picLocks noChangeAspect="1"/>
        </xdr:cNvPicPr>
      </xdr:nvPicPr>
      <xdr:blipFill>
        <a:blip xmlns:r="http://schemas.openxmlformats.org/officeDocument/2006/relationships" r:embed="rId29"/>
        <a:stretch>
          <a:fillRect/>
        </a:stretch>
      </xdr:blipFill>
      <xdr:spPr>
        <a:xfrm>
          <a:off x="1209675" y="93106875"/>
          <a:ext cx="7514286" cy="2495238"/>
        </a:xfrm>
        <a:prstGeom prst="rect">
          <a:avLst/>
        </a:prstGeom>
      </xdr:spPr>
    </xdr:pic>
    <xdr:clientData/>
  </xdr:twoCellAnchor>
  <xdr:twoCellAnchor editAs="oneCell">
    <xdr:from>
      <xdr:col>1</xdr:col>
      <xdr:colOff>0</xdr:colOff>
      <xdr:row>589</xdr:row>
      <xdr:rowOff>0</xdr:rowOff>
    </xdr:from>
    <xdr:to>
      <xdr:col>4</xdr:col>
      <xdr:colOff>351846</xdr:colOff>
      <xdr:row>598</xdr:row>
      <xdr:rowOff>18865</xdr:rowOff>
    </xdr:to>
    <xdr:pic>
      <xdr:nvPicPr>
        <xdr:cNvPr id="62" name="Picture 61">
          <a:extLst>
            <a:ext uri="{FF2B5EF4-FFF2-40B4-BE49-F238E27FC236}">
              <a16:creationId xmlns:a16="http://schemas.microsoft.com/office/drawing/2014/main" id="{CDC28503-DEE7-4DC7-AE4C-B88932F53D91}"/>
            </a:ext>
          </a:extLst>
        </xdr:cNvPr>
        <xdr:cNvPicPr>
          <a:picLocks noChangeAspect="1"/>
        </xdr:cNvPicPr>
      </xdr:nvPicPr>
      <xdr:blipFill>
        <a:blip xmlns:r="http://schemas.openxmlformats.org/officeDocument/2006/relationships" r:embed="rId31"/>
        <a:stretch>
          <a:fillRect/>
        </a:stretch>
      </xdr:blipFill>
      <xdr:spPr>
        <a:xfrm>
          <a:off x="1209675" y="95697675"/>
          <a:ext cx="4628571" cy="1476190"/>
        </a:xfrm>
        <a:prstGeom prst="rect">
          <a:avLst/>
        </a:prstGeom>
      </xdr:spPr>
    </xdr:pic>
    <xdr:clientData/>
  </xdr:twoCellAnchor>
  <xdr:twoCellAnchor editAs="oneCell">
    <xdr:from>
      <xdr:col>1</xdr:col>
      <xdr:colOff>0</xdr:colOff>
      <xdr:row>599</xdr:row>
      <xdr:rowOff>0</xdr:rowOff>
    </xdr:from>
    <xdr:to>
      <xdr:col>10</xdr:col>
      <xdr:colOff>142875</xdr:colOff>
      <xdr:row>607</xdr:row>
      <xdr:rowOff>142875</xdr:rowOff>
    </xdr:to>
    <xdr:pic>
      <xdr:nvPicPr>
        <xdr:cNvPr id="63" name="Picture 62">
          <a:extLst>
            <a:ext uri="{FF2B5EF4-FFF2-40B4-BE49-F238E27FC236}">
              <a16:creationId xmlns:a16="http://schemas.microsoft.com/office/drawing/2014/main" id="{B90ED7AF-76B2-4E51-A693-D87BDFF01EE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209675" y="97316925"/>
          <a:ext cx="80772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1095375</xdr:colOff>
      <xdr:row>23</xdr:row>
      <xdr:rowOff>76200</xdr:rowOff>
    </xdr:from>
    <xdr:to>
      <xdr:col>4</xdr:col>
      <xdr:colOff>1380269</xdr:colOff>
      <xdr:row>33</xdr:row>
      <xdr:rowOff>85521</xdr:rowOff>
    </xdr:to>
    <xdr:pic>
      <xdr:nvPicPr>
        <xdr:cNvPr id="4" name="Picture 3">
          <a:extLst>
            <a:ext uri="{FF2B5EF4-FFF2-40B4-BE49-F238E27FC236}">
              <a16:creationId xmlns:a16="http://schemas.microsoft.com/office/drawing/2014/main" id="{4253E893-FFD4-4ECD-ADCF-003A1EF10E12}"/>
            </a:ext>
          </a:extLst>
        </xdr:cNvPr>
        <xdr:cNvPicPr>
          <a:picLocks noChangeAspect="1"/>
        </xdr:cNvPicPr>
      </xdr:nvPicPr>
      <xdr:blipFill>
        <a:blip xmlns:r="http://schemas.openxmlformats.org/officeDocument/2006/relationships" r:embed="rId1"/>
        <a:stretch>
          <a:fillRect/>
        </a:stretch>
      </xdr:blipFill>
      <xdr:spPr>
        <a:xfrm>
          <a:off x="1095375" y="2886075"/>
          <a:ext cx="6847619" cy="1628571"/>
        </a:xfrm>
        <a:prstGeom prst="rect">
          <a:avLst/>
        </a:prstGeom>
      </xdr:spPr>
    </xdr:pic>
    <xdr:clientData/>
  </xdr:twoCellAnchor>
  <xdr:twoCellAnchor editAs="oneCell">
    <xdr:from>
      <xdr:col>0</xdr:col>
      <xdr:colOff>990600</xdr:colOff>
      <xdr:row>35</xdr:row>
      <xdr:rowOff>57150</xdr:rowOff>
    </xdr:from>
    <xdr:to>
      <xdr:col>6</xdr:col>
      <xdr:colOff>169996</xdr:colOff>
      <xdr:row>60</xdr:row>
      <xdr:rowOff>94739</xdr:rowOff>
    </xdr:to>
    <xdr:pic>
      <xdr:nvPicPr>
        <xdr:cNvPr id="9" name="Picture 8">
          <a:extLst>
            <a:ext uri="{FF2B5EF4-FFF2-40B4-BE49-F238E27FC236}">
              <a16:creationId xmlns:a16="http://schemas.microsoft.com/office/drawing/2014/main" id="{FF554138-6A0B-4C5D-9352-4AC4360A56BA}"/>
            </a:ext>
          </a:extLst>
        </xdr:cNvPr>
        <xdr:cNvPicPr>
          <a:picLocks noChangeAspect="1"/>
        </xdr:cNvPicPr>
      </xdr:nvPicPr>
      <xdr:blipFill>
        <a:blip xmlns:r="http://schemas.openxmlformats.org/officeDocument/2006/relationships" r:embed="rId2"/>
        <a:stretch>
          <a:fillRect/>
        </a:stretch>
      </xdr:blipFill>
      <xdr:spPr>
        <a:xfrm>
          <a:off x="990600" y="4810125"/>
          <a:ext cx="11628571" cy="4085714"/>
        </a:xfrm>
        <a:prstGeom prst="rect">
          <a:avLst/>
        </a:prstGeom>
      </xdr:spPr>
    </xdr:pic>
    <xdr:clientData/>
  </xdr:twoCellAnchor>
  <xdr:twoCellAnchor editAs="oneCell">
    <xdr:from>
      <xdr:col>1</xdr:col>
      <xdr:colOff>0</xdr:colOff>
      <xdr:row>67</xdr:row>
      <xdr:rowOff>0</xdr:rowOff>
    </xdr:from>
    <xdr:to>
      <xdr:col>6</xdr:col>
      <xdr:colOff>550949</xdr:colOff>
      <xdr:row>97</xdr:row>
      <xdr:rowOff>113679</xdr:rowOff>
    </xdr:to>
    <xdr:pic>
      <xdr:nvPicPr>
        <xdr:cNvPr id="10" name="Picture 9">
          <a:extLst>
            <a:ext uri="{FF2B5EF4-FFF2-40B4-BE49-F238E27FC236}">
              <a16:creationId xmlns:a16="http://schemas.microsoft.com/office/drawing/2014/main" id="{83788266-539F-40A9-AADB-3015BD51F71C}"/>
            </a:ext>
          </a:extLst>
        </xdr:cNvPr>
        <xdr:cNvPicPr>
          <a:picLocks noChangeAspect="1"/>
        </xdr:cNvPicPr>
      </xdr:nvPicPr>
      <xdr:blipFill>
        <a:blip xmlns:r="http://schemas.openxmlformats.org/officeDocument/2006/relationships" r:embed="rId3"/>
        <a:stretch>
          <a:fillRect/>
        </a:stretch>
      </xdr:blipFill>
      <xdr:spPr>
        <a:xfrm>
          <a:off x="1143000" y="9934575"/>
          <a:ext cx="12009524" cy="4971429"/>
        </a:xfrm>
        <a:prstGeom prst="rect">
          <a:avLst/>
        </a:prstGeom>
      </xdr:spPr>
    </xdr:pic>
    <xdr:clientData/>
  </xdr:twoCellAnchor>
  <xdr:twoCellAnchor editAs="oneCell">
    <xdr:from>
      <xdr:col>1</xdr:col>
      <xdr:colOff>0</xdr:colOff>
      <xdr:row>101</xdr:row>
      <xdr:rowOff>0</xdr:rowOff>
    </xdr:from>
    <xdr:to>
      <xdr:col>6</xdr:col>
      <xdr:colOff>855711</xdr:colOff>
      <xdr:row>131</xdr:row>
      <xdr:rowOff>85107</xdr:rowOff>
    </xdr:to>
    <xdr:pic>
      <xdr:nvPicPr>
        <xdr:cNvPr id="11" name="Picture 10">
          <a:extLst>
            <a:ext uri="{FF2B5EF4-FFF2-40B4-BE49-F238E27FC236}">
              <a16:creationId xmlns:a16="http://schemas.microsoft.com/office/drawing/2014/main" id="{7B8675F4-B00C-4AD7-856A-CF97733B5E9C}"/>
            </a:ext>
          </a:extLst>
        </xdr:cNvPr>
        <xdr:cNvPicPr>
          <a:picLocks noChangeAspect="1"/>
        </xdr:cNvPicPr>
      </xdr:nvPicPr>
      <xdr:blipFill>
        <a:blip xmlns:r="http://schemas.openxmlformats.org/officeDocument/2006/relationships" r:embed="rId4"/>
        <a:stretch>
          <a:fillRect/>
        </a:stretch>
      </xdr:blipFill>
      <xdr:spPr>
        <a:xfrm>
          <a:off x="1143000" y="15440025"/>
          <a:ext cx="12314286" cy="4942857"/>
        </a:xfrm>
        <a:prstGeom prst="rect">
          <a:avLst/>
        </a:prstGeom>
      </xdr:spPr>
    </xdr:pic>
    <xdr:clientData/>
  </xdr:twoCellAnchor>
  <xdr:twoCellAnchor editAs="oneCell">
    <xdr:from>
      <xdr:col>1</xdr:col>
      <xdr:colOff>0</xdr:colOff>
      <xdr:row>135</xdr:row>
      <xdr:rowOff>0</xdr:rowOff>
    </xdr:from>
    <xdr:to>
      <xdr:col>5</xdr:col>
      <xdr:colOff>3970507</xdr:colOff>
      <xdr:row>145</xdr:row>
      <xdr:rowOff>56940</xdr:rowOff>
    </xdr:to>
    <xdr:pic>
      <xdr:nvPicPr>
        <xdr:cNvPr id="12" name="Picture 11">
          <a:extLst>
            <a:ext uri="{FF2B5EF4-FFF2-40B4-BE49-F238E27FC236}">
              <a16:creationId xmlns:a16="http://schemas.microsoft.com/office/drawing/2014/main" id="{71A67E69-BE45-498B-9D4C-EFF448F4F432}"/>
            </a:ext>
          </a:extLst>
        </xdr:cNvPr>
        <xdr:cNvPicPr>
          <a:picLocks noChangeAspect="1"/>
        </xdr:cNvPicPr>
      </xdr:nvPicPr>
      <xdr:blipFill>
        <a:blip xmlns:r="http://schemas.openxmlformats.org/officeDocument/2006/relationships" r:embed="rId5"/>
        <a:stretch>
          <a:fillRect/>
        </a:stretch>
      </xdr:blipFill>
      <xdr:spPr>
        <a:xfrm>
          <a:off x="1143000" y="20945475"/>
          <a:ext cx="11342857" cy="1676190"/>
        </a:xfrm>
        <a:prstGeom prst="rect">
          <a:avLst/>
        </a:prstGeom>
      </xdr:spPr>
    </xdr:pic>
    <xdr:clientData/>
  </xdr:twoCellAnchor>
  <xdr:twoCellAnchor editAs="oneCell">
    <xdr:from>
      <xdr:col>1</xdr:col>
      <xdr:colOff>0</xdr:colOff>
      <xdr:row>148</xdr:row>
      <xdr:rowOff>0</xdr:rowOff>
    </xdr:from>
    <xdr:to>
      <xdr:col>4</xdr:col>
      <xdr:colOff>1170745</xdr:colOff>
      <xdr:row>175</xdr:row>
      <xdr:rowOff>142311</xdr:rowOff>
    </xdr:to>
    <xdr:pic>
      <xdr:nvPicPr>
        <xdr:cNvPr id="13" name="Picture 12">
          <a:extLst>
            <a:ext uri="{FF2B5EF4-FFF2-40B4-BE49-F238E27FC236}">
              <a16:creationId xmlns:a16="http://schemas.microsoft.com/office/drawing/2014/main" id="{A10AC73C-8D23-47A0-8FE7-0587F5ADF57B}"/>
            </a:ext>
          </a:extLst>
        </xdr:cNvPr>
        <xdr:cNvPicPr>
          <a:picLocks noChangeAspect="1"/>
        </xdr:cNvPicPr>
      </xdr:nvPicPr>
      <xdr:blipFill>
        <a:blip xmlns:r="http://schemas.openxmlformats.org/officeDocument/2006/relationships" r:embed="rId6"/>
        <a:stretch>
          <a:fillRect/>
        </a:stretch>
      </xdr:blipFill>
      <xdr:spPr>
        <a:xfrm>
          <a:off x="1143000" y="23050500"/>
          <a:ext cx="6638095" cy="4514286"/>
        </a:xfrm>
        <a:prstGeom prst="rect">
          <a:avLst/>
        </a:prstGeom>
      </xdr:spPr>
    </xdr:pic>
    <xdr:clientData/>
  </xdr:twoCellAnchor>
  <xdr:twoCellAnchor editAs="oneCell">
    <xdr:from>
      <xdr:col>1</xdr:col>
      <xdr:colOff>0</xdr:colOff>
      <xdr:row>177</xdr:row>
      <xdr:rowOff>0</xdr:rowOff>
    </xdr:from>
    <xdr:to>
      <xdr:col>5</xdr:col>
      <xdr:colOff>3665745</xdr:colOff>
      <xdr:row>192</xdr:row>
      <xdr:rowOff>94934</xdr:rowOff>
    </xdr:to>
    <xdr:pic>
      <xdr:nvPicPr>
        <xdr:cNvPr id="14" name="Picture 13">
          <a:extLst>
            <a:ext uri="{FF2B5EF4-FFF2-40B4-BE49-F238E27FC236}">
              <a16:creationId xmlns:a16="http://schemas.microsoft.com/office/drawing/2014/main" id="{10F89601-DB90-4439-B20F-19C6A267D837}"/>
            </a:ext>
          </a:extLst>
        </xdr:cNvPr>
        <xdr:cNvPicPr>
          <a:picLocks noChangeAspect="1"/>
        </xdr:cNvPicPr>
      </xdr:nvPicPr>
      <xdr:blipFill>
        <a:blip xmlns:r="http://schemas.openxmlformats.org/officeDocument/2006/relationships" r:embed="rId7"/>
        <a:stretch>
          <a:fillRect/>
        </a:stretch>
      </xdr:blipFill>
      <xdr:spPr>
        <a:xfrm>
          <a:off x="1143000" y="27746325"/>
          <a:ext cx="11038095" cy="2523809"/>
        </a:xfrm>
        <a:prstGeom prst="rect">
          <a:avLst/>
        </a:prstGeom>
      </xdr:spPr>
    </xdr:pic>
    <xdr:clientData/>
  </xdr:twoCellAnchor>
  <xdr:twoCellAnchor editAs="oneCell">
    <xdr:from>
      <xdr:col>0</xdr:col>
      <xdr:colOff>1133475</xdr:colOff>
      <xdr:row>197</xdr:row>
      <xdr:rowOff>47625</xdr:rowOff>
    </xdr:from>
    <xdr:to>
      <xdr:col>4</xdr:col>
      <xdr:colOff>437412</xdr:colOff>
      <xdr:row>217</xdr:row>
      <xdr:rowOff>151982</xdr:rowOff>
    </xdr:to>
    <xdr:pic>
      <xdr:nvPicPr>
        <xdr:cNvPr id="15" name="Picture 14">
          <a:extLst>
            <a:ext uri="{FF2B5EF4-FFF2-40B4-BE49-F238E27FC236}">
              <a16:creationId xmlns:a16="http://schemas.microsoft.com/office/drawing/2014/main" id="{50A32AB7-5429-453F-838B-4D9D292B5E24}"/>
            </a:ext>
          </a:extLst>
        </xdr:cNvPr>
        <xdr:cNvPicPr>
          <a:picLocks noChangeAspect="1"/>
        </xdr:cNvPicPr>
      </xdr:nvPicPr>
      <xdr:blipFill>
        <a:blip xmlns:r="http://schemas.openxmlformats.org/officeDocument/2006/relationships" r:embed="rId8"/>
        <a:stretch>
          <a:fillRect/>
        </a:stretch>
      </xdr:blipFill>
      <xdr:spPr>
        <a:xfrm>
          <a:off x="1133475" y="31032450"/>
          <a:ext cx="5904762" cy="3342857"/>
        </a:xfrm>
        <a:prstGeom prst="rect">
          <a:avLst/>
        </a:prstGeom>
      </xdr:spPr>
    </xdr:pic>
    <xdr:clientData/>
  </xdr:twoCellAnchor>
  <xdr:twoCellAnchor editAs="oneCell">
    <xdr:from>
      <xdr:col>0</xdr:col>
      <xdr:colOff>1085850</xdr:colOff>
      <xdr:row>219</xdr:row>
      <xdr:rowOff>28575</xdr:rowOff>
    </xdr:from>
    <xdr:to>
      <xdr:col>4</xdr:col>
      <xdr:colOff>1132650</xdr:colOff>
      <xdr:row>226</xdr:row>
      <xdr:rowOff>142719</xdr:rowOff>
    </xdr:to>
    <xdr:pic>
      <xdr:nvPicPr>
        <xdr:cNvPr id="16" name="Picture 15">
          <a:extLst>
            <a:ext uri="{FF2B5EF4-FFF2-40B4-BE49-F238E27FC236}">
              <a16:creationId xmlns:a16="http://schemas.microsoft.com/office/drawing/2014/main" id="{227C666A-372D-48D4-B202-270B435370DB}"/>
            </a:ext>
          </a:extLst>
        </xdr:cNvPr>
        <xdr:cNvPicPr>
          <a:picLocks noChangeAspect="1"/>
        </xdr:cNvPicPr>
      </xdr:nvPicPr>
      <xdr:blipFill>
        <a:blip xmlns:r="http://schemas.openxmlformats.org/officeDocument/2006/relationships" r:embed="rId9"/>
        <a:stretch>
          <a:fillRect/>
        </a:stretch>
      </xdr:blipFill>
      <xdr:spPr>
        <a:xfrm>
          <a:off x="1085850" y="34575750"/>
          <a:ext cx="6600000" cy="1247619"/>
        </a:xfrm>
        <a:prstGeom prst="rect">
          <a:avLst/>
        </a:prstGeom>
      </xdr:spPr>
    </xdr:pic>
    <xdr:clientData/>
  </xdr:twoCellAnchor>
  <xdr:twoCellAnchor editAs="oneCell">
    <xdr:from>
      <xdr:col>1</xdr:col>
      <xdr:colOff>9525</xdr:colOff>
      <xdr:row>234</xdr:row>
      <xdr:rowOff>9525</xdr:rowOff>
    </xdr:from>
    <xdr:to>
      <xdr:col>5</xdr:col>
      <xdr:colOff>256223</xdr:colOff>
      <xdr:row>247</xdr:row>
      <xdr:rowOff>76200</xdr:rowOff>
    </xdr:to>
    <xdr:pic>
      <xdr:nvPicPr>
        <xdr:cNvPr id="17" name="Picture 16">
          <a:extLst>
            <a:ext uri="{FF2B5EF4-FFF2-40B4-BE49-F238E27FC236}">
              <a16:creationId xmlns:a16="http://schemas.microsoft.com/office/drawing/2014/main" id="{B67CF65C-8EA3-44BF-8A06-6DAC2C57261F}"/>
            </a:ext>
          </a:extLst>
        </xdr:cNvPr>
        <xdr:cNvPicPr>
          <a:picLocks noChangeAspect="1"/>
        </xdr:cNvPicPr>
      </xdr:nvPicPr>
      <xdr:blipFill>
        <a:blip xmlns:r="http://schemas.openxmlformats.org/officeDocument/2006/relationships" r:embed="rId10"/>
        <a:stretch>
          <a:fillRect/>
        </a:stretch>
      </xdr:blipFill>
      <xdr:spPr>
        <a:xfrm>
          <a:off x="1152525" y="39738300"/>
          <a:ext cx="7619048" cy="2171700"/>
        </a:xfrm>
        <a:prstGeom prst="rect">
          <a:avLst/>
        </a:prstGeom>
      </xdr:spPr>
    </xdr:pic>
    <xdr:clientData/>
  </xdr:twoCellAnchor>
  <xdr:twoCellAnchor editAs="oneCell">
    <xdr:from>
      <xdr:col>0</xdr:col>
      <xdr:colOff>1114425</xdr:colOff>
      <xdr:row>249</xdr:row>
      <xdr:rowOff>66675</xdr:rowOff>
    </xdr:from>
    <xdr:to>
      <xdr:col>5</xdr:col>
      <xdr:colOff>1980031</xdr:colOff>
      <xdr:row>258</xdr:row>
      <xdr:rowOff>56969</xdr:rowOff>
    </xdr:to>
    <xdr:pic>
      <xdr:nvPicPr>
        <xdr:cNvPr id="18" name="Picture 17">
          <a:extLst>
            <a:ext uri="{FF2B5EF4-FFF2-40B4-BE49-F238E27FC236}">
              <a16:creationId xmlns:a16="http://schemas.microsoft.com/office/drawing/2014/main" id="{293A6FBD-54DE-46FE-B1AD-86BF07C6A91F}"/>
            </a:ext>
          </a:extLst>
        </xdr:cNvPr>
        <xdr:cNvPicPr>
          <a:picLocks noChangeAspect="1"/>
        </xdr:cNvPicPr>
      </xdr:nvPicPr>
      <xdr:blipFill>
        <a:blip xmlns:r="http://schemas.openxmlformats.org/officeDocument/2006/relationships" r:embed="rId11"/>
        <a:stretch>
          <a:fillRect/>
        </a:stretch>
      </xdr:blipFill>
      <xdr:spPr>
        <a:xfrm>
          <a:off x="1114425" y="42224325"/>
          <a:ext cx="9352381" cy="1447619"/>
        </a:xfrm>
        <a:prstGeom prst="rect">
          <a:avLst/>
        </a:prstGeom>
      </xdr:spPr>
    </xdr:pic>
    <xdr:clientData/>
  </xdr:twoCellAnchor>
  <xdr:twoCellAnchor editAs="oneCell">
    <xdr:from>
      <xdr:col>0</xdr:col>
      <xdr:colOff>1133475</xdr:colOff>
      <xdr:row>261</xdr:row>
      <xdr:rowOff>85725</xdr:rowOff>
    </xdr:from>
    <xdr:to>
      <xdr:col>4</xdr:col>
      <xdr:colOff>1894555</xdr:colOff>
      <xdr:row>282</xdr:row>
      <xdr:rowOff>85300</xdr:rowOff>
    </xdr:to>
    <xdr:pic>
      <xdr:nvPicPr>
        <xdr:cNvPr id="19" name="Picture 18">
          <a:extLst>
            <a:ext uri="{FF2B5EF4-FFF2-40B4-BE49-F238E27FC236}">
              <a16:creationId xmlns:a16="http://schemas.microsoft.com/office/drawing/2014/main" id="{7F5C47B1-5C46-4D8A-A068-F833D97FE7A7}"/>
            </a:ext>
          </a:extLst>
        </xdr:cNvPr>
        <xdr:cNvPicPr>
          <a:picLocks noChangeAspect="1"/>
        </xdr:cNvPicPr>
      </xdr:nvPicPr>
      <xdr:blipFill>
        <a:blip xmlns:r="http://schemas.openxmlformats.org/officeDocument/2006/relationships" r:embed="rId12"/>
        <a:stretch>
          <a:fillRect/>
        </a:stretch>
      </xdr:blipFill>
      <xdr:spPr>
        <a:xfrm>
          <a:off x="1133475" y="44186475"/>
          <a:ext cx="7361905" cy="3400000"/>
        </a:xfrm>
        <a:prstGeom prst="rect">
          <a:avLst/>
        </a:prstGeom>
      </xdr:spPr>
    </xdr:pic>
    <xdr:clientData/>
  </xdr:twoCellAnchor>
  <xdr:twoCellAnchor editAs="oneCell">
    <xdr:from>
      <xdr:col>0</xdr:col>
      <xdr:colOff>1123950</xdr:colOff>
      <xdr:row>283</xdr:row>
      <xdr:rowOff>152400</xdr:rowOff>
    </xdr:from>
    <xdr:to>
      <xdr:col>4</xdr:col>
      <xdr:colOff>465983</xdr:colOff>
      <xdr:row>292</xdr:row>
      <xdr:rowOff>18885</xdr:rowOff>
    </xdr:to>
    <xdr:pic>
      <xdr:nvPicPr>
        <xdr:cNvPr id="20" name="Picture 19">
          <a:extLst>
            <a:ext uri="{FF2B5EF4-FFF2-40B4-BE49-F238E27FC236}">
              <a16:creationId xmlns:a16="http://schemas.microsoft.com/office/drawing/2014/main" id="{2CFCC8E4-9024-46E8-A28C-0D421849488B}"/>
            </a:ext>
          </a:extLst>
        </xdr:cNvPr>
        <xdr:cNvPicPr>
          <a:picLocks noChangeAspect="1"/>
        </xdr:cNvPicPr>
      </xdr:nvPicPr>
      <xdr:blipFill>
        <a:blip xmlns:r="http://schemas.openxmlformats.org/officeDocument/2006/relationships" r:embed="rId13"/>
        <a:stretch>
          <a:fillRect/>
        </a:stretch>
      </xdr:blipFill>
      <xdr:spPr>
        <a:xfrm>
          <a:off x="1123950" y="47815500"/>
          <a:ext cx="5933333" cy="1323810"/>
        </a:xfrm>
        <a:prstGeom prst="rect">
          <a:avLst/>
        </a:prstGeom>
      </xdr:spPr>
    </xdr:pic>
    <xdr:clientData/>
  </xdr:twoCellAnchor>
  <xdr:twoCellAnchor editAs="oneCell">
    <xdr:from>
      <xdr:col>1</xdr:col>
      <xdr:colOff>19050</xdr:colOff>
      <xdr:row>295</xdr:row>
      <xdr:rowOff>47625</xdr:rowOff>
    </xdr:from>
    <xdr:to>
      <xdr:col>4</xdr:col>
      <xdr:colOff>1285033</xdr:colOff>
      <xdr:row>312</xdr:row>
      <xdr:rowOff>56805</xdr:rowOff>
    </xdr:to>
    <xdr:pic>
      <xdr:nvPicPr>
        <xdr:cNvPr id="21" name="Picture 20">
          <a:extLst>
            <a:ext uri="{FF2B5EF4-FFF2-40B4-BE49-F238E27FC236}">
              <a16:creationId xmlns:a16="http://schemas.microsoft.com/office/drawing/2014/main" id="{CB4429E5-6849-476D-9D8F-8C13B014F9D5}"/>
            </a:ext>
          </a:extLst>
        </xdr:cNvPr>
        <xdr:cNvPicPr>
          <a:picLocks noChangeAspect="1"/>
        </xdr:cNvPicPr>
      </xdr:nvPicPr>
      <xdr:blipFill>
        <a:blip xmlns:r="http://schemas.openxmlformats.org/officeDocument/2006/relationships" r:embed="rId14"/>
        <a:stretch>
          <a:fillRect/>
        </a:stretch>
      </xdr:blipFill>
      <xdr:spPr>
        <a:xfrm>
          <a:off x="1162050" y="49653825"/>
          <a:ext cx="6733333" cy="2761905"/>
        </a:xfrm>
        <a:prstGeom prst="rect">
          <a:avLst/>
        </a:prstGeom>
      </xdr:spPr>
    </xdr:pic>
    <xdr:clientData/>
  </xdr:twoCellAnchor>
  <xdr:twoCellAnchor editAs="oneCell">
    <xdr:from>
      <xdr:col>1</xdr:col>
      <xdr:colOff>0</xdr:colOff>
      <xdr:row>325</xdr:row>
      <xdr:rowOff>0</xdr:rowOff>
    </xdr:from>
    <xdr:to>
      <xdr:col>4</xdr:col>
      <xdr:colOff>1265983</xdr:colOff>
      <xdr:row>342</xdr:row>
      <xdr:rowOff>9180</xdr:rowOff>
    </xdr:to>
    <xdr:pic>
      <xdr:nvPicPr>
        <xdr:cNvPr id="22" name="Picture 21">
          <a:extLst>
            <a:ext uri="{FF2B5EF4-FFF2-40B4-BE49-F238E27FC236}">
              <a16:creationId xmlns:a16="http://schemas.microsoft.com/office/drawing/2014/main" id="{5D2C82C7-8767-4FCE-B2F2-1E530BF10C60}"/>
            </a:ext>
          </a:extLst>
        </xdr:cNvPr>
        <xdr:cNvPicPr>
          <a:picLocks noChangeAspect="1"/>
        </xdr:cNvPicPr>
      </xdr:nvPicPr>
      <xdr:blipFill>
        <a:blip xmlns:r="http://schemas.openxmlformats.org/officeDocument/2006/relationships" r:embed="rId14"/>
        <a:stretch>
          <a:fillRect/>
        </a:stretch>
      </xdr:blipFill>
      <xdr:spPr>
        <a:xfrm>
          <a:off x="1143000" y="54463950"/>
          <a:ext cx="6733333" cy="2761905"/>
        </a:xfrm>
        <a:prstGeom prst="rect">
          <a:avLst/>
        </a:prstGeom>
      </xdr:spPr>
    </xdr:pic>
    <xdr:clientData/>
  </xdr:twoCellAnchor>
  <xdr:twoCellAnchor editAs="oneCell">
    <xdr:from>
      <xdr:col>1</xdr:col>
      <xdr:colOff>0</xdr:colOff>
      <xdr:row>313</xdr:row>
      <xdr:rowOff>0</xdr:rowOff>
    </xdr:from>
    <xdr:to>
      <xdr:col>5</xdr:col>
      <xdr:colOff>1171575</xdr:colOff>
      <xdr:row>320</xdr:row>
      <xdr:rowOff>152400</xdr:rowOff>
    </xdr:to>
    <xdr:pic>
      <xdr:nvPicPr>
        <xdr:cNvPr id="23" name="Picture 22">
          <a:extLst>
            <a:ext uri="{FF2B5EF4-FFF2-40B4-BE49-F238E27FC236}">
              <a16:creationId xmlns:a16="http://schemas.microsoft.com/office/drawing/2014/main" id="{CBC04139-CEC4-4606-BC95-D6CBC048517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43000" y="52520850"/>
          <a:ext cx="85439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343</xdr:row>
      <xdr:rowOff>0</xdr:rowOff>
    </xdr:from>
    <xdr:to>
      <xdr:col>5</xdr:col>
      <xdr:colOff>1171575</xdr:colOff>
      <xdr:row>350</xdr:row>
      <xdr:rowOff>152400</xdr:rowOff>
    </xdr:to>
    <xdr:pic>
      <xdr:nvPicPr>
        <xdr:cNvPr id="24" name="Picture 23">
          <a:extLst>
            <a:ext uri="{FF2B5EF4-FFF2-40B4-BE49-F238E27FC236}">
              <a16:creationId xmlns:a16="http://schemas.microsoft.com/office/drawing/2014/main" id="{C8A98687-E3ED-49FD-86D4-9C795ED8714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43000" y="57378600"/>
          <a:ext cx="85439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364</xdr:row>
      <xdr:rowOff>95250</xdr:rowOff>
    </xdr:from>
    <xdr:to>
      <xdr:col>3</xdr:col>
      <xdr:colOff>1790126</xdr:colOff>
      <xdr:row>373</xdr:row>
      <xdr:rowOff>104592</xdr:rowOff>
    </xdr:to>
    <xdr:pic>
      <xdr:nvPicPr>
        <xdr:cNvPr id="25" name="Picture 24">
          <a:extLst>
            <a:ext uri="{FF2B5EF4-FFF2-40B4-BE49-F238E27FC236}">
              <a16:creationId xmlns:a16="http://schemas.microsoft.com/office/drawing/2014/main" id="{FDD0CA87-E79A-47EF-8C01-E3B4334133F6}"/>
            </a:ext>
          </a:extLst>
        </xdr:cNvPr>
        <xdr:cNvPicPr>
          <a:picLocks noChangeAspect="1"/>
        </xdr:cNvPicPr>
      </xdr:nvPicPr>
      <xdr:blipFill>
        <a:blip xmlns:r="http://schemas.openxmlformats.org/officeDocument/2006/relationships" r:embed="rId16"/>
        <a:stretch>
          <a:fillRect/>
        </a:stretch>
      </xdr:blipFill>
      <xdr:spPr>
        <a:xfrm>
          <a:off x="1190625" y="60874275"/>
          <a:ext cx="4590476" cy="1466667"/>
        </a:xfrm>
        <a:prstGeom prst="rect">
          <a:avLst/>
        </a:prstGeom>
      </xdr:spPr>
    </xdr:pic>
    <xdr:clientData/>
  </xdr:twoCellAnchor>
  <xdr:twoCellAnchor editAs="oneCell">
    <xdr:from>
      <xdr:col>1</xdr:col>
      <xdr:colOff>0</xdr:colOff>
      <xdr:row>354</xdr:row>
      <xdr:rowOff>0</xdr:rowOff>
    </xdr:from>
    <xdr:to>
      <xdr:col>4</xdr:col>
      <xdr:colOff>85031</xdr:colOff>
      <xdr:row>363</xdr:row>
      <xdr:rowOff>85532</xdr:rowOff>
    </xdr:to>
    <xdr:pic>
      <xdr:nvPicPr>
        <xdr:cNvPr id="26" name="Picture 25">
          <a:extLst>
            <a:ext uri="{FF2B5EF4-FFF2-40B4-BE49-F238E27FC236}">
              <a16:creationId xmlns:a16="http://schemas.microsoft.com/office/drawing/2014/main" id="{3AB8DAB6-9EC3-4E31-B9FD-405D8B194A22}"/>
            </a:ext>
          </a:extLst>
        </xdr:cNvPr>
        <xdr:cNvPicPr>
          <a:picLocks noChangeAspect="1"/>
        </xdr:cNvPicPr>
      </xdr:nvPicPr>
      <xdr:blipFill>
        <a:blip xmlns:r="http://schemas.openxmlformats.org/officeDocument/2006/relationships" r:embed="rId17"/>
        <a:stretch>
          <a:fillRect/>
        </a:stretch>
      </xdr:blipFill>
      <xdr:spPr>
        <a:xfrm>
          <a:off x="1143000" y="59159775"/>
          <a:ext cx="5552381" cy="1542857"/>
        </a:xfrm>
        <a:prstGeom prst="rect">
          <a:avLst/>
        </a:prstGeom>
      </xdr:spPr>
    </xdr:pic>
    <xdr:clientData/>
  </xdr:twoCellAnchor>
  <xdr:twoCellAnchor editAs="oneCell">
    <xdr:from>
      <xdr:col>1</xdr:col>
      <xdr:colOff>0</xdr:colOff>
      <xdr:row>379</xdr:row>
      <xdr:rowOff>0</xdr:rowOff>
    </xdr:from>
    <xdr:to>
      <xdr:col>5</xdr:col>
      <xdr:colOff>1799078</xdr:colOff>
      <xdr:row>395</xdr:row>
      <xdr:rowOff>123486</xdr:rowOff>
    </xdr:to>
    <xdr:pic>
      <xdr:nvPicPr>
        <xdr:cNvPr id="27" name="Picture 26">
          <a:extLst>
            <a:ext uri="{FF2B5EF4-FFF2-40B4-BE49-F238E27FC236}">
              <a16:creationId xmlns:a16="http://schemas.microsoft.com/office/drawing/2014/main" id="{EAB1E2B5-8E91-4B66-B065-CCD3B90F2C9E}"/>
            </a:ext>
          </a:extLst>
        </xdr:cNvPr>
        <xdr:cNvPicPr>
          <a:picLocks noChangeAspect="1"/>
        </xdr:cNvPicPr>
      </xdr:nvPicPr>
      <xdr:blipFill>
        <a:blip xmlns:r="http://schemas.openxmlformats.org/officeDocument/2006/relationships" r:embed="rId18"/>
        <a:stretch>
          <a:fillRect/>
        </a:stretch>
      </xdr:blipFill>
      <xdr:spPr>
        <a:xfrm>
          <a:off x="1143000" y="63207900"/>
          <a:ext cx="9171428" cy="2714286"/>
        </a:xfrm>
        <a:prstGeom prst="rect">
          <a:avLst/>
        </a:prstGeom>
      </xdr:spPr>
    </xdr:pic>
    <xdr:clientData/>
  </xdr:twoCellAnchor>
  <xdr:twoCellAnchor editAs="oneCell">
    <xdr:from>
      <xdr:col>1</xdr:col>
      <xdr:colOff>0</xdr:colOff>
      <xdr:row>397</xdr:row>
      <xdr:rowOff>0</xdr:rowOff>
    </xdr:from>
    <xdr:to>
      <xdr:col>3</xdr:col>
      <xdr:colOff>1847263</xdr:colOff>
      <xdr:row>406</xdr:row>
      <xdr:rowOff>85532</xdr:rowOff>
    </xdr:to>
    <xdr:pic>
      <xdr:nvPicPr>
        <xdr:cNvPr id="28" name="Picture 27">
          <a:extLst>
            <a:ext uri="{FF2B5EF4-FFF2-40B4-BE49-F238E27FC236}">
              <a16:creationId xmlns:a16="http://schemas.microsoft.com/office/drawing/2014/main" id="{3E1FF99E-3273-4791-BB93-18288E18E56C}"/>
            </a:ext>
          </a:extLst>
        </xdr:cNvPr>
        <xdr:cNvPicPr>
          <a:picLocks noChangeAspect="1"/>
        </xdr:cNvPicPr>
      </xdr:nvPicPr>
      <xdr:blipFill>
        <a:blip xmlns:r="http://schemas.openxmlformats.org/officeDocument/2006/relationships" r:embed="rId19"/>
        <a:stretch>
          <a:fillRect/>
        </a:stretch>
      </xdr:blipFill>
      <xdr:spPr>
        <a:xfrm>
          <a:off x="1143000" y="66122550"/>
          <a:ext cx="4695238" cy="1542857"/>
        </a:xfrm>
        <a:prstGeom prst="rect">
          <a:avLst/>
        </a:prstGeom>
      </xdr:spPr>
    </xdr:pic>
    <xdr:clientData/>
  </xdr:twoCellAnchor>
  <xdr:twoCellAnchor editAs="oneCell">
    <xdr:from>
      <xdr:col>1</xdr:col>
      <xdr:colOff>0</xdr:colOff>
      <xdr:row>409</xdr:row>
      <xdr:rowOff>0</xdr:rowOff>
    </xdr:from>
    <xdr:to>
      <xdr:col>4</xdr:col>
      <xdr:colOff>1380269</xdr:colOff>
      <xdr:row>422</xdr:row>
      <xdr:rowOff>104499</xdr:rowOff>
    </xdr:to>
    <xdr:pic>
      <xdr:nvPicPr>
        <xdr:cNvPr id="29" name="Picture 28">
          <a:extLst>
            <a:ext uri="{FF2B5EF4-FFF2-40B4-BE49-F238E27FC236}">
              <a16:creationId xmlns:a16="http://schemas.microsoft.com/office/drawing/2014/main" id="{0B73C724-DCDB-4177-B223-D6D77C5135F5}"/>
            </a:ext>
          </a:extLst>
        </xdr:cNvPr>
        <xdr:cNvPicPr>
          <a:picLocks noChangeAspect="1"/>
        </xdr:cNvPicPr>
      </xdr:nvPicPr>
      <xdr:blipFill>
        <a:blip xmlns:r="http://schemas.openxmlformats.org/officeDocument/2006/relationships" r:embed="rId20"/>
        <a:stretch>
          <a:fillRect/>
        </a:stretch>
      </xdr:blipFill>
      <xdr:spPr>
        <a:xfrm>
          <a:off x="1143000" y="68065650"/>
          <a:ext cx="6847619" cy="2209524"/>
        </a:xfrm>
        <a:prstGeom prst="rect">
          <a:avLst/>
        </a:prstGeom>
      </xdr:spPr>
    </xdr:pic>
    <xdr:clientData/>
  </xdr:twoCellAnchor>
  <xdr:twoCellAnchor editAs="oneCell">
    <xdr:from>
      <xdr:col>1</xdr:col>
      <xdr:colOff>0</xdr:colOff>
      <xdr:row>426</xdr:row>
      <xdr:rowOff>0</xdr:rowOff>
    </xdr:from>
    <xdr:to>
      <xdr:col>5</xdr:col>
      <xdr:colOff>1876425</xdr:colOff>
      <xdr:row>448</xdr:row>
      <xdr:rowOff>57150</xdr:rowOff>
    </xdr:to>
    <xdr:pic>
      <xdr:nvPicPr>
        <xdr:cNvPr id="30" name="Picture 29">
          <a:extLst>
            <a:ext uri="{FF2B5EF4-FFF2-40B4-BE49-F238E27FC236}">
              <a16:creationId xmlns:a16="http://schemas.microsoft.com/office/drawing/2014/main" id="{87146843-C7CC-4C3F-9F71-1A716503A62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143000" y="70818375"/>
          <a:ext cx="9248775"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449</xdr:row>
      <xdr:rowOff>0</xdr:rowOff>
    </xdr:from>
    <xdr:to>
      <xdr:col>4</xdr:col>
      <xdr:colOff>75507</xdr:colOff>
      <xdr:row>465</xdr:row>
      <xdr:rowOff>18724</xdr:rowOff>
    </xdr:to>
    <xdr:pic>
      <xdr:nvPicPr>
        <xdr:cNvPr id="31" name="Picture 30">
          <a:extLst>
            <a:ext uri="{FF2B5EF4-FFF2-40B4-BE49-F238E27FC236}">
              <a16:creationId xmlns:a16="http://schemas.microsoft.com/office/drawing/2014/main" id="{F1C6D233-3AB1-491C-B989-61F71F92D681}"/>
            </a:ext>
          </a:extLst>
        </xdr:cNvPr>
        <xdr:cNvPicPr>
          <a:picLocks noChangeAspect="1"/>
        </xdr:cNvPicPr>
      </xdr:nvPicPr>
      <xdr:blipFill>
        <a:blip xmlns:r="http://schemas.openxmlformats.org/officeDocument/2006/relationships" r:embed="rId22"/>
        <a:stretch>
          <a:fillRect/>
        </a:stretch>
      </xdr:blipFill>
      <xdr:spPr>
        <a:xfrm>
          <a:off x="1143000" y="74542650"/>
          <a:ext cx="5542857" cy="2609524"/>
        </a:xfrm>
        <a:prstGeom prst="rect">
          <a:avLst/>
        </a:prstGeom>
      </xdr:spPr>
    </xdr:pic>
    <xdr:clientData/>
  </xdr:twoCellAnchor>
  <xdr:twoCellAnchor editAs="oneCell">
    <xdr:from>
      <xdr:col>1</xdr:col>
      <xdr:colOff>0</xdr:colOff>
      <xdr:row>466</xdr:row>
      <xdr:rowOff>0</xdr:rowOff>
    </xdr:from>
    <xdr:to>
      <xdr:col>3</xdr:col>
      <xdr:colOff>1847263</xdr:colOff>
      <xdr:row>475</xdr:row>
      <xdr:rowOff>161723</xdr:rowOff>
    </xdr:to>
    <xdr:pic>
      <xdr:nvPicPr>
        <xdr:cNvPr id="32" name="Picture 31">
          <a:extLst>
            <a:ext uri="{FF2B5EF4-FFF2-40B4-BE49-F238E27FC236}">
              <a16:creationId xmlns:a16="http://schemas.microsoft.com/office/drawing/2014/main" id="{B65C308A-9E81-4EF7-92E9-007945357544}"/>
            </a:ext>
          </a:extLst>
        </xdr:cNvPr>
        <xdr:cNvPicPr>
          <a:picLocks noChangeAspect="1"/>
        </xdr:cNvPicPr>
      </xdr:nvPicPr>
      <xdr:blipFill>
        <a:blip xmlns:r="http://schemas.openxmlformats.org/officeDocument/2006/relationships" r:embed="rId23"/>
        <a:stretch>
          <a:fillRect/>
        </a:stretch>
      </xdr:blipFill>
      <xdr:spPr>
        <a:xfrm>
          <a:off x="1143000" y="77295375"/>
          <a:ext cx="4695238" cy="1619048"/>
        </a:xfrm>
        <a:prstGeom prst="rect">
          <a:avLst/>
        </a:prstGeom>
      </xdr:spPr>
    </xdr:pic>
    <xdr:clientData/>
  </xdr:twoCellAnchor>
  <xdr:twoCellAnchor editAs="oneCell">
    <xdr:from>
      <xdr:col>1</xdr:col>
      <xdr:colOff>0</xdr:colOff>
      <xdr:row>479</xdr:row>
      <xdr:rowOff>0</xdr:rowOff>
    </xdr:from>
    <xdr:to>
      <xdr:col>5</xdr:col>
      <xdr:colOff>141936</xdr:colOff>
      <xdr:row>494</xdr:row>
      <xdr:rowOff>66363</xdr:rowOff>
    </xdr:to>
    <xdr:pic>
      <xdr:nvPicPr>
        <xdr:cNvPr id="33" name="Picture 32">
          <a:extLst>
            <a:ext uri="{FF2B5EF4-FFF2-40B4-BE49-F238E27FC236}">
              <a16:creationId xmlns:a16="http://schemas.microsoft.com/office/drawing/2014/main" id="{F01448A2-F263-411C-9988-1849220F5690}"/>
            </a:ext>
          </a:extLst>
        </xdr:cNvPr>
        <xdr:cNvPicPr>
          <a:picLocks noChangeAspect="1"/>
        </xdr:cNvPicPr>
      </xdr:nvPicPr>
      <xdr:blipFill>
        <a:blip xmlns:r="http://schemas.openxmlformats.org/officeDocument/2006/relationships" r:embed="rId24"/>
        <a:stretch>
          <a:fillRect/>
        </a:stretch>
      </xdr:blipFill>
      <xdr:spPr>
        <a:xfrm>
          <a:off x="1143000" y="79400400"/>
          <a:ext cx="7514286" cy="24952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hul%20Monde.DESKTOP-GOBHOPF/Downloads/Copy%20of%20TSC_DOC_Ratemaster_Create_New_Manual_V1.0R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ahul%20Monde.DESKTOP-GOBHOPF/Downloads/TSC_DOC_Ratemaster_Create_New_Manual_V1.0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BM/15.Etihad/SIT_TS/Mapping_Tables/SIT_TSC_DOC_Fuel_Mapping_Table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Case Information"/>
      <sheetName val="ECC"/>
      <sheetName val="23.1.1 to 23.1.81"/>
      <sheetName val="23.1.1"/>
      <sheetName val="23.2.1 to 23.2.18"/>
      <sheetName val="23.3.1 to 23.3.20"/>
      <sheetName val="Test Conditions"/>
      <sheetName val="Sheet4"/>
      <sheetName val="Lookup Values"/>
      <sheetName val="Sheet1"/>
    </sheetNames>
    <sheetDataSet>
      <sheetData sheetId="0">
        <row r="4">
          <cell r="B4" t="str">
            <v>Flight to Settle</v>
          </cell>
        </row>
      </sheetData>
      <sheetData sheetId="1"/>
      <sheetData sheetId="2"/>
      <sheetData sheetId="3"/>
      <sheetData sheetId="4"/>
      <sheetData sheetId="5"/>
      <sheetData sheetId="6"/>
      <sheetData sheetId="7"/>
      <sheetData sheetId="8">
        <row r="3">
          <cell r="A3" t="str">
            <v>Passed</v>
          </cell>
          <cell r="C3" t="str">
            <v>Not Started</v>
          </cell>
        </row>
        <row r="4">
          <cell r="A4" t="str">
            <v>Partial Pass</v>
          </cell>
          <cell r="C4" t="str">
            <v>In Progress</v>
          </cell>
        </row>
        <row r="5">
          <cell r="A5" t="str">
            <v>Failed</v>
          </cell>
          <cell r="C5" t="str">
            <v>Completed</v>
          </cell>
        </row>
        <row r="6">
          <cell r="C6"/>
        </row>
        <row r="7">
          <cell r="C7"/>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Case Information"/>
      <sheetName val="ECC"/>
      <sheetName val="23.1.1 to 23.1.62"/>
      <sheetName val="Test Conditions"/>
      <sheetName val="Lookup Values"/>
      <sheetName val="Sheet1"/>
    </sheetNames>
    <sheetDataSet>
      <sheetData sheetId="0"/>
      <sheetData sheetId="1"/>
      <sheetData sheetId="2"/>
      <sheetData sheetId="3"/>
      <sheetData sheetId="4">
        <row r="3">
          <cell r="A3" t="str">
            <v>Passed</v>
          </cell>
          <cell r="C3" t="str">
            <v>Not Started</v>
          </cell>
        </row>
        <row r="4">
          <cell r="A4" t="str">
            <v>Partial Pass</v>
          </cell>
          <cell r="C4" t="str">
            <v>In Progress</v>
          </cell>
        </row>
        <row r="5">
          <cell r="A5" t="str">
            <v>Failed</v>
          </cell>
          <cell r="C5" t="str">
            <v>Completed</v>
          </cell>
        </row>
        <row r="6">
          <cell r="C6"/>
        </row>
        <row r="7">
          <cell r="C7"/>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Case Information"/>
      <sheetName val="Test_Conditions"/>
      <sheetName val="12.1"/>
      <sheetName val="12.2"/>
      <sheetName val="12.3"/>
      <sheetName val="12.4"/>
      <sheetName val="12.5"/>
      <sheetName val="SIT_Issues"/>
      <sheetName val="Lookup Valu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t="str">
            <v>Passed</v>
          </cell>
          <cell r="C3" t="str">
            <v>Not Started</v>
          </cell>
        </row>
        <row r="4">
          <cell r="A4" t="str">
            <v>Partial Pass</v>
          </cell>
          <cell r="C4" t="str">
            <v>In Progress</v>
          </cell>
        </row>
        <row r="5">
          <cell r="A5" t="str">
            <v>Failed</v>
          </cell>
          <cell r="C5" t="str">
            <v>Completed</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1905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1905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H45"/>
  <sheetViews>
    <sheetView topLeftCell="A29" zoomScaleNormal="100" workbookViewId="0">
      <selection activeCell="B31" sqref="B31"/>
    </sheetView>
  </sheetViews>
  <sheetFormatPr defaultColWidth="9.140625" defaultRowHeight="12.75"/>
  <cols>
    <col min="1" max="1" width="34.85546875" style="12" customWidth="1"/>
    <col min="2" max="2" width="62.28515625" style="12" customWidth="1"/>
    <col min="3" max="3" width="11" style="12" customWidth="1"/>
    <col min="4" max="4" width="9.140625" style="12"/>
    <col min="5" max="5" width="19.42578125" style="12" customWidth="1"/>
    <col min="6" max="6" width="11.7109375" style="12" customWidth="1"/>
    <col min="7" max="7" width="17.7109375" style="12" customWidth="1"/>
    <col min="8" max="8" width="16.42578125" style="12" customWidth="1"/>
    <col min="9" max="16384" width="9.140625" style="12"/>
  </cols>
  <sheetData>
    <row r="1" spans="1:8" s="4" customFormat="1" ht="72.75" customHeight="1" thickBot="1">
      <c r="A1" s="193" t="s">
        <v>92</v>
      </c>
      <c r="B1" s="194"/>
      <c r="C1" s="194"/>
      <c r="D1" s="194"/>
      <c r="E1" s="194"/>
      <c r="F1" s="194"/>
      <c r="G1" s="194"/>
      <c r="H1" s="195"/>
    </row>
    <row r="2" spans="1:8" s="4" customFormat="1" ht="7.5" customHeight="1" thickBot="1">
      <c r="A2" s="5"/>
      <c r="B2" s="6"/>
      <c r="C2" s="6"/>
      <c r="D2" s="6"/>
      <c r="E2" s="6"/>
      <c r="F2" s="6"/>
      <c r="G2" s="6"/>
      <c r="H2" s="7"/>
    </row>
    <row r="3" spans="1:8" ht="13.5" thickBot="1">
      <c r="A3" s="8" t="s">
        <v>23</v>
      </c>
      <c r="B3" s="9"/>
      <c r="C3" s="10"/>
      <c r="D3" s="10"/>
      <c r="E3" s="10"/>
      <c r="F3" s="10"/>
      <c r="G3" s="10"/>
      <c r="H3" s="11"/>
    </row>
    <row r="4" spans="1:8">
      <c r="A4" s="13" t="s">
        <v>53</v>
      </c>
      <c r="B4" s="14" t="s">
        <v>220</v>
      </c>
      <c r="C4" s="10"/>
      <c r="D4" s="10"/>
      <c r="E4" s="10"/>
      <c r="F4" s="10"/>
      <c r="G4" s="10"/>
      <c r="H4" s="11"/>
    </row>
    <row r="5" spans="1:8">
      <c r="A5" s="15" t="s">
        <v>44</v>
      </c>
      <c r="B5" s="14" t="s">
        <v>254</v>
      </c>
      <c r="C5" s="10"/>
      <c r="D5" s="10"/>
      <c r="E5" s="10"/>
      <c r="F5" s="10"/>
      <c r="G5" s="10"/>
      <c r="H5" s="11"/>
    </row>
    <row r="6" spans="1:8">
      <c r="A6" s="16" t="s">
        <v>45</v>
      </c>
      <c r="B6" s="14" t="s">
        <v>255</v>
      </c>
      <c r="C6" s="10"/>
      <c r="D6" s="10"/>
      <c r="E6" s="10"/>
      <c r="F6" s="10"/>
      <c r="G6" s="10"/>
      <c r="H6" s="11"/>
    </row>
    <row r="7" spans="1:8">
      <c r="A7" s="15" t="s">
        <v>5</v>
      </c>
      <c r="B7" s="14" t="s">
        <v>256</v>
      </c>
      <c r="C7" s="10"/>
      <c r="D7" s="10"/>
      <c r="E7" s="10"/>
      <c r="F7" s="10"/>
      <c r="G7" s="10"/>
      <c r="H7" s="11"/>
    </row>
    <row r="8" spans="1:8">
      <c r="A8" s="16" t="s">
        <v>1</v>
      </c>
      <c r="B8" s="14" t="s">
        <v>256</v>
      </c>
      <c r="C8" s="10"/>
      <c r="D8" s="10"/>
      <c r="E8" s="10"/>
      <c r="F8" s="10"/>
      <c r="G8" s="10"/>
      <c r="H8" s="11"/>
    </row>
    <row r="9" spans="1:8">
      <c r="A9" s="17" t="s">
        <v>46</v>
      </c>
      <c r="B9" s="18" t="s">
        <v>257</v>
      </c>
      <c r="C9" s="10"/>
      <c r="D9" s="10"/>
      <c r="E9" s="10"/>
      <c r="F9" s="10"/>
      <c r="G9" s="10"/>
      <c r="H9" s="11"/>
    </row>
    <row r="10" spans="1:8">
      <c r="A10" s="19" t="s">
        <v>22</v>
      </c>
      <c r="B10" s="20"/>
      <c r="C10" s="10"/>
      <c r="D10" s="10"/>
      <c r="E10" s="10"/>
      <c r="F10" s="10"/>
      <c r="G10" s="10"/>
      <c r="H10" s="11"/>
    </row>
    <row r="11" spans="1:8">
      <c r="A11" s="16" t="s">
        <v>2</v>
      </c>
      <c r="B11" s="21">
        <v>43829</v>
      </c>
      <c r="C11" s="10"/>
      <c r="D11" s="10"/>
      <c r="E11" s="10"/>
      <c r="F11" s="10"/>
      <c r="G11" s="10"/>
      <c r="H11" s="11"/>
    </row>
    <row r="12" spans="1:8">
      <c r="A12" s="16" t="s">
        <v>3</v>
      </c>
      <c r="B12" s="22" t="s">
        <v>84</v>
      </c>
      <c r="C12" s="10"/>
      <c r="D12" s="10"/>
      <c r="E12" s="10"/>
      <c r="F12" s="10"/>
      <c r="G12" s="10"/>
      <c r="H12" s="11"/>
    </row>
    <row r="13" spans="1:8" ht="13.5" thickBot="1">
      <c r="A13" s="23" t="s">
        <v>4</v>
      </c>
      <c r="B13" s="24"/>
      <c r="C13" s="10"/>
      <c r="D13" s="10"/>
      <c r="E13" s="10"/>
      <c r="F13" s="10"/>
      <c r="G13" s="10"/>
      <c r="H13" s="11"/>
    </row>
    <row r="14" spans="1:8" ht="11.25" customHeight="1" thickBot="1">
      <c r="A14" s="25"/>
      <c r="B14" s="10"/>
      <c r="C14" s="10"/>
      <c r="D14" s="10"/>
      <c r="E14" s="10"/>
      <c r="F14" s="10"/>
      <c r="G14" s="10"/>
      <c r="H14" s="11"/>
    </row>
    <row r="15" spans="1:8" ht="13.5" thickBot="1">
      <c r="A15" s="8" t="s">
        <v>24</v>
      </c>
      <c r="B15" s="26"/>
      <c r="C15" s="9"/>
      <c r="D15" s="10"/>
      <c r="E15" s="10"/>
      <c r="F15" s="10"/>
      <c r="G15" s="10"/>
      <c r="H15" s="11"/>
    </row>
    <row r="16" spans="1:8">
      <c r="A16" s="27" t="s">
        <v>6</v>
      </c>
      <c r="B16" s="28" t="s">
        <v>7</v>
      </c>
      <c r="C16" s="29" t="s">
        <v>8</v>
      </c>
      <c r="D16" s="10"/>
      <c r="E16" s="10"/>
      <c r="F16" s="10"/>
      <c r="G16" s="10"/>
      <c r="H16" s="11"/>
    </row>
    <row r="17" spans="1:8">
      <c r="A17" s="30" t="s">
        <v>57</v>
      </c>
      <c r="B17" s="31" t="s">
        <v>221</v>
      </c>
      <c r="C17" s="21">
        <v>43823</v>
      </c>
      <c r="D17" s="10"/>
      <c r="E17" s="10"/>
      <c r="F17" s="10"/>
      <c r="G17" s="10"/>
      <c r="H17" s="11"/>
    </row>
    <row r="18" spans="1:8">
      <c r="A18" s="32"/>
      <c r="B18" s="31"/>
      <c r="C18" s="33"/>
      <c r="D18" s="10"/>
      <c r="E18" s="10"/>
      <c r="F18" s="10"/>
      <c r="G18" s="10"/>
      <c r="H18" s="11"/>
    </row>
    <row r="19" spans="1:8" ht="13.5" thickBot="1">
      <c r="A19" s="34"/>
      <c r="B19" s="35"/>
      <c r="C19" s="36"/>
      <c r="D19" s="10"/>
      <c r="E19" s="10"/>
      <c r="F19" s="10"/>
      <c r="G19" s="10"/>
      <c r="H19" s="11"/>
    </row>
    <row r="20" spans="1:8" ht="13.5" thickBot="1">
      <c r="A20" s="25"/>
      <c r="B20" s="10"/>
      <c r="C20" s="10"/>
      <c r="D20" s="10"/>
      <c r="E20" s="10"/>
      <c r="F20" s="10"/>
      <c r="G20" s="10"/>
      <c r="H20" s="11"/>
    </row>
    <row r="21" spans="1:8" ht="13.5" thickBot="1">
      <c r="A21" s="8" t="s">
        <v>25</v>
      </c>
      <c r="B21" s="26"/>
      <c r="C21" s="26"/>
      <c r="D21" s="26"/>
      <c r="E21" s="9"/>
      <c r="F21" s="10"/>
      <c r="G21" s="10"/>
      <c r="H21" s="11"/>
    </row>
    <row r="22" spans="1:8">
      <c r="A22" s="37" t="s">
        <v>9</v>
      </c>
      <c r="B22" s="188" t="s">
        <v>222</v>
      </c>
      <c r="C22" s="189"/>
      <c r="D22" s="189"/>
      <c r="E22" s="190"/>
      <c r="F22" s="10"/>
      <c r="G22" s="10"/>
      <c r="H22" s="11"/>
    </row>
    <row r="23" spans="1:8">
      <c r="A23" s="38" t="s">
        <v>10</v>
      </c>
      <c r="B23" s="186" t="s">
        <v>253</v>
      </c>
      <c r="C23" s="187"/>
      <c r="D23" s="187"/>
      <c r="E23" s="197"/>
      <c r="F23" s="10"/>
      <c r="G23" s="10"/>
      <c r="H23" s="11"/>
    </row>
    <row r="24" spans="1:8">
      <c r="A24" s="38" t="s">
        <v>11</v>
      </c>
      <c r="B24" s="186" t="s">
        <v>85</v>
      </c>
      <c r="C24" s="187"/>
      <c r="D24" s="187"/>
      <c r="E24" s="197"/>
      <c r="F24" s="10"/>
      <c r="G24" s="10"/>
      <c r="H24" s="11"/>
    </row>
    <row r="25" spans="1:8" ht="13.5" thickBot="1">
      <c r="A25" s="39" t="s">
        <v>12</v>
      </c>
      <c r="B25" s="184" t="s">
        <v>56</v>
      </c>
      <c r="C25" s="198"/>
      <c r="D25" s="198"/>
      <c r="E25" s="196"/>
      <c r="F25" s="10"/>
      <c r="G25" s="10"/>
      <c r="H25" s="11"/>
    </row>
    <row r="26" spans="1:8" ht="13.5" thickBot="1">
      <c r="A26" s="25"/>
      <c r="B26" s="10"/>
      <c r="C26" s="10"/>
      <c r="D26" s="10"/>
      <c r="E26" s="10"/>
      <c r="F26" s="10"/>
      <c r="G26" s="10"/>
      <c r="H26" s="11"/>
    </row>
    <row r="27" spans="1:8" ht="13.5" thickBot="1">
      <c r="A27" s="8" t="s">
        <v>13</v>
      </c>
      <c r="B27" s="26"/>
      <c r="C27" s="26"/>
      <c r="D27" s="26"/>
      <c r="E27" s="9"/>
      <c r="F27" s="10"/>
      <c r="G27" s="10"/>
      <c r="H27" s="11"/>
    </row>
    <row r="28" spans="1:8">
      <c r="A28" s="40" t="s">
        <v>14</v>
      </c>
      <c r="B28" s="41" t="s">
        <v>8</v>
      </c>
      <c r="C28" s="41" t="s">
        <v>6</v>
      </c>
      <c r="D28" s="191" t="s">
        <v>0</v>
      </c>
      <c r="E28" s="199"/>
      <c r="F28" s="10"/>
      <c r="G28" s="10"/>
      <c r="H28" s="11"/>
    </row>
    <row r="29" spans="1:8">
      <c r="A29" s="42" t="s">
        <v>339</v>
      </c>
      <c r="B29" s="21">
        <v>43825</v>
      </c>
      <c r="C29" s="30" t="s">
        <v>57</v>
      </c>
      <c r="D29" s="186" t="s">
        <v>58</v>
      </c>
      <c r="E29" s="197"/>
      <c r="F29" s="10"/>
      <c r="G29" s="10"/>
      <c r="H29" s="11"/>
    </row>
    <row r="30" spans="1:8">
      <c r="A30" s="42"/>
      <c r="B30" s="43"/>
      <c r="C30" s="30"/>
      <c r="D30" s="186"/>
      <c r="E30" s="197"/>
      <c r="F30" s="10"/>
      <c r="G30" s="10"/>
      <c r="H30" s="11"/>
    </row>
    <row r="31" spans="1:8" ht="13.5" thickBot="1">
      <c r="A31" s="44"/>
      <c r="B31" s="45"/>
      <c r="C31" s="46"/>
      <c r="D31" s="184"/>
      <c r="E31" s="196"/>
      <c r="F31" s="10"/>
      <c r="G31" s="10"/>
      <c r="H31" s="11"/>
    </row>
    <row r="32" spans="1:8">
      <c r="A32" s="47"/>
      <c r="B32" s="48"/>
      <c r="C32" s="49"/>
      <c r="D32" s="49"/>
      <c r="E32" s="10"/>
      <c r="F32" s="10"/>
      <c r="G32" s="10"/>
      <c r="H32" s="11"/>
    </row>
    <row r="33" spans="1:8" ht="13.5" thickBot="1">
      <c r="A33" s="25"/>
      <c r="B33" s="10"/>
      <c r="C33" s="10"/>
      <c r="D33" s="10"/>
      <c r="E33" s="10"/>
      <c r="F33" s="10"/>
      <c r="G33" s="10"/>
      <c r="H33" s="11"/>
    </row>
    <row r="34" spans="1:8" ht="13.5" thickBot="1">
      <c r="A34" s="8" t="s">
        <v>15</v>
      </c>
      <c r="B34" s="26"/>
      <c r="C34" s="26"/>
      <c r="D34" s="26"/>
      <c r="E34" s="50"/>
      <c r="F34" s="10"/>
      <c r="G34" s="10"/>
      <c r="H34" s="11"/>
    </row>
    <row r="35" spans="1:8">
      <c r="A35" s="40" t="s">
        <v>16</v>
      </c>
      <c r="B35" s="191" t="s">
        <v>17</v>
      </c>
      <c r="C35" s="192"/>
      <c r="D35" s="192"/>
      <c r="E35" s="51" t="s">
        <v>18</v>
      </c>
      <c r="F35" s="10"/>
      <c r="G35" s="10"/>
      <c r="H35" s="11"/>
    </row>
    <row r="36" spans="1:8">
      <c r="A36" s="42" t="s">
        <v>86</v>
      </c>
      <c r="B36" s="186"/>
      <c r="C36" s="187"/>
      <c r="D36" s="187"/>
      <c r="E36" s="52"/>
      <c r="F36" s="10"/>
      <c r="G36" s="10"/>
      <c r="H36" s="11"/>
    </row>
    <row r="37" spans="1:8">
      <c r="A37" s="42"/>
      <c r="B37" s="186"/>
      <c r="C37" s="187"/>
      <c r="D37" s="187"/>
      <c r="E37" s="52"/>
      <c r="F37" s="10"/>
      <c r="G37" s="10"/>
      <c r="H37" s="11"/>
    </row>
    <row r="38" spans="1:8">
      <c r="A38" s="42"/>
      <c r="B38" s="186"/>
      <c r="C38" s="187"/>
      <c r="D38" s="187"/>
      <c r="E38" s="52"/>
      <c r="F38" s="10"/>
      <c r="G38" s="10"/>
      <c r="H38" s="11"/>
    </row>
    <row r="39" spans="1:8">
      <c r="A39" s="42"/>
      <c r="B39" s="186"/>
      <c r="C39" s="187"/>
      <c r="D39" s="187"/>
      <c r="E39" s="52"/>
      <c r="F39" s="10"/>
      <c r="G39" s="10"/>
      <c r="H39" s="11"/>
    </row>
    <row r="40" spans="1:8" ht="13.5" thickBot="1">
      <c r="A40" s="44"/>
      <c r="B40" s="184"/>
      <c r="C40" s="184"/>
      <c r="D40" s="184"/>
      <c r="E40" s="53"/>
      <c r="F40" s="10"/>
      <c r="G40" s="10"/>
      <c r="H40" s="11"/>
    </row>
    <row r="41" spans="1:8" ht="13.5" thickBot="1">
      <c r="A41" s="25"/>
      <c r="B41" s="10"/>
      <c r="C41" s="10"/>
      <c r="D41" s="10"/>
      <c r="E41" s="10"/>
      <c r="F41" s="10"/>
      <c r="G41" s="10"/>
      <c r="H41" s="11"/>
    </row>
    <row r="42" spans="1:8" ht="13.5" thickBot="1">
      <c r="A42" s="8" t="s">
        <v>19</v>
      </c>
      <c r="B42" s="26"/>
      <c r="C42" s="26"/>
      <c r="D42" s="26"/>
      <c r="E42" s="9"/>
      <c r="F42" s="10"/>
      <c r="G42" s="10"/>
      <c r="H42" s="11"/>
    </row>
    <row r="43" spans="1:8" ht="30" customHeight="1">
      <c r="A43" s="54" t="s">
        <v>20</v>
      </c>
      <c r="B43" s="188" t="s">
        <v>258</v>
      </c>
      <c r="C43" s="189"/>
      <c r="D43" s="189"/>
      <c r="E43" s="190"/>
      <c r="F43" s="10"/>
      <c r="G43" s="10"/>
      <c r="H43" s="11"/>
    </row>
    <row r="44" spans="1:8" ht="33.75" customHeight="1" thickBot="1">
      <c r="A44" s="23" t="s">
        <v>21</v>
      </c>
      <c r="B44" s="184" t="s">
        <v>87</v>
      </c>
      <c r="C44" s="184"/>
      <c r="D44" s="184"/>
      <c r="E44" s="185"/>
      <c r="F44" s="10"/>
      <c r="G44" s="10"/>
      <c r="H44" s="11"/>
    </row>
    <row r="45" spans="1:8" ht="13.5" thickBot="1">
      <c r="A45" s="55"/>
      <c r="B45" s="56"/>
      <c r="C45" s="56"/>
      <c r="D45" s="56"/>
      <c r="E45" s="56"/>
      <c r="F45" s="56"/>
      <c r="G45" s="56"/>
      <c r="H45" s="57"/>
    </row>
  </sheetData>
  <customSheetViews>
    <customSheetView guid="{1F7F0D89-116A-47E0-AC3A-B919DFD8E13D}" showPageBreaks="1">
      <selection sqref="A1:B1"/>
      <pageMargins left="0.75" right="0.75" top="1" bottom="1" header="0.5" footer="0.5"/>
      <pageSetup orientation="landscape" r:id="rId1"/>
      <headerFooter alignWithMargins="0"/>
    </customSheetView>
    <customSheetView guid="{07598AF1-CDB5-45A8-8A7B-EDC11378B741}" showRuler="0" topLeftCell="A43">
      <selection activeCell="B45" sqref="B45:E48"/>
      <pageMargins left="0.75" right="0.75" top="1" bottom="1" header="0.5" footer="0.5"/>
      <pageSetup orientation="landscape" r:id="rId2"/>
      <headerFooter alignWithMargins="0"/>
    </customSheetView>
    <customSheetView guid="{E99FA451-3917-47EB-A521-5323E48A68AA}" showRuler="0">
      <selection sqref="A1:B1"/>
      <pageMargins left="0.75" right="0.75" top="1" bottom="1" header="0.5" footer="0.5"/>
      <pageSetup orientation="landscape" r:id="rId3"/>
      <headerFooter alignWithMargins="0"/>
    </customSheetView>
  </customSheetViews>
  <mergeCells count="17">
    <mergeCell ref="A1:H1"/>
    <mergeCell ref="D31:E31"/>
    <mergeCell ref="D30:E30"/>
    <mergeCell ref="B22:E22"/>
    <mergeCell ref="B24:E24"/>
    <mergeCell ref="B25:E25"/>
    <mergeCell ref="D28:E28"/>
    <mergeCell ref="B23:E23"/>
    <mergeCell ref="D29:E29"/>
    <mergeCell ref="B44:E44"/>
    <mergeCell ref="B39:D39"/>
    <mergeCell ref="B40:D40"/>
    <mergeCell ref="B43:E43"/>
    <mergeCell ref="B35:D35"/>
    <mergeCell ref="B36:D36"/>
    <mergeCell ref="B37:D37"/>
    <mergeCell ref="B38:D38"/>
  </mergeCells>
  <phoneticPr fontId="1" type="noConversion"/>
  <pageMargins left="0.75" right="0.75" top="1" bottom="1" header="0.5" footer="0.5"/>
  <pageSetup scale="66" fitToHeight="0"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M101"/>
  <sheetViews>
    <sheetView topLeftCell="A5" zoomScaleNormal="100" workbookViewId="0">
      <selection activeCell="B5" sqref="B5"/>
    </sheetView>
  </sheetViews>
  <sheetFormatPr defaultColWidth="8.85546875" defaultRowHeight="12.75"/>
  <cols>
    <col min="1" max="1" width="47.42578125" style="63" customWidth="1"/>
    <col min="2" max="2" width="39.28515625" style="63" customWidth="1"/>
    <col min="3" max="3" width="7.85546875" style="63" customWidth="1"/>
    <col min="4" max="4" width="59" style="63" customWidth="1"/>
    <col min="5" max="5" width="21.28515625" style="63" customWidth="1"/>
    <col min="6" max="7" width="39.140625" style="63" customWidth="1"/>
    <col min="8" max="8" width="35.85546875" style="63" customWidth="1"/>
    <col min="9" max="9" width="15.7109375" style="63" customWidth="1"/>
    <col min="10" max="10" width="16.42578125" style="63" customWidth="1"/>
    <col min="11" max="11" width="22.28515625" style="63" customWidth="1"/>
    <col min="12" max="12" width="45" style="63" customWidth="1"/>
    <col min="13" max="13" width="14.140625" style="63" customWidth="1"/>
    <col min="14" max="16384" width="8.85546875" style="63"/>
  </cols>
  <sheetData>
    <row r="1" spans="1:13" ht="48.75" customHeight="1">
      <c r="A1" s="58"/>
      <c r="B1" s="200" t="s">
        <v>91</v>
      </c>
      <c r="C1" s="200"/>
      <c r="D1" s="200"/>
      <c r="E1" s="200"/>
      <c r="F1" s="200"/>
      <c r="G1" s="59"/>
      <c r="H1" s="60"/>
      <c r="I1" s="60"/>
      <c r="J1" s="61"/>
      <c r="K1" s="61"/>
      <c r="L1" s="61"/>
      <c r="M1" s="62"/>
    </row>
    <row r="2" spans="1:13" ht="25.5">
      <c r="A2" s="64" t="s">
        <v>51</v>
      </c>
      <c r="B2" s="65" t="str">
        <f>'Test Case Information'!B4</f>
        <v>Flight to Settle</v>
      </c>
      <c r="C2" s="66"/>
      <c r="D2" s="66"/>
      <c r="E2" s="67" t="s">
        <v>40</v>
      </c>
      <c r="F2" s="65" t="str">
        <f>'Test Case Information'!B7</f>
        <v xml:space="preserve">39_1_Budget Process - SSIM UPLOAD </v>
      </c>
      <c r="G2" s="66"/>
      <c r="H2" s="66"/>
      <c r="I2" s="66"/>
      <c r="J2" s="68" t="s">
        <v>48</v>
      </c>
      <c r="K2" s="69" t="str">
        <f>'Test Case Information'!A29</f>
        <v>Surendra Nuvvula</v>
      </c>
      <c r="L2" s="70"/>
      <c r="M2" s="71"/>
    </row>
    <row r="3" spans="1:13">
      <c r="A3" s="64" t="s">
        <v>49</v>
      </c>
      <c r="B3" s="72" t="str">
        <f>'Test Case Information'!B5</f>
        <v>SIT_DOC_39</v>
      </c>
      <c r="C3" s="66"/>
      <c r="D3" s="66"/>
      <c r="E3" s="67" t="s">
        <v>41</v>
      </c>
      <c r="F3" s="65" t="str">
        <f>'Test Case Information'!B8</f>
        <v xml:space="preserve">39_1_Budget Process - SSIM UPLOAD </v>
      </c>
      <c r="G3" s="66"/>
      <c r="H3" s="66"/>
      <c r="I3" s="66"/>
      <c r="J3" s="68" t="s">
        <v>27</v>
      </c>
      <c r="K3" s="73"/>
      <c r="L3" s="74"/>
      <c r="M3" s="71"/>
    </row>
    <row r="4" spans="1:13">
      <c r="A4" s="64" t="s">
        <v>50</v>
      </c>
      <c r="B4" s="75" t="str">
        <f>'Test Case Information'!B6</f>
        <v>Budget Process - SSIM UPLOAD</v>
      </c>
      <c r="C4" s="66"/>
      <c r="D4" s="66"/>
      <c r="E4" s="67" t="s">
        <v>42</v>
      </c>
      <c r="F4" s="65" t="str">
        <f>'Test Case Information'!B9</f>
        <v>SIT_DOC_39_1</v>
      </c>
      <c r="G4" s="66"/>
      <c r="H4" s="66"/>
      <c r="I4" s="66"/>
      <c r="J4" s="74"/>
      <c r="K4" s="74"/>
      <c r="L4" s="74"/>
      <c r="M4" s="71"/>
    </row>
    <row r="5" spans="1:13" ht="18.75" customHeight="1" thickBot="1">
      <c r="A5" s="76"/>
      <c r="B5" s="77"/>
      <c r="C5" s="77"/>
      <c r="D5" s="77"/>
      <c r="E5" s="78"/>
      <c r="F5" s="79"/>
      <c r="G5" s="79"/>
      <c r="H5" s="79"/>
      <c r="I5" s="79"/>
      <c r="J5" s="79"/>
      <c r="K5" s="79"/>
      <c r="L5" s="79"/>
      <c r="M5" s="80"/>
    </row>
    <row r="6" spans="1:13" ht="46.5" customHeight="1">
      <c r="A6" s="81" t="s">
        <v>223</v>
      </c>
      <c r="B6" s="81" t="s">
        <v>224</v>
      </c>
      <c r="C6" s="81" t="s">
        <v>113</v>
      </c>
      <c r="D6" s="81" t="s">
        <v>30</v>
      </c>
      <c r="E6" s="81" t="s">
        <v>54</v>
      </c>
      <c r="F6" s="81" t="s">
        <v>31</v>
      </c>
      <c r="G6" s="81" t="s">
        <v>55</v>
      </c>
      <c r="H6" s="81" t="s">
        <v>26</v>
      </c>
      <c r="I6" s="81" t="s">
        <v>59</v>
      </c>
      <c r="J6" s="81" t="s">
        <v>35</v>
      </c>
      <c r="K6" s="81" t="s">
        <v>33</v>
      </c>
      <c r="L6" s="81" t="s">
        <v>43</v>
      </c>
      <c r="M6" s="81" t="s">
        <v>47</v>
      </c>
    </row>
    <row r="7" spans="1:13" s="87" customFormat="1" ht="60" customHeight="1">
      <c r="A7" s="201" t="s">
        <v>96</v>
      </c>
      <c r="B7" s="201" t="s">
        <v>103</v>
      </c>
      <c r="C7" s="82">
        <v>1</v>
      </c>
      <c r="D7" s="83" t="s">
        <v>93</v>
      </c>
      <c r="E7" s="83" t="s">
        <v>52</v>
      </c>
      <c r="F7" s="84" t="s">
        <v>225</v>
      </c>
      <c r="G7" s="84" t="s">
        <v>88</v>
      </c>
      <c r="H7" s="83" t="s">
        <v>89</v>
      </c>
      <c r="I7" s="85"/>
      <c r="J7" s="86"/>
      <c r="K7" s="85"/>
      <c r="L7" s="83" t="s">
        <v>94</v>
      </c>
      <c r="M7" s="83"/>
    </row>
    <row r="8" spans="1:13" s="87" customFormat="1" ht="30.75" customHeight="1">
      <c r="A8" s="201"/>
      <c r="B8" s="201"/>
      <c r="C8" s="82">
        <v>2</v>
      </c>
      <c r="D8" s="83" t="s">
        <v>97</v>
      </c>
      <c r="E8" s="83" t="s">
        <v>52</v>
      </c>
      <c r="F8" s="84"/>
      <c r="G8" s="84"/>
      <c r="H8" s="83" t="s">
        <v>95</v>
      </c>
      <c r="I8" s="85"/>
      <c r="J8" s="86"/>
      <c r="K8" s="85"/>
      <c r="L8" s="83" t="s">
        <v>95</v>
      </c>
      <c r="M8" s="83"/>
    </row>
    <row r="9" spans="1:13" s="87" customFormat="1" ht="45.75" customHeight="1">
      <c r="A9" s="201"/>
      <c r="B9" s="201"/>
      <c r="C9" s="82">
        <v>3</v>
      </c>
      <c r="D9" s="83" t="s">
        <v>114</v>
      </c>
      <c r="E9" s="83" t="s">
        <v>52</v>
      </c>
      <c r="F9" s="83" t="s">
        <v>98</v>
      </c>
      <c r="G9" s="84" t="s">
        <v>88</v>
      </c>
      <c r="H9" s="83" t="s">
        <v>99</v>
      </c>
      <c r="I9" s="85"/>
      <c r="J9" s="86"/>
      <c r="K9" s="85"/>
      <c r="L9" s="83" t="s">
        <v>99</v>
      </c>
      <c r="M9" s="83"/>
    </row>
    <row r="10" spans="1:13" s="87" customFormat="1" ht="45.75" customHeight="1">
      <c r="A10" s="201"/>
      <c r="B10" s="201"/>
      <c r="C10" s="82">
        <v>4</v>
      </c>
      <c r="D10" s="83" t="s">
        <v>115</v>
      </c>
      <c r="E10" s="83" t="s">
        <v>52</v>
      </c>
      <c r="F10" s="83" t="s">
        <v>248</v>
      </c>
      <c r="G10" s="84" t="s">
        <v>88</v>
      </c>
      <c r="H10" s="83" t="s">
        <v>100</v>
      </c>
      <c r="I10" s="85"/>
      <c r="J10" s="86"/>
      <c r="K10" s="85"/>
      <c r="L10" s="83" t="s">
        <v>100</v>
      </c>
      <c r="M10" s="83"/>
    </row>
    <row r="11" spans="1:13" ht="41.1" customHeight="1">
      <c r="A11" s="201"/>
      <c r="B11" s="201"/>
      <c r="C11" s="82">
        <v>5</v>
      </c>
      <c r="D11" s="83" t="s">
        <v>116</v>
      </c>
      <c r="E11" s="83" t="s">
        <v>52</v>
      </c>
      <c r="F11" s="83" t="s">
        <v>102</v>
      </c>
      <c r="G11" s="84" t="s">
        <v>88</v>
      </c>
      <c r="H11" s="83" t="s">
        <v>101</v>
      </c>
      <c r="I11" s="88"/>
      <c r="J11" s="86"/>
      <c r="K11" s="85"/>
      <c r="L11" s="83" t="s">
        <v>101</v>
      </c>
      <c r="M11" s="89"/>
    </row>
    <row r="12" spans="1:13" ht="38.25">
      <c r="A12" s="201"/>
      <c r="B12" s="201"/>
      <c r="C12" s="82">
        <v>6</v>
      </c>
      <c r="D12" s="83" t="s">
        <v>117</v>
      </c>
      <c r="E12" s="83" t="s">
        <v>52</v>
      </c>
      <c r="F12" s="83" t="s">
        <v>118</v>
      </c>
      <c r="G12" s="84" t="s">
        <v>88</v>
      </c>
      <c r="H12" s="83" t="s">
        <v>119</v>
      </c>
      <c r="I12" s="88"/>
      <c r="J12" s="86"/>
      <c r="K12" s="85"/>
      <c r="L12" s="83" t="s">
        <v>119</v>
      </c>
      <c r="M12" s="89"/>
    </row>
    <row r="13" spans="1:13">
      <c r="A13" s="201"/>
      <c r="B13" s="201"/>
      <c r="C13" s="82">
        <v>7</v>
      </c>
      <c r="D13" s="83" t="s">
        <v>120</v>
      </c>
      <c r="E13" s="83" t="s">
        <v>52</v>
      </c>
      <c r="F13" s="83" t="s">
        <v>121</v>
      </c>
      <c r="G13" s="84" t="s">
        <v>88</v>
      </c>
      <c r="H13" s="83" t="s">
        <v>122</v>
      </c>
      <c r="I13" s="88"/>
      <c r="J13" s="86"/>
      <c r="K13" s="85"/>
      <c r="L13" s="83" t="s">
        <v>123</v>
      </c>
      <c r="M13" s="89"/>
    </row>
    <row r="14" spans="1:13">
      <c r="A14" s="201"/>
      <c r="B14" s="201"/>
      <c r="C14" s="82">
        <v>8</v>
      </c>
      <c r="D14" s="83" t="s">
        <v>124</v>
      </c>
      <c r="E14" s="83" t="s">
        <v>52</v>
      </c>
      <c r="F14" s="83" t="s">
        <v>125</v>
      </c>
      <c r="G14" s="84" t="s">
        <v>88</v>
      </c>
      <c r="H14" s="83" t="s">
        <v>126</v>
      </c>
      <c r="I14" s="88"/>
      <c r="J14" s="86"/>
      <c r="K14" s="85"/>
      <c r="L14" s="83" t="s">
        <v>123</v>
      </c>
      <c r="M14" s="89"/>
    </row>
    <row r="15" spans="1:13">
      <c r="A15" s="201"/>
      <c r="B15" s="201"/>
      <c r="C15" s="82">
        <v>9</v>
      </c>
      <c r="D15" s="83" t="s">
        <v>127</v>
      </c>
      <c r="E15" s="83" t="s">
        <v>52</v>
      </c>
      <c r="F15" s="83" t="s">
        <v>128</v>
      </c>
      <c r="G15" s="84" t="s">
        <v>88</v>
      </c>
      <c r="H15" s="83" t="s">
        <v>129</v>
      </c>
      <c r="I15" s="88"/>
      <c r="J15" s="86"/>
      <c r="K15" s="85"/>
      <c r="L15" s="83" t="s">
        <v>129</v>
      </c>
      <c r="M15" s="89"/>
    </row>
    <row r="16" spans="1:13" ht="39.950000000000003" customHeight="1">
      <c r="A16" s="201"/>
      <c r="B16" s="201"/>
      <c r="C16" s="82">
        <v>10</v>
      </c>
      <c r="D16" s="83" t="s">
        <v>130</v>
      </c>
      <c r="E16" s="83" t="s">
        <v>52</v>
      </c>
      <c r="F16" s="83" t="s">
        <v>131</v>
      </c>
      <c r="G16" s="84" t="s">
        <v>88</v>
      </c>
      <c r="H16" s="83" t="s">
        <v>132</v>
      </c>
      <c r="I16" s="88"/>
      <c r="J16" s="86"/>
      <c r="K16" s="85"/>
      <c r="L16" s="83" t="s">
        <v>132</v>
      </c>
      <c r="M16" s="89"/>
    </row>
    <row r="17" spans="1:13" ht="42.75" customHeight="1">
      <c r="A17" s="201"/>
      <c r="B17" s="201"/>
      <c r="C17" s="82">
        <v>11</v>
      </c>
      <c r="D17" s="83" t="s">
        <v>133</v>
      </c>
      <c r="E17" s="83" t="s">
        <v>52</v>
      </c>
      <c r="F17" s="83" t="s">
        <v>134</v>
      </c>
      <c r="G17" s="84" t="s">
        <v>88</v>
      </c>
      <c r="H17" s="83" t="s">
        <v>135</v>
      </c>
      <c r="I17" s="85"/>
      <c r="J17" s="86"/>
      <c r="K17" s="85"/>
      <c r="L17" s="83" t="s">
        <v>135</v>
      </c>
      <c r="M17" s="89"/>
    </row>
    <row r="18" spans="1:13" ht="42.75" customHeight="1">
      <c r="A18" s="201"/>
      <c r="B18" s="201"/>
      <c r="C18" s="82">
        <v>12</v>
      </c>
      <c r="D18" s="83" t="s">
        <v>136</v>
      </c>
      <c r="E18" s="83" t="s">
        <v>52</v>
      </c>
      <c r="F18" s="83" t="s">
        <v>137</v>
      </c>
      <c r="G18" s="84" t="s">
        <v>88</v>
      </c>
      <c r="H18" s="83" t="s">
        <v>138</v>
      </c>
      <c r="I18" s="85"/>
      <c r="J18" s="86"/>
      <c r="K18" s="85"/>
      <c r="L18" s="83" t="s">
        <v>138</v>
      </c>
    </row>
    <row r="19" spans="1:13" ht="42.75" customHeight="1">
      <c r="A19" s="201"/>
      <c r="B19" s="201"/>
      <c r="C19" s="82">
        <v>13</v>
      </c>
      <c r="D19" s="83" t="s">
        <v>139</v>
      </c>
      <c r="E19" s="83" t="s">
        <v>52</v>
      </c>
      <c r="F19" s="83" t="s">
        <v>140</v>
      </c>
      <c r="G19" s="84" t="s">
        <v>88</v>
      </c>
      <c r="H19" s="83" t="s">
        <v>141</v>
      </c>
      <c r="I19" s="85"/>
      <c r="J19" s="86"/>
      <c r="K19" s="85"/>
      <c r="L19" s="83" t="s">
        <v>141</v>
      </c>
    </row>
    <row r="20" spans="1:13" ht="42.75" customHeight="1">
      <c r="A20" s="201"/>
      <c r="B20" s="201"/>
      <c r="C20" s="82">
        <v>14</v>
      </c>
      <c r="D20" s="83" t="s">
        <v>142</v>
      </c>
      <c r="E20" s="83" t="s">
        <v>52</v>
      </c>
      <c r="F20" s="83" t="s">
        <v>143</v>
      </c>
      <c r="G20" s="84" t="s">
        <v>88</v>
      </c>
      <c r="H20" s="83" t="s">
        <v>144</v>
      </c>
      <c r="I20" s="85"/>
      <c r="J20" s="86"/>
      <c r="K20" s="85"/>
      <c r="L20" s="83" t="s">
        <v>144</v>
      </c>
    </row>
    <row r="21" spans="1:13" ht="42.75" customHeight="1">
      <c r="A21" s="201"/>
      <c r="B21" s="201"/>
      <c r="C21" s="82">
        <v>15</v>
      </c>
      <c r="D21" s="83" t="s">
        <v>145</v>
      </c>
      <c r="E21" s="83" t="s">
        <v>52</v>
      </c>
      <c r="F21" s="83" t="s">
        <v>146</v>
      </c>
      <c r="G21" s="84" t="s">
        <v>88</v>
      </c>
      <c r="H21" s="83" t="s">
        <v>147</v>
      </c>
      <c r="I21" s="85"/>
      <c r="J21" s="86"/>
      <c r="K21" s="85"/>
      <c r="L21" s="83" t="s">
        <v>147</v>
      </c>
    </row>
    <row r="22" spans="1:13" ht="42.75" customHeight="1">
      <c r="A22" s="201"/>
      <c r="B22" s="201"/>
      <c r="C22" s="82">
        <v>16</v>
      </c>
      <c r="D22" s="83" t="s">
        <v>148</v>
      </c>
      <c r="E22" s="83" t="s">
        <v>52</v>
      </c>
      <c r="F22" s="83" t="s">
        <v>149</v>
      </c>
      <c r="G22" s="84" t="s">
        <v>88</v>
      </c>
      <c r="H22" s="83" t="s">
        <v>150</v>
      </c>
      <c r="I22" s="85"/>
      <c r="J22" s="86"/>
      <c r="K22" s="85"/>
      <c r="L22" s="83" t="s">
        <v>150</v>
      </c>
    </row>
    <row r="23" spans="1:13" ht="42.75" customHeight="1">
      <c r="A23" s="201"/>
      <c r="B23" s="201"/>
      <c r="C23" s="82">
        <v>17</v>
      </c>
      <c r="D23" s="83" t="s">
        <v>151</v>
      </c>
      <c r="E23" s="83" t="s">
        <v>52</v>
      </c>
      <c r="F23" s="83" t="s">
        <v>152</v>
      </c>
      <c r="G23" s="84" t="s">
        <v>88</v>
      </c>
      <c r="H23" s="83" t="s">
        <v>153</v>
      </c>
      <c r="I23" s="85"/>
      <c r="J23" s="86"/>
      <c r="K23" s="85"/>
      <c r="L23" s="83" t="s">
        <v>153</v>
      </c>
    </row>
    <row r="24" spans="1:13" ht="42.75" customHeight="1">
      <c r="A24" s="201"/>
      <c r="B24" s="201"/>
      <c r="C24" s="82">
        <v>18</v>
      </c>
      <c r="D24" s="83" t="s">
        <v>154</v>
      </c>
      <c r="E24" s="83" t="s">
        <v>52</v>
      </c>
      <c r="F24" s="83" t="s">
        <v>155</v>
      </c>
      <c r="G24" s="84" t="s">
        <v>88</v>
      </c>
      <c r="H24" s="83" t="s">
        <v>156</v>
      </c>
      <c r="I24" s="85"/>
      <c r="J24" s="86"/>
      <c r="K24" s="85"/>
      <c r="L24" s="83" t="s">
        <v>156</v>
      </c>
    </row>
    <row r="25" spans="1:13" ht="42.75" customHeight="1">
      <c r="A25" s="201"/>
      <c r="B25" s="201"/>
      <c r="C25" s="82">
        <v>19</v>
      </c>
      <c r="D25" s="83" t="s">
        <v>157</v>
      </c>
      <c r="E25" s="83" t="s">
        <v>52</v>
      </c>
      <c r="F25" s="83" t="s">
        <v>158</v>
      </c>
      <c r="G25" s="84" t="s">
        <v>88</v>
      </c>
      <c r="H25" s="83" t="s">
        <v>159</v>
      </c>
      <c r="I25" s="85"/>
      <c r="J25" s="86"/>
      <c r="K25" s="85"/>
      <c r="L25" s="83" t="s">
        <v>159</v>
      </c>
    </row>
    <row r="26" spans="1:13" ht="42.75" customHeight="1">
      <c r="A26" s="201"/>
      <c r="B26" s="201"/>
      <c r="C26" s="82">
        <v>20</v>
      </c>
      <c r="D26" s="83" t="s">
        <v>160</v>
      </c>
      <c r="E26" s="83" t="s">
        <v>52</v>
      </c>
      <c r="F26" s="83" t="s">
        <v>161</v>
      </c>
      <c r="G26" s="84" t="s">
        <v>88</v>
      </c>
      <c r="H26" s="83" t="s">
        <v>162</v>
      </c>
      <c r="I26" s="85"/>
      <c r="J26" s="86"/>
      <c r="K26" s="85"/>
      <c r="L26" s="83" t="s">
        <v>162</v>
      </c>
    </row>
    <row r="27" spans="1:13" ht="42.75" customHeight="1">
      <c r="A27" s="201"/>
      <c r="B27" s="201"/>
      <c r="C27" s="82">
        <v>21</v>
      </c>
      <c r="D27" s="83" t="s">
        <v>163</v>
      </c>
      <c r="E27" s="83" t="s">
        <v>52</v>
      </c>
      <c r="F27" s="83" t="s">
        <v>164</v>
      </c>
      <c r="G27" s="84" t="s">
        <v>88</v>
      </c>
      <c r="H27" s="83" t="s">
        <v>165</v>
      </c>
      <c r="I27" s="85"/>
      <c r="J27" s="86"/>
      <c r="K27" s="85"/>
      <c r="L27" s="83" t="s">
        <v>165</v>
      </c>
    </row>
    <row r="28" spans="1:13" ht="42.75" customHeight="1">
      <c r="A28" s="201"/>
      <c r="B28" s="201"/>
      <c r="C28" s="82">
        <v>22</v>
      </c>
      <c r="D28" s="83" t="s">
        <v>166</v>
      </c>
      <c r="E28" s="83" t="s">
        <v>52</v>
      </c>
      <c r="F28" s="83" t="s">
        <v>167</v>
      </c>
      <c r="G28" s="84" t="s">
        <v>88</v>
      </c>
      <c r="H28" s="83" t="s">
        <v>168</v>
      </c>
      <c r="I28" s="85"/>
      <c r="J28" s="86"/>
      <c r="K28" s="85"/>
      <c r="L28" s="83" t="s">
        <v>168</v>
      </c>
    </row>
    <row r="29" spans="1:13" ht="42.75" customHeight="1">
      <c r="A29" s="201"/>
      <c r="B29" s="201"/>
      <c r="C29" s="82">
        <v>23</v>
      </c>
      <c r="D29" s="83" t="s">
        <v>169</v>
      </c>
      <c r="E29" s="83" t="s">
        <v>52</v>
      </c>
      <c r="F29" s="83" t="s">
        <v>170</v>
      </c>
      <c r="G29" s="84" t="s">
        <v>88</v>
      </c>
      <c r="H29" s="83" t="s">
        <v>171</v>
      </c>
      <c r="I29" s="85"/>
      <c r="J29" s="86"/>
      <c r="K29" s="85"/>
      <c r="L29" s="83" t="s">
        <v>171</v>
      </c>
    </row>
    <row r="30" spans="1:13" ht="28.5" customHeight="1">
      <c r="A30" s="201"/>
      <c r="B30" s="201"/>
      <c r="C30" s="82">
        <v>24</v>
      </c>
      <c r="D30" s="83" t="s">
        <v>172</v>
      </c>
      <c r="E30" s="83" t="s">
        <v>52</v>
      </c>
      <c r="F30" s="83" t="s">
        <v>173</v>
      </c>
      <c r="G30" s="84" t="s">
        <v>88</v>
      </c>
      <c r="H30" s="83" t="s">
        <v>174</v>
      </c>
      <c r="I30" s="85"/>
      <c r="J30" s="86"/>
      <c r="K30" s="85"/>
      <c r="L30" s="83" t="s">
        <v>174</v>
      </c>
    </row>
    <row r="31" spans="1:13">
      <c r="A31" s="201"/>
      <c r="B31" s="201"/>
      <c r="C31" s="82">
        <v>25</v>
      </c>
      <c r="D31" s="83" t="s">
        <v>175</v>
      </c>
      <c r="E31" s="83" t="s">
        <v>52</v>
      </c>
      <c r="F31" s="83" t="s">
        <v>176</v>
      </c>
      <c r="G31" s="84" t="s">
        <v>88</v>
      </c>
      <c r="H31" s="83" t="s">
        <v>177</v>
      </c>
      <c r="I31" s="85"/>
      <c r="J31" s="86"/>
      <c r="K31" s="85"/>
      <c r="L31" s="83" t="s">
        <v>177</v>
      </c>
    </row>
    <row r="32" spans="1:13">
      <c r="A32" s="201"/>
      <c r="B32" s="201"/>
      <c r="C32" s="82">
        <v>26</v>
      </c>
      <c r="D32" s="83" t="s">
        <v>178</v>
      </c>
      <c r="E32" s="83" t="s">
        <v>52</v>
      </c>
      <c r="F32" s="83" t="s">
        <v>179</v>
      </c>
      <c r="G32" s="84" t="s">
        <v>88</v>
      </c>
      <c r="H32" s="83" t="s">
        <v>180</v>
      </c>
      <c r="I32" s="85"/>
      <c r="J32" s="86"/>
      <c r="K32" s="85"/>
      <c r="L32" s="83" t="s">
        <v>180</v>
      </c>
    </row>
    <row r="33" spans="1:12">
      <c r="A33" s="201"/>
      <c r="B33" s="201"/>
      <c r="C33" s="82">
        <v>27</v>
      </c>
      <c r="D33" s="83" t="s">
        <v>181</v>
      </c>
      <c r="E33" s="83" t="s">
        <v>52</v>
      </c>
      <c r="F33" s="83" t="s">
        <v>182</v>
      </c>
      <c r="G33" s="84" t="s">
        <v>88</v>
      </c>
      <c r="H33" s="83" t="s">
        <v>183</v>
      </c>
      <c r="I33" s="85"/>
      <c r="J33" s="86"/>
      <c r="K33" s="85"/>
      <c r="L33" s="83" t="s">
        <v>183</v>
      </c>
    </row>
    <row r="34" spans="1:12" ht="21.75" customHeight="1">
      <c r="A34" s="201"/>
      <c r="B34" s="201"/>
      <c r="C34" s="82">
        <v>28</v>
      </c>
      <c r="D34" s="83" t="s">
        <v>184</v>
      </c>
      <c r="E34" s="83" t="s">
        <v>52</v>
      </c>
      <c r="F34" s="83" t="s">
        <v>185</v>
      </c>
      <c r="G34" s="84" t="s">
        <v>88</v>
      </c>
      <c r="H34" s="83" t="s">
        <v>186</v>
      </c>
      <c r="I34" s="85"/>
      <c r="J34" s="86"/>
      <c r="K34" s="85"/>
      <c r="L34" s="83" t="s">
        <v>186</v>
      </c>
    </row>
    <row r="35" spans="1:12">
      <c r="A35" s="201"/>
      <c r="B35" s="201"/>
      <c r="C35" s="82">
        <v>29</v>
      </c>
      <c r="D35" s="83" t="s">
        <v>187</v>
      </c>
      <c r="E35" s="83" t="s">
        <v>52</v>
      </c>
      <c r="F35" s="83" t="s">
        <v>188</v>
      </c>
      <c r="G35" s="84" t="s">
        <v>88</v>
      </c>
      <c r="H35" s="83" t="s">
        <v>189</v>
      </c>
      <c r="I35" s="85"/>
      <c r="J35" s="86"/>
      <c r="K35" s="85"/>
      <c r="L35" s="83" t="s">
        <v>189</v>
      </c>
    </row>
    <row r="36" spans="1:12">
      <c r="A36" s="201"/>
      <c r="B36" s="201"/>
      <c r="C36" s="82">
        <v>30</v>
      </c>
      <c r="D36" s="83" t="s">
        <v>190</v>
      </c>
      <c r="E36" s="83" t="s">
        <v>52</v>
      </c>
      <c r="F36" s="83" t="s">
        <v>191</v>
      </c>
      <c r="G36" s="84" t="s">
        <v>88</v>
      </c>
      <c r="H36" s="83" t="s">
        <v>192</v>
      </c>
      <c r="I36" s="85"/>
      <c r="J36" s="86"/>
      <c r="K36" s="85"/>
      <c r="L36" s="83" t="s">
        <v>192</v>
      </c>
    </row>
    <row r="37" spans="1:12" ht="25.5">
      <c r="A37" s="201"/>
      <c r="B37" s="201"/>
      <c r="C37" s="82">
        <v>31</v>
      </c>
      <c r="D37" s="83" t="s">
        <v>193</v>
      </c>
      <c r="E37" s="83" t="s">
        <v>52</v>
      </c>
      <c r="F37" s="83" t="s">
        <v>194</v>
      </c>
      <c r="G37" s="84" t="s">
        <v>88</v>
      </c>
      <c r="H37" s="83" t="s">
        <v>195</v>
      </c>
      <c r="I37" s="85"/>
      <c r="J37" s="86"/>
      <c r="K37" s="85"/>
      <c r="L37" s="83" t="s">
        <v>195</v>
      </c>
    </row>
    <row r="38" spans="1:12" ht="25.5">
      <c r="A38" s="201"/>
      <c r="B38" s="201"/>
      <c r="C38" s="82">
        <v>32</v>
      </c>
      <c r="D38" s="83" t="s">
        <v>196</v>
      </c>
      <c r="E38" s="83" t="s">
        <v>52</v>
      </c>
      <c r="F38" s="83" t="s">
        <v>170</v>
      </c>
      <c r="G38" s="84" t="s">
        <v>88</v>
      </c>
      <c r="H38" s="83" t="s">
        <v>197</v>
      </c>
      <c r="I38" s="85"/>
      <c r="J38" s="86"/>
      <c r="K38" s="85"/>
      <c r="L38" s="83" t="s">
        <v>197</v>
      </c>
    </row>
    <row r="39" spans="1:12">
      <c r="A39" s="201"/>
      <c r="B39" s="201"/>
      <c r="C39" s="82">
        <v>33</v>
      </c>
      <c r="D39" s="83" t="s">
        <v>198</v>
      </c>
      <c r="E39" s="83" t="s">
        <v>52</v>
      </c>
      <c r="F39" s="83" t="s">
        <v>173</v>
      </c>
      <c r="G39" s="84" t="s">
        <v>88</v>
      </c>
      <c r="H39" s="83" t="s">
        <v>199</v>
      </c>
      <c r="I39" s="85"/>
      <c r="J39" s="86"/>
      <c r="K39" s="85"/>
      <c r="L39" s="83" t="s">
        <v>199</v>
      </c>
    </row>
    <row r="40" spans="1:12">
      <c r="A40" s="201"/>
      <c r="B40" s="201"/>
      <c r="C40" s="82">
        <v>34</v>
      </c>
      <c r="D40" s="83" t="s">
        <v>200</v>
      </c>
      <c r="E40" s="83" t="s">
        <v>52</v>
      </c>
      <c r="F40" s="83" t="s">
        <v>176</v>
      </c>
      <c r="G40" s="84" t="s">
        <v>88</v>
      </c>
      <c r="H40" s="83" t="s">
        <v>201</v>
      </c>
      <c r="I40" s="85"/>
      <c r="J40" s="86"/>
      <c r="K40" s="85"/>
      <c r="L40" s="83" t="s">
        <v>201</v>
      </c>
    </row>
    <row r="41" spans="1:12">
      <c r="A41" s="201"/>
      <c r="B41" s="201"/>
      <c r="C41" s="82">
        <v>35</v>
      </c>
      <c r="D41" s="83" t="s">
        <v>202</v>
      </c>
      <c r="E41" s="83" t="s">
        <v>52</v>
      </c>
      <c r="F41" s="83" t="s">
        <v>203</v>
      </c>
      <c r="G41" s="84" t="s">
        <v>88</v>
      </c>
      <c r="H41" s="83" t="s">
        <v>204</v>
      </c>
      <c r="I41" s="85"/>
      <c r="J41" s="86"/>
      <c r="K41" s="85"/>
      <c r="L41" s="83" t="s">
        <v>204</v>
      </c>
    </row>
    <row r="42" spans="1:12">
      <c r="A42" s="201"/>
      <c r="B42" s="201"/>
      <c r="C42" s="82">
        <v>36</v>
      </c>
      <c r="D42" s="83" t="s">
        <v>205</v>
      </c>
      <c r="E42" s="83" t="s">
        <v>52</v>
      </c>
      <c r="F42" s="83" t="s">
        <v>206</v>
      </c>
      <c r="G42" s="84" t="s">
        <v>88</v>
      </c>
      <c r="H42" s="83" t="s">
        <v>207</v>
      </c>
      <c r="I42" s="85"/>
      <c r="J42" s="86"/>
      <c r="K42" s="85"/>
      <c r="L42" s="83" t="s">
        <v>207</v>
      </c>
    </row>
    <row r="43" spans="1:12">
      <c r="A43" s="201"/>
      <c r="B43" s="201"/>
      <c r="C43" s="82">
        <v>37</v>
      </c>
      <c r="D43" s="83" t="s">
        <v>208</v>
      </c>
      <c r="E43" s="83" t="s">
        <v>52</v>
      </c>
      <c r="F43" s="83" t="s">
        <v>209</v>
      </c>
      <c r="G43" s="84" t="s">
        <v>88</v>
      </c>
      <c r="H43" s="83" t="s">
        <v>210</v>
      </c>
      <c r="I43" s="85"/>
      <c r="J43" s="86"/>
      <c r="K43" s="85"/>
      <c r="L43" s="83" t="s">
        <v>210</v>
      </c>
    </row>
    <row r="44" spans="1:12">
      <c r="A44" s="201"/>
      <c r="B44" s="201"/>
      <c r="C44" s="82">
        <v>38</v>
      </c>
      <c r="D44" s="83" t="s">
        <v>211</v>
      </c>
      <c r="E44" s="83" t="s">
        <v>52</v>
      </c>
      <c r="F44" s="83" t="s">
        <v>212</v>
      </c>
      <c r="G44" s="84" t="s">
        <v>88</v>
      </c>
      <c r="H44" s="83" t="s">
        <v>213</v>
      </c>
      <c r="I44" s="85"/>
      <c r="J44" s="86"/>
      <c r="K44" s="85"/>
      <c r="L44" s="83" t="s">
        <v>213</v>
      </c>
    </row>
    <row r="45" spans="1:12">
      <c r="A45" s="201"/>
      <c r="B45" s="201"/>
      <c r="C45" s="82">
        <v>39</v>
      </c>
      <c r="D45" s="83" t="s">
        <v>214</v>
      </c>
      <c r="E45" s="83" t="s">
        <v>52</v>
      </c>
      <c r="F45" s="83" t="s">
        <v>215</v>
      </c>
      <c r="G45" s="84" t="s">
        <v>88</v>
      </c>
      <c r="H45" s="83" t="s">
        <v>216</v>
      </c>
      <c r="I45" s="85"/>
      <c r="J45" s="86"/>
      <c r="K45" s="85"/>
      <c r="L45" s="83" t="s">
        <v>216</v>
      </c>
    </row>
    <row r="46" spans="1:12" ht="25.5">
      <c r="A46" s="201"/>
      <c r="B46" s="201"/>
      <c r="C46" s="82">
        <v>40</v>
      </c>
      <c r="D46" s="83" t="s">
        <v>217</v>
      </c>
      <c r="E46" s="83" t="s">
        <v>52</v>
      </c>
      <c r="F46" s="83" t="s">
        <v>218</v>
      </c>
      <c r="G46" s="84" t="s">
        <v>88</v>
      </c>
      <c r="H46" s="83" t="s">
        <v>219</v>
      </c>
      <c r="I46" s="85"/>
      <c r="J46" s="86"/>
      <c r="K46" s="85"/>
      <c r="L46" s="83" t="s">
        <v>219</v>
      </c>
    </row>
    <row r="101" spans="1:1">
      <c r="A101" s="90"/>
    </row>
  </sheetData>
  <dataConsolidate/>
  <mergeCells count="3">
    <mergeCell ref="B1:F1"/>
    <mergeCell ref="B7:B46"/>
    <mergeCell ref="A7:A46"/>
  </mergeCells>
  <conditionalFormatting sqref="K8:K9 K11:K15">
    <cfRule type="cellIs" dxfId="35" priority="11" operator="equal">
      <formula>"Failed"</formula>
    </cfRule>
    <cfRule type="cellIs" dxfId="34" priority="12" operator="equal">
      <formula>"Passed"</formula>
    </cfRule>
  </conditionalFormatting>
  <conditionalFormatting sqref="K7">
    <cfRule type="cellIs" dxfId="33" priority="9" operator="equal">
      <formula>"Failed"</formula>
    </cfRule>
    <cfRule type="cellIs" dxfId="32" priority="10" operator="equal">
      <formula>"Passed"</formula>
    </cfRule>
  </conditionalFormatting>
  <conditionalFormatting sqref="K7">
    <cfRule type="cellIs" dxfId="31" priority="7" operator="equal">
      <formula>"Failed"</formula>
    </cfRule>
    <cfRule type="cellIs" dxfId="30" priority="8" operator="equal">
      <formula>"Passed"</formula>
    </cfRule>
  </conditionalFormatting>
  <conditionalFormatting sqref="K16:K22 K24 K27:K29">
    <cfRule type="cellIs" dxfId="29" priority="5" operator="equal">
      <formula>"Failed"</formula>
    </cfRule>
    <cfRule type="cellIs" dxfId="28" priority="6" operator="equal">
      <formula>"Passed"</formula>
    </cfRule>
  </conditionalFormatting>
  <conditionalFormatting sqref="K10">
    <cfRule type="cellIs" dxfId="27" priority="3" operator="equal">
      <formula>"Failed"</formula>
    </cfRule>
    <cfRule type="cellIs" dxfId="26" priority="4" operator="equal">
      <formula>"Passed"</formula>
    </cfRule>
  </conditionalFormatting>
  <conditionalFormatting sqref="K23">
    <cfRule type="cellIs" dxfId="25" priority="1" operator="equal">
      <formula>"Failed"</formula>
    </cfRule>
    <cfRule type="cellIs" dxfId="24" priority="2" operator="equal">
      <formula>"Passed"</formula>
    </cfRule>
  </conditionalFormatting>
  <dataValidations count="2">
    <dataValidation type="list" allowBlank="1" showInputMessage="1" showErrorMessage="1" sqref="K7:K24 K27:K29" xr:uid="{00000000-0002-0000-0100-000000000000}">
      <formula1>lst_PassFail</formula1>
    </dataValidation>
    <dataValidation type="list" allowBlank="1" showInputMessage="1" showErrorMessage="1" sqref="J7:J46" xr:uid="{00000000-0002-0000-0100-000001000000}">
      <formula1>lst_Status</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N52"/>
  <sheetViews>
    <sheetView tabSelected="1" topLeftCell="A45" zoomScaleNormal="100" workbookViewId="0">
      <selection activeCell="D53" sqref="D53"/>
    </sheetView>
  </sheetViews>
  <sheetFormatPr defaultColWidth="8.85546875" defaultRowHeight="12.75"/>
  <cols>
    <col min="1" max="1" width="25.85546875" style="127" customWidth="1"/>
    <col min="2" max="2" width="22.85546875" style="127" customWidth="1"/>
    <col min="3" max="3" width="24.85546875" style="127" customWidth="1"/>
    <col min="4" max="4" width="15.85546875" style="127" customWidth="1"/>
    <col min="5" max="5" width="59" style="127" customWidth="1"/>
    <col min="6" max="6" width="21.28515625" style="127" customWidth="1"/>
    <col min="7" max="8" width="39.140625" style="127" customWidth="1"/>
    <col min="9" max="9" width="35.85546875" style="127" customWidth="1"/>
    <col min="10" max="10" width="15.7109375" style="127" customWidth="1"/>
    <col min="11" max="11" width="16.42578125" style="127" customWidth="1"/>
    <col min="12" max="12" width="22.28515625" style="127" customWidth="1"/>
    <col min="13" max="13" width="45" style="127" customWidth="1"/>
    <col min="14" max="14" width="14.140625" style="127" customWidth="1"/>
    <col min="15" max="16384" width="8.85546875" style="127"/>
  </cols>
  <sheetData>
    <row r="1" spans="1:14" ht="48.75" customHeight="1">
      <c r="A1" s="121"/>
      <c r="B1" s="122"/>
      <c r="C1" s="207" t="s">
        <v>91</v>
      </c>
      <c r="D1" s="207"/>
      <c r="E1" s="207"/>
      <c r="F1" s="207"/>
      <c r="G1" s="207"/>
      <c r="H1" s="123"/>
      <c r="I1" s="124"/>
      <c r="J1" s="124"/>
      <c r="K1" s="125"/>
      <c r="L1" s="125"/>
      <c r="M1" s="125"/>
      <c r="N1" s="126"/>
    </row>
    <row r="2" spans="1:14" ht="24.75" customHeight="1">
      <c r="A2" s="128" t="s">
        <v>51</v>
      </c>
      <c r="B2" s="129"/>
      <c r="C2" s="130" t="str">
        <f>'Test Case Information'!B4</f>
        <v>Flight to Settle</v>
      </c>
      <c r="D2" s="131"/>
      <c r="E2" s="131"/>
      <c r="F2" s="129" t="s">
        <v>40</v>
      </c>
      <c r="G2" s="130" t="str">
        <f>'Test Case Information'!B7</f>
        <v xml:space="preserve">39_1_Budget Process - SSIM UPLOAD </v>
      </c>
      <c r="H2" s="131"/>
      <c r="I2" s="131"/>
      <c r="J2" s="131"/>
      <c r="K2" s="132" t="s">
        <v>48</v>
      </c>
      <c r="L2" s="133"/>
      <c r="M2" s="134"/>
      <c r="N2" s="135"/>
    </row>
    <row r="3" spans="1:14" ht="24.75" customHeight="1">
      <c r="A3" s="128" t="s">
        <v>49</v>
      </c>
      <c r="B3" s="129"/>
      <c r="C3" s="136" t="str">
        <f>'Test Case Information'!B5</f>
        <v>SIT_DOC_39</v>
      </c>
      <c r="D3" s="131"/>
      <c r="E3" s="131"/>
      <c r="F3" s="129" t="s">
        <v>41</v>
      </c>
      <c r="G3" s="130" t="str">
        <f>'Test Case Information'!B8</f>
        <v xml:space="preserve">39_1_Budget Process - SSIM UPLOAD </v>
      </c>
      <c r="H3" s="131"/>
      <c r="I3" s="131"/>
      <c r="J3" s="131"/>
      <c r="K3" s="132" t="s">
        <v>27</v>
      </c>
      <c r="L3" s="137"/>
      <c r="M3" s="138"/>
      <c r="N3" s="135"/>
    </row>
    <row r="4" spans="1:14" ht="24.75" customHeight="1">
      <c r="A4" s="128" t="s">
        <v>50</v>
      </c>
      <c r="B4" s="129"/>
      <c r="C4" s="139" t="str">
        <f>'Test Case Information'!B8</f>
        <v xml:space="preserve">39_1_Budget Process - SSIM UPLOAD </v>
      </c>
      <c r="D4" s="131"/>
      <c r="E4" s="131"/>
      <c r="F4" s="129" t="s">
        <v>42</v>
      </c>
      <c r="G4" s="130" t="str">
        <f>'Test Case Information'!B9</f>
        <v>SIT_DOC_39_1</v>
      </c>
      <c r="H4" s="131"/>
      <c r="I4" s="131"/>
      <c r="J4" s="131"/>
      <c r="K4" s="138"/>
      <c r="L4" s="138"/>
      <c r="M4" s="138"/>
      <c r="N4" s="135"/>
    </row>
    <row r="5" spans="1:14" ht="18.75" customHeight="1" thickBot="1">
      <c r="A5" s="140"/>
      <c r="B5" s="140"/>
      <c r="C5" s="141"/>
      <c r="D5" s="141"/>
      <c r="E5" s="141"/>
      <c r="F5" s="142"/>
      <c r="G5" s="143"/>
      <c r="H5" s="143"/>
      <c r="I5" s="143"/>
      <c r="J5" s="143"/>
      <c r="K5" s="143"/>
      <c r="L5" s="143"/>
      <c r="M5" s="143"/>
      <c r="N5" s="144"/>
    </row>
    <row r="6" spans="1:14" ht="46.5" customHeight="1">
      <c r="A6" s="145" t="s">
        <v>111</v>
      </c>
      <c r="B6" s="145" t="s">
        <v>105</v>
      </c>
      <c r="C6" s="145" t="s">
        <v>107</v>
      </c>
      <c r="D6" s="145" t="s">
        <v>106</v>
      </c>
      <c r="E6" s="145" t="s">
        <v>30</v>
      </c>
      <c r="F6" s="145" t="s">
        <v>54</v>
      </c>
      <c r="G6" s="145" t="s">
        <v>31</v>
      </c>
      <c r="H6" s="145" t="s">
        <v>55</v>
      </c>
      <c r="I6" s="145" t="s">
        <v>26</v>
      </c>
      <c r="J6" s="145" t="s">
        <v>59</v>
      </c>
      <c r="K6" s="145" t="s">
        <v>35</v>
      </c>
      <c r="L6" s="145" t="s">
        <v>33</v>
      </c>
      <c r="M6" s="145" t="s">
        <v>43</v>
      </c>
      <c r="N6" s="145" t="s">
        <v>47</v>
      </c>
    </row>
    <row r="7" spans="1:14" s="151" customFormat="1" ht="40.5" customHeight="1">
      <c r="A7" s="208" t="s">
        <v>255</v>
      </c>
      <c r="B7" s="203" t="s">
        <v>259</v>
      </c>
      <c r="C7" s="203" t="s">
        <v>260</v>
      </c>
      <c r="D7" s="146">
        <v>1</v>
      </c>
      <c r="E7" s="164" t="s">
        <v>265</v>
      </c>
      <c r="F7" s="147" t="s">
        <v>52</v>
      </c>
      <c r="G7" s="148" t="s">
        <v>251</v>
      </c>
      <c r="H7" s="158" t="s">
        <v>298</v>
      </c>
      <c r="I7" s="147" t="s">
        <v>299</v>
      </c>
      <c r="J7" s="149"/>
      <c r="K7" s="150" t="s">
        <v>38</v>
      </c>
      <c r="L7" s="162" t="s">
        <v>252</v>
      </c>
      <c r="M7" s="147" t="s">
        <v>300</v>
      </c>
      <c r="N7" s="147"/>
    </row>
    <row r="8" spans="1:14" s="151" customFormat="1" ht="42" customHeight="1">
      <c r="A8" s="209"/>
      <c r="B8" s="203"/>
      <c r="C8" s="203"/>
      <c r="D8" s="146">
        <v>2</v>
      </c>
      <c r="E8" s="160" t="s">
        <v>314</v>
      </c>
      <c r="F8" s="147" t="s">
        <v>52</v>
      </c>
      <c r="G8" s="148" t="s">
        <v>297</v>
      </c>
      <c r="H8" s="158" t="s">
        <v>298</v>
      </c>
      <c r="I8" s="147" t="s">
        <v>315</v>
      </c>
      <c r="J8" s="149"/>
      <c r="K8" s="150"/>
      <c r="L8" s="162" t="s">
        <v>252</v>
      </c>
      <c r="M8" s="147" t="s">
        <v>316</v>
      </c>
      <c r="N8" s="147"/>
    </row>
    <row r="9" spans="1:14" s="151" customFormat="1" ht="36" customHeight="1">
      <c r="A9" s="209"/>
      <c r="B9" s="203"/>
      <c r="C9" s="203"/>
      <c r="D9" s="146">
        <v>3</v>
      </c>
      <c r="E9" s="160" t="s">
        <v>317</v>
      </c>
      <c r="F9" s="152" t="s">
        <v>52</v>
      </c>
      <c r="G9" s="152" t="s">
        <v>251</v>
      </c>
      <c r="H9" s="158" t="s">
        <v>298</v>
      </c>
      <c r="I9" s="152" t="s">
        <v>318</v>
      </c>
      <c r="J9" s="153"/>
      <c r="K9" s="154"/>
      <c r="L9" s="162" t="s">
        <v>252</v>
      </c>
      <c r="M9" s="152" t="s">
        <v>319</v>
      </c>
      <c r="N9" s="147"/>
    </row>
    <row r="10" spans="1:14" ht="41.1" customHeight="1">
      <c r="A10" s="210"/>
      <c r="B10" s="203"/>
      <c r="C10" s="203"/>
      <c r="D10" s="146">
        <v>4</v>
      </c>
      <c r="E10" s="160" t="s">
        <v>320</v>
      </c>
      <c r="F10" s="152" t="s">
        <v>52</v>
      </c>
      <c r="G10" s="152" t="s">
        <v>251</v>
      </c>
      <c r="H10" s="158" t="s">
        <v>298</v>
      </c>
      <c r="I10" s="152" t="s">
        <v>321</v>
      </c>
      <c r="J10" s="155"/>
      <c r="K10" s="154"/>
      <c r="L10" s="162" t="s">
        <v>322</v>
      </c>
      <c r="M10" s="152" t="s">
        <v>323</v>
      </c>
      <c r="N10" s="156" t="s">
        <v>324</v>
      </c>
    </row>
    <row r="11" spans="1:14" s="151" customFormat="1" ht="60" customHeight="1">
      <c r="A11" s="203" t="s">
        <v>255</v>
      </c>
      <c r="B11" s="203" t="s">
        <v>259</v>
      </c>
      <c r="C11" s="203" t="s">
        <v>261</v>
      </c>
      <c r="D11" s="146">
        <v>1</v>
      </c>
      <c r="E11" s="160" t="s">
        <v>314</v>
      </c>
      <c r="F11" s="147" t="s">
        <v>52</v>
      </c>
      <c r="G11" s="148" t="s">
        <v>297</v>
      </c>
      <c r="H11" s="158" t="s">
        <v>298</v>
      </c>
      <c r="I11" s="147" t="s">
        <v>315</v>
      </c>
      <c r="J11" s="149"/>
      <c r="K11" s="150" t="s">
        <v>38</v>
      </c>
      <c r="L11" s="162" t="s">
        <v>252</v>
      </c>
      <c r="M11" s="147" t="s">
        <v>316</v>
      </c>
      <c r="N11" s="147"/>
    </row>
    <row r="12" spans="1:14" s="151" customFormat="1" ht="30.75" customHeight="1">
      <c r="A12" s="203"/>
      <c r="B12" s="203"/>
      <c r="C12" s="203"/>
      <c r="D12" s="146">
        <v>2</v>
      </c>
      <c r="E12" s="160" t="s">
        <v>332</v>
      </c>
      <c r="F12" s="147" t="s">
        <v>52</v>
      </c>
      <c r="G12" s="148" t="s">
        <v>251</v>
      </c>
      <c r="H12" s="158" t="s">
        <v>298</v>
      </c>
      <c r="I12" s="152" t="s">
        <v>318</v>
      </c>
      <c r="J12" s="149"/>
      <c r="K12" s="150"/>
      <c r="L12" s="162" t="s">
        <v>252</v>
      </c>
      <c r="M12" s="152" t="s">
        <v>319</v>
      </c>
      <c r="N12" s="147"/>
    </row>
    <row r="13" spans="1:14" s="151" customFormat="1" ht="38.25">
      <c r="A13" s="203"/>
      <c r="B13" s="203"/>
      <c r="C13" s="203"/>
      <c r="D13" s="146">
        <v>3</v>
      </c>
      <c r="E13" s="160" t="s">
        <v>333</v>
      </c>
      <c r="F13" s="152" t="s">
        <v>52</v>
      </c>
      <c r="G13" s="152" t="s">
        <v>251</v>
      </c>
      <c r="H13" s="158" t="s">
        <v>298</v>
      </c>
      <c r="I13" s="152" t="s">
        <v>321</v>
      </c>
      <c r="J13" s="153"/>
      <c r="K13" s="154"/>
      <c r="L13" s="162" t="s">
        <v>322</v>
      </c>
      <c r="M13" s="152" t="s">
        <v>323</v>
      </c>
      <c r="N13" s="147" t="s">
        <v>338</v>
      </c>
    </row>
    <row r="14" spans="1:14" s="151" customFormat="1" ht="60" customHeight="1">
      <c r="A14" s="202" t="s">
        <v>255</v>
      </c>
      <c r="B14" s="203" t="s">
        <v>259</v>
      </c>
      <c r="C14" s="203" t="s">
        <v>262</v>
      </c>
      <c r="D14" s="146">
        <v>1</v>
      </c>
      <c r="E14" s="160" t="s">
        <v>314</v>
      </c>
      <c r="F14" s="147" t="s">
        <v>52</v>
      </c>
      <c r="G14" s="148" t="s">
        <v>297</v>
      </c>
      <c r="H14" s="158" t="s">
        <v>298</v>
      </c>
      <c r="I14" s="147" t="s">
        <v>315</v>
      </c>
      <c r="J14" s="149"/>
      <c r="K14" s="150" t="s">
        <v>38</v>
      </c>
      <c r="L14" s="162" t="s">
        <v>252</v>
      </c>
      <c r="M14" s="147" t="s">
        <v>316</v>
      </c>
      <c r="N14" s="147"/>
    </row>
    <row r="15" spans="1:14" s="151" customFormat="1" ht="30.75" customHeight="1">
      <c r="A15" s="203"/>
      <c r="B15" s="203"/>
      <c r="C15" s="203"/>
      <c r="D15" s="146">
        <v>2</v>
      </c>
      <c r="E15" s="160" t="s">
        <v>332</v>
      </c>
      <c r="F15" s="147" t="s">
        <v>52</v>
      </c>
      <c r="G15" s="148" t="s">
        <v>251</v>
      </c>
      <c r="H15" s="158" t="s">
        <v>298</v>
      </c>
      <c r="I15" s="152" t="s">
        <v>318</v>
      </c>
      <c r="J15" s="149"/>
      <c r="K15" s="150"/>
      <c r="L15" s="162" t="s">
        <v>252</v>
      </c>
      <c r="M15" s="152" t="s">
        <v>319</v>
      </c>
      <c r="N15" s="147"/>
    </row>
    <row r="16" spans="1:14" s="151" customFormat="1" ht="25.5">
      <c r="A16" s="203"/>
      <c r="B16" s="203"/>
      <c r="C16" s="203"/>
      <c r="D16" s="146">
        <v>3</v>
      </c>
      <c r="E16" s="160" t="s">
        <v>341</v>
      </c>
      <c r="F16" s="152" t="s">
        <v>52</v>
      </c>
      <c r="G16" s="152" t="s">
        <v>251</v>
      </c>
      <c r="H16" s="158" t="s">
        <v>298</v>
      </c>
      <c r="I16" s="152" t="s">
        <v>321</v>
      </c>
      <c r="J16" s="153"/>
      <c r="K16" s="154"/>
      <c r="L16" s="162" t="s">
        <v>322</v>
      </c>
      <c r="M16" s="152" t="s">
        <v>323</v>
      </c>
      <c r="N16" s="147" t="s">
        <v>342</v>
      </c>
    </row>
    <row r="17" spans="1:14" ht="38.25">
      <c r="A17" s="204" t="s">
        <v>255</v>
      </c>
      <c r="B17" s="204" t="s">
        <v>259</v>
      </c>
      <c r="C17" s="204" t="s">
        <v>263</v>
      </c>
      <c r="D17" s="146">
        <v>1</v>
      </c>
      <c r="E17" s="160" t="s">
        <v>314</v>
      </c>
      <c r="F17" s="147" t="s">
        <v>52</v>
      </c>
      <c r="G17" s="148" t="s">
        <v>297</v>
      </c>
      <c r="H17" s="158" t="s">
        <v>298</v>
      </c>
      <c r="I17" s="147" t="s">
        <v>315</v>
      </c>
      <c r="J17" s="149"/>
      <c r="K17" s="150" t="s">
        <v>38</v>
      </c>
      <c r="L17" s="162" t="s">
        <v>252</v>
      </c>
      <c r="M17" s="147" t="s">
        <v>316</v>
      </c>
      <c r="N17" s="147"/>
    </row>
    <row r="18" spans="1:14" ht="25.5">
      <c r="A18" s="205"/>
      <c r="B18" s="205"/>
      <c r="C18" s="205"/>
      <c r="D18" s="146">
        <v>2</v>
      </c>
      <c r="E18" s="160" t="s">
        <v>332</v>
      </c>
      <c r="F18" s="147" t="s">
        <v>52</v>
      </c>
      <c r="G18" s="148" t="s">
        <v>251</v>
      </c>
      <c r="H18" s="158" t="s">
        <v>298</v>
      </c>
      <c r="I18" s="152" t="s">
        <v>318</v>
      </c>
      <c r="J18" s="149"/>
      <c r="K18" s="150"/>
      <c r="L18" s="162" t="s">
        <v>252</v>
      </c>
      <c r="M18" s="152" t="s">
        <v>319</v>
      </c>
      <c r="N18" s="147"/>
    </row>
    <row r="19" spans="1:14" ht="25.5">
      <c r="A19" s="206"/>
      <c r="B19" s="206"/>
      <c r="C19" s="206"/>
      <c r="D19" s="146">
        <v>3</v>
      </c>
      <c r="E19" s="160" t="s">
        <v>346</v>
      </c>
      <c r="F19" s="152" t="s">
        <v>52</v>
      </c>
      <c r="G19" s="152" t="s">
        <v>251</v>
      </c>
      <c r="H19" s="158" t="s">
        <v>298</v>
      </c>
      <c r="I19" s="152" t="s">
        <v>347</v>
      </c>
      <c r="J19" s="153"/>
      <c r="K19" s="154"/>
      <c r="L19" s="162" t="s">
        <v>322</v>
      </c>
      <c r="M19" s="152" t="s">
        <v>323</v>
      </c>
      <c r="N19" s="147" t="s">
        <v>350</v>
      </c>
    </row>
    <row r="20" spans="1:14" ht="38.25">
      <c r="A20" s="202" t="s">
        <v>255</v>
      </c>
      <c r="B20" s="203" t="s">
        <v>259</v>
      </c>
      <c r="C20" s="203" t="s">
        <v>264</v>
      </c>
      <c r="D20" s="146">
        <v>1</v>
      </c>
      <c r="E20" s="160" t="s">
        <v>314</v>
      </c>
      <c r="F20" s="147" t="s">
        <v>52</v>
      </c>
      <c r="G20" s="148" t="s">
        <v>297</v>
      </c>
      <c r="H20" s="158" t="s">
        <v>298</v>
      </c>
      <c r="I20" s="147" t="s">
        <v>315</v>
      </c>
      <c r="J20" s="149"/>
      <c r="K20" s="150" t="s">
        <v>38</v>
      </c>
      <c r="L20" s="162" t="s">
        <v>252</v>
      </c>
      <c r="M20" s="147" t="s">
        <v>316</v>
      </c>
      <c r="N20" s="147"/>
    </row>
    <row r="21" spans="1:14" ht="25.5">
      <c r="A21" s="203"/>
      <c r="B21" s="203"/>
      <c r="C21" s="203"/>
      <c r="D21" s="146">
        <v>2</v>
      </c>
      <c r="E21" s="160" t="s">
        <v>332</v>
      </c>
      <c r="F21" s="147" t="s">
        <v>52</v>
      </c>
      <c r="G21" s="161" t="s">
        <v>251</v>
      </c>
      <c r="H21" s="158" t="s">
        <v>298</v>
      </c>
      <c r="I21" s="152" t="s">
        <v>318</v>
      </c>
      <c r="J21" s="149"/>
      <c r="K21" s="150"/>
      <c r="L21" s="162" t="s">
        <v>252</v>
      </c>
      <c r="M21" s="152" t="s">
        <v>319</v>
      </c>
      <c r="N21" s="147"/>
    </row>
    <row r="22" spans="1:14" ht="25.5">
      <c r="A22" s="203"/>
      <c r="B22" s="203"/>
      <c r="C22" s="203"/>
      <c r="D22" s="146">
        <v>3</v>
      </c>
      <c r="E22" s="160" t="s">
        <v>364</v>
      </c>
      <c r="F22" s="152" t="s">
        <v>52</v>
      </c>
      <c r="G22" s="161" t="s">
        <v>251</v>
      </c>
      <c r="H22" s="158" t="s">
        <v>298</v>
      </c>
      <c r="I22" s="152" t="s">
        <v>352</v>
      </c>
      <c r="J22" s="153"/>
      <c r="K22" s="154"/>
      <c r="L22" s="162" t="s">
        <v>322</v>
      </c>
      <c r="M22" s="152" t="s">
        <v>323</v>
      </c>
      <c r="N22" s="147" t="s">
        <v>353</v>
      </c>
    </row>
    <row r="23" spans="1:14" ht="38.25">
      <c r="A23" s="204" t="s">
        <v>255</v>
      </c>
      <c r="B23" s="204" t="s">
        <v>259</v>
      </c>
      <c r="C23" s="204" t="s">
        <v>267</v>
      </c>
      <c r="D23" s="146">
        <v>1</v>
      </c>
      <c r="E23" s="160" t="s">
        <v>314</v>
      </c>
      <c r="F23" s="147" t="s">
        <v>52</v>
      </c>
      <c r="G23" s="148" t="s">
        <v>297</v>
      </c>
      <c r="H23" s="158" t="s">
        <v>298</v>
      </c>
      <c r="I23" s="147" t="s">
        <v>315</v>
      </c>
      <c r="J23" s="149"/>
      <c r="K23" s="150" t="s">
        <v>38</v>
      </c>
      <c r="L23" s="162" t="s">
        <v>252</v>
      </c>
      <c r="M23" s="147" t="s">
        <v>316</v>
      </c>
      <c r="N23" s="147"/>
    </row>
    <row r="24" spans="1:14" ht="25.5">
      <c r="A24" s="205"/>
      <c r="B24" s="205"/>
      <c r="C24" s="205"/>
      <c r="D24" s="146">
        <v>2</v>
      </c>
      <c r="E24" s="160" t="s">
        <v>332</v>
      </c>
      <c r="F24" s="147" t="s">
        <v>52</v>
      </c>
      <c r="G24" s="148" t="s">
        <v>251</v>
      </c>
      <c r="H24" s="158" t="s">
        <v>298</v>
      </c>
      <c r="I24" s="152" t="s">
        <v>318</v>
      </c>
      <c r="J24" s="149"/>
      <c r="K24" s="150"/>
      <c r="L24" s="162" t="s">
        <v>252</v>
      </c>
      <c r="M24" s="152" t="s">
        <v>319</v>
      </c>
      <c r="N24" s="147"/>
    </row>
    <row r="25" spans="1:14" ht="25.5">
      <c r="A25" s="206"/>
      <c r="B25" s="206"/>
      <c r="C25" s="206"/>
      <c r="D25" s="146">
        <v>3</v>
      </c>
      <c r="E25" s="160" t="s">
        <v>365</v>
      </c>
      <c r="F25" s="152" t="s">
        <v>52</v>
      </c>
      <c r="G25" s="152" t="s">
        <v>251</v>
      </c>
      <c r="H25" s="158" t="s">
        <v>298</v>
      </c>
      <c r="I25" s="152" t="s">
        <v>366</v>
      </c>
      <c r="J25" s="153"/>
      <c r="K25" s="154"/>
      <c r="L25" s="162" t="s">
        <v>252</v>
      </c>
      <c r="M25" s="152" t="s">
        <v>323</v>
      </c>
      <c r="N25" s="147"/>
    </row>
    <row r="26" spans="1:14" ht="38.25">
      <c r="A26" s="202" t="s">
        <v>255</v>
      </c>
      <c r="B26" s="203" t="s">
        <v>259</v>
      </c>
      <c r="C26" s="203" t="s">
        <v>268</v>
      </c>
      <c r="D26" s="146">
        <v>1</v>
      </c>
      <c r="E26" s="160" t="s">
        <v>314</v>
      </c>
      <c r="F26" s="147" t="s">
        <v>52</v>
      </c>
      <c r="G26" s="148" t="s">
        <v>297</v>
      </c>
      <c r="H26" s="158" t="s">
        <v>298</v>
      </c>
      <c r="I26" s="147" t="s">
        <v>315</v>
      </c>
      <c r="J26" s="149"/>
      <c r="K26" s="150" t="s">
        <v>38</v>
      </c>
      <c r="L26" s="162" t="s">
        <v>252</v>
      </c>
      <c r="M26" s="147" t="s">
        <v>316</v>
      </c>
      <c r="N26" s="147"/>
    </row>
    <row r="27" spans="1:14" ht="25.5">
      <c r="A27" s="203"/>
      <c r="B27" s="203"/>
      <c r="C27" s="203"/>
      <c r="D27" s="146">
        <v>2</v>
      </c>
      <c r="E27" s="160" t="s">
        <v>332</v>
      </c>
      <c r="F27" s="147" t="s">
        <v>52</v>
      </c>
      <c r="G27" s="161" t="s">
        <v>251</v>
      </c>
      <c r="H27" s="158" t="s">
        <v>298</v>
      </c>
      <c r="I27" s="152" t="s">
        <v>318</v>
      </c>
      <c r="J27" s="149"/>
      <c r="K27" s="150"/>
      <c r="L27" s="162" t="s">
        <v>252</v>
      </c>
      <c r="M27" s="152" t="s">
        <v>319</v>
      </c>
      <c r="N27" s="147"/>
    </row>
    <row r="28" spans="1:14" ht="25.5">
      <c r="A28" s="203"/>
      <c r="B28" s="203"/>
      <c r="C28" s="203"/>
      <c r="D28" s="146">
        <v>3</v>
      </c>
      <c r="E28" s="160" t="s">
        <v>355</v>
      </c>
      <c r="F28" s="152" t="s">
        <v>52</v>
      </c>
      <c r="G28" s="161" t="s">
        <v>251</v>
      </c>
      <c r="H28" s="158" t="s">
        <v>298</v>
      </c>
      <c r="I28" s="152" t="s">
        <v>361</v>
      </c>
      <c r="J28" s="153"/>
      <c r="K28" s="154"/>
      <c r="L28" s="162" t="s">
        <v>322</v>
      </c>
      <c r="M28" s="152" t="s">
        <v>323</v>
      </c>
      <c r="N28" s="147" t="s">
        <v>354</v>
      </c>
    </row>
    <row r="29" spans="1:14" ht="38.25">
      <c r="A29" s="202" t="s">
        <v>255</v>
      </c>
      <c r="B29" s="203" t="s">
        <v>259</v>
      </c>
      <c r="C29" s="203" t="s">
        <v>269</v>
      </c>
      <c r="D29" s="146">
        <v>1</v>
      </c>
      <c r="E29" s="160" t="s">
        <v>314</v>
      </c>
      <c r="F29" s="147" t="s">
        <v>52</v>
      </c>
      <c r="G29" s="148" t="s">
        <v>297</v>
      </c>
      <c r="H29" s="158" t="s">
        <v>298</v>
      </c>
      <c r="I29" s="147" t="s">
        <v>315</v>
      </c>
      <c r="J29" s="149"/>
      <c r="K29" s="150" t="s">
        <v>38</v>
      </c>
      <c r="L29" s="162" t="s">
        <v>252</v>
      </c>
      <c r="M29" s="147" t="s">
        <v>316</v>
      </c>
      <c r="N29" s="147"/>
    </row>
    <row r="30" spans="1:14" ht="25.5">
      <c r="A30" s="203"/>
      <c r="B30" s="203"/>
      <c r="C30" s="203"/>
      <c r="D30" s="146">
        <v>2</v>
      </c>
      <c r="E30" s="160" t="s">
        <v>332</v>
      </c>
      <c r="F30" s="147" t="s">
        <v>52</v>
      </c>
      <c r="G30" s="161" t="s">
        <v>251</v>
      </c>
      <c r="H30" s="158" t="s">
        <v>298</v>
      </c>
      <c r="I30" s="152" t="s">
        <v>318</v>
      </c>
      <c r="J30" s="149"/>
      <c r="K30" s="150"/>
      <c r="L30" s="162" t="s">
        <v>252</v>
      </c>
      <c r="M30" s="152" t="s">
        <v>319</v>
      </c>
      <c r="N30" s="147"/>
    </row>
    <row r="31" spans="1:14" ht="25.5">
      <c r="A31" s="203"/>
      <c r="B31" s="203"/>
      <c r="C31" s="203"/>
      <c r="D31" s="146">
        <v>3</v>
      </c>
      <c r="E31" s="160" t="s">
        <v>362</v>
      </c>
      <c r="F31" s="152" t="s">
        <v>52</v>
      </c>
      <c r="G31" s="161" t="s">
        <v>251</v>
      </c>
      <c r="H31" s="158" t="s">
        <v>298</v>
      </c>
      <c r="I31" s="152" t="s">
        <v>380</v>
      </c>
      <c r="J31" s="153"/>
      <c r="K31" s="154"/>
      <c r="L31" s="162" t="s">
        <v>322</v>
      </c>
      <c r="M31" s="152" t="s">
        <v>323</v>
      </c>
      <c r="N31" s="147" t="s">
        <v>357</v>
      </c>
    </row>
    <row r="32" spans="1:14" ht="38.25">
      <c r="A32" s="204" t="s">
        <v>255</v>
      </c>
      <c r="B32" s="204" t="s">
        <v>259</v>
      </c>
      <c r="C32" s="204" t="s">
        <v>270</v>
      </c>
      <c r="D32" s="146">
        <v>1</v>
      </c>
      <c r="E32" s="160" t="s">
        <v>314</v>
      </c>
      <c r="F32" s="147" t="s">
        <v>52</v>
      </c>
      <c r="G32" s="148" t="s">
        <v>297</v>
      </c>
      <c r="H32" s="158" t="s">
        <v>298</v>
      </c>
      <c r="I32" s="147" t="s">
        <v>315</v>
      </c>
      <c r="J32" s="149"/>
      <c r="K32" s="150" t="s">
        <v>38</v>
      </c>
      <c r="L32" s="162" t="s">
        <v>252</v>
      </c>
      <c r="M32" s="147" t="s">
        <v>316</v>
      </c>
      <c r="N32" s="147"/>
    </row>
    <row r="33" spans="1:14" ht="25.5">
      <c r="A33" s="205"/>
      <c r="B33" s="205"/>
      <c r="C33" s="205"/>
      <c r="D33" s="146">
        <v>2</v>
      </c>
      <c r="E33" s="160" t="s">
        <v>332</v>
      </c>
      <c r="F33" s="147" t="s">
        <v>52</v>
      </c>
      <c r="G33" s="148" t="s">
        <v>251</v>
      </c>
      <c r="H33" s="158" t="s">
        <v>298</v>
      </c>
      <c r="I33" s="152" t="s">
        <v>318</v>
      </c>
      <c r="J33" s="149"/>
      <c r="K33" s="150"/>
      <c r="L33" s="162" t="s">
        <v>252</v>
      </c>
      <c r="M33" s="152" t="s">
        <v>319</v>
      </c>
      <c r="N33" s="147"/>
    </row>
    <row r="34" spans="1:14" ht="25.5">
      <c r="A34" s="206"/>
      <c r="B34" s="206"/>
      <c r="C34" s="206"/>
      <c r="D34" s="146">
        <v>3</v>
      </c>
      <c r="E34" s="160" t="s">
        <v>363</v>
      </c>
      <c r="F34" s="152" t="s">
        <v>52</v>
      </c>
      <c r="G34" s="152" t="s">
        <v>251</v>
      </c>
      <c r="H34" s="158" t="s">
        <v>298</v>
      </c>
      <c r="I34" s="152" t="s">
        <v>381</v>
      </c>
      <c r="J34" s="153"/>
      <c r="K34" s="154"/>
      <c r="L34" s="162" t="s">
        <v>322</v>
      </c>
      <c r="M34" s="152" t="s">
        <v>323</v>
      </c>
      <c r="N34" s="147" t="s">
        <v>377</v>
      </c>
    </row>
    <row r="35" spans="1:14" ht="38.25">
      <c r="A35" s="202" t="s">
        <v>255</v>
      </c>
      <c r="B35" s="203" t="s">
        <v>259</v>
      </c>
      <c r="C35" s="203" t="s">
        <v>271</v>
      </c>
      <c r="D35" s="146">
        <v>1</v>
      </c>
      <c r="E35" s="160" t="s">
        <v>314</v>
      </c>
      <c r="F35" s="147" t="s">
        <v>52</v>
      </c>
      <c r="G35" s="148" t="s">
        <v>297</v>
      </c>
      <c r="H35" s="158" t="s">
        <v>298</v>
      </c>
      <c r="I35" s="147" t="s">
        <v>315</v>
      </c>
      <c r="J35" s="149"/>
      <c r="K35" s="150" t="s">
        <v>38</v>
      </c>
      <c r="L35" s="162" t="s">
        <v>252</v>
      </c>
      <c r="M35" s="147"/>
      <c r="N35" s="147"/>
    </row>
    <row r="36" spans="1:14" ht="38.25">
      <c r="A36" s="203"/>
      <c r="B36" s="203"/>
      <c r="C36" s="203"/>
      <c r="D36" s="146">
        <v>2</v>
      </c>
      <c r="E36" s="160" t="s">
        <v>382</v>
      </c>
      <c r="F36" s="147" t="s">
        <v>52</v>
      </c>
      <c r="G36" s="161" t="s">
        <v>251</v>
      </c>
      <c r="H36" s="158" t="s">
        <v>298</v>
      </c>
      <c r="I36" s="152" t="s">
        <v>388</v>
      </c>
      <c r="J36" s="149"/>
      <c r="K36" s="150"/>
      <c r="L36" s="162" t="s">
        <v>322</v>
      </c>
      <c r="M36" s="152" t="s">
        <v>389</v>
      </c>
      <c r="N36" s="147" t="s">
        <v>384</v>
      </c>
    </row>
    <row r="37" spans="1:14" ht="38.25">
      <c r="A37" s="202" t="s">
        <v>255</v>
      </c>
      <c r="B37" s="203" t="s">
        <v>259</v>
      </c>
      <c r="C37" s="203" t="s">
        <v>272</v>
      </c>
      <c r="D37" s="146">
        <v>1</v>
      </c>
      <c r="E37" s="160" t="s">
        <v>314</v>
      </c>
      <c r="F37" s="147" t="s">
        <v>52</v>
      </c>
      <c r="G37" s="148" t="s">
        <v>297</v>
      </c>
      <c r="H37" s="158" t="s">
        <v>298</v>
      </c>
      <c r="I37" s="147" t="s">
        <v>315</v>
      </c>
      <c r="J37" s="149"/>
      <c r="K37" s="150" t="s">
        <v>38</v>
      </c>
      <c r="L37" s="162" t="s">
        <v>252</v>
      </c>
      <c r="M37" s="147"/>
      <c r="N37" s="147"/>
    </row>
    <row r="38" spans="1:14" ht="38.25">
      <c r="A38" s="203"/>
      <c r="B38" s="203"/>
      <c r="C38" s="203"/>
      <c r="D38" s="146">
        <v>2</v>
      </c>
      <c r="E38" s="160" t="s">
        <v>382</v>
      </c>
      <c r="F38" s="147" t="s">
        <v>52</v>
      </c>
      <c r="G38" s="161" t="s">
        <v>251</v>
      </c>
      <c r="H38" s="158" t="s">
        <v>298</v>
      </c>
      <c r="I38" s="152" t="s">
        <v>388</v>
      </c>
      <c r="J38" s="149"/>
      <c r="K38" s="150"/>
      <c r="L38" s="162" t="s">
        <v>322</v>
      </c>
      <c r="M38" s="152" t="s">
        <v>389</v>
      </c>
      <c r="N38" s="147" t="s">
        <v>384</v>
      </c>
    </row>
    <row r="39" spans="1:14" ht="38.25">
      <c r="A39" s="202" t="s">
        <v>255</v>
      </c>
      <c r="B39" s="203" t="s">
        <v>259</v>
      </c>
      <c r="C39" s="203" t="s">
        <v>273</v>
      </c>
      <c r="D39" s="146">
        <v>1</v>
      </c>
      <c r="E39" s="160" t="s">
        <v>314</v>
      </c>
      <c r="F39" s="147" t="s">
        <v>52</v>
      </c>
      <c r="G39" s="148" t="s">
        <v>297</v>
      </c>
      <c r="H39" s="158" t="s">
        <v>298</v>
      </c>
      <c r="I39" s="147" t="s">
        <v>315</v>
      </c>
      <c r="J39" s="149"/>
      <c r="K39" s="150" t="s">
        <v>38</v>
      </c>
      <c r="L39" s="162" t="s">
        <v>252</v>
      </c>
      <c r="M39" s="147"/>
      <c r="N39" s="147"/>
    </row>
    <row r="40" spans="1:14" ht="25.5">
      <c r="A40" s="203"/>
      <c r="B40" s="203"/>
      <c r="C40" s="203"/>
      <c r="D40" s="146">
        <v>2</v>
      </c>
      <c r="E40" s="160" t="s">
        <v>390</v>
      </c>
      <c r="F40" s="147" t="s">
        <v>52</v>
      </c>
      <c r="G40" s="161" t="s">
        <v>251</v>
      </c>
      <c r="H40" s="158" t="s">
        <v>298</v>
      </c>
      <c r="I40" s="152" t="s">
        <v>388</v>
      </c>
      <c r="J40" s="149"/>
      <c r="K40" s="150"/>
      <c r="L40" s="162" t="s">
        <v>252</v>
      </c>
      <c r="M40" s="152" t="s">
        <v>391</v>
      </c>
      <c r="N40" s="147"/>
    </row>
    <row r="41" spans="1:14" ht="38.25">
      <c r="A41" s="202" t="s">
        <v>255</v>
      </c>
      <c r="B41" s="203" t="s">
        <v>259</v>
      </c>
      <c r="C41" s="203" t="s">
        <v>274</v>
      </c>
      <c r="D41" s="146">
        <v>1</v>
      </c>
      <c r="E41" s="160" t="s">
        <v>314</v>
      </c>
      <c r="F41" s="147" t="s">
        <v>52</v>
      </c>
      <c r="G41" s="148" t="s">
        <v>297</v>
      </c>
      <c r="H41" s="158" t="s">
        <v>298</v>
      </c>
      <c r="I41" s="147" t="s">
        <v>315</v>
      </c>
      <c r="J41" s="149"/>
      <c r="K41" s="150" t="s">
        <v>38</v>
      </c>
      <c r="L41" s="162" t="s">
        <v>252</v>
      </c>
      <c r="M41" s="147"/>
      <c r="N41" s="147"/>
    </row>
    <row r="42" spans="1:14" ht="25.5">
      <c r="A42" s="203"/>
      <c r="B42" s="203"/>
      <c r="C42" s="203"/>
      <c r="D42" s="146">
        <v>2</v>
      </c>
      <c r="E42" s="160" t="s">
        <v>392</v>
      </c>
      <c r="F42" s="147" t="s">
        <v>52</v>
      </c>
      <c r="G42" s="161" t="s">
        <v>251</v>
      </c>
      <c r="H42" s="158" t="s">
        <v>298</v>
      </c>
      <c r="I42" s="152" t="s">
        <v>388</v>
      </c>
      <c r="J42" s="149"/>
      <c r="K42" s="150"/>
      <c r="L42" s="162" t="s">
        <v>252</v>
      </c>
      <c r="M42" s="152" t="s">
        <v>391</v>
      </c>
      <c r="N42" s="147"/>
    </row>
    <row r="43" spans="1:14" ht="38.25">
      <c r="A43" s="202" t="s">
        <v>255</v>
      </c>
      <c r="B43" s="203" t="s">
        <v>259</v>
      </c>
      <c r="C43" s="203" t="s">
        <v>275</v>
      </c>
      <c r="D43" s="146">
        <v>1</v>
      </c>
      <c r="E43" s="160" t="s">
        <v>314</v>
      </c>
      <c r="F43" s="147" t="s">
        <v>52</v>
      </c>
      <c r="G43" s="148" t="s">
        <v>297</v>
      </c>
      <c r="H43" s="158" t="s">
        <v>298</v>
      </c>
      <c r="I43" s="147" t="s">
        <v>315</v>
      </c>
      <c r="J43" s="149"/>
      <c r="K43" s="150" t="s">
        <v>38</v>
      </c>
      <c r="L43" s="162" t="s">
        <v>252</v>
      </c>
      <c r="M43" s="147"/>
      <c r="N43" s="147"/>
    </row>
    <row r="44" spans="1:14" ht="38.25">
      <c r="A44" s="203"/>
      <c r="B44" s="203"/>
      <c r="C44" s="203"/>
      <c r="D44" s="146">
        <v>2</v>
      </c>
      <c r="E44" s="160" t="s">
        <v>393</v>
      </c>
      <c r="F44" s="147" t="s">
        <v>52</v>
      </c>
      <c r="G44" s="161" t="s">
        <v>251</v>
      </c>
      <c r="H44" s="158" t="s">
        <v>298</v>
      </c>
      <c r="I44" s="152" t="s">
        <v>394</v>
      </c>
      <c r="J44" s="149"/>
      <c r="K44" s="150"/>
      <c r="L44" s="162" t="s">
        <v>322</v>
      </c>
      <c r="M44" s="152" t="s">
        <v>395</v>
      </c>
      <c r="N44" s="147" t="s">
        <v>398</v>
      </c>
    </row>
    <row r="45" spans="1:14" ht="38.25">
      <c r="A45" s="202" t="s">
        <v>255</v>
      </c>
      <c r="B45" s="203" t="s">
        <v>259</v>
      </c>
      <c r="C45" s="203" t="s">
        <v>276</v>
      </c>
      <c r="D45" s="146">
        <v>1</v>
      </c>
      <c r="E45" s="160" t="s">
        <v>314</v>
      </c>
      <c r="F45" s="147" t="s">
        <v>52</v>
      </c>
      <c r="G45" s="148" t="s">
        <v>297</v>
      </c>
      <c r="H45" s="158" t="s">
        <v>298</v>
      </c>
      <c r="I45" s="147" t="s">
        <v>315</v>
      </c>
      <c r="J45" s="149"/>
      <c r="K45" s="150" t="s">
        <v>38</v>
      </c>
      <c r="L45" s="162" t="s">
        <v>252</v>
      </c>
      <c r="M45" s="147"/>
      <c r="N45" s="147"/>
    </row>
    <row r="46" spans="1:14" ht="38.25">
      <c r="A46" s="203"/>
      <c r="B46" s="203"/>
      <c r="C46" s="203"/>
      <c r="D46" s="146">
        <v>2</v>
      </c>
      <c r="E46" s="167" t="s">
        <v>401</v>
      </c>
      <c r="F46" s="147" t="s">
        <v>52</v>
      </c>
      <c r="G46" s="161" t="s">
        <v>251</v>
      </c>
      <c r="H46" s="158" t="s">
        <v>298</v>
      </c>
      <c r="I46" s="152" t="s">
        <v>402</v>
      </c>
      <c r="J46" s="149"/>
      <c r="K46" s="150"/>
      <c r="L46" s="162" t="s">
        <v>322</v>
      </c>
      <c r="M46" s="152" t="s">
        <v>389</v>
      </c>
      <c r="N46" s="147" t="s">
        <v>403</v>
      </c>
    </row>
    <row r="47" spans="1:14" ht="38.25">
      <c r="A47" s="202" t="s">
        <v>255</v>
      </c>
      <c r="B47" s="203" t="s">
        <v>259</v>
      </c>
      <c r="C47" s="203" t="s">
        <v>277</v>
      </c>
      <c r="D47" s="146">
        <v>1</v>
      </c>
      <c r="E47" s="160" t="s">
        <v>314</v>
      </c>
      <c r="F47" s="147" t="s">
        <v>52</v>
      </c>
      <c r="G47" s="148" t="s">
        <v>297</v>
      </c>
      <c r="H47" s="158" t="s">
        <v>298</v>
      </c>
      <c r="I47" s="147" t="s">
        <v>315</v>
      </c>
      <c r="J47" s="149"/>
      <c r="K47" s="150" t="s">
        <v>38</v>
      </c>
      <c r="L47" s="162" t="s">
        <v>252</v>
      </c>
      <c r="M47" s="147"/>
      <c r="N47" s="147"/>
    </row>
    <row r="48" spans="1:14" ht="25.5">
      <c r="A48" s="203"/>
      <c r="B48" s="203"/>
      <c r="C48" s="203"/>
      <c r="D48" s="146">
        <v>2</v>
      </c>
      <c r="E48" s="167" t="s">
        <v>405</v>
      </c>
      <c r="F48" s="147" t="s">
        <v>52</v>
      </c>
      <c r="G48" s="161" t="s">
        <v>251</v>
      </c>
      <c r="H48" s="158" t="s">
        <v>298</v>
      </c>
      <c r="I48" s="152" t="s">
        <v>402</v>
      </c>
      <c r="J48" s="149"/>
      <c r="K48" s="150"/>
      <c r="L48" s="162" t="s">
        <v>322</v>
      </c>
      <c r="M48" s="152" t="s">
        <v>389</v>
      </c>
      <c r="N48" s="147" t="s">
        <v>409</v>
      </c>
    </row>
    <row r="49" spans="1:14" ht="38.25">
      <c r="A49" s="202" t="s">
        <v>255</v>
      </c>
      <c r="B49" s="203" t="s">
        <v>259</v>
      </c>
      <c r="C49" s="203" t="s">
        <v>278</v>
      </c>
      <c r="D49" s="146">
        <v>1</v>
      </c>
      <c r="E49" s="160" t="s">
        <v>314</v>
      </c>
      <c r="F49" s="147" t="s">
        <v>52</v>
      </c>
      <c r="G49" s="148" t="s">
        <v>297</v>
      </c>
      <c r="H49" s="158" t="s">
        <v>298</v>
      </c>
      <c r="I49" s="147" t="s">
        <v>315</v>
      </c>
      <c r="J49" s="149"/>
      <c r="K49" s="150" t="s">
        <v>38</v>
      </c>
      <c r="L49" s="162" t="s">
        <v>252</v>
      </c>
      <c r="M49" s="147"/>
      <c r="N49" s="147"/>
    </row>
    <row r="50" spans="1:14" ht="25.5">
      <c r="A50" s="203"/>
      <c r="B50" s="203"/>
      <c r="C50" s="203"/>
      <c r="D50" s="146">
        <v>2</v>
      </c>
      <c r="E50" s="167" t="s">
        <v>410</v>
      </c>
      <c r="F50" s="147" t="s">
        <v>52</v>
      </c>
      <c r="G50" s="161" t="s">
        <v>251</v>
      </c>
      <c r="H50" s="158" t="s">
        <v>298</v>
      </c>
      <c r="I50" s="152" t="s">
        <v>411</v>
      </c>
      <c r="J50" s="149"/>
      <c r="K50" s="150"/>
      <c r="L50" s="162" t="s">
        <v>252</v>
      </c>
      <c r="M50" s="152" t="s">
        <v>412</v>
      </c>
      <c r="N50" s="147"/>
    </row>
    <row r="51" spans="1:14" ht="38.25">
      <c r="A51" s="202" t="s">
        <v>255</v>
      </c>
      <c r="B51" s="203" t="s">
        <v>259</v>
      </c>
      <c r="C51" s="203" t="s">
        <v>279</v>
      </c>
      <c r="D51" s="146">
        <v>1</v>
      </c>
      <c r="E51" s="160" t="s">
        <v>314</v>
      </c>
      <c r="F51" s="147" t="s">
        <v>52</v>
      </c>
      <c r="G51" s="148" t="s">
        <v>297</v>
      </c>
      <c r="H51" s="158" t="s">
        <v>298</v>
      </c>
      <c r="I51" s="147" t="s">
        <v>315</v>
      </c>
      <c r="J51" s="149"/>
      <c r="K51" s="150" t="s">
        <v>38</v>
      </c>
      <c r="L51" s="162" t="s">
        <v>252</v>
      </c>
      <c r="M51" s="147"/>
      <c r="N51" s="147"/>
    </row>
    <row r="52" spans="1:14" ht="25.5">
      <c r="A52" s="203"/>
      <c r="B52" s="203"/>
      <c r="C52" s="203"/>
      <c r="D52" s="146">
        <v>2</v>
      </c>
      <c r="E52" s="167" t="s">
        <v>414</v>
      </c>
      <c r="F52" s="147" t="s">
        <v>52</v>
      </c>
      <c r="G52" s="161" t="s">
        <v>251</v>
      </c>
      <c r="H52" s="158" t="s">
        <v>298</v>
      </c>
      <c r="I52" s="152" t="s">
        <v>415</v>
      </c>
      <c r="J52" s="149"/>
      <c r="K52" s="150"/>
      <c r="L52" s="162" t="s">
        <v>322</v>
      </c>
      <c r="M52" s="152" t="s">
        <v>416</v>
      </c>
      <c r="N52" s="147"/>
    </row>
  </sheetData>
  <dataConsolidate/>
  <mergeCells count="55">
    <mergeCell ref="A20:A22"/>
    <mergeCell ref="B20:B22"/>
    <mergeCell ref="C20:C22"/>
    <mergeCell ref="A17:A19"/>
    <mergeCell ref="B17:B19"/>
    <mergeCell ref="C17:C19"/>
    <mergeCell ref="A14:A16"/>
    <mergeCell ref="B14:B16"/>
    <mergeCell ref="C14:C16"/>
    <mergeCell ref="C1:G1"/>
    <mergeCell ref="A7:A10"/>
    <mergeCell ref="B7:B10"/>
    <mergeCell ref="C7:C10"/>
    <mergeCell ref="A11:A13"/>
    <mergeCell ref="B11:B13"/>
    <mergeCell ref="C11:C13"/>
    <mergeCell ref="A23:A25"/>
    <mergeCell ref="B23:B25"/>
    <mergeCell ref="C23:C25"/>
    <mergeCell ref="A26:A28"/>
    <mergeCell ref="B26:B28"/>
    <mergeCell ref="C26:C28"/>
    <mergeCell ref="A29:A31"/>
    <mergeCell ref="A32:A34"/>
    <mergeCell ref="A35:A36"/>
    <mergeCell ref="B29:B31"/>
    <mergeCell ref="C29:C31"/>
    <mergeCell ref="B32:B34"/>
    <mergeCell ref="C32:C34"/>
    <mergeCell ref="B35:B36"/>
    <mergeCell ref="C35:C36"/>
    <mergeCell ref="A37:A38"/>
    <mergeCell ref="B37:B38"/>
    <mergeCell ref="C37:C38"/>
    <mergeCell ref="A39:A40"/>
    <mergeCell ref="B39:B40"/>
    <mergeCell ref="C39:C40"/>
    <mergeCell ref="A41:A42"/>
    <mergeCell ref="B41:B42"/>
    <mergeCell ref="C41:C42"/>
    <mergeCell ref="A43:A44"/>
    <mergeCell ref="B43:B44"/>
    <mergeCell ref="C43:C44"/>
    <mergeCell ref="A45:A46"/>
    <mergeCell ref="B45:B46"/>
    <mergeCell ref="C45:C46"/>
    <mergeCell ref="A47:A48"/>
    <mergeCell ref="B47:B48"/>
    <mergeCell ref="C47:C48"/>
    <mergeCell ref="A49:A50"/>
    <mergeCell ref="B49:B50"/>
    <mergeCell ref="C49:C50"/>
    <mergeCell ref="A51:A52"/>
    <mergeCell ref="B51:B52"/>
    <mergeCell ref="C51:C52"/>
  </mergeCells>
  <conditionalFormatting sqref="L7:L22">
    <cfRule type="cellIs" dxfId="23" priority="55" operator="equal">
      <formula>"Failed"</formula>
    </cfRule>
    <cfRule type="cellIs" dxfId="22" priority="56" operator="equal">
      <formula>"Passed"</formula>
    </cfRule>
  </conditionalFormatting>
  <conditionalFormatting sqref="L23:L28">
    <cfRule type="cellIs" dxfId="21" priority="21" operator="equal">
      <formula>"Failed"</formula>
    </cfRule>
    <cfRule type="cellIs" dxfId="20" priority="22" operator="equal">
      <formula>"Passed"</formula>
    </cfRule>
  </conditionalFormatting>
  <conditionalFormatting sqref="L32:L36">
    <cfRule type="cellIs" dxfId="19" priority="17" operator="equal">
      <formula>"Failed"</formula>
    </cfRule>
    <cfRule type="cellIs" dxfId="18" priority="18" operator="equal">
      <formula>"Passed"</formula>
    </cfRule>
  </conditionalFormatting>
  <conditionalFormatting sqref="L29:L31">
    <cfRule type="cellIs" dxfId="17" priority="19" operator="equal">
      <formula>"Failed"</formula>
    </cfRule>
    <cfRule type="cellIs" dxfId="16" priority="20" operator="equal">
      <formula>"Passed"</formula>
    </cfRule>
  </conditionalFormatting>
  <conditionalFormatting sqref="L37:L38">
    <cfRule type="cellIs" dxfId="15" priority="15" operator="equal">
      <formula>"Failed"</formula>
    </cfRule>
    <cfRule type="cellIs" dxfId="14" priority="16" operator="equal">
      <formula>"Passed"</formula>
    </cfRule>
  </conditionalFormatting>
  <conditionalFormatting sqref="L39:L40">
    <cfRule type="cellIs" dxfId="13" priority="13" operator="equal">
      <formula>"Failed"</formula>
    </cfRule>
    <cfRule type="cellIs" dxfId="12" priority="14" operator="equal">
      <formula>"Passed"</formula>
    </cfRule>
  </conditionalFormatting>
  <conditionalFormatting sqref="L41:L42">
    <cfRule type="cellIs" dxfId="11" priority="11" operator="equal">
      <formula>"Failed"</formula>
    </cfRule>
    <cfRule type="cellIs" dxfId="10" priority="12" operator="equal">
      <formula>"Passed"</formula>
    </cfRule>
  </conditionalFormatting>
  <conditionalFormatting sqref="L43:L44">
    <cfRule type="cellIs" dxfId="9" priority="9" operator="equal">
      <formula>"Failed"</formula>
    </cfRule>
    <cfRule type="cellIs" dxfId="8" priority="10" operator="equal">
      <formula>"Passed"</formula>
    </cfRule>
  </conditionalFormatting>
  <conditionalFormatting sqref="L45:L46">
    <cfRule type="cellIs" dxfId="7" priority="7" operator="equal">
      <formula>"Failed"</formula>
    </cfRule>
    <cfRule type="cellIs" dxfId="6" priority="8" operator="equal">
      <formula>"Passed"</formula>
    </cfRule>
  </conditionalFormatting>
  <conditionalFormatting sqref="L47:L48">
    <cfRule type="cellIs" dxfId="5" priority="5" operator="equal">
      <formula>"Failed"</formula>
    </cfRule>
    <cfRule type="cellIs" dxfId="4" priority="6" operator="equal">
      <formula>"Passed"</formula>
    </cfRule>
  </conditionalFormatting>
  <conditionalFormatting sqref="L49:L50">
    <cfRule type="cellIs" dxfId="3" priority="3" operator="equal">
      <formula>"Failed"</formula>
    </cfRule>
    <cfRule type="cellIs" dxfId="2" priority="4" operator="equal">
      <formula>"Passed"</formula>
    </cfRule>
  </conditionalFormatting>
  <conditionalFormatting sqref="L51:L52">
    <cfRule type="cellIs" dxfId="1" priority="1" operator="equal">
      <formula>"Failed"</formula>
    </cfRule>
    <cfRule type="cellIs" dxfId="0" priority="2" operator="equal">
      <formula>"Passed"</formula>
    </cfRule>
  </conditionalFormatting>
  <dataValidations count="2">
    <dataValidation type="list" allowBlank="1" showInputMessage="1" showErrorMessage="1" sqref="K20 K11 K7 K14 K17 K26 K23 K29 K35 K32 K37 K39 K41 K43 K45 K47 K49 K51" xr:uid="{00000000-0002-0000-0200-000000000000}">
      <formula1>lst_Status</formula1>
    </dataValidation>
    <dataValidation type="list" allowBlank="1" showInputMessage="1" showErrorMessage="1" sqref="L7:L52" xr:uid="{00000000-0002-0000-0200-000001000000}">
      <formula1>lst_PassFail</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E600"/>
  <sheetViews>
    <sheetView topLeftCell="A547" workbookViewId="0">
      <selection activeCell="E1" sqref="E1"/>
    </sheetView>
  </sheetViews>
  <sheetFormatPr defaultRowHeight="12.75"/>
  <cols>
    <col min="1" max="1" width="18.140625" style="91" customWidth="1"/>
    <col min="2" max="2" width="45.85546875" style="91" customWidth="1"/>
    <col min="3" max="16384" width="9.140625" style="91"/>
  </cols>
  <sheetData>
    <row r="1" spans="1:5">
      <c r="A1" s="103" t="s">
        <v>266</v>
      </c>
      <c r="B1" s="103" t="s">
        <v>301</v>
      </c>
      <c r="E1" s="91" t="s">
        <v>373</v>
      </c>
    </row>
    <row r="2" spans="1:5">
      <c r="A2" s="108"/>
      <c r="B2" s="108"/>
    </row>
    <row r="3" spans="1:5">
      <c r="A3" s="91" t="s">
        <v>329</v>
      </c>
    </row>
    <row r="17" spans="1:1">
      <c r="A17" s="91" t="s">
        <v>330</v>
      </c>
    </row>
    <row r="41" spans="1:1">
      <c r="A41" s="91" t="s">
        <v>331</v>
      </c>
    </row>
    <row r="69" spans="1:4">
      <c r="A69" s="103" t="s">
        <v>261</v>
      </c>
      <c r="B69" s="103" t="s">
        <v>301</v>
      </c>
      <c r="D69" s="91" t="s">
        <v>373</v>
      </c>
    </row>
    <row r="71" spans="1:4">
      <c r="A71" s="91" t="s">
        <v>335</v>
      </c>
    </row>
    <row r="97" spans="1:2">
      <c r="A97" s="163"/>
      <c r="B97" s="163"/>
    </row>
    <row r="104" spans="1:2">
      <c r="A104" s="91" t="s">
        <v>334</v>
      </c>
    </row>
    <row r="130" spans="1:1">
      <c r="A130" s="109"/>
    </row>
    <row r="138" spans="1:1">
      <c r="A138" s="91" t="s">
        <v>336</v>
      </c>
    </row>
    <row r="152" spans="1:4">
      <c r="A152" s="103" t="s">
        <v>262</v>
      </c>
      <c r="B152" s="103" t="s">
        <v>301</v>
      </c>
      <c r="D152" s="91" t="s">
        <v>373</v>
      </c>
    </row>
    <row r="154" spans="1:4">
      <c r="A154" s="91" t="s">
        <v>344</v>
      </c>
    </row>
    <row r="207" spans="1:1">
      <c r="A207" s="91" t="s">
        <v>343</v>
      </c>
    </row>
    <row r="226" spans="1:4">
      <c r="A226" s="103" t="s">
        <v>263</v>
      </c>
      <c r="B226" s="103" t="s">
        <v>302</v>
      </c>
      <c r="D226" s="91" t="s">
        <v>373</v>
      </c>
    </row>
    <row r="258" spans="1:4">
      <c r="A258" s="103" t="s">
        <v>264</v>
      </c>
      <c r="B258" s="103" t="s">
        <v>304</v>
      </c>
      <c r="D258" s="91" t="s">
        <v>373</v>
      </c>
    </row>
    <row r="285" spans="1:4">
      <c r="A285" s="103" t="s">
        <v>267</v>
      </c>
      <c r="B285" s="103" t="s">
        <v>356</v>
      </c>
      <c r="D285" s="91" t="s">
        <v>372</v>
      </c>
    </row>
    <row r="316" spans="1:4">
      <c r="A316" s="103" t="s">
        <v>268</v>
      </c>
      <c r="B316" s="103" t="s">
        <v>303</v>
      </c>
      <c r="D316" s="91" t="s">
        <v>373</v>
      </c>
    </row>
    <row r="349" spans="1:4">
      <c r="A349" s="103" t="s">
        <v>269</v>
      </c>
      <c r="B349" s="103" t="s">
        <v>305</v>
      </c>
      <c r="D349" s="91" t="s">
        <v>373</v>
      </c>
    </row>
    <row r="369" spans="1:3">
      <c r="B369"/>
    </row>
    <row r="377" spans="1:3">
      <c r="A377" s="103" t="s">
        <v>270</v>
      </c>
      <c r="B377" s="103" t="s">
        <v>308</v>
      </c>
      <c r="C377" s="91" t="s">
        <v>373</v>
      </c>
    </row>
    <row r="397" spans="2:2">
      <c r="B397"/>
    </row>
    <row r="406" spans="1:5">
      <c r="A406" s="103" t="s">
        <v>271</v>
      </c>
      <c r="B406" s="103" t="s">
        <v>383</v>
      </c>
      <c r="E406" s="91" t="s">
        <v>373</v>
      </c>
    </row>
    <row r="429" spans="1:4">
      <c r="A429" s="103" t="s">
        <v>275</v>
      </c>
      <c r="B429" s="103" t="s">
        <v>396</v>
      </c>
      <c r="D429" s="91" t="s">
        <v>373</v>
      </c>
    </row>
    <row r="459" spans="2:2">
      <c r="B459" s="91" t="s">
        <v>397</v>
      </c>
    </row>
    <row r="476" spans="1:4" ht="25.5">
      <c r="A476" s="166" t="s">
        <v>277</v>
      </c>
      <c r="B476" s="167" t="s">
        <v>405</v>
      </c>
      <c r="D476" s="91" t="s">
        <v>373</v>
      </c>
    </row>
    <row r="478" spans="1:4">
      <c r="B478"/>
    </row>
    <row r="501" spans="2:2">
      <c r="B501" s="91" t="s">
        <v>404</v>
      </c>
    </row>
    <row r="531" spans="2:2">
      <c r="B531" s="91" t="s">
        <v>406</v>
      </c>
    </row>
    <row r="549" spans="1:5" ht="25.5">
      <c r="A549" s="166" t="s">
        <v>278</v>
      </c>
      <c r="B549" s="167" t="s">
        <v>410</v>
      </c>
      <c r="E549" s="91" t="s">
        <v>423</v>
      </c>
    </row>
    <row r="572" spans="2:2">
      <c r="B572" s="91" t="s">
        <v>413</v>
      </c>
    </row>
    <row r="600" spans="2:2">
      <c r="B600"/>
    </row>
  </sheetData>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AA21"/>
  <sheetViews>
    <sheetView zoomScaleNormal="100" workbookViewId="0">
      <pane xSplit="1" topLeftCell="B1" activePane="topRight" state="frozen"/>
      <selection pane="topRight" activeCell="Z20" sqref="Z20"/>
    </sheetView>
  </sheetViews>
  <sheetFormatPr defaultColWidth="22.28515625" defaultRowHeight="12.75"/>
  <cols>
    <col min="1" max="1" width="32.28515625" style="102" bestFit="1" customWidth="1"/>
    <col min="2" max="2" width="18.28515625" style="104" customWidth="1"/>
    <col min="3" max="3" width="28.85546875" style="105" customWidth="1"/>
    <col min="4" max="4" width="18.28515625" style="111" customWidth="1"/>
    <col min="5" max="5" width="37.42578125" style="105" customWidth="1"/>
    <col min="6" max="6" width="16.85546875" style="105" bestFit="1" customWidth="1"/>
    <col min="7" max="7" width="18" style="111" bestFit="1" customWidth="1"/>
    <col min="8" max="8" width="40.5703125" style="105" bestFit="1" customWidth="1"/>
    <col min="9" max="9" width="16.42578125" style="105" bestFit="1" customWidth="1"/>
    <col min="10" max="10" width="10.140625" style="105" bestFit="1" customWidth="1"/>
    <col min="11" max="11" width="15" style="105" bestFit="1" customWidth="1"/>
    <col min="12" max="12" width="9.28515625" style="104" bestFit="1" customWidth="1"/>
    <col min="13" max="13" width="18.28515625" style="105" bestFit="1" customWidth="1"/>
    <col min="14" max="14" width="10.42578125" style="106" bestFit="1" customWidth="1"/>
    <col min="15" max="17" width="5" style="107" bestFit="1" customWidth="1"/>
    <col min="18" max="18" width="9.42578125" style="106" bestFit="1" customWidth="1"/>
    <col min="19" max="19" width="31.140625" style="106" bestFit="1" customWidth="1"/>
    <col min="20" max="20" width="43.140625" style="105" bestFit="1" customWidth="1"/>
    <col min="21" max="21" width="18.42578125" style="105" bestFit="1" customWidth="1"/>
    <col min="22" max="22" width="13.42578125" style="102" bestFit="1" customWidth="1"/>
    <col min="23" max="23" width="12.7109375" style="102" bestFit="1" customWidth="1"/>
    <col min="24" max="24" width="12" style="102" bestFit="1" customWidth="1"/>
    <col min="25" max="25" width="11.42578125" style="102" bestFit="1" customWidth="1"/>
    <col min="26" max="26" width="24.85546875" style="102" bestFit="1" customWidth="1"/>
    <col min="27" max="27" width="62.140625" style="105" bestFit="1" customWidth="1"/>
    <col min="28" max="16384" width="22.28515625" style="102"/>
  </cols>
  <sheetData>
    <row r="1" spans="1:27" s="92" customFormat="1">
      <c r="A1" s="218" t="s">
        <v>60</v>
      </c>
      <c r="B1" s="212" t="s">
        <v>62</v>
      </c>
      <c r="C1" s="212" t="s">
        <v>61</v>
      </c>
      <c r="D1" s="221" t="s">
        <v>108</v>
      </c>
      <c r="E1" s="212" t="s">
        <v>41</v>
      </c>
      <c r="F1" s="212" t="s">
        <v>63</v>
      </c>
      <c r="G1" s="224" t="s">
        <v>64</v>
      </c>
      <c r="H1" s="215" t="s">
        <v>65</v>
      </c>
      <c r="I1" s="215" t="s">
        <v>66</v>
      </c>
      <c r="J1" s="212" t="s">
        <v>67</v>
      </c>
      <c r="K1" s="212" t="s">
        <v>68</v>
      </c>
      <c r="L1" s="212" t="s">
        <v>69</v>
      </c>
      <c r="M1" s="212" t="s">
        <v>70</v>
      </c>
      <c r="N1" s="212" t="s">
        <v>83</v>
      </c>
      <c r="O1" s="212" t="s">
        <v>110</v>
      </c>
      <c r="P1" s="212" t="s">
        <v>71</v>
      </c>
      <c r="Q1" s="212" t="s">
        <v>72</v>
      </c>
      <c r="R1" s="212" t="s">
        <v>73</v>
      </c>
      <c r="S1" s="212" t="s">
        <v>74</v>
      </c>
      <c r="T1" s="211" t="s">
        <v>75</v>
      </c>
      <c r="U1" s="215" t="s">
        <v>76</v>
      </c>
      <c r="V1" s="211" t="s">
        <v>77</v>
      </c>
      <c r="W1" s="211" t="s">
        <v>78</v>
      </c>
      <c r="X1" s="211" t="s">
        <v>79</v>
      </c>
      <c r="Y1" s="211" t="s">
        <v>80</v>
      </c>
      <c r="Z1" s="211" t="s">
        <v>104</v>
      </c>
      <c r="AA1" s="211" t="s">
        <v>0</v>
      </c>
    </row>
    <row r="2" spans="1:27" s="92" customFormat="1">
      <c r="A2" s="219"/>
      <c r="B2" s="213"/>
      <c r="C2" s="213"/>
      <c r="D2" s="222"/>
      <c r="E2" s="213"/>
      <c r="F2" s="213"/>
      <c r="G2" s="224"/>
      <c r="H2" s="215"/>
      <c r="I2" s="216"/>
      <c r="J2" s="213"/>
      <c r="K2" s="213"/>
      <c r="L2" s="213"/>
      <c r="M2" s="213"/>
      <c r="N2" s="213"/>
      <c r="O2" s="213"/>
      <c r="P2" s="213"/>
      <c r="Q2" s="213"/>
      <c r="R2" s="213"/>
      <c r="S2" s="213"/>
      <c r="T2" s="211"/>
      <c r="U2" s="216"/>
      <c r="V2" s="211"/>
      <c r="W2" s="211"/>
      <c r="X2" s="211"/>
      <c r="Y2" s="211"/>
      <c r="Z2" s="211"/>
      <c r="AA2" s="211"/>
    </row>
    <row r="3" spans="1:27" s="92" customFormat="1">
      <c r="A3" s="220"/>
      <c r="B3" s="214"/>
      <c r="C3" s="214"/>
      <c r="D3" s="223"/>
      <c r="E3" s="214"/>
      <c r="F3" s="214"/>
      <c r="G3" s="224"/>
      <c r="H3" s="215"/>
      <c r="I3" s="217"/>
      <c r="J3" s="214"/>
      <c r="K3" s="214"/>
      <c r="L3" s="214"/>
      <c r="M3" s="214"/>
      <c r="N3" s="214"/>
      <c r="O3" s="214"/>
      <c r="P3" s="214"/>
      <c r="Q3" s="214"/>
      <c r="R3" s="214"/>
      <c r="S3" s="214"/>
      <c r="T3" s="211"/>
      <c r="U3" s="217"/>
      <c r="V3" s="211"/>
      <c r="W3" s="211"/>
      <c r="X3" s="211"/>
      <c r="Y3" s="211"/>
      <c r="Z3" s="211"/>
      <c r="AA3" s="211"/>
    </row>
    <row r="4" spans="1:27" ht="38.25">
      <c r="A4" s="93" t="s">
        <v>112</v>
      </c>
      <c r="B4" s="94" t="s">
        <v>254</v>
      </c>
      <c r="C4" s="94" t="s">
        <v>255</v>
      </c>
      <c r="D4" s="112" t="s">
        <v>266</v>
      </c>
      <c r="E4" s="94" t="s">
        <v>301</v>
      </c>
      <c r="F4" s="158" t="s">
        <v>298</v>
      </c>
      <c r="G4" s="112" t="s">
        <v>266</v>
      </c>
      <c r="H4" s="110" t="s">
        <v>280</v>
      </c>
      <c r="I4" s="96"/>
      <c r="J4" s="97" t="s">
        <v>90</v>
      </c>
      <c r="K4" s="97"/>
      <c r="L4" s="95" t="s">
        <v>313</v>
      </c>
      <c r="M4" s="97"/>
      <c r="N4" s="98" t="s">
        <v>109</v>
      </c>
      <c r="O4" s="99"/>
      <c r="P4" s="99"/>
      <c r="Q4" s="99"/>
      <c r="R4" s="98" t="s">
        <v>81</v>
      </c>
      <c r="S4" s="98" t="s">
        <v>82</v>
      </c>
      <c r="T4" s="97"/>
      <c r="U4" s="97"/>
      <c r="V4" s="100"/>
      <c r="W4" s="100"/>
      <c r="X4" s="100"/>
      <c r="Y4" s="100"/>
      <c r="Z4" s="101" t="s">
        <v>322</v>
      </c>
      <c r="AA4" s="165"/>
    </row>
    <row r="5" spans="1:27" ht="54" customHeight="1">
      <c r="A5" s="93" t="s">
        <v>112</v>
      </c>
      <c r="B5" s="94" t="s">
        <v>254</v>
      </c>
      <c r="C5" s="94" t="s">
        <v>255</v>
      </c>
      <c r="D5" s="112" t="s">
        <v>261</v>
      </c>
      <c r="E5" s="94" t="s">
        <v>301</v>
      </c>
      <c r="F5" s="158" t="s">
        <v>298</v>
      </c>
      <c r="G5" s="112" t="s">
        <v>261</v>
      </c>
      <c r="H5" s="110" t="s">
        <v>281</v>
      </c>
      <c r="I5" s="96"/>
      <c r="J5" s="97" t="s">
        <v>90</v>
      </c>
      <c r="K5" s="97"/>
      <c r="L5" s="95" t="s">
        <v>313</v>
      </c>
      <c r="M5" s="97"/>
      <c r="N5" s="98" t="s">
        <v>109</v>
      </c>
      <c r="O5" s="99"/>
      <c r="P5" s="99"/>
      <c r="Q5" s="99"/>
      <c r="R5" s="98" t="s">
        <v>81</v>
      </c>
      <c r="S5" s="98" t="s">
        <v>82</v>
      </c>
      <c r="T5" s="97"/>
      <c r="U5" s="97"/>
      <c r="V5" s="100"/>
      <c r="W5" s="100"/>
      <c r="X5" s="100"/>
      <c r="Y5" s="100"/>
      <c r="Z5" s="101" t="s">
        <v>322</v>
      </c>
      <c r="AA5" s="165"/>
    </row>
    <row r="6" spans="1:27" ht="25.5">
      <c r="A6" s="93" t="s">
        <v>112</v>
      </c>
      <c r="B6" s="94" t="s">
        <v>254</v>
      </c>
      <c r="C6" s="94" t="s">
        <v>255</v>
      </c>
      <c r="D6" s="112" t="s">
        <v>262</v>
      </c>
      <c r="E6" s="94" t="s">
        <v>301</v>
      </c>
      <c r="F6" s="158" t="s">
        <v>298</v>
      </c>
      <c r="G6" s="112" t="s">
        <v>262</v>
      </c>
      <c r="H6" s="110" t="s">
        <v>340</v>
      </c>
      <c r="I6" s="96"/>
      <c r="J6" s="97" t="s">
        <v>90</v>
      </c>
      <c r="K6" s="97"/>
      <c r="L6" s="95" t="s">
        <v>313</v>
      </c>
      <c r="M6" s="97"/>
      <c r="N6" s="98" t="s">
        <v>109</v>
      </c>
      <c r="O6" s="99"/>
      <c r="P6" s="99"/>
      <c r="Q6" s="99"/>
      <c r="R6" s="98" t="s">
        <v>81</v>
      </c>
      <c r="S6" s="98" t="s">
        <v>82</v>
      </c>
      <c r="T6" s="97"/>
      <c r="U6" s="97"/>
      <c r="V6" s="100"/>
      <c r="W6" s="100"/>
      <c r="X6" s="100"/>
      <c r="Y6" s="100"/>
      <c r="Z6" s="101" t="s">
        <v>322</v>
      </c>
      <c r="AA6" s="165"/>
    </row>
    <row r="7" spans="1:27" ht="14.25">
      <c r="A7" s="93" t="s">
        <v>112</v>
      </c>
      <c r="B7" s="94" t="s">
        <v>254</v>
      </c>
      <c r="C7" s="94" t="s">
        <v>255</v>
      </c>
      <c r="D7" s="112" t="s">
        <v>263</v>
      </c>
      <c r="E7" s="94" t="s">
        <v>302</v>
      </c>
      <c r="F7" s="158" t="s">
        <v>298</v>
      </c>
      <c r="G7" s="112" t="s">
        <v>263</v>
      </c>
      <c r="H7" s="110" t="s">
        <v>282</v>
      </c>
      <c r="I7" s="96"/>
      <c r="J7" s="97" t="s">
        <v>90</v>
      </c>
      <c r="K7" s="97"/>
      <c r="L7" s="95" t="s">
        <v>313</v>
      </c>
      <c r="M7" s="97"/>
      <c r="N7" s="98" t="s">
        <v>109</v>
      </c>
      <c r="O7" s="99"/>
      <c r="P7" s="99"/>
      <c r="Q7" s="99"/>
      <c r="R7" s="98" t="s">
        <v>81</v>
      </c>
      <c r="S7" s="98" t="s">
        <v>82</v>
      </c>
      <c r="T7" s="97"/>
      <c r="U7" s="97"/>
      <c r="V7" s="100"/>
      <c r="W7" s="100"/>
      <c r="X7" s="100"/>
      <c r="Y7" s="100"/>
      <c r="Z7" s="101" t="s">
        <v>322</v>
      </c>
      <c r="AA7" s="165"/>
    </row>
    <row r="8" spans="1:27" ht="14.25">
      <c r="A8" s="93" t="s">
        <v>112</v>
      </c>
      <c r="B8" s="94" t="s">
        <v>254</v>
      </c>
      <c r="C8" s="94" t="s">
        <v>255</v>
      </c>
      <c r="D8" s="112" t="s">
        <v>264</v>
      </c>
      <c r="E8" s="94" t="s">
        <v>304</v>
      </c>
      <c r="F8" s="158" t="s">
        <v>298</v>
      </c>
      <c r="G8" s="112" t="s">
        <v>264</v>
      </c>
      <c r="H8" s="110" t="s">
        <v>283</v>
      </c>
      <c r="I8" s="96"/>
      <c r="J8" s="97" t="s">
        <v>90</v>
      </c>
      <c r="K8" s="97"/>
      <c r="L8" s="95" t="s">
        <v>313</v>
      </c>
      <c r="M8" s="97"/>
      <c r="N8" s="98" t="s">
        <v>109</v>
      </c>
      <c r="O8" s="99"/>
      <c r="P8" s="99"/>
      <c r="Q8" s="99"/>
      <c r="R8" s="98" t="s">
        <v>81</v>
      </c>
      <c r="S8" s="98" t="s">
        <v>82</v>
      </c>
      <c r="T8" s="97"/>
      <c r="U8" s="97"/>
      <c r="V8" s="100"/>
      <c r="W8" s="100"/>
      <c r="X8" s="100"/>
      <c r="Y8" s="100"/>
      <c r="Z8" s="101" t="s">
        <v>252</v>
      </c>
      <c r="AA8" s="165"/>
    </row>
    <row r="9" spans="1:27" ht="14.25">
      <c r="A9" s="93" t="s">
        <v>112</v>
      </c>
      <c r="B9" s="94" t="s">
        <v>254</v>
      </c>
      <c r="C9" s="94" t="s">
        <v>255</v>
      </c>
      <c r="D9" s="166" t="s">
        <v>267</v>
      </c>
      <c r="E9" s="94" t="s">
        <v>306</v>
      </c>
      <c r="F9" s="158" t="s">
        <v>298</v>
      </c>
      <c r="G9" s="166" t="s">
        <v>267</v>
      </c>
      <c r="H9" s="167" t="s">
        <v>284</v>
      </c>
      <c r="I9" s="167"/>
      <c r="J9" s="97" t="s">
        <v>90</v>
      </c>
      <c r="K9" s="167"/>
      <c r="L9" s="95" t="s">
        <v>313</v>
      </c>
      <c r="M9" s="167"/>
      <c r="N9" s="98" t="s">
        <v>109</v>
      </c>
      <c r="O9" s="168"/>
      <c r="P9" s="168"/>
      <c r="Q9" s="168"/>
      <c r="R9" s="98" t="s">
        <v>81</v>
      </c>
      <c r="S9" s="98" t="s">
        <v>82</v>
      </c>
      <c r="T9" s="167"/>
      <c r="U9" s="167"/>
      <c r="V9" s="169"/>
      <c r="W9" s="169"/>
      <c r="X9" s="169"/>
      <c r="Y9" s="169"/>
      <c r="Z9" s="169" t="s">
        <v>322</v>
      </c>
    </row>
    <row r="10" spans="1:27" ht="14.25">
      <c r="A10" s="93" t="s">
        <v>112</v>
      </c>
      <c r="B10" s="94" t="s">
        <v>254</v>
      </c>
      <c r="C10" s="94" t="s">
        <v>255</v>
      </c>
      <c r="D10" s="166" t="s">
        <v>268</v>
      </c>
      <c r="E10" s="94" t="s">
        <v>307</v>
      </c>
      <c r="F10" s="158" t="s">
        <v>298</v>
      </c>
      <c r="G10" s="166" t="s">
        <v>268</v>
      </c>
      <c r="H10" s="167" t="s">
        <v>285</v>
      </c>
      <c r="I10" s="167"/>
      <c r="J10" s="97" t="s">
        <v>90</v>
      </c>
      <c r="K10" s="167"/>
      <c r="L10" s="95" t="s">
        <v>313</v>
      </c>
      <c r="M10" s="167"/>
      <c r="N10" s="98" t="s">
        <v>109</v>
      </c>
      <c r="O10" s="168"/>
      <c r="P10" s="168"/>
      <c r="Q10" s="168"/>
      <c r="R10" s="98" t="s">
        <v>81</v>
      </c>
      <c r="S10" s="98" t="s">
        <v>82</v>
      </c>
      <c r="T10" s="167"/>
      <c r="U10" s="167"/>
      <c r="V10" s="169"/>
      <c r="W10" s="169"/>
      <c r="X10" s="169"/>
      <c r="Y10" s="169"/>
      <c r="Z10" s="169" t="s">
        <v>322</v>
      </c>
    </row>
    <row r="11" spans="1:27" ht="14.25">
      <c r="A11" s="93" t="s">
        <v>112</v>
      </c>
      <c r="B11" s="94" t="s">
        <v>254</v>
      </c>
      <c r="C11" s="94" t="s">
        <v>255</v>
      </c>
      <c r="D11" s="166" t="s">
        <v>269</v>
      </c>
      <c r="E11" s="94" t="s">
        <v>305</v>
      </c>
      <c r="F11" s="158" t="s">
        <v>298</v>
      </c>
      <c r="G11" s="166" t="s">
        <v>269</v>
      </c>
      <c r="H11" s="167" t="s">
        <v>286</v>
      </c>
      <c r="I11" s="167"/>
      <c r="J11" s="97" t="s">
        <v>90</v>
      </c>
      <c r="K11" s="167"/>
      <c r="L11" s="95" t="s">
        <v>313</v>
      </c>
      <c r="M11" s="167"/>
      <c r="N11" s="98" t="s">
        <v>109</v>
      </c>
      <c r="O11" s="168"/>
      <c r="P11" s="168"/>
      <c r="Q11" s="168"/>
      <c r="R11" s="98" t="s">
        <v>81</v>
      </c>
      <c r="S11" s="98" t="s">
        <v>82</v>
      </c>
      <c r="T11" s="167"/>
      <c r="U11" s="167"/>
      <c r="V11" s="169"/>
      <c r="W11" s="169"/>
      <c r="X11" s="169"/>
      <c r="Y11" s="169"/>
      <c r="Z11" s="169" t="s">
        <v>322</v>
      </c>
    </row>
    <row r="12" spans="1:27" ht="14.25">
      <c r="A12" s="93" t="s">
        <v>112</v>
      </c>
      <c r="B12" s="94" t="s">
        <v>254</v>
      </c>
      <c r="C12" s="94" t="s">
        <v>255</v>
      </c>
      <c r="D12" s="166" t="s">
        <v>270</v>
      </c>
      <c r="E12" s="94" t="s">
        <v>308</v>
      </c>
      <c r="F12" s="158" t="s">
        <v>298</v>
      </c>
      <c r="G12" s="166" t="s">
        <v>270</v>
      </c>
      <c r="H12" s="167" t="s">
        <v>287</v>
      </c>
      <c r="I12" s="167"/>
      <c r="J12" s="97" t="s">
        <v>90</v>
      </c>
      <c r="K12" s="167"/>
      <c r="L12" s="95" t="s">
        <v>313</v>
      </c>
      <c r="M12" s="167"/>
      <c r="N12" s="98" t="s">
        <v>109</v>
      </c>
      <c r="O12" s="168"/>
      <c r="P12" s="168"/>
      <c r="Q12" s="168"/>
      <c r="R12" s="98" t="s">
        <v>81</v>
      </c>
      <c r="S12" s="98" t="s">
        <v>82</v>
      </c>
      <c r="T12" s="167"/>
      <c r="U12" s="167"/>
      <c r="V12" s="169"/>
      <c r="W12" s="169"/>
      <c r="X12" s="169"/>
      <c r="Y12" s="169"/>
      <c r="Z12" s="169" t="s">
        <v>322</v>
      </c>
    </row>
    <row r="13" spans="1:27" ht="25.5">
      <c r="A13" s="93" t="s">
        <v>112</v>
      </c>
      <c r="B13" s="94" t="s">
        <v>254</v>
      </c>
      <c r="C13" s="94" t="s">
        <v>255</v>
      </c>
      <c r="D13" s="166" t="s">
        <v>271</v>
      </c>
      <c r="E13" s="167" t="s">
        <v>309</v>
      </c>
      <c r="F13" s="158" t="s">
        <v>298</v>
      </c>
      <c r="G13" s="166" t="s">
        <v>271</v>
      </c>
      <c r="H13" s="167" t="s">
        <v>288</v>
      </c>
      <c r="I13" s="167"/>
      <c r="J13" s="97" t="s">
        <v>90</v>
      </c>
      <c r="K13" s="167"/>
      <c r="L13" s="95" t="s">
        <v>313</v>
      </c>
      <c r="M13" s="167"/>
      <c r="N13" s="98" t="s">
        <v>109</v>
      </c>
      <c r="O13" s="168"/>
      <c r="P13" s="168"/>
      <c r="Q13" s="168"/>
      <c r="R13" s="98" t="s">
        <v>81</v>
      </c>
      <c r="S13" s="98" t="s">
        <v>82</v>
      </c>
      <c r="T13" s="167"/>
      <c r="U13" s="167"/>
      <c r="V13" s="169"/>
      <c r="W13" s="169"/>
      <c r="X13" s="169"/>
      <c r="Y13" s="169"/>
      <c r="Z13" s="169" t="s">
        <v>322</v>
      </c>
    </row>
    <row r="14" spans="1:27" ht="25.5">
      <c r="A14" s="93" t="s">
        <v>112</v>
      </c>
      <c r="B14" s="94" t="s">
        <v>254</v>
      </c>
      <c r="C14" s="94" t="s">
        <v>255</v>
      </c>
      <c r="D14" s="166" t="s">
        <v>272</v>
      </c>
      <c r="E14" s="167" t="s">
        <v>309</v>
      </c>
      <c r="F14" s="158" t="s">
        <v>298</v>
      </c>
      <c r="G14" s="166" t="s">
        <v>272</v>
      </c>
      <c r="H14" s="167" t="s">
        <v>289</v>
      </c>
      <c r="I14" s="167"/>
      <c r="J14" s="97" t="s">
        <v>90</v>
      </c>
      <c r="K14" s="167"/>
      <c r="L14" s="95" t="s">
        <v>313</v>
      </c>
      <c r="M14" s="167"/>
      <c r="N14" s="98" t="s">
        <v>109</v>
      </c>
      <c r="O14" s="168"/>
      <c r="P14" s="168"/>
      <c r="Q14" s="168"/>
      <c r="R14" s="98" t="s">
        <v>81</v>
      </c>
      <c r="S14" s="98" t="s">
        <v>82</v>
      </c>
      <c r="T14" s="167"/>
      <c r="U14" s="167"/>
      <c r="V14" s="169"/>
      <c r="W14" s="169"/>
      <c r="X14" s="169"/>
      <c r="Y14" s="169"/>
      <c r="Z14" s="169" t="s">
        <v>322</v>
      </c>
    </row>
    <row r="15" spans="1:27" ht="25.5">
      <c r="A15" s="93" t="s">
        <v>112</v>
      </c>
      <c r="B15" s="94" t="s">
        <v>254</v>
      </c>
      <c r="C15" s="94" t="s">
        <v>255</v>
      </c>
      <c r="D15" s="166" t="s">
        <v>273</v>
      </c>
      <c r="E15" s="167" t="s">
        <v>310</v>
      </c>
      <c r="F15" s="158" t="s">
        <v>298</v>
      </c>
      <c r="G15" s="166" t="s">
        <v>273</v>
      </c>
      <c r="H15" s="167" t="s">
        <v>290</v>
      </c>
      <c r="I15" s="167"/>
      <c r="J15" s="97" t="s">
        <v>90</v>
      </c>
      <c r="K15" s="167"/>
      <c r="L15" s="95" t="s">
        <v>313</v>
      </c>
      <c r="M15" s="167"/>
      <c r="N15" s="98" t="s">
        <v>109</v>
      </c>
      <c r="O15" s="168"/>
      <c r="P15" s="168"/>
      <c r="Q15" s="168"/>
      <c r="R15" s="98" t="s">
        <v>81</v>
      </c>
      <c r="S15" s="98" t="s">
        <v>82</v>
      </c>
      <c r="T15" s="167"/>
      <c r="U15" s="167"/>
      <c r="V15" s="169"/>
      <c r="W15" s="169"/>
      <c r="X15" s="169"/>
      <c r="Y15" s="169"/>
      <c r="Z15" s="169" t="s">
        <v>252</v>
      </c>
    </row>
    <row r="16" spans="1:27" ht="25.5">
      <c r="A16" s="93" t="s">
        <v>112</v>
      </c>
      <c r="B16" s="94" t="s">
        <v>254</v>
      </c>
      <c r="C16" s="94" t="s">
        <v>255</v>
      </c>
      <c r="D16" s="166" t="s">
        <v>274</v>
      </c>
      <c r="E16" s="167" t="s">
        <v>310</v>
      </c>
      <c r="F16" s="158" t="s">
        <v>298</v>
      </c>
      <c r="G16" s="166" t="s">
        <v>274</v>
      </c>
      <c r="H16" s="167" t="s">
        <v>291</v>
      </c>
      <c r="I16" s="167"/>
      <c r="J16" s="97" t="s">
        <v>90</v>
      </c>
      <c r="K16" s="167"/>
      <c r="L16" s="95" t="s">
        <v>313</v>
      </c>
      <c r="M16" s="167"/>
      <c r="N16" s="98" t="s">
        <v>109</v>
      </c>
      <c r="O16" s="168"/>
      <c r="P16" s="168"/>
      <c r="Q16" s="168"/>
      <c r="R16" s="98" t="s">
        <v>81</v>
      </c>
      <c r="S16" s="98" t="s">
        <v>82</v>
      </c>
      <c r="T16" s="167"/>
      <c r="U16" s="167"/>
      <c r="V16" s="169"/>
      <c r="W16" s="169"/>
      <c r="X16" s="169"/>
      <c r="Y16" s="169"/>
      <c r="Z16" s="169" t="s">
        <v>252</v>
      </c>
    </row>
    <row r="17" spans="1:26" ht="25.5">
      <c r="A17" s="93" t="s">
        <v>112</v>
      </c>
      <c r="B17" s="94" t="s">
        <v>254</v>
      </c>
      <c r="C17" s="94" t="s">
        <v>255</v>
      </c>
      <c r="D17" s="166" t="s">
        <v>275</v>
      </c>
      <c r="E17" s="167" t="s">
        <v>311</v>
      </c>
      <c r="F17" s="158" t="s">
        <v>298</v>
      </c>
      <c r="G17" s="166" t="s">
        <v>275</v>
      </c>
      <c r="H17" s="167" t="s">
        <v>292</v>
      </c>
      <c r="I17" s="167"/>
      <c r="J17" s="97" t="s">
        <v>90</v>
      </c>
      <c r="K17" s="167"/>
      <c r="L17" s="95" t="s">
        <v>313</v>
      </c>
      <c r="M17" s="167"/>
      <c r="N17" s="98" t="s">
        <v>109</v>
      </c>
      <c r="O17" s="168"/>
      <c r="P17" s="168"/>
      <c r="Q17" s="168"/>
      <c r="R17" s="98" t="s">
        <v>81</v>
      </c>
      <c r="S17" s="98" t="s">
        <v>82</v>
      </c>
      <c r="T17" s="167"/>
      <c r="U17" s="167"/>
      <c r="V17" s="169"/>
      <c r="W17" s="169"/>
      <c r="X17" s="169"/>
      <c r="Y17" s="169"/>
      <c r="Z17" s="169" t="s">
        <v>322</v>
      </c>
    </row>
    <row r="18" spans="1:26" ht="25.5">
      <c r="A18" s="93" t="s">
        <v>112</v>
      </c>
      <c r="B18" s="94" t="s">
        <v>254</v>
      </c>
      <c r="C18" s="94" t="s">
        <v>255</v>
      </c>
      <c r="D18" s="166" t="s">
        <v>276</v>
      </c>
      <c r="E18" s="167" t="s">
        <v>311</v>
      </c>
      <c r="F18" s="158" t="s">
        <v>298</v>
      </c>
      <c r="G18" s="166" t="s">
        <v>276</v>
      </c>
      <c r="H18" s="167" t="s">
        <v>293</v>
      </c>
      <c r="I18" s="167"/>
      <c r="J18" s="97" t="s">
        <v>90</v>
      </c>
      <c r="K18" s="167"/>
      <c r="L18" s="95" t="s">
        <v>313</v>
      </c>
      <c r="M18" s="167"/>
      <c r="N18" s="98" t="s">
        <v>109</v>
      </c>
      <c r="O18" s="168"/>
      <c r="P18" s="168"/>
      <c r="Q18" s="168"/>
      <c r="R18" s="98" t="s">
        <v>81</v>
      </c>
      <c r="S18" s="98" t="s">
        <v>82</v>
      </c>
      <c r="T18" s="167"/>
      <c r="U18" s="167"/>
      <c r="V18" s="169"/>
      <c r="W18" s="169"/>
      <c r="X18" s="169"/>
      <c r="Y18" s="169"/>
      <c r="Z18" s="169" t="s">
        <v>322</v>
      </c>
    </row>
    <row r="19" spans="1:26" ht="25.5">
      <c r="A19" s="93" t="s">
        <v>112</v>
      </c>
      <c r="B19" s="94" t="s">
        <v>254</v>
      </c>
      <c r="C19" s="94" t="s">
        <v>255</v>
      </c>
      <c r="D19" s="166" t="s">
        <v>277</v>
      </c>
      <c r="E19" s="167" t="s">
        <v>311</v>
      </c>
      <c r="F19" s="158" t="s">
        <v>298</v>
      </c>
      <c r="G19" s="166" t="s">
        <v>277</v>
      </c>
      <c r="H19" s="167" t="s">
        <v>294</v>
      </c>
      <c r="I19" s="167"/>
      <c r="J19" s="97" t="s">
        <v>90</v>
      </c>
      <c r="K19" s="167"/>
      <c r="L19" s="95" t="s">
        <v>313</v>
      </c>
      <c r="M19" s="167"/>
      <c r="N19" s="98" t="s">
        <v>109</v>
      </c>
      <c r="O19" s="168"/>
      <c r="P19" s="168"/>
      <c r="Q19" s="168"/>
      <c r="R19" s="98" t="s">
        <v>81</v>
      </c>
      <c r="S19" s="98" t="s">
        <v>82</v>
      </c>
      <c r="T19" s="167"/>
      <c r="U19" s="167"/>
      <c r="V19" s="169"/>
      <c r="W19" s="169"/>
      <c r="X19" s="169"/>
      <c r="Y19" s="169"/>
      <c r="Z19" s="169" t="s">
        <v>322</v>
      </c>
    </row>
    <row r="20" spans="1:26" ht="25.5">
      <c r="A20" s="93" t="s">
        <v>112</v>
      </c>
      <c r="B20" s="94" t="s">
        <v>254</v>
      </c>
      <c r="C20" s="94" t="s">
        <v>255</v>
      </c>
      <c r="D20" s="166" t="s">
        <v>278</v>
      </c>
      <c r="E20" s="167" t="s">
        <v>311</v>
      </c>
      <c r="F20" s="158" t="s">
        <v>298</v>
      </c>
      <c r="G20" s="166" t="s">
        <v>278</v>
      </c>
      <c r="H20" s="167" t="s">
        <v>295</v>
      </c>
      <c r="I20" s="167"/>
      <c r="J20" s="97" t="s">
        <v>90</v>
      </c>
      <c r="K20" s="167"/>
      <c r="L20" s="95" t="s">
        <v>313</v>
      </c>
      <c r="M20" s="167"/>
      <c r="N20" s="98" t="s">
        <v>109</v>
      </c>
      <c r="O20" s="168"/>
      <c r="P20" s="168"/>
      <c r="Q20" s="168"/>
      <c r="R20" s="98" t="s">
        <v>81</v>
      </c>
      <c r="S20" s="98" t="s">
        <v>82</v>
      </c>
      <c r="T20" s="167"/>
      <c r="U20" s="167"/>
      <c r="V20" s="169"/>
      <c r="W20" s="169"/>
      <c r="X20" s="169"/>
      <c r="Y20" s="169"/>
      <c r="Z20" s="169" t="s">
        <v>252</v>
      </c>
    </row>
    <row r="21" spans="1:26" ht="25.5">
      <c r="A21" s="93" t="s">
        <v>112</v>
      </c>
      <c r="B21" s="94" t="s">
        <v>254</v>
      </c>
      <c r="C21" s="94" t="s">
        <v>255</v>
      </c>
      <c r="D21" s="166" t="s">
        <v>279</v>
      </c>
      <c r="E21" s="167" t="s">
        <v>312</v>
      </c>
      <c r="F21" s="158" t="s">
        <v>298</v>
      </c>
      <c r="G21" s="166" t="s">
        <v>279</v>
      </c>
      <c r="H21" s="167" t="s">
        <v>296</v>
      </c>
      <c r="I21" s="167"/>
      <c r="J21" s="97" t="s">
        <v>90</v>
      </c>
      <c r="K21" s="167"/>
      <c r="L21" s="95" t="s">
        <v>313</v>
      </c>
      <c r="M21" s="167"/>
      <c r="N21" s="98" t="s">
        <v>109</v>
      </c>
      <c r="O21" s="168"/>
      <c r="P21" s="168"/>
      <c r="Q21" s="168"/>
      <c r="R21" s="98" t="s">
        <v>81</v>
      </c>
      <c r="S21" s="98" t="s">
        <v>82</v>
      </c>
      <c r="T21" s="167"/>
      <c r="U21" s="167"/>
      <c r="V21" s="169"/>
      <c r="W21" s="169"/>
      <c r="X21" s="169"/>
      <c r="Y21" s="169"/>
      <c r="Z21" s="169" t="s">
        <v>322</v>
      </c>
    </row>
  </sheetData>
  <autoFilter ref="A1:AA21" xr:uid="{00000000-0009-0000-0000-000004000000}"/>
  <mergeCells count="27">
    <mergeCell ref="M1:M3"/>
    <mergeCell ref="A1:A3"/>
    <mergeCell ref="C1:C3"/>
    <mergeCell ref="D1:D3"/>
    <mergeCell ref="E1:E3"/>
    <mergeCell ref="F1:F3"/>
    <mergeCell ref="G1:G3"/>
    <mergeCell ref="H1:H3"/>
    <mergeCell ref="J1:J3"/>
    <mergeCell ref="K1:K3"/>
    <mergeCell ref="L1:L3"/>
    <mergeCell ref="B1:B3"/>
    <mergeCell ref="I1:I3"/>
    <mergeCell ref="AA1:AA3"/>
    <mergeCell ref="Z1:Z3"/>
    <mergeCell ref="N1:N3"/>
    <mergeCell ref="O1:O3"/>
    <mergeCell ref="P1:P3"/>
    <mergeCell ref="Q1:Q3"/>
    <mergeCell ref="R1:R3"/>
    <mergeCell ref="S1:S3"/>
    <mergeCell ref="T1:T3"/>
    <mergeCell ref="V1:V3"/>
    <mergeCell ref="W1:W3"/>
    <mergeCell ref="X1:X3"/>
    <mergeCell ref="Y1:Y3"/>
    <mergeCell ref="U1:U3"/>
  </mergeCells>
  <phoneticPr fontId="1" type="noConversion"/>
  <dataValidations count="1">
    <dataValidation type="list" allowBlank="1" showInputMessage="1" showErrorMessage="1" sqref="T4:U8" xr:uid="{00000000-0002-0000-0400-000000000000}">
      <formula1>lst_YN</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T478"/>
  <sheetViews>
    <sheetView workbookViewId="0">
      <selection activeCell="A425" sqref="A425"/>
    </sheetView>
  </sheetViews>
  <sheetFormatPr defaultRowHeight="12.75"/>
  <cols>
    <col min="1" max="1" width="11.140625" customWidth="1"/>
    <col min="2" max="2" width="28.5703125" bestFit="1" customWidth="1"/>
    <col min="3" max="3" width="14.140625" customWidth="1"/>
    <col min="4" max="4" width="39.28515625" customWidth="1"/>
    <col min="5" max="5" width="28.5703125" bestFit="1" customWidth="1"/>
    <col min="6" max="6" width="61.28515625" customWidth="1"/>
    <col min="7" max="7" width="20" customWidth="1"/>
    <col min="8" max="8" width="10.140625" bestFit="1" customWidth="1"/>
    <col min="15" max="15" width="10.140625" bestFit="1" customWidth="1"/>
    <col min="20" max="20" width="30.5703125" bestFit="1" customWidth="1"/>
  </cols>
  <sheetData>
    <row r="1" spans="1:20" ht="15">
      <c r="A1" s="113" t="s">
        <v>226</v>
      </c>
      <c r="B1" s="113" t="s">
        <v>227</v>
      </c>
      <c r="C1" s="114" t="s">
        <v>228</v>
      </c>
      <c r="D1" s="114" t="s">
        <v>229</v>
      </c>
      <c r="E1" s="114" t="s">
        <v>230</v>
      </c>
      <c r="F1" s="175" t="s">
        <v>231</v>
      </c>
      <c r="G1" s="175" t="s">
        <v>232</v>
      </c>
      <c r="H1" s="175" t="s">
        <v>233</v>
      </c>
      <c r="I1" s="175" t="s">
        <v>234</v>
      </c>
      <c r="J1" s="175" t="s">
        <v>235</v>
      </c>
      <c r="K1" s="175" t="s">
        <v>236</v>
      </c>
      <c r="L1" s="175" t="s">
        <v>237</v>
      </c>
      <c r="M1" s="175" t="s">
        <v>238</v>
      </c>
      <c r="N1" s="175" t="s">
        <v>239</v>
      </c>
      <c r="O1" s="114" t="s">
        <v>240</v>
      </c>
      <c r="P1" s="114" t="s">
        <v>241</v>
      </c>
      <c r="Q1" s="114" t="s">
        <v>242</v>
      </c>
      <c r="R1" s="114" t="s">
        <v>0</v>
      </c>
      <c r="S1" s="114" t="s">
        <v>243</v>
      </c>
      <c r="T1" s="115" t="s">
        <v>244</v>
      </c>
    </row>
    <row r="2" spans="1:20" ht="38.25">
      <c r="A2" s="157" t="s">
        <v>425</v>
      </c>
      <c r="B2" s="172" t="s">
        <v>301</v>
      </c>
      <c r="C2" s="170" t="s">
        <v>254</v>
      </c>
      <c r="D2" s="170" t="s">
        <v>325</v>
      </c>
      <c r="E2" s="172" t="s">
        <v>301</v>
      </c>
      <c r="F2" s="176" t="s">
        <v>422</v>
      </c>
      <c r="G2" s="176" t="s">
        <v>360</v>
      </c>
      <c r="H2" s="177">
        <v>43829</v>
      </c>
      <c r="I2" s="178" t="s">
        <v>326</v>
      </c>
      <c r="J2" s="178" t="s">
        <v>81</v>
      </c>
      <c r="K2" s="178" t="s">
        <v>245</v>
      </c>
      <c r="L2" s="179" t="s">
        <v>420</v>
      </c>
      <c r="M2" s="180"/>
      <c r="N2" s="178" t="s">
        <v>424</v>
      </c>
      <c r="O2" s="118"/>
      <c r="P2" s="116"/>
      <c r="Q2" s="116"/>
      <c r="R2" s="117"/>
      <c r="S2" s="116" t="s">
        <v>246</v>
      </c>
      <c r="T2" s="119" t="s">
        <v>247</v>
      </c>
    </row>
    <row r="3" spans="1:20">
      <c r="A3" s="157" t="s">
        <v>426</v>
      </c>
      <c r="B3" s="172" t="s">
        <v>301</v>
      </c>
      <c r="C3" s="170" t="s">
        <v>254</v>
      </c>
      <c r="D3" s="170" t="s">
        <v>325</v>
      </c>
      <c r="E3" s="172" t="s">
        <v>301</v>
      </c>
      <c r="F3" s="181" t="s">
        <v>337</v>
      </c>
      <c r="G3" s="1">
        <v>0</v>
      </c>
      <c r="H3" s="177">
        <v>43829</v>
      </c>
      <c r="I3" s="178" t="s">
        <v>326</v>
      </c>
      <c r="J3" s="178" t="s">
        <v>81</v>
      </c>
      <c r="K3" s="178" t="s">
        <v>245</v>
      </c>
      <c r="L3" s="179" t="s">
        <v>420</v>
      </c>
      <c r="M3" s="1"/>
      <c r="N3" s="178" t="s">
        <v>424</v>
      </c>
    </row>
    <row r="4" spans="1:20">
      <c r="A4" s="157" t="s">
        <v>427</v>
      </c>
      <c r="B4" s="172" t="s">
        <v>301</v>
      </c>
      <c r="C4" s="170" t="s">
        <v>254</v>
      </c>
      <c r="D4" s="170" t="s">
        <v>325</v>
      </c>
      <c r="E4" s="172" t="s">
        <v>301</v>
      </c>
      <c r="F4" s="181" t="s">
        <v>345</v>
      </c>
      <c r="G4" s="181" t="s">
        <v>359</v>
      </c>
      <c r="H4" s="177">
        <v>43829</v>
      </c>
      <c r="I4" s="178" t="s">
        <v>326</v>
      </c>
      <c r="J4" s="178" t="s">
        <v>81</v>
      </c>
      <c r="K4" s="178" t="s">
        <v>245</v>
      </c>
      <c r="L4" s="179" t="s">
        <v>420</v>
      </c>
      <c r="M4" s="1"/>
      <c r="N4" s="178" t="s">
        <v>424</v>
      </c>
    </row>
    <row r="5" spans="1:20">
      <c r="A5" s="157" t="s">
        <v>428</v>
      </c>
      <c r="B5" s="172" t="s">
        <v>302</v>
      </c>
      <c r="C5" s="170" t="s">
        <v>254</v>
      </c>
      <c r="D5" s="170" t="s">
        <v>325</v>
      </c>
      <c r="E5" s="172" t="s">
        <v>302</v>
      </c>
      <c r="F5" s="182" t="s">
        <v>351</v>
      </c>
      <c r="G5" s="1">
        <v>0</v>
      </c>
      <c r="H5" s="177">
        <v>43829</v>
      </c>
      <c r="I5" s="178" t="s">
        <v>326</v>
      </c>
      <c r="J5" s="178" t="s">
        <v>81</v>
      </c>
      <c r="K5" s="178" t="s">
        <v>245</v>
      </c>
      <c r="L5" s="179" t="s">
        <v>420</v>
      </c>
      <c r="M5" s="1"/>
      <c r="N5" s="178" t="s">
        <v>424</v>
      </c>
    </row>
    <row r="6" spans="1:20">
      <c r="A6" s="157" t="s">
        <v>429</v>
      </c>
      <c r="B6" s="172" t="s">
        <v>304</v>
      </c>
      <c r="C6" s="170" t="s">
        <v>254</v>
      </c>
      <c r="D6" s="170" t="s">
        <v>325</v>
      </c>
      <c r="E6" s="172" t="s">
        <v>304</v>
      </c>
      <c r="F6" s="181" t="s">
        <v>371</v>
      </c>
      <c r="G6" s="181" t="s">
        <v>358</v>
      </c>
      <c r="H6" s="177">
        <v>43829</v>
      </c>
      <c r="I6" s="178" t="s">
        <v>326</v>
      </c>
      <c r="J6" s="178" t="s">
        <v>81</v>
      </c>
      <c r="K6" s="178" t="s">
        <v>245</v>
      </c>
      <c r="L6" s="179" t="s">
        <v>420</v>
      </c>
      <c r="M6" s="1"/>
      <c r="N6" s="178" t="s">
        <v>424</v>
      </c>
    </row>
    <row r="7" spans="1:20">
      <c r="A7" s="157" t="s">
        <v>430</v>
      </c>
      <c r="B7" s="172" t="s">
        <v>303</v>
      </c>
      <c r="C7" s="170" t="s">
        <v>254</v>
      </c>
      <c r="D7" s="170" t="s">
        <v>325</v>
      </c>
      <c r="E7" s="172" t="s">
        <v>303</v>
      </c>
      <c r="F7" s="181" t="s">
        <v>367</v>
      </c>
      <c r="G7" s="181" t="s">
        <v>358</v>
      </c>
      <c r="H7" s="177">
        <v>43829</v>
      </c>
      <c r="I7" s="178" t="s">
        <v>326</v>
      </c>
      <c r="J7" s="178" t="s">
        <v>81</v>
      </c>
      <c r="K7" s="178" t="s">
        <v>245</v>
      </c>
      <c r="L7" s="179" t="s">
        <v>420</v>
      </c>
      <c r="M7" s="1"/>
      <c r="N7" s="178" t="s">
        <v>424</v>
      </c>
    </row>
    <row r="8" spans="1:20">
      <c r="A8" s="157" t="s">
        <v>431</v>
      </c>
      <c r="B8" s="172" t="s">
        <v>305</v>
      </c>
      <c r="C8" s="170" t="s">
        <v>254</v>
      </c>
      <c r="D8" s="170" t="s">
        <v>325</v>
      </c>
      <c r="E8" s="172" t="s">
        <v>305</v>
      </c>
      <c r="F8" s="181" t="s">
        <v>374</v>
      </c>
      <c r="G8" s="181" t="s">
        <v>368</v>
      </c>
      <c r="H8" s="177">
        <v>43829</v>
      </c>
      <c r="I8" s="178" t="s">
        <v>326</v>
      </c>
      <c r="J8" s="178" t="s">
        <v>81</v>
      </c>
      <c r="K8" s="178" t="s">
        <v>245</v>
      </c>
      <c r="L8" s="179" t="s">
        <v>420</v>
      </c>
      <c r="M8" s="1"/>
      <c r="N8" s="178" t="s">
        <v>424</v>
      </c>
    </row>
    <row r="9" spans="1:20">
      <c r="A9" s="157" t="s">
        <v>432</v>
      </c>
      <c r="B9" s="172" t="s">
        <v>308</v>
      </c>
      <c r="C9" s="170" t="s">
        <v>254</v>
      </c>
      <c r="D9" s="170" t="s">
        <v>325</v>
      </c>
      <c r="E9" s="172" t="s">
        <v>308</v>
      </c>
      <c r="F9" s="181" t="s">
        <v>375</v>
      </c>
      <c r="G9" s="181" t="s">
        <v>376</v>
      </c>
      <c r="H9" s="177">
        <v>43829</v>
      </c>
      <c r="I9" s="178" t="s">
        <v>326</v>
      </c>
      <c r="J9" s="178" t="s">
        <v>81</v>
      </c>
      <c r="K9" s="178" t="s">
        <v>245</v>
      </c>
      <c r="L9" s="179" t="s">
        <v>420</v>
      </c>
      <c r="M9" s="1"/>
      <c r="N9" s="178" t="s">
        <v>424</v>
      </c>
    </row>
    <row r="10" spans="1:20">
      <c r="A10" s="157" t="s">
        <v>433</v>
      </c>
      <c r="B10" s="172" t="s">
        <v>383</v>
      </c>
      <c r="C10" s="170" t="s">
        <v>254</v>
      </c>
      <c r="D10" s="170" t="s">
        <v>325</v>
      </c>
      <c r="E10" s="172" t="s">
        <v>383</v>
      </c>
      <c r="F10" s="181" t="s">
        <v>387</v>
      </c>
      <c r="G10" s="1"/>
      <c r="H10" s="177">
        <v>43829</v>
      </c>
      <c r="I10" s="178" t="s">
        <v>326</v>
      </c>
      <c r="J10" s="178" t="s">
        <v>81</v>
      </c>
      <c r="K10" s="178" t="s">
        <v>245</v>
      </c>
      <c r="L10" s="179" t="s">
        <v>420</v>
      </c>
      <c r="M10" s="1"/>
      <c r="N10" s="178" t="s">
        <v>424</v>
      </c>
    </row>
    <row r="11" spans="1:20">
      <c r="A11" s="157" t="s">
        <v>434</v>
      </c>
      <c r="B11" s="172" t="s">
        <v>399</v>
      </c>
      <c r="C11" s="170" t="s">
        <v>254</v>
      </c>
      <c r="D11" s="170" t="s">
        <v>325</v>
      </c>
      <c r="E11" s="172" t="s">
        <v>399</v>
      </c>
      <c r="F11" s="181" t="s">
        <v>400</v>
      </c>
      <c r="G11" s="1"/>
      <c r="H11" s="177">
        <v>43829</v>
      </c>
      <c r="I11" s="178" t="s">
        <v>326</v>
      </c>
      <c r="J11" s="178" t="s">
        <v>81</v>
      </c>
      <c r="K11" s="178" t="s">
        <v>245</v>
      </c>
      <c r="L11" s="179" t="s">
        <v>420</v>
      </c>
      <c r="M11" s="1"/>
      <c r="N11" s="178" t="s">
        <v>424</v>
      </c>
    </row>
    <row r="12" spans="1:20">
      <c r="A12" s="157" t="s">
        <v>435</v>
      </c>
      <c r="B12" s="172" t="s">
        <v>407</v>
      </c>
      <c r="C12" s="170" t="s">
        <v>254</v>
      </c>
      <c r="D12" s="170" t="s">
        <v>325</v>
      </c>
      <c r="E12" s="172" t="s">
        <v>407</v>
      </c>
      <c r="F12" s="181" t="s">
        <v>408</v>
      </c>
      <c r="G12" s="1"/>
      <c r="H12" s="177">
        <v>43829</v>
      </c>
      <c r="I12" s="178" t="s">
        <v>326</v>
      </c>
      <c r="J12" s="178" t="s">
        <v>81</v>
      </c>
      <c r="K12" s="178" t="s">
        <v>245</v>
      </c>
      <c r="L12" s="179" t="s">
        <v>420</v>
      </c>
      <c r="M12" s="1"/>
      <c r="N12" s="178" t="s">
        <v>424</v>
      </c>
    </row>
    <row r="13" spans="1:20">
      <c r="A13" s="157" t="s">
        <v>436</v>
      </c>
      <c r="B13" s="172" t="s">
        <v>417</v>
      </c>
      <c r="C13" s="170" t="s">
        <v>254</v>
      </c>
      <c r="D13" s="170" t="s">
        <v>325</v>
      </c>
      <c r="E13" s="172" t="s">
        <v>417</v>
      </c>
      <c r="F13" s="181" t="s">
        <v>418</v>
      </c>
      <c r="G13" s="1"/>
      <c r="H13" s="177">
        <v>43829</v>
      </c>
      <c r="I13" s="178" t="s">
        <v>326</v>
      </c>
      <c r="J13" s="178" t="s">
        <v>81</v>
      </c>
      <c r="K13" s="178" t="s">
        <v>245</v>
      </c>
      <c r="L13" s="179" t="s">
        <v>420</v>
      </c>
      <c r="M13" s="1"/>
      <c r="N13" s="178" t="s">
        <v>424</v>
      </c>
    </row>
    <row r="14" spans="1:20" ht="165.75">
      <c r="A14" s="157" t="s">
        <v>437</v>
      </c>
      <c r="B14" s="174" t="s">
        <v>419</v>
      </c>
      <c r="C14" s="170" t="s">
        <v>254</v>
      </c>
      <c r="D14" s="170" t="s">
        <v>325</v>
      </c>
      <c r="E14" s="174" t="s">
        <v>419</v>
      </c>
      <c r="F14" s="183" t="s">
        <v>421</v>
      </c>
      <c r="G14" s="1"/>
      <c r="H14" s="177">
        <v>43829</v>
      </c>
      <c r="I14" s="178" t="s">
        <v>326</v>
      </c>
      <c r="J14" s="178" t="s">
        <v>81</v>
      </c>
      <c r="K14" s="178" t="s">
        <v>245</v>
      </c>
      <c r="L14" s="179" t="s">
        <v>420</v>
      </c>
      <c r="M14" s="1"/>
      <c r="N14" s="178" t="s">
        <v>424</v>
      </c>
    </row>
    <row r="15" spans="1:20">
      <c r="A15" s="159"/>
      <c r="B15" s="174"/>
      <c r="C15" s="174"/>
      <c r="D15" s="174"/>
      <c r="E15" s="174"/>
      <c r="F15" s="173"/>
    </row>
    <row r="16" spans="1:20">
      <c r="A16" s="159"/>
      <c r="B16" s="174"/>
      <c r="C16" s="174"/>
      <c r="D16" s="174"/>
      <c r="E16" s="174"/>
      <c r="F16" s="173"/>
    </row>
    <row r="17" spans="1:2" ht="15">
      <c r="A17" s="120" t="s">
        <v>249</v>
      </c>
      <c r="B17" s="173" t="s">
        <v>298</v>
      </c>
    </row>
    <row r="18" spans="1:2">
      <c r="A18" t="s">
        <v>250</v>
      </c>
    </row>
    <row r="20" spans="1:2">
      <c r="A20" s="157" t="s">
        <v>425</v>
      </c>
    </row>
    <row r="21" spans="1:2">
      <c r="B21" s="159"/>
    </row>
    <row r="22" spans="1:2">
      <c r="A22">
        <v>1</v>
      </c>
      <c r="B22" s="159"/>
    </row>
    <row r="23" spans="1:2">
      <c r="B23" t="s">
        <v>327</v>
      </c>
    </row>
    <row r="35" spans="2:2">
      <c r="B35" t="s">
        <v>328</v>
      </c>
    </row>
    <row r="64" spans="1:1">
      <c r="A64" s="157" t="s">
        <v>426</v>
      </c>
    </row>
    <row r="66" spans="2:2">
      <c r="B66" s="91" t="s">
        <v>335</v>
      </c>
    </row>
    <row r="100" spans="2:2">
      <c r="B100" s="91" t="s">
        <v>334</v>
      </c>
    </row>
    <row r="134" spans="2:2">
      <c r="B134" s="91" t="s">
        <v>336</v>
      </c>
    </row>
    <row r="147" spans="1:1">
      <c r="A147" s="157" t="s">
        <v>427</v>
      </c>
    </row>
    <row r="195" spans="1:2">
      <c r="A195" s="157" t="s">
        <v>428</v>
      </c>
    </row>
    <row r="197" spans="1:2">
      <c r="B197" s="171" t="s">
        <v>348</v>
      </c>
    </row>
    <row r="219" spans="2:2">
      <c r="B219" s="171" t="s">
        <v>349</v>
      </c>
    </row>
    <row r="229" spans="1:2">
      <c r="A229" s="157" t="s">
        <v>429</v>
      </c>
    </row>
    <row r="231" spans="1:2">
      <c r="B231" s="171" t="s">
        <v>369</v>
      </c>
    </row>
    <row r="233" spans="1:2">
      <c r="B233" s="171" t="s">
        <v>370</v>
      </c>
    </row>
    <row r="260" spans="1:2">
      <c r="A260" s="157" t="s">
        <v>430</v>
      </c>
    </row>
    <row r="261" spans="1:2">
      <c r="B261" s="171" t="s">
        <v>285</v>
      </c>
    </row>
    <row r="295" spans="1:4">
      <c r="A295" s="157" t="s">
        <v>431</v>
      </c>
      <c r="B295" s="171" t="s">
        <v>378</v>
      </c>
      <c r="D295" s="171"/>
    </row>
    <row r="324" spans="1:4">
      <c r="A324" s="157" t="s">
        <v>432</v>
      </c>
      <c r="B324" s="171" t="s">
        <v>379</v>
      </c>
      <c r="D324" s="171"/>
    </row>
    <row r="353" spans="1:4">
      <c r="A353" s="157" t="s">
        <v>433</v>
      </c>
      <c r="B353" s="171" t="s">
        <v>385</v>
      </c>
      <c r="D353" s="171"/>
    </row>
    <row r="376" spans="1:2">
      <c r="B376" s="171" t="s">
        <v>386</v>
      </c>
    </row>
    <row r="378" spans="1:2">
      <c r="A378" s="157" t="s">
        <v>434</v>
      </c>
      <c r="B378" t="s">
        <v>399</v>
      </c>
    </row>
    <row r="408" spans="2:2">
      <c r="B408" s="91" t="s">
        <v>397</v>
      </c>
    </row>
    <row r="425" spans="1:2">
      <c r="A425" s="157" t="s">
        <v>435</v>
      </c>
      <c r="B425" s="171" t="s">
        <v>407</v>
      </c>
    </row>
    <row r="478" spans="2:2">
      <c r="B478" s="91" t="s">
        <v>406</v>
      </c>
    </row>
  </sheetData>
  <phoneticPr fontId="1"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2:C7"/>
  <sheetViews>
    <sheetView workbookViewId="0">
      <selection activeCell="C7" sqref="C7"/>
    </sheetView>
  </sheetViews>
  <sheetFormatPr defaultColWidth="8.85546875" defaultRowHeight="12.75"/>
  <cols>
    <col min="1" max="1" width="11.42578125" customWidth="1"/>
    <col min="3" max="3" width="17" customWidth="1"/>
  </cols>
  <sheetData>
    <row r="2" spans="1:3">
      <c r="A2" s="2" t="s">
        <v>32</v>
      </c>
      <c r="C2" s="2" t="s">
        <v>39</v>
      </c>
    </row>
    <row r="3" spans="1:3">
      <c r="A3" s="1" t="s">
        <v>28</v>
      </c>
      <c r="C3" s="1" t="s">
        <v>36</v>
      </c>
    </row>
    <row r="4" spans="1:3">
      <c r="A4" s="3" t="s">
        <v>34</v>
      </c>
      <c r="C4" s="1" t="s">
        <v>37</v>
      </c>
    </row>
    <row r="5" spans="1:3">
      <c r="A5" s="1" t="s">
        <v>29</v>
      </c>
      <c r="C5" s="1" t="s">
        <v>38</v>
      </c>
    </row>
    <row r="6" spans="1:3">
      <c r="C6" s="1"/>
    </row>
    <row r="7" spans="1:3">
      <c r="C7"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3"/>
  <sheetViews>
    <sheetView workbookViewId="0">
      <selection activeCell="B8" sqref="B8"/>
    </sheetView>
  </sheetViews>
  <sheetFormatPr defaultColWidth="8.85546875" defaultRowHeight="12.75"/>
  <sheetData>
    <row r="2" spans="1:1">
      <c r="A2" t="s">
        <v>28</v>
      </c>
    </row>
    <row r="3" spans="1:1">
      <c r="A3"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eographical_x0020_Unit xmlns="6de5cb6d-2b6f-4dd6-9d9b-47d8ab0de2fa" xsi:nil="true"/>
    <Sub-segment xmlns="6de5cb6d-2b6f-4dd6-9d9b-47d8ab0de2fa">1</Sub-segment>
    <Segment xmlns="6de5cb6d-2b6f-4dd6-9d9b-47d8ab0de2fa">1</Segment>
    <Industry xmlns="6de5cb6d-2b6f-4dd6-9d9b-47d8ab0de2fa">1</Industry>
    <Country xmlns="6de5cb6d-2b6f-4dd6-9d9b-47d8ab0de2fa" xsi:nil="true"/>
    <AverageRating xmlns="http://schemas.microsoft.com/sharepoint/v3" xsi:nil="true"/>
    <Lead_x0020_Reviewer xmlns="F403D0B8-B8B7-477B-910F-3614FAA490BA">dir\dinesh.powale</Lead_x0020_Reviewer>
    <Doc_x0020_ID xmlns="F403D0B8-B8B7-477B-910F-3614FAA490BA">CIC_DOC_IP_12979</Doc_x0020_ID>
    <Functional_x0020_CoEx xmlns="F403D0B8-B8B7-477B-910F-3614FAA490BA">Procurement &amp; SRM</Functional_x0020_CoEx>
    <Author_x0020_Name xmlns="F403D0B8-B8B7-477B-910F-3614FAA490BA">
      <UserInfo>
        <DisplayName>Ballesteros, Ryan A. M.</DisplayName>
        <AccountId>11308</AccountId>
        <AccountType/>
      </UserInfo>
    </Author_x0020_Name>
    <Lead_x0020_Reviewed_x0020_date xmlns="F403D0B8-B8B7-477B-910F-3614FAA490BA">2/25/2014 10:19:15 AM</Lead_x0020_Reviewed_x0020_date>
    <Currently_x0020_assigned_x0020_to xmlns="F403D0B8-B8B7-477B-910F-3614FAA490BA">dir\karen.m.papa</Currently_x0020_assigned_x0020_to>
    <CoEx_x0020_Reviewer xmlns="F403D0B8-B8B7-477B-910F-3614FAA490BA">dir\karen.m.papa</CoEx_x0020_Reviewer>
    <AAES_x0020_Asset_x0020_ID xmlns="F403D0B8-B8B7-477B-910F-3614FAA490BA">885|2306|Upld-0303030404-3664742|1922055</AAES_x0020_Asset_x0020_ID>
    <Ready_x0020_to_x0020_be_x0020_published xmlns="F403D0B8-B8B7-477B-910F-3614FAA490BA" xsi:nil="true"/>
    <AAES_x0020_Template xmlns="F403D0B8-B8B7-477B-910F-3614FAA490BA" xsi:nil="true"/>
    <Document_x0020_Category xmlns="F403D0B8-B8B7-477B-910F-3614FAA490BA">Category 4</Document_x0020_Category>
    <Language xmlns="F403D0B8-B8B7-477B-910F-3614FAA490BA">English</Language>
    <AAES_x0020_Node_x0020_Name xmlns="F403D0B8-B8B7-477B-910F-3614FAA490BA">03.03.03.04.03 Collaborate with Suppliers (Ariba)</AAES_x0020_Node_x0020_Name>
    <Category_x0020_Description xmlns="F403D0B8-B8B7-477B-910F-3614FAA490BA">Validated</Category_x0020_Description>
    <ADM_x0020__x0020__x0023_ xmlns="F403D0B8-B8B7-477B-910F-3614FAA490BA">TE586_Test Script</ADM_x0020__x0020__x0023_>
    <Module xmlns="F403D0B8-B8B7-477B-910F-3614FAA490BA">Ariba Network</Module>
    <Project_x0020_Name xmlns="F403D0B8-B8B7-477B-910F-3614FAA490BA" xsi:nil="true"/>
    <Document_x0020_Status xmlns="F403D0B8-B8B7-477B-910F-3614FAA490BA">Published</Document_x0020_Status>
    <Client_x0020_Name xmlns="F403D0B8-B8B7-477B-910F-3614FAA490BA" xsi:nil="true"/>
    <ABPR_x0020_Asset_x0020_ID xmlns="F403D0B8-B8B7-477B-910F-3614FAA490BA" xsi:nil="true"/>
    <CoEx_x0020_Reviewed_x0020_date xmlns="F403D0B8-B8B7-477B-910F-3614FAA490BA">4/3/2014 6:01:31 PM</CoEx_x0020_Reviewed_x0020_date>
    <Comments xmlns="F403D0B8-B8B7-477B-910F-3614FAA490BA">Dinesh Comments provided by Author :Ready for AET Lead Review. Comments provided by Lead Reviewer :Dear Karen - ARIBA team has created this test script. Kindly check and validate. 
Thanks
Dinesh  Comments provided by CoEx Reviewer :Approving obo Ryan</Comments>
    <Project_x0020_Lead xmlns="F403D0B8-B8B7-477B-910F-3614FAA490BA" xsi:nil="true"/>
    <Contributor_x0020_Name xmlns="F403D0B8-B8B7-477B-910F-3614FAA490BA">
      <UserInfo>
        <DisplayName/>
        <AccountId xsi:nil="true"/>
        <AccountType/>
      </UserInfo>
    </Contributor_x0020_Nam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Rating" ma:contentTypeID="0x01010092DD6627E0D54A2EAE85640341C3B203008D7D723DFB9248F289B0CA244F46B0D9004A17B8F94B0B1949BBB6C8D8DB2DA306" ma:contentTypeVersion="0" ma:contentTypeDescription="My Content Type" ma:contentTypeScope="" ma:versionID="f916796ba1cfcd050bcde95a1cbe1b52">
  <xsd:schema xmlns:xsd="http://www.w3.org/2001/XMLSchema" xmlns:xs="http://www.w3.org/2001/XMLSchema" xmlns:p="http://schemas.microsoft.com/office/2006/metadata/properties" xmlns:ns1="http://schemas.microsoft.com/sharepoint/v3" xmlns:ns2="F403D0B8-B8B7-477B-910F-3614FAA490BA" xmlns:ns3="6de5cb6d-2b6f-4dd6-9d9b-47d8ab0de2fa" targetNamespace="http://schemas.microsoft.com/office/2006/metadata/properties" ma:root="true" ma:fieldsID="3ca8c5ec9e509970123fc69a82df9ae0" ns1:_="" ns2:_="" ns3:_="">
    <xsd:import namespace="http://schemas.microsoft.com/sharepoint/v3"/>
    <xsd:import namespace="F403D0B8-B8B7-477B-910F-3614FAA490BA"/>
    <xsd:import namespace="6de5cb6d-2b6f-4dd6-9d9b-47d8ab0de2fa"/>
    <xsd:element name="properties">
      <xsd:complexType>
        <xsd:sequence>
          <xsd:element name="documentManagement">
            <xsd:complexType>
              <xsd:all>
                <xsd:element ref="ns2:ADM_x0020__x0020__x0023_"/>
                <xsd:element ref="ns2:Functional_x0020_CoEx"/>
                <xsd:element ref="ns2:Module"/>
                <xsd:element ref="ns2:Document_x0020_Category" minOccurs="0"/>
                <xsd:element ref="ns2:Category_x0020_Description" minOccurs="0"/>
                <xsd:element ref="ns2:Author_x0020_Name"/>
                <xsd:element ref="ns2:Lead_x0020_Reviewer" minOccurs="0"/>
                <xsd:element ref="ns2:CoEx_x0020_Reviewer" minOccurs="0"/>
                <xsd:element ref="ns2:AAES_x0020_Asset_x0020_ID" minOccurs="0"/>
                <xsd:element ref="ns2:AAES_x0020_Node_x0020_Name" minOccurs="0"/>
                <xsd:element ref="ns2:AAES_x0020_Template" minOccurs="0"/>
                <xsd:element ref="ns2:Contributor_x0020_Name" minOccurs="0"/>
                <xsd:element ref="ns2:Project_x0020_Name" minOccurs="0"/>
                <xsd:element ref="ns2:Client_x0020_Name" minOccurs="0"/>
                <xsd:element ref="ns2:Project_x0020_Lead" minOccurs="0"/>
                <xsd:element ref="ns2:Doc_x0020_ID" minOccurs="0"/>
                <xsd:element ref="ns2:Document_x0020_Status" minOccurs="0"/>
                <xsd:element ref="ns2:ABPR_x0020_Asset_x0020_ID" minOccurs="0"/>
                <xsd:element ref="ns2:Lead_x0020_Reviewed_x0020_date" minOccurs="0"/>
                <xsd:element ref="ns2:Ready_x0020_to_x0020_be_x0020_published" minOccurs="0"/>
                <xsd:element ref="ns2:Currently_x0020_assigned_x0020_to" minOccurs="0"/>
                <xsd:element ref="ns2:CoEx_x0020_Reviewed_x0020_date" minOccurs="0"/>
                <xsd:element ref="ns3:Country" minOccurs="0"/>
                <xsd:element ref="ns3:Geographical_x0020_Unit" minOccurs="0"/>
                <xsd:element ref="ns3:Industry"/>
                <xsd:element ref="ns3:Segment" minOccurs="0"/>
                <xsd:element ref="ns3:Sub-segment" minOccurs="0"/>
                <xsd:element ref="ns2:Language" minOccurs="0"/>
                <xsd:element ref="ns2:Comments" minOccurs="0"/>
                <xsd:element ref="ns1:AverageRating" minOccurs="0"/>
                <xsd:element ref="ns1:Rating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37" nillable="true" ma:displayName="Rating (0-5)" ma:decimals="2" ma:description="Average value of all the ratings that have been submitted" ma:internalName="AverageRating" ma:readOnly="true">
      <xsd:simpleType>
        <xsd:restriction base="dms:Number"/>
      </xsd:simpleType>
    </xsd:element>
    <xsd:element name="RatingCount" ma:index="38" nillable="true" ma:displayName="Number of Ratings" ma:decimals="0" ma:description="Number of ratings submitted" ma:internalName="RatingCount"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F403D0B8-B8B7-477B-910F-3614FAA490BA" elementFormDefault="qualified">
    <xsd:import namespace="http://schemas.microsoft.com/office/2006/documentManagement/types"/>
    <xsd:import namespace="http://schemas.microsoft.com/office/infopath/2007/PartnerControls"/>
    <xsd:element name="ADM_x0020__x0020__x0023_" ma:index="8" ma:displayName="ADM  #" ma:default="AP216_Position Paper" ma:description="Describes the ADM No of the document" ma:format="Dropdown" ma:internalName="ADM_x0020__x0020__x0023_">
      <xsd:simpleType>
        <xsd:restriction base="dms:Choice">
          <xsd:enumeration value="AP216_Position Paper"/>
          <xsd:enumeration value="AP235_User Script"/>
          <xsd:enumeration value="AP322_Configuration Design"/>
          <xsd:enumeration value="AP326_Configuration Rationale"/>
          <xsd:enumeration value="AP336_Scenario Presentation"/>
          <xsd:enumeration value="BP310_Business Process Definition"/>
          <xsd:enumeration value="BP311_Business Process Questionnaire"/>
          <xsd:enumeration value="BP313_Business Practice Definition"/>
          <xsd:enumeration value="BP315_Business Sub-Process Definition"/>
          <xsd:enumeration value="BP316_Business Sub-Process Presentation"/>
          <xsd:enumeration value="BP317_Business Activity Definition"/>
          <xsd:enumeration value="BP318_Business Scenario Simulation"/>
          <xsd:enumeration value="TE586_Test Script"/>
          <xsd:enumeration value="TR435_Process Course Guide"/>
          <xsd:enumeration value="TR436_Day in the Life of a Document"/>
          <xsd:enumeration value="CAM - Capability Assessment Model"/>
          <xsd:enumeration value="PL201_Requirements Traceability Matrix"/>
          <xsd:enumeration value="DC322_Detailed Configuration Guide"/>
          <xsd:enumeration value="Others"/>
          <xsd:enumeration value="KPI – Key Performance Indicators"/>
        </xsd:restriction>
      </xsd:simpleType>
    </xsd:element>
    <xsd:element name="Functional_x0020_CoEx" ma:index="9" ma:displayName="Functional CoEx" ma:default="Financials, Corporate Services and SEM" ma:description="Describes the Functional CoEx for the document" ma:internalName="Functional_x0020_CoEx">
      <xsd:simpleType>
        <xsd:restriction base="dms:Choice">
          <xsd:enumeration value="Financials, Corporate Services and SEM"/>
          <xsd:enumeration value="Procurement &amp; SRM"/>
          <xsd:enumeration value="SCM - Fulfillment"/>
          <xsd:enumeration value="Product Development, Manufacturing and PLM"/>
          <xsd:enumeration value="Sales, Services &amp; CRM"/>
          <xsd:enumeration value="Planning &amp; Service Management"/>
          <xsd:enumeration value="Human Capital Management"/>
        </xsd:restriction>
      </xsd:simpleType>
    </xsd:element>
    <xsd:element name="Module" ma:index="10" ma:displayName="Module" ma:default="Non SAP Process" ma:description="Module" ma:format="Dropdown" ma:internalName="Module">
      <xsd:simpleType>
        <xsd:restriction base="dms:Choice">
          <xsd:enumeration value="Non SAP Process"/>
          <xsd:enumeration value="SAP APO"/>
          <xsd:enumeration value="SAP APO- SNC- Supply Network Collabration"/>
          <xsd:enumeration value="SAP APO-CIF - Core InterFace"/>
          <xsd:enumeration value="SAP APO-DP - Demand Planning"/>
          <xsd:enumeration value="SAP APO-GATP - Global Available to Promise"/>
          <xsd:enumeration value="SAP APO-MD - Master Data"/>
          <xsd:enumeration value="SAP APO-PP/DS - Production Planning and Detailed Scheduling"/>
          <xsd:enumeration value="SAP APO-SNP - Supply Network Planning"/>
          <xsd:enumeration value="SAP APO-SOP - Sales and Operational Planning"/>
          <xsd:enumeration value="SAP APO-Supply planning"/>
          <xsd:enumeration value="SAP APO-TPVS - Transportation Planning and Vehicle Scheduling"/>
          <xsd:enumeration value="SAP CATS - Cross Application Time Sheet"/>
          <xsd:enumeration value="SAP CO EC-PCA - Profit Center Accounting"/>
          <xsd:enumeration value="SAP CO-ABC - Activity Based Costing"/>
          <xsd:enumeration value="SAP CO-OM - Overhead Cost Controlling (excluding PCA)"/>
          <xsd:enumeration value="SAP CO-PA - Profitability Analysis"/>
          <xsd:enumeration value="SAP CO-PC - Product Costing"/>
          <xsd:enumeration value="SAP CQM - Cost &amp; Quotation Management"/>
          <xsd:enumeration value="SAP CRM"/>
          <xsd:enumeration value="SAP CRM - Analytics"/>
          <xsd:enumeration value="SAP CRM - Channel Management"/>
          <xsd:enumeration value="SAP CRM - eCommerce"/>
          <xsd:enumeration value="SAP CRM - Marketing"/>
          <xsd:enumeration value="SAP CRM - Marketing:Trade Promotion Management"/>
          <xsd:enumeration value="SAP CRM - Mobile Sales"/>
          <xsd:enumeration value="SAP CRM - Sales"/>
          <xsd:enumeration value="SAP CRM - Service"/>
          <xsd:enumeration value="SAP CRM - Service: Interaction Center"/>
          <xsd:enumeration value="SAP EC-CS - Enterprise controlling - Consolidations"/>
          <xsd:enumeration value="SAP EH&amp;S - Basic Data"/>
          <xsd:enumeration value="SAP EH&amp;S DG - Dangerous Goods"/>
          <xsd:enumeration value="SAP EH&amp;S EC - Environmental Compliance"/>
          <xsd:enumeration value="SAP EH&amp;S GLM - Global Label Management"/>
          <xsd:enumeration value="SAP EH&amp;S IH&amp;S - Industrial Hygiene and Safety"/>
          <xsd:enumeration value="SAP EH&amp;S OH - Occupational Health"/>
          <xsd:enumeration value="SAP EH&amp;S PS - Product Safety"/>
          <xsd:enumeration value="SAP EH&amp;S Reach Compliance"/>
          <xsd:enumeration value="SAP EH&amp;S SR - Standard Rules"/>
          <xsd:enumeration value="SAP EH&amp;S WM - Waste Management"/>
          <xsd:enumeration value="SAP EH&amp;S Words for Windows Interface (WWI) and Easy Expert"/>
          <xsd:enumeration value="SAP ER - eRecruiting"/>
          <xsd:enumeration value="SAP E-Sourcing"/>
          <xsd:enumeration value="SAP ESS - Employee Self Service"/>
          <xsd:enumeration value="SAP FI-AA - Asset Accounting"/>
          <xsd:enumeration value="SAP FI-AP - Accounts Payable"/>
          <xsd:enumeration value="SAP FI-AR - Accounts Receivable"/>
          <xsd:enumeration value="SAP FI-BL - Bank Accounting"/>
          <xsd:enumeration value="SAP FI-BPC - Business Planning and Consolidation"/>
          <xsd:enumeration value="SAP FI-GL - General Ledger"/>
          <xsd:enumeration value="SAP FI-IM - Investment Management"/>
          <xsd:enumeration value="SAP FI-NL - New Ledger"/>
          <xsd:enumeration value="SAP FSCM - Financial Supply Chain Management"/>
          <xsd:enumeration value="SAP FSCM - Treasury and Risk Management"/>
          <xsd:enumeration value="SAP FSCM -TR-CM - Treasury and Cash Management"/>
          <xsd:enumeration value="SAP GTS - Global Trade Services"/>
          <xsd:enumeration value="SAP HCM - BN - Benefits Administration"/>
          <xsd:enumeration value="SAP HCM - ECM - Enterprise Compensation Management"/>
          <xsd:enumeration value="SAP HCM - LSO - Learning Solutions"/>
          <xsd:enumeration value="SAP HCM - OM - Organizational Management"/>
          <xsd:enumeration value="SAP HCM - PD - Career &amp; Succession Planning"/>
          <xsd:enumeration value="SAP HCM - PD - Personnel Development"/>
          <xsd:enumeration value="SAP HCM - PY - Payroll Administration"/>
          <xsd:enumeration value="SAP HCM - TE - Travel &amp; Expense Management"/>
          <xsd:enumeration value="SAP LE-TRA - Transportation"/>
          <xsd:enumeration value="SAP LE-WM - Warehouse Management"/>
          <xsd:enumeration value="SAP LO - Logistics"/>
          <xsd:enumeration value="SAP ME- Manufacturing Execution"/>
          <xsd:enumeration value="SAP MII"/>
          <xsd:enumeration value="SAP MM - Material Management except IM"/>
          <xsd:enumeration value="SAP MM - Materials Management-MM - Logistics Invoice Verification"/>
          <xsd:enumeration value="SAP MM - Materials Management-MM - Managing Special Stocks"/>
          <xsd:enumeration value="SAP MM - Materials Management-MM - Purchase Orders"/>
          <xsd:enumeration value="SAP MM - Materials Management-MM - Purchase Requisitions"/>
          <xsd:enumeration value="SAP MM-IM - Inventory Management"/>
          <xsd:enumeration value="SAP MRS - Multi Resource Scheduling"/>
          <xsd:enumeration value="SAP MSS - Manager Self Service"/>
          <xsd:enumeration value="SAP PA - Personnel Administration"/>
          <xsd:enumeration value="SAP PA-GE Global Employee"/>
          <xsd:enumeration value="SAP PLM - Product Lifecycle Management-"/>
          <xsd:enumeration value="SAP PM - Plant maintenance"/>
          <xsd:enumeration value="SAP PP - Production Planning"/>
          <xsd:enumeration value="SAP PPM - Project and Portfolio Management"/>
          <xsd:enumeration value="SAP PS - Project Systems"/>
          <xsd:enumeration value="SAP PSM - Public Sector Management"/>
          <xsd:enumeration value="SAP PT - Personnel Time Management"/>
          <xsd:enumeration value="SAP QM - Quality Management"/>
          <xsd:enumeration value="SAP SCM EM - Event Management"/>
          <xsd:enumeration value="SAP SCM Extended Warehouse Management (EWM)"/>
          <xsd:enumeration value="SAP SD - Sales and Distribution"/>
          <xsd:enumeration value="SAP SNC Supply Network Collaboration"/>
          <xsd:enumeration value="SAP SRM - Supplier Relationship Management"/>
          <xsd:enumeration value="SAP TM - Succession Planning"/>
          <xsd:enumeration value="SAP-DP-Demand Planning"/>
          <xsd:enumeration value="SRM – Catalog Content Management   - CCM"/>
          <xsd:enumeration value="SRM - Catalog Content Management (CCM or SRM-MDM)"/>
          <xsd:enumeration value="SRM - Category Management"/>
          <xsd:enumeration value="SRM - Contract Management"/>
          <xsd:enumeration value="SRM - Plan-Driven Procurement"/>
          <xsd:enumeration value="SRM - Public Sector Procurement"/>
          <xsd:enumeration value="SRM - Self-Service Procurement"/>
          <xsd:enumeration value="SRM - Service Procurement"/>
          <xsd:enumeration value="SRM - Strategic Sourcing with Bidding Engine"/>
          <xsd:enumeration value="SRM - Strategic Sourcing with LAC"/>
          <xsd:enumeration value="SRM - Supplier Collaboration"/>
          <xsd:enumeration value="SRM - Supplier Qualification"/>
          <xsd:enumeration value="SSA - SAP Spend Analytics"/>
          <xsd:enumeration value="SAP TM - Transportation Management"/>
          <xsd:enumeration value="SAP FI-RE - Real Estate management"/>
          <xsd:enumeration value="SAP FI-TM -Travel Management"/>
          <xsd:enumeration value="SAP PCM - Profitability and Cost Management"/>
        </xsd:restriction>
      </xsd:simpleType>
    </xsd:element>
    <xsd:element name="Document_x0020_Category" ma:index="11" nillable="true" ma:displayName="Document Category" ma:description="The category to which the document belongs (Cat 1/Cat 2/Cat 3/Cat 4/Cat 5)" ma:internalName="Document_x0020_Category">
      <xsd:simpleType>
        <xsd:restriction base="dms:Text"/>
      </xsd:simpleType>
    </xsd:element>
    <xsd:element name="Category_x0020_Description" ma:index="12" nillable="true" ma:displayName="Category Description" ma:description="Describes the Category to which the document belongs" ma:internalName="Category_x0020_Description">
      <xsd:simpleType>
        <xsd:restriction base="dms:Text"/>
      </xsd:simpleType>
    </xsd:element>
    <xsd:element name="Author_x0020_Name" ma:index="13" ma:displayName="Author Name" ma:description="Author Name" ma:SharePointGroup="0" ma:internalName="Author_x0020_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Lead_x0020_Reviewer" ma:index="14" nillable="true" ma:displayName="Lead Reviewer" ma:description="Lead Reviewer" ma:internalName="Lead_x0020_Reviewer">
      <xsd:simpleType>
        <xsd:restriction base="dms:Text"/>
      </xsd:simpleType>
    </xsd:element>
    <xsd:element name="CoEx_x0020_Reviewer" ma:index="15" nillable="true" ma:displayName="CoEx Reviewer" ma:description="CoEx Reviewer" ma:internalName="CoEx_x0020_Reviewer">
      <xsd:simpleType>
        <xsd:restriction base="dms:Text"/>
      </xsd:simpleType>
    </xsd:element>
    <xsd:element name="AAES_x0020_Asset_x0020_ID" ma:index="16" nillable="true" ma:displayName="AAES Asset ID" ma:description="Defines the AAES Asset ID for the document" ma:internalName="AAES_x0020_Asset_x0020_ID">
      <xsd:simpleType>
        <xsd:restriction base="dms:Text"/>
      </xsd:simpleType>
    </xsd:element>
    <xsd:element name="AAES_x0020_Node_x0020_Name" ma:index="17" nillable="true" ma:displayName="AAES Node Name" ma:description="Defines the node to which the Asset is mapped" ma:internalName="AAES_x0020_Node_x0020_Name">
      <xsd:simpleType>
        <xsd:restriction base="dms:Note">
          <xsd:maxLength value="255"/>
        </xsd:restriction>
      </xsd:simpleType>
    </xsd:element>
    <xsd:element name="AAES_x0020_Template" ma:index="18" nillable="true" ma:displayName="AAES Template" ma:description="Defines the template to which document is associated" ma:internalName="AAES_x0020_Template">
      <xsd:simpleType>
        <xsd:restriction base="dms:Text"/>
      </xsd:simpleType>
    </xsd:element>
    <xsd:element name="Contributor_x0020_Name" ma:index="19" nillable="true" ma:displayName="Contributor Name" ma:description="Contributor Name" ma:SharePointGroup="0" ma:internalName="Contributor_x0020_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_x0020_Name" ma:index="20" nillable="true" ma:displayName="Project Name" ma:description="Project Name" ma:internalName="Project_x0020_Name">
      <xsd:simpleType>
        <xsd:restriction base="dms:Text"/>
      </xsd:simpleType>
    </xsd:element>
    <xsd:element name="Client_x0020_Name" ma:index="21" nillable="true" ma:displayName="Client Name" ma:description="Client Name" ma:internalName="Client_x0020_Name">
      <xsd:simpleType>
        <xsd:restriction base="dms:Text"/>
      </xsd:simpleType>
    </xsd:element>
    <xsd:element name="Project_x0020_Lead" ma:index="22" nillable="true" ma:displayName="Project Lead" ma:description="Project Lead" ma:internalName="Project_x0020_Lead">
      <xsd:simpleType>
        <xsd:restriction base="dms:Text"/>
      </xsd:simpleType>
    </xsd:element>
    <xsd:element name="Doc_x0020_ID" ma:index="23" nillable="true" ma:displayName="Doc ID" ma:description="Doc ID" ma:indexed="true" ma:internalName="Doc_x0020_ID">
      <xsd:simpleType>
        <xsd:restriction base="dms:Text">
          <xsd:maxLength value="255"/>
        </xsd:restriction>
      </xsd:simpleType>
    </xsd:element>
    <xsd:element name="Document_x0020_Status" ma:index="24" nillable="true" ma:displayName="Document Status" ma:description="Document Status" ma:internalName="Document_x0020_Status">
      <xsd:simpleType>
        <xsd:restriction base="dms:Text"/>
      </xsd:simpleType>
    </xsd:element>
    <xsd:element name="ABPR_x0020_Asset_x0020_ID" ma:index="25" nillable="true" ma:displayName="ABPR Asset ID" ma:description="Defines the asset id to which document is associated" ma:internalName="ABPR_x0020_Asset_x0020_ID">
      <xsd:simpleType>
        <xsd:restriction base="dms:Text"/>
      </xsd:simpleType>
    </xsd:element>
    <xsd:element name="Lead_x0020_Reviewed_x0020_date" ma:index="26" nillable="true" ma:displayName="Lead Reviewed date" ma:description="Lead Reviewed date" ma:internalName="Lead_x0020_Reviewed_x0020_date">
      <xsd:simpleType>
        <xsd:restriction base="dms:Text"/>
      </xsd:simpleType>
    </xsd:element>
    <xsd:element name="Ready_x0020_to_x0020_be_x0020_published" ma:index="27" nillable="true" ma:displayName="Ready to be published" ma:description="Ready to be published" ma:internalName="Ready_x0020_to_x0020_be_x0020_published">
      <xsd:simpleType>
        <xsd:restriction base="dms:Text"/>
      </xsd:simpleType>
    </xsd:element>
    <xsd:element name="Currently_x0020_assigned_x0020_to" ma:index="28" nillable="true" ma:displayName="Currently assigned to" ma:description="Currently assigned to" ma:internalName="Currently_x0020_assigned_x0020_to">
      <xsd:simpleType>
        <xsd:restriction base="dms:Text"/>
      </xsd:simpleType>
    </xsd:element>
    <xsd:element name="CoEx_x0020_Reviewed_x0020_date" ma:index="29" nillable="true" ma:displayName="CoEx Reviewed date" ma:description="Date on which coex has reviewed the document" ma:internalName="CoEx_x0020_Reviewed_x0020_date">
      <xsd:simpleType>
        <xsd:restriction base="dms:Text"/>
      </xsd:simpleType>
    </xsd:element>
    <xsd:element name="Language" ma:index="35" nillable="true" ma:displayName="Language" ma:default="English" ma:description="Language" ma:internalName="Languag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Dutch (Netherlands)"/>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Comments" ma:index="36" nillable="true" ma:displayName="Comments" ma:description="User Comments"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e5cb6d-2b6f-4dd6-9d9b-47d8ab0de2fa" elementFormDefault="qualified">
    <xsd:import namespace="http://schemas.microsoft.com/office/2006/documentManagement/types"/>
    <xsd:import namespace="http://schemas.microsoft.com/office/infopath/2007/PartnerControls"/>
    <xsd:element name="Country" ma:index="30" nillable="true" ma:displayName="Country" ma:list="{68400F11-7E41-46B8-890D-4EE48B266FCF}" ma:internalName="Country" ma:showField="Title" ma:web="{6de5cb6d-2b6f-4dd6-9d9b-47d8ab0de2fa}">
      <xsd:simpleType>
        <xsd:restriction base="dms:Lookup"/>
      </xsd:simpleType>
    </xsd:element>
    <xsd:element name="Geographical_x0020_Unit" ma:index="31" nillable="true" ma:displayName="Geographical Unit" ma:list="{69A4BDE6-7775-4BC7-ACE5-C36C128A6D35}" ma:internalName="Geographical_x0020_Unit" ma:showField="Title" ma:web="{6de5cb6d-2b6f-4dd6-9d9b-47d8ab0de2fa}">
      <xsd:simpleType>
        <xsd:restriction base="dms:Lookup"/>
      </xsd:simpleType>
    </xsd:element>
    <xsd:element name="Industry" ma:index="32" ma:displayName="Industry" ma:list="{C475633B-AD81-4A52-9AC3-325E0921D9D9}" ma:internalName="Industry" ma:showField="Title" ma:web="{6de5cb6d-2b6f-4dd6-9d9b-47d8ab0de2fa}">
      <xsd:simpleType>
        <xsd:restriction base="dms:Lookup"/>
      </xsd:simpleType>
    </xsd:element>
    <xsd:element name="Segment" ma:index="33" nillable="true" ma:displayName="Segment" ma:list="{DF0C0BA7-8068-4C10-B141-16AE71F18686}" ma:internalName="Segment" ma:showField="Title" ma:web="{6de5cb6d-2b6f-4dd6-9d9b-47d8ab0de2fa}">
      <xsd:simpleType>
        <xsd:restriction base="dms:Lookup"/>
      </xsd:simpleType>
    </xsd:element>
    <xsd:element name="Sub-segment" ma:index="34" nillable="true" ma:displayName="Sub-segment" ma:list="{C2F4633C-9DE6-490F-B94F-9274E1886947}" ma:internalName="Sub-segment" ma:showField="Title" ma:web="{6de5cb6d-2b6f-4dd6-9d9b-47d8ab0de2fa}">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readOnly="tru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8D795D-2D02-4A5C-8AB4-85F33882ED2A}">
  <ds:schemaRefs>
    <ds:schemaRef ds:uri="http://purl.org/dc/terms/"/>
    <ds:schemaRef ds:uri="http://purl.org/dc/elements/1.1/"/>
    <ds:schemaRef ds:uri="6de5cb6d-2b6f-4dd6-9d9b-47d8ab0de2fa"/>
    <ds:schemaRef ds:uri="http://schemas.openxmlformats.org/package/2006/metadata/core-properties"/>
    <ds:schemaRef ds:uri="http://schemas.microsoft.com/office/infopath/2007/PartnerControls"/>
    <ds:schemaRef ds:uri="http://schemas.microsoft.com/office/2006/documentManagement/types"/>
    <ds:schemaRef ds:uri="F403D0B8-B8B7-477B-910F-3614FAA490BA"/>
    <ds:schemaRef ds:uri="http://schemas.microsoft.com/sharepoint/v3"/>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29963B9-F8A8-4FA7-B6C4-6E356A317007}">
  <ds:schemaRefs>
    <ds:schemaRef ds:uri="http://schemas.microsoft.com/sharepoint/v3/contenttype/forms"/>
  </ds:schemaRefs>
</ds:datastoreItem>
</file>

<file path=customXml/itemProps3.xml><?xml version="1.0" encoding="utf-8"?>
<ds:datastoreItem xmlns:ds="http://schemas.openxmlformats.org/officeDocument/2006/customXml" ds:itemID="{6B8B87DA-03AB-4B7F-8DB4-B121130C3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03D0B8-B8B7-477B-910F-3614FAA490BA"/>
    <ds:schemaRef ds:uri="6de5cb6d-2b6f-4dd6-9d9b-47d8ab0de2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Test Case Information</vt:lpstr>
      <vt:lpstr>ECC_Steps</vt:lpstr>
      <vt:lpstr>ECC</vt:lpstr>
      <vt:lpstr>39.1.1 to 39.1.18</vt:lpstr>
      <vt:lpstr>Test Conditions</vt:lpstr>
      <vt:lpstr>SIT_Issues</vt:lpstr>
      <vt:lpstr>Lookup Values</vt:lpstr>
      <vt:lpstr>Sheet1</vt:lpstr>
      <vt:lpstr>lst_PassFail</vt:lpstr>
      <vt:lpstr>lst_Status</vt:lpstr>
    </vt:vector>
  </TitlesOfParts>
  <Manager/>
  <Company>SAP MENA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MENA</dc:creator>
  <cp:keywords/>
  <dc:description/>
  <cp:lastModifiedBy>Diligent Guest</cp:lastModifiedBy>
  <cp:lastPrinted>2015-11-09T07:21:43Z</cp:lastPrinted>
  <dcterms:created xsi:type="dcterms:W3CDTF">2006-04-27T17:10:03Z</dcterms:created>
  <dcterms:modified xsi:type="dcterms:W3CDTF">2020-01-14T13:48:51Z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0x01010092DD6627E0D54A2EAE85640341C3B203008D7D723DFB9248F289B0CA244F46B0D9004A17B8F94B0B1949BBB6C8D8DB2DA306</vt:lpwstr>
  </property>
  <property fmtid="{D5CDD505-2E9C-101B-9397-08002B2CF9AE}" pid="4" name="Copy Source">
    <vt:lpwstr/>
  </property>
  <property fmtid="{D5CDD505-2E9C-101B-9397-08002B2CF9AE}" pid="5" name="Order">
    <vt:i4>1297900</vt:i4>
  </property>
</Properties>
</file>