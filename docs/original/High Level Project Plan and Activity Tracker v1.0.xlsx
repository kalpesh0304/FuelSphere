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7400" tabRatio="600" firstSheet="0" activeTab="3" autoFilterDateGrouping="1"/>
  </bookViews>
  <sheets>
    <sheet name="Summary" sheetId="1" state="visible" r:id="rId1"/>
    <sheet name="Sheet1" sheetId="2" state="visible" r:id="rId2"/>
    <sheet name="Detailed Activities" sheetId="3" state="visible" r:id="rId3"/>
    <sheet name="Sheet2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family val="2"/>
      <b val="1"/>
      <color theme="1"/>
      <sz val="14"/>
      <u val="single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5" tint="-0.249977111117893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5" tint="-0.499984740745262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4"/>
      <sz val="10"/>
      <scheme val="minor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</fonts>
  <fills count="17">
    <fill>
      <patternFill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149998474074526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1" fillId="0" borderId="0"/>
    <xf numFmtId="43" fontId="11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2" fillId="0" borderId="2" pivotButton="0" quotePrefix="0" xfId="0"/>
    <xf numFmtId="0" fontId="2" fillId="0" borderId="4" pivotButton="0" quotePrefix="0" xfId="0"/>
    <xf numFmtId="0" fontId="2" fillId="2" borderId="4" pivotButton="0" quotePrefix="0" xfId="0"/>
    <xf numFmtId="0" fontId="2" fillId="3" borderId="4" pivotButton="0" quotePrefix="0" xfId="0"/>
    <xf numFmtId="0" fontId="2" fillId="4" borderId="4" pivotButton="0" quotePrefix="0" xfId="0"/>
    <xf numFmtId="0" fontId="2" fillId="5" borderId="4" pivotButton="0" quotePrefix="0" xfId="0"/>
    <xf numFmtId="0" fontId="2" fillId="6" borderId="4" pivotButton="0" quotePrefix="0" xfId="0"/>
    <xf numFmtId="0" fontId="3" fillId="0" borderId="3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16" fontId="6" fillId="8" borderId="4" applyAlignment="1" pivotButton="0" quotePrefix="0" xfId="0">
      <alignment horizontal="center" vertical="center" textRotation="90"/>
    </xf>
    <xf numFmtId="0" fontId="4" fillId="9" borderId="4" pivotButton="0" quotePrefix="0" xfId="0"/>
    <xf numFmtId="0" fontId="4" fillId="9" borderId="4" applyAlignment="1" pivotButton="0" quotePrefix="0" xfId="0">
      <alignment horizontal="center" vertical="center"/>
    </xf>
    <xf numFmtId="0" fontId="4" fillId="11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12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13" borderId="4" applyAlignment="1" pivotButton="0" quotePrefix="0" xfId="0">
      <alignment horizontal="center" vertical="center"/>
    </xf>
    <xf numFmtId="0" fontId="0" fillId="14" borderId="4" applyAlignment="1" pivotButton="0" quotePrefix="0" xfId="0">
      <alignment horizontal="center" vertical="center"/>
    </xf>
    <xf numFmtId="0" fontId="0" fillId="15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0" fontId="4" fillId="9" borderId="12" applyAlignment="1" pivotButton="0" quotePrefix="0" xfId="0">
      <alignment horizontal="center" vertical="center"/>
    </xf>
    <xf numFmtId="0" fontId="2" fillId="0" borderId="13" pivotButton="0" quotePrefix="0" xfId="0"/>
    <xf numFmtId="0" fontId="2" fillId="0" borderId="14" pivotButton="0" quotePrefix="0" xfId="0"/>
    <xf numFmtId="0" fontId="0" fillId="0" borderId="0" applyAlignment="1" pivotButton="0" quotePrefix="0" xfId="0">
      <alignment wrapText="1"/>
    </xf>
    <xf numFmtId="0" fontId="4" fillId="9" borderId="4" applyAlignment="1" pivotButton="0" quotePrefix="0" xfId="0">
      <alignment wrapText="1"/>
    </xf>
    <xf numFmtId="0" fontId="8" fillId="0" borderId="4" applyAlignment="1" pivotButton="0" quotePrefix="0" xfId="0">
      <alignment wrapText="1"/>
    </xf>
    <xf numFmtId="0" fontId="9" fillId="0" borderId="4" applyAlignment="1" pivotButton="0" quotePrefix="0" xfId="0">
      <alignment wrapText="1"/>
    </xf>
    <xf numFmtId="0" fontId="6" fillId="0" borderId="4" applyAlignment="1" pivotButton="0" quotePrefix="0" xfId="0">
      <alignment wrapText="1"/>
    </xf>
    <xf numFmtId="0" fontId="0" fillId="12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4" applyAlignment="1" pivotButton="0" quotePrefix="0" xfId="0">
      <alignment wrapText="1"/>
    </xf>
    <xf numFmtId="0" fontId="4" fillId="9" borderId="15" applyAlignment="1" pivotButton="0" quotePrefix="0" xfId="0">
      <alignment horizontal="center" vertical="center"/>
    </xf>
    <xf numFmtId="0" fontId="2" fillId="0" borderId="16" pivotButton="0" quotePrefix="0" xfId="0"/>
    <xf numFmtId="0" fontId="0" fillId="0" borderId="11" applyAlignment="1" pivotButton="0" quotePrefix="0" xfId="0">
      <alignment horizontal="right" vertical="center"/>
    </xf>
    <xf numFmtId="43" fontId="2" fillId="0" borderId="0" pivotButton="0" quotePrefix="0" xfId="1"/>
    <xf numFmtId="43" fontId="2" fillId="0" borderId="0" pivotButton="0" quotePrefix="0" xfId="0"/>
    <xf numFmtId="0" fontId="2" fillId="6" borderId="6" pivotButton="0" quotePrefix="0" xfId="0"/>
    <xf numFmtId="0" fontId="2" fillId="6" borderId="0" pivotButton="0" quotePrefix="0" xfId="0"/>
    <xf numFmtId="0" fontId="0" fillId="0" borderId="11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0" fillId="13" borderId="4" applyAlignment="1" pivotButton="0" quotePrefix="0" xfId="0">
      <alignment horizontal="center"/>
    </xf>
    <xf numFmtId="0" fontId="7" fillId="10" borderId="4" applyAlignment="1" pivotButton="0" quotePrefix="0" xfId="0">
      <alignment horizontal="left"/>
    </xf>
    <xf numFmtId="0" fontId="0" fillId="0" borderId="9" applyAlignment="1" pivotButton="0" quotePrefix="0" xfId="0">
      <alignment horizontal="right" vertical="center"/>
    </xf>
    <xf numFmtId="0" fontId="0" fillId="0" borderId="10" applyAlignment="1" pivotButton="0" quotePrefix="0" xfId="0">
      <alignment horizontal="right" vertical="center"/>
    </xf>
    <xf numFmtId="0" fontId="0" fillId="0" borderId="11" applyAlignment="1" pivotButton="0" quotePrefix="0" xfId="0">
      <alignment horizontal="right" vertical="center"/>
    </xf>
    <xf numFmtId="0" fontId="5" fillId="7" borderId="4" applyAlignment="1" pivotButton="0" quotePrefix="0" xfId="0">
      <alignment horizontal="center" vertical="center"/>
    </xf>
    <xf numFmtId="9" fontId="0" fillId="0" borderId="0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4" applyAlignment="1" pivotButton="0" quotePrefix="0" xfId="0">
      <alignment horizontal="right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topLeftCell="A15" zoomScale="160" zoomScaleNormal="160" workbookViewId="0">
      <selection activeCell="G37" sqref="G37"/>
    </sheetView>
  </sheetViews>
  <sheetFormatPr baseColWidth="10" defaultColWidth="3.5" defaultRowHeight="14"/>
  <cols>
    <col width="2.83203125" bestFit="1" customWidth="1" style="2" min="1" max="1"/>
    <col width="50.33203125" bestFit="1" customWidth="1" style="2" min="2" max="2"/>
    <col width="2.5" customWidth="1" style="2" min="3" max="3"/>
    <col width="4.6640625" customWidth="1" style="2" min="4" max="4"/>
    <col width="5.5" customWidth="1" style="2" min="5" max="5"/>
    <col width="4.83203125" customWidth="1" style="2" min="6" max="6"/>
    <col width="8.33203125" bestFit="1" customWidth="1" style="2" min="7" max="7"/>
    <col width="4.5" bestFit="1" customWidth="1" style="2" min="8" max="12"/>
    <col width="4.83203125" bestFit="1" customWidth="1" style="2" min="13" max="25"/>
    <col width="5.5" bestFit="1" customWidth="1" style="2" min="26" max="26"/>
    <col width="6.5" customWidth="1" style="2" min="27" max="27"/>
    <col width="5.33203125" customWidth="1" style="2" min="28" max="28"/>
    <col width="14.1640625" bestFit="1" customWidth="1" style="2" min="29" max="29"/>
    <col width="3.5" customWidth="1" style="2" min="30" max="16384"/>
  </cols>
  <sheetData>
    <row r="1" ht="18" customHeight="1">
      <c r="B1" s="1" t="inlineStr">
        <is>
          <t>Fuel App Development and Deployment</t>
        </is>
      </c>
      <c r="C1" s="1" t="n"/>
    </row>
    <row r="2" ht="49" customHeight="1" thickBot="1">
      <c r="D2" s="16" t="n">
        <v>45866</v>
      </c>
      <c r="E2" s="16">
        <f>+D2+7</f>
        <v/>
      </c>
      <c r="F2" s="16">
        <f>+E2+7</f>
        <v/>
      </c>
      <c r="G2" s="16">
        <f>+F2+7</f>
        <v/>
      </c>
      <c r="H2" s="16">
        <f>+G2+7</f>
        <v/>
      </c>
      <c r="I2" s="16">
        <f>+H2+7</f>
        <v/>
      </c>
      <c r="J2" s="16">
        <f>+I2+7</f>
        <v/>
      </c>
      <c r="K2" s="16">
        <f>+J2+7</f>
        <v/>
      </c>
      <c r="L2" s="16">
        <f>+K2+7</f>
        <v/>
      </c>
      <c r="M2" s="16">
        <f>+L2+7</f>
        <v/>
      </c>
      <c r="N2" s="16">
        <f>+M2+7</f>
        <v/>
      </c>
      <c r="O2" s="16">
        <f>+N2+7</f>
        <v/>
      </c>
      <c r="P2" s="16">
        <f>+O2+7</f>
        <v/>
      </c>
      <c r="Q2" s="16">
        <f>+P2+7</f>
        <v/>
      </c>
      <c r="R2" s="16">
        <f>+Q2+7</f>
        <v/>
      </c>
      <c r="S2" s="16">
        <f>+R2+7</f>
        <v/>
      </c>
      <c r="T2" s="16">
        <f>+S2+7</f>
        <v/>
      </c>
      <c r="U2" s="16">
        <f>+T2+7</f>
        <v/>
      </c>
      <c r="V2" s="16">
        <f>+U2+7</f>
        <v/>
      </c>
      <c r="W2" s="16">
        <f>+V2+7</f>
        <v/>
      </c>
      <c r="X2" s="16">
        <f>+W2+7</f>
        <v/>
      </c>
      <c r="Y2" s="16">
        <f>+X2+7</f>
        <v/>
      </c>
      <c r="Z2" s="16">
        <f>+Y2+7</f>
        <v/>
      </c>
      <c r="AA2" s="16">
        <f>+Z2+7</f>
        <v/>
      </c>
      <c r="AB2" s="16">
        <f>+AA2+7</f>
        <v/>
      </c>
    </row>
    <row r="3" ht="15" customHeight="1">
      <c r="B3" s="3" t="inlineStr">
        <is>
          <t>Project Phases</t>
        </is>
      </c>
      <c r="C3" s="4" t="n"/>
      <c r="D3" s="18" t="inlineStr">
        <is>
          <t>W1</t>
        </is>
      </c>
      <c r="E3" s="18" t="inlineStr">
        <is>
          <t>W2</t>
        </is>
      </c>
      <c r="F3" s="18" t="inlineStr">
        <is>
          <t>W3</t>
        </is>
      </c>
      <c r="G3" s="18" t="inlineStr">
        <is>
          <t>W4</t>
        </is>
      </c>
      <c r="H3" s="18" t="inlineStr">
        <is>
          <t>W5</t>
        </is>
      </c>
      <c r="I3" s="18" t="inlineStr">
        <is>
          <t>W6</t>
        </is>
      </c>
      <c r="J3" s="18" t="inlineStr">
        <is>
          <t>W7</t>
        </is>
      </c>
      <c r="K3" s="18" t="inlineStr">
        <is>
          <t>W8</t>
        </is>
      </c>
      <c r="L3" s="18" t="inlineStr">
        <is>
          <t>W9</t>
        </is>
      </c>
      <c r="M3" s="18" t="inlineStr">
        <is>
          <t>W10</t>
        </is>
      </c>
      <c r="N3" s="18" t="inlineStr">
        <is>
          <t>W11</t>
        </is>
      </c>
      <c r="O3" s="18" t="inlineStr">
        <is>
          <t>W12</t>
        </is>
      </c>
      <c r="P3" s="18" t="inlineStr">
        <is>
          <t>W13</t>
        </is>
      </c>
      <c r="Q3" s="18" t="inlineStr">
        <is>
          <t>W14</t>
        </is>
      </c>
      <c r="R3" s="18" t="inlineStr">
        <is>
          <t>W15</t>
        </is>
      </c>
      <c r="S3" s="18" t="inlineStr">
        <is>
          <t>W16</t>
        </is>
      </c>
      <c r="T3" s="18" t="inlineStr">
        <is>
          <t>W17</t>
        </is>
      </c>
      <c r="U3" s="18" t="inlineStr">
        <is>
          <t>W18</t>
        </is>
      </c>
      <c r="V3" s="18" t="inlineStr">
        <is>
          <t>W19</t>
        </is>
      </c>
      <c r="W3" s="18" t="inlineStr">
        <is>
          <t>W20</t>
        </is>
      </c>
      <c r="X3" s="18" t="inlineStr">
        <is>
          <t>W21</t>
        </is>
      </c>
      <c r="Y3" s="28" t="inlineStr">
        <is>
          <t>W22</t>
        </is>
      </c>
      <c r="Z3" s="39" t="inlineStr">
        <is>
          <t>W23</t>
        </is>
      </c>
      <c r="AA3" s="39" t="inlineStr">
        <is>
          <t>W24</t>
        </is>
      </c>
      <c r="AB3" s="39" t="inlineStr">
        <is>
          <t>W25</t>
        </is>
      </c>
    </row>
    <row r="4">
      <c r="B4" s="5" t="inlineStr">
        <is>
          <t>Ideation and Business Alignment</t>
        </is>
      </c>
      <c r="C4" s="5" t="n"/>
      <c r="D4" s="6" t="n"/>
      <c r="E4" s="6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</row>
    <row r="5">
      <c r="B5" s="5" t="inlineStr">
        <is>
          <t>Design and Architecture</t>
        </is>
      </c>
      <c r="C5" s="5" t="n"/>
      <c r="D5" s="5" t="n"/>
      <c r="E5" s="5" t="n"/>
      <c r="F5" s="7" t="n"/>
      <c r="G5" s="7" t="n"/>
      <c r="H5" s="7" t="n"/>
      <c r="I5" s="7" t="n"/>
      <c r="J5" s="7" t="n"/>
      <c r="K5" s="7" t="n"/>
      <c r="L5" s="7" t="n"/>
      <c r="M5" s="7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</row>
    <row r="6">
      <c r="B6" s="5" t="inlineStr">
        <is>
          <t>Build &amp; Configure (BTP Dev)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8" t="n"/>
      <c r="M6" s="8" t="n"/>
      <c r="N6" s="8" t="n"/>
      <c r="O6" s="8" t="n"/>
      <c r="P6" s="8" t="n"/>
      <c r="Q6" s="8" t="n"/>
      <c r="R6" s="8" t="n"/>
      <c r="S6" s="8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</row>
    <row r="7">
      <c r="B7" s="5" t="inlineStr">
        <is>
          <t>Test &amp; Validate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9" t="n"/>
      <c r="U7" s="9" t="n"/>
      <c r="V7" s="9" t="n"/>
      <c r="W7" s="9" t="n"/>
      <c r="X7" s="9" t="n"/>
      <c r="Y7" s="9" t="n"/>
      <c r="Z7" s="9" t="n"/>
      <c r="AA7" s="9" t="n"/>
      <c r="AB7" s="5" t="n"/>
    </row>
    <row r="8">
      <c r="B8" s="5" t="inlineStr">
        <is>
          <t>Deployment &amp; Go Live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10" t="n"/>
    </row>
    <row r="9">
      <c r="B9" s="5" t="inlineStr">
        <is>
          <t>Support and Continuous Innovation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</row>
    <row r="11" ht="15" customHeight="1" thickBot="1"/>
    <row r="12" ht="16" customHeight="1" thickBot="1">
      <c r="B12" s="11" t="inlineStr">
        <is>
          <t>Resources Estimate (In Hours)</t>
        </is>
      </c>
      <c r="C12" s="5" t="n"/>
      <c r="D12" s="18" t="inlineStr">
        <is>
          <t>W1</t>
        </is>
      </c>
      <c r="E12" s="18" t="inlineStr">
        <is>
          <t>W2</t>
        </is>
      </c>
      <c r="F12" s="18" t="inlineStr">
        <is>
          <t>W3</t>
        </is>
      </c>
      <c r="G12" s="18" t="inlineStr">
        <is>
          <t>W4</t>
        </is>
      </c>
      <c r="H12" s="18" t="inlineStr">
        <is>
          <t>W5</t>
        </is>
      </c>
      <c r="I12" s="18" t="inlineStr">
        <is>
          <t>W6</t>
        </is>
      </c>
      <c r="J12" s="18" t="inlineStr">
        <is>
          <t>W7</t>
        </is>
      </c>
      <c r="K12" s="18" t="inlineStr">
        <is>
          <t>W8</t>
        </is>
      </c>
      <c r="L12" s="18" t="inlineStr">
        <is>
          <t>W9</t>
        </is>
      </c>
      <c r="M12" s="18" t="inlineStr">
        <is>
          <t>W10</t>
        </is>
      </c>
      <c r="N12" s="18" t="inlineStr">
        <is>
          <t>W11</t>
        </is>
      </c>
      <c r="O12" s="18" t="inlineStr">
        <is>
          <t>W12</t>
        </is>
      </c>
      <c r="P12" s="18" t="inlineStr">
        <is>
          <t>W13</t>
        </is>
      </c>
      <c r="Q12" s="18" t="inlineStr">
        <is>
          <t>W14</t>
        </is>
      </c>
      <c r="R12" s="18" t="inlineStr">
        <is>
          <t>W15</t>
        </is>
      </c>
      <c r="S12" s="18" t="inlineStr">
        <is>
          <t>W16</t>
        </is>
      </c>
      <c r="T12" s="18" t="inlineStr">
        <is>
          <t>W17</t>
        </is>
      </c>
      <c r="U12" s="18" t="inlineStr">
        <is>
          <t>W18</t>
        </is>
      </c>
      <c r="V12" s="18" t="inlineStr">
        <is>
          <t>W19</t>
        </is>
      </c>
      <c r="W12" s="18" t="inlineStr">
        <is>
          <t>W20</t>
        </is>
      </c>
      <c r="X12" s="18" t="inlineStr">
        <is>
          <t>W21</t>
        </is>
      </c>
      <c r="Y12" s="18" t="inlineStr">
        <is>
          <t>W22</t>
        </is>
      </c>
      <c r="Z12" s="18" t="inlineStr">
        <is>
          <t>W23</t>
        </is>
      </c>
      <c r="AA12" s="18" t="inlineStr">
        <is>
          <t>W24</t>
        </is>
      </c>
      <c r="AB12" s="18" t="inlineStr">
        <is>
          <t>W25</t>
        </is>
      </c>
      <c r="AC12" s="5" t="inlineStr">
        <is>
          <t>Total</t>
        </is>
      </c>
    </row>
    <row r="13">
      <c r="B13" s="12" t="inlineStr">
        <is>
          <t>Project Manager</t>
        </is>
      </c>
      <c r="C13" s="5" t="n"/>
      <c r="D13" s="5">
        <f>+$AJ$13</f>
        <v/>
      </c>
      <c r="E13" s="5">
        <f>+$AJ$13</f>
        <v/>
      </c>
      <c r="F13" s="5">
        <f>+$AJ$13</f>
        <v/>
      </c>
      <c r="G13" s="5">
        <f>+$AJ$13</f>
        <v/>
      </c>
      <c r="H13" s="5">
        <f>+$AJ$13</f>
        <v/>
      </c>
      <c r="I13" s="5">
        <f>+$AJ$13</f>
        <v/>
      </c>
      <c r="J13" s="5">
        <f>+$AJ$13</f>
        <v/>
      </c>
      <c r="K13" s="5">
        <f>+$AJ$13</f>
        <v/>
      </c>
      <c r="L13" s="5">
        <f>+$AJ$13</f>
        <v/>
      </c>
      <c r="M13" s="5">
        <f>+$AJ$13</f>
        <v/>
      </c>
      <c r="N13" s="5">
        <f>+$AJ$13</f>
        <v/>
      </c>
      <c r="O13" s="5">
        <f>+$AJ$13</f>
        <v/>
      </c>
      <c r="P13" s="5">
        <f>+$AJ$13</f>
        <v/>
      </c>
      <c r="Q13" s="5">
        <f>+$AJ$13</f>
        <v/>
      </c>
      <c r="R13" s="5">
        <f>+$AJ$13</f>
        <v/>
      </c>
      <c r="S13" s="5">
        <f>+$AJ$13</f>
        <v/>
      </c>
      <c r="T13" s="5">
        <f>+$AJ$13</f>
        <v/>
      </c>
      <c r="U13" s="5">
        <f>+$AJ$13</f>
        <v/>
      </c>
      <c r="V13" s="5">
        <f>+$AJ$13</f>
        <v/>
      </c>
      <c r="W13" s="5">
        <f>+$AJ$13</f>
        <v/>
      </c>
      <c r="X13" s="5">
        <f>+$AJ$13</f>
        <v/>
      </c>
      <c r="Y13" s="5">
        <f>+$AJ$13</f>
        <v/>
      </c>
      <c r="Z13" s="5">
        <f>+$AJ$13</f>
        <v/>
      </c>
      <c r="AA13" s="5">
        <f>+$AJ$13</f>
        <v/>
      </c>
      <c r="AB13" s="5">
        <f>+$AJ$13</f>
        <v/>
      </c>
      <c r="AC13" s="5">
        <f>SUM(D13:AB13)</f>
        <v/>
      </c>
      <c r="AJ13" s="2" t="n">
        <v>40</v>
      </c>
    </row>
    <row r="14">
      <c r="B14" s="29" t="inlineStr">
        <is>
          <t>Solution Architect - SAP</t>
        </is>
      </c>
      <c r="C14" s="5" t="n"/>
      <c r="D14" s="5" t="n">
        <v>4</v>
      </c>
      <c r="E14" s="5" t="n">
        <v>4</v>
      </c>
      <c r="F14" s="5" t="n">
        <v>8</v>
      </c>
      <c r="G14" s="5" t="n">
        <v>8</v>
      </c>
      <c r="H14" s="5" t="n">
        <v>16</v>
      </c>
      <c r="I14" s="5" t="n">
        <v>16</v>
      </c>
      <c r="J14" s="5" t="n">
        <v>16</v>
      </c>
      <c r="K14" s="5" t="n">
        <v>16</v>
      </c>
      <c r="L14" s="5" t="n">
        <v>8</v>
      </c>
      <c r="M14" s="5" t="n">
        <v>8</v>
      </c>
      <c r="N14" s="5" t="n">
        <v>8</v>
      </c>
      <c r="O14" s="5" t="n">
        <v>8</v>
      </c>
      <c r="P14" s="5" t="n">
        <v>8</v>
      </c>
      <c r="Q14" s="5" t="n">
        <v>8</v>
      </c>
      <c r="R14" s="5" t="n">
        <v>8</v>
      </c>
      <c r="S14" s="5" t="n">
        <v>8</v>
      </c>
      <c r="T14" s="5" t="n">
        <v>12</v>
      </c>
      <c r="U14" s="5" t="n">
        <v>12</v>
      </c>
      <c r="V14" s="5" t="n">
        <v>12</v>
      </c>
      <c r="W14" s="5" t="n">
        <v>12</v>
      </c>
      <c r="X14" s="5" t="n">
        <v>12</v>
      </c>
      <c r="Y14" s="5" t="n">
        <v>12</v>
      </c>
      <c r="Z14" s="5" t="n">
        <v>12</v>
      </c>
      <c r="AA14" s="5" t="n">
        <v>12</v>
      </c>
      <c r="AB14" s="5" t="n">
        <v>8</v>
      </c>
      <c r="AC14" s="5">
        <f>SUM(D14:AB14)</f>
        <v/>
      </c>
    </row>
    <row r="15">
      <c r="B15" s="29" t="inlineStr">
        <is>
          <t>Solution Architect</t>
        </is>
      </c>
      <c r="C15" s="5" t="n"/>
      <c r="D15" s="5">
        <f>+$AJ$13</f>
        <v/>
      </c>
      <c r="E15" s="5">
        <f>+$AJ$13</f>
        <v/>
      </c>
      <c r="F15" s="5">
        <f>+$AJ$13</f>
        <v/>
      </c>
      <c r="G15" s="5">
        <f>+$AJ$13</f>
        <v/>
      </c>
      <c r="H15" s="5">
        <f>+$AJ$13</f>
        <v/>
      </c>
      <c r="I15" s="5">
        <f>+$AJ$13</f>
        <v/>
      </c>
      <c r="J15" s="5">
        <f>+$AJ$13</f>
        <v/>
      </c>
      <c r="K15" s="5">
        <f>+$AJ$13</f>
        <v/>
      </c>
      <c r="L15" s="5">
        <f>+$AJ$13</f>
        <v/>
      </c>
      <c r="M15" s="5">
        <f>+$AJ$13</f>
        <v/>
      </c>
      <c r="N15" s="5">
        <f>+$AJ$13</f>
        <v/>
      </c>
      <c r="O15" s="5">
        <f>+$AJ$13</f>
        <v/>
      </c>
      <c r="P15" s="5">
        <f>+$AJ$13</f>
        <v/>
      </c>
      <c r="Q15" s="5">
        <f>+$AJ$13</f>
        <v/>
      </c>
      <c r="R15" s="5">
        <f>+$AJ$13</f>
        <v/>
      </c>
      <c r="S15" s="5">
        <f>+$AJ$13</f>
        <v/>
      </c>
      <c r="T15" s="5">
        <f>+$AJ$13*0.5</f>
        <v/>
      </c>
      <c r="U15" s="5">
        <f>+$AJ$13*0.5</f>
        <v/>
      </c>
      <c r="V15" s="5">
        <f>+$AJ$13*0.5</f>
        <v/>
      </c>
      <c r="W15" s="5">
        <f>+$AJ$13*0.5</f>
        <v/>
      </c>
      <c r="X15" s="5">
        <f>+$AJ$13*0.5</f>
        <v/>
      </c>
      <c r="Y15" s="5">
        <f>+$AJ$13*0.5</f>
        <v/>
      </c>
      <c r="Z15" s="5">
        <f>+$AJ$13*0.5</f>
        <v/>
      </c>
      <c r="AA15" s="5">
        <f>+$AJ$13*0.5</f>
        <v/>
      </c>
      <c r="AB15" s="5">
        <f>+$AJ$13*0.5</f>
        <v/>
      </c>
      <c r="AC15" s="5">
        <f>SUM(D15:AB15)</f>
        <v/>
      </c>
    </row>
    <row r="16" customFormat="1" s="45">
      <c r="B16" s="44" t="inlineStr">
        <is>
          <t>BTP Developer</t>
        </is>
      </c>
      <c r="C16" s="10" t="n"/>
      <c r="D16" s="10">
        <f>+$AJ$13*0.5</f>
        <v/>
      </c>
      <c r="E16" s="10">
        <f>+$AJ$13*0.5</f>
        <v/>
      </c>
      <c r="F16" s="10">
        <f>+$AJ$13*0.5</f>
        <v/>
      </c>
      <c r="G16" s="10">
        <f>+$AJ$13*0.5</f>
        <v/>
      </c>
      <c r="H16" s="10">
        <f>+$AJ$13*0.5</f>
        <v/>
      </c>
      <c r="I16" s="10">
        <f>+$AJ$13*0.5</f>
        <v/>
      </c>
      <c r="J16" s="10">
        <f>+$AJ$13*0.5</f>
        <v/>
      </c>
      <c r="K16" s="10">
        <f>+$AJ$13*0.5</f>
        <v/>
      </c>
      <c r="L16" s="10">
        <f>+$AJ$13*2</f>
        <v/>
      </c>
      <c r="M16" s="10">
        <f>+$AJ$13*2</f>
        <v/>
      </c>
      <c r="N16" s="10">
        <f>+$AJ$13*2</f>
        <v/>
      </c>
      <c r="O16" s="10">
        <f>+$AJ$13*2</f>
        <v/>
      </c>
      <c r="P16" s="10">
        <f>+$AJ$13*2</f>
        <v/>
      </c>
      <c r="Q16" s="10">
        <f>+$AJ$13*2</f>
        <v/>
      </c>
      <c r="R16" s="10">
        <f>+$AJ$13*2</f>
        <v/>
      </c>
      <c r="S16" s="10">
        <f>+$AJ$13*2</f>
        <v/>
      </c>
      <c r="T16" s="10">
        <f>+$AJ$13</f>
        <v/>
      </c>
      <c r="U16" s="10">
        <f>+$AJ$13</f>
        <v/>
      </c>
      <c r="V16" s="10">
        <f>+$AJ$13</f>
        <v/>
      </c>
      <c r="W16" s="10">
        <f>+$AJ$13</f>
        <v/>
      </c>
      <c r="X16" s="10">
        <f>+$AJ$13</f>
        <v/>
      </c>
      <c r="Y16" s="10">
        <f>+$AJ$13</f>
        <v/>
      </c>
      <c r="Z16" s="10">
        <f>+$AJ$13</f>
        <v/>
      </c>
      <c r="AA16" s="10">
        <f>+$AJ$13</f>
        <v/>
      </c>
      <c r="AB16" s="10">
        <f>+$AJ$13</f>
        <v/>
      </c>
      <c r="AC16" s="10">
        <f>SUM(D16:AB16)</f>
        <v/>
      </c>
    </row>
    <row r="17" customFormat="1" s="45">
      <c r="B17" s="44" t="inlineStr">
        <is>
          <t>Integration Specialist</t>
        </is>
      </c>
      <c r="C17" s="10" t="n"/>
      <c r="D17" s="10">
        <f>+$AJ$13*0.2</f>
        <v/>
      </c>
      <c r="E17" s="10">
        <f>+$AJ$13*0.2</f>
        <v/>
      </c>
      <c r="F17" s="10">
        <f>+$AJ$13*0.5</f>
        <v/>
      </c>
      <c r="G17" s="10">
        <f>+$AJ$13*0.5</f>
        <v/>
      </c>
      <c r="H17" s="10">
        <f>+$AJ$13*0.5</f>
        <v/>
      </c>
      <c r="I17" s="10">
        <f>+$AJ$13*0.5</f>
        <v/>
      </c>
      <c r="J17" s="10">
        <f>+$AJ$13*0.5</f>
        <v/>
      </c>
      <c r="K17" s="10">
        <f>+$AJ$13*0.5</f>
        <v/>
      </c>
      <c r="L17" s="10">
        <f>+$AJ$13</f>
        <v/>
      </c>
      <c r="M17" s="10">
        <f>+$AJ$13</f>
        <v/>
      </c>
      <c r="N17" s="10">
        <f>+$AJ$13</f>
        <v/>
      </c>
      <c r="O17" s="10">
        <f>+$AJ$13</f>
        <v/>
      </c>
      <c r="P17" s="10">
        <f>+$AJ$13</f>
        <v/>
      </c>
      <c r="Q17" s="10">
        <f>+$AJ$13</f>
        <v/>
      </c>
      <c r="R17" s="10">
        <f>+$AJ$13</f>
        <v/>
      </c>
      <c r="S17" s="10">
        <f>+$AJ$13</f>
        <v/>
      </c>
      <c r="T17" s="10">
        <f>+$AJ$13*0.5</f>
        <v/>
      </c>
      <c r="U17" s="10">
        <f>+$AJ$13*0.5</f>
        <v/>
      </c>
      <c r="V17" s="10">
        <f>+$AJ$13*0.5</f>
        <v/>
      </c>
      <c r="W17" s="10">
        <f>+$AJ$13*0.5</f>
        <v/>
      </c>
      <c r="X17" s="10">
        <f>+$AJ$13*0.5</f>
        <v/>
      </c>
      <c r="Y17" s="10">
        <f>+$AJ$13*0.5</f>
        <v/>
      </c>
      <c r="Z17" s="10">
        <f>+$AJ$13*0.5</f>
        <v/>
      </c>
      <c r="AA17" s="10">
        <f>+$AJ$13*0.5</f>
        <v/>
      </c>
      <c r="AB17" s="10">
        <f>+$AJ$13*0.5</f>
        <v/>
      </c>
      <c r="AC17" s="10">
        <f>SUM(D17:AB17)</f>
        <v/>
      </c>
    </row>
    <row r="18" customFormat="1" s="45">
      <c r="B18" s="44" t="inlineStr">
        <is>
          <t>UI/UX Developer</t>
        </is>
      </c>
      <c r="C18" s="10" t="n"/>
      <c r="D18" s="10" t="n">
        <v>0</v>
      </c>
      <c r="E18" s="10" t="n">
        <v>0</v>
      </c>
      <c r="F18" s="10">
        <f>+$AJ$13*0.5</f>
        <v/>
      </c>
      <c r="G18" s="10">
        <f>+$AJ$13*0.5</f>
        <v/>
      </c>
      <c r="H18" s="10">
        <f>+$AJ$13*0.5</f>
        <v/>
      </c>
      <c r="I18" s="10">
        <f>+$AJ$13*0.5</f>
        <v/>
      </c>
      <c r="J18" s="10">
        <f>+$AJ$13*0.5</f>
        <v/>
      </c>
      <c r="K18" s="10">
        <f>+$AJ$13*0.5</f>
        <v/>
      </c>
      <c r="L18" s="10">
        <f>+$AJ$13</f>
        <v/>
      </c>
      <c r="M18" s="10">
        <f>+$AJ$13</f>
        <v/>
      </c>
      <c r="N18" s="10">
        <f>+$AJ$13</f>
        <v/>
      </c>
      <c r="O18" s="10">
        <f>+$AJ$13</f>
        <v/>
      </c>
      <c r="P18" s="10">
        <f>+$AJ$13</f>
        <v/>
      </c>
      <c r="Q18" s="10">
        <f>+$AJ$13</f>
        <v/>
      </c>
      <c r="R18" s="10">
        <f>+$AJ$13</f>
        <v/>
      </c>
      <c r="S18" s="10">
        <f>+$AJ$13</f>
        <v/>
      </c>
      <c r="T18" s="10">
        <f>+$AJ$13*0.2</f>
        <v/>
      </c>
      <c r="U18" s="10">
        <f>+$AJ$13*0.2</f>
        <v/>
      </c>
      <c r="V18" s="10">
        <f>+$AJ$13*0.2</f>
        <v/>
      </c>
      <c r="W18" s="10">
        <f>+$AJ$13*0.2</f>
        <v/>
      </c>
      <c r="X18" s="10">
        <f>+$AJ$13*0.2</f>
        <v/>
      </c>
      <c r="Y18" s="10">
        <f>+$AJ$13*0.2</f>
        <v/>
      </c>
      <c r="Z18" s="10">
        <f>+$AJ$13*0.2</f>
        <v/>
      </c>
      <c r="AA18" s="10">
        <f>+$AJ$13*0.2</f>
        <v/>
      </c>
      <c r="AB18" s="10">
        <f>+$AJ$13*0.2</f>
        <v/>
      </c>
      <c r="AC18" s="10">
        <f>SUM(D18:AB18)</f>
        <v/>
      </c>
    </row>
    <row r="19" customFormat="1" s="45">
      <c r="B19" s="44" t="inlineStr">
        <is>
          <t>QA Engineer</t>
        </is>
      </c>
      <c r="C19" s="10" t="n"/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>
        <f>+$AJ$13*0.5</f>
        <v/>
      </c>
      <c r="M19" s="10">
        <f>+$AJ$13*0.5</f>
        <v/>
      </c>
      <c r="N19" s="10">
        <f>+$AJ$13*0.5</f>
        <v/>
      </c>
      <c r="O19" s="10">
        <f>+$AJ$13*0.5</f>
        <v/>
      </c>
      <c r="P19" s="10">
        <f>+$AJ$13*0.5</f>
        <v/>
      </c>
      <c r="Q19" s="10">
        <f>+$AJ$13*0.5</f>
        <v/>
      </c>
      <c r="R19" s="10">
        <f>+$AJ$13*0.5</f>
        <v/>
      </c>
      <c r="S19" s="10">
        <f>+$AJ$13*0.5</f>
        <v/>
      </c>
      <c r="T19" s="10">
        <f>+$AJ$13</f>
        <v/>
      </c>
      <c r="U19" s="10">
        <f>+$AJ$13</f>
        <v/>
      </c>
      <c r="V19" s="10">
        <f>+$AJ$13</f>
        <v/>
      </c>
      <c r="W19" s="10">
        <f>+$AJ$13</f>
        <v/>
      </c>
      <c r="X19" s="10">
        <f>+$AJ$13</f>
        <v/>
      </c>
      <c r="Y19" s="10">
        <f>+$AJ$13</f>
        <v/>
      </c>
      <c r="Z19" s="10">
        <f>+$AJ$13</f>
        <v/>
      </c>
      <c r="AA19" s="10">
        <f>+$AJ$13</f>
        <v/>
      </c>
      <c r="AB19" s="10">
        <f>+$AJ$13*0.5</f>
        <v/>
      </c>
      <c r="AC19" s="10">
        <f>SUM(D19:AB19)</f>
        <v/>
      </c>
    </row>
    <row r="20" customFormat="1" s="45">
      <c r="B20" s="44" t="inlineStr">
        <is>
          <t>Knowledge Management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</row>
    <row r="21" customFormat="1" s="45">
      <c r="B21" s="44" t="inlineStr">
        <is>
          <t>Security - Compliance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</row>
    <row r="22">
      <c r="B22" s="13" t="inlineStr">
        <is>
          <t>Business Analyst</t>
        </is>
      </c>
      <c r="C22" s="5" t="n"/>
      <c r="D22" s="5">
        <f>+$AJ$13*0.5</f>
        <v/>
      </c>
      <c r="E22" s="5">
        <f>+$AJ$13*0.5</f>
        <v/>
      </c>
      <c r="F22" s="5">
        <f>+$AJ$13</f>
        <v/>
      </c>
      <c r="G22" s="5">
        <f>+$AJ$13</f>
        <v/>
      </c>
      <c r="H22" s="5">
        <f>+$AJ$13</f>
        <v/>
      </c>
      <c r="I22" s="5">
        <f>+$AJ$13</f>
        <v/>
      </c>
      <c r="J22" s="5">
        <f>+$AJ$13</f>
        <v/>
      </c>
      <c r="K22" s="5">
        <f>+$AJ$13</f>
        <v/>
      </c>
      <c r="L22" s="5">
        <f>+$AJ$13*0.3</f>
        <v/>
      </c>
      <c r="M22" s="5">
        <f>+$AJ$13*0.3</f>
        <v/>
      </c>
      <c r="N22" s="5">
        <f>+$AJ$13*0.3</f>
        <v/>
      </c>
      <c r="O22" s="5">
        <f>+$AJ$13*0.3</f>
        <v/>
      </c>
      <c r="P22" s="5">
        <f>+$AJ$13*0.3</f>
        <v/>
      </c>
      <c r="Q22" s="5">
        <f>+$AJ$13*0.3</f>
        <v/>
      </c>
      <c r="R22" s="5">
        <f>+$AJ$13*0.3</f>
        <v/>
      </c>
      <c r="S22" s="5">
        <f>+$AJ$13*0.3</f>
        <v/>
      </c>
      <c r="T22" s="5">
        <f>+$AJ$13*0.5</f>
        <v/>
      </c>
      <c r="U22" s="5">
        <f>+$AJ$13*0.5</f>
        <v/>
      </c>
      <c r="V22" s="5">
        <f>+$AJ$13*0.5</f>
        <v/>
      </c>
      <c r="W22" s="5">
        <f>+$AJ$13*0.5</f>
        <v/>
      </c>
      <c r="X22" s="5">
        <f>+$AJ$13*0.5</f>
        <v/>
      </c>
      <c r="Y22" s="5">
        <f>+$AJ$13*0.5</f>
        <v/>
      </c>
      <c r="Z22" s="5">
        <f>+$AJ$13*0.5</f>
        <v/>
      </c>
      <c r="AA22" s="5">
        <f>+$AJ$13*0.5</f>
        <v/>
      </c>
      <c r="AB22" s="5">
        <f>+$AJ$13*0.2</f>
        <v/>
      </c>
      <c r="AC22" s="5">
        <f>SUM(D22:AB22)</f>
        <v/>
      </c>
    </row>
    <row r="23">
      <c r="B23" s="13" t="inlineStr">
        <is>
          <t>DevOps Engineer</t>
        </is>
      </c>
      <c r="C23" s="5" t="n"/>
      <c r="D23" s="5">
        <f>+$AJ$13*0.2</f>
        <v/>
      </c>
      <c r="E23" s="5">
        <f>+$AJ$13*0.2</f>
        <v/>
      </c>
      <c r="F23" s="5">
        <f>+$AJ$13*0.2</f>
        <v/>
      </c>
      <c r="G23" s="5">
        <f>+$AJ$13*0.2</f>
        <v/>
      </c>
      <c r="H23" s="5">
        <f>+$AJ$13*0.2</f>
        <v/>
      </c>
      <c r="I23" s="5">
        <f>+$AJ$13*0.2</f>
        <v/>
      </c>
      <c r="J23" s="5">
        <f>+$AJ$13*0.2</f>
        <v/>
      </c>
      <c r="K23" s="5">
        <f>+$AJ$13*0.2</f>
        <v/>
      </c>
      <c r="L23" s="5">
        <f>+$AJ$13*0.5</f>
        <v/>
      </c>
      <c r="M23" s="5">
        <f>+$AJ$13*0.5</f>
        <v/>
      </c>
      <c r="N23" s="5">
        <f>+$AJ$13*0.5</f>
        <v/>
      </c>
      <c r="O23" s="5">
        <f>+$AJ$13*0.5</f>
        <v/>
      </c>
      <c r="P23" s="5">
        <f>+$AJ$13*0.5</f>
        <v/>
      </c>
      <c r="Q23" s="5">
        <f>+$AJ$13*0.5</f>
        <v/>
      </c>
      <c r="R23" s="5">
        <f>+$AJ$13*0.5</f>
        <v/>
      </c>
      <c r="S23" s="5">
        <f>+$AJ$13*0.5</f>
        <v/>
      </c>
      <c r="T23" s="5">
        <f>+$AJ$13*0.3</f>
        <v/>
      </c>
      <c r="U23" s="5">
        <f>+$AJ$13*0.3</f>
        <v/>
      </c>
      <c r="V23" s="5">
        <f>+$AJ$13*0.3</f>
        <v/>
      </c>
      <c r="W23" s="5">
        <f>+$AJ$13*0.3</f>
        <v/>
      </c>
      <c r="X23" s="5">
        <f>+$AJ$13*0.3</f>
        <v/>
      </c>
      <c r="Y23" s="5">
        <f>+$AJ$13*0.3</f>
        <v/>
      </c>
      <c r="Z23" s="5">
        <f>+$AJ$13*0.3</f>
        <v/>
      </c>
      <c r="AA23" s="5">
        <f>+$AJ$13*0.3</f>
        <v/>
      </c>
      <c r="AB23" s="5">
        <f>+$AJ$13</f>
        <v/>
      </c>
      <c r="AC23" s="5">
        <f>SUM(D23:AB23)</f>
        <v/>
      </c>
    </row>
    <row r="24">
      <c r="B24" s="13" t="n"/>
      <c r="C24" s="30" t="n"/>
      <c r="D24" s="40" t="n"/>
      <c r="E24" s="40" t="n"/>
      <c r="F24" s="40" t="n"/>
      <c r="G24" s="40" t="n"/>
      <c r="H24" s="40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40" t="n"/>
    </row>
    <row r="25" ht="15" customHeight="1" thickBot="1">
      <c r="B25" s="14" t="inlineStr">
        <is>
          <t>Total</t>
        </is>
      </c>
      <c r="C25" s="15" t="n"/>
      <c r="D25" s="5">
        <f>SUM(D13:D24)</f>
        <v/>
      </c>
      <c r="E25" s="5">
        <f>SUM(E13:E24)</f>
        <v/>
      </c>
      <c r="F25" s="5">
        <f>SUM(F13:F24)</f>
        <v/>
      </c>
      <c r="G25" s="5">
        <f>SUM(G13:G24)</f>
        <v/>
      </c>
      <c r="H25" s="5">
        <f>SUM(H13:H24)</f>
        <v/>
      </c>
      <c r="I25" s="5">
        <f>SUM(I13:I24)</f>
        <v/>
      </c>
      <c r="J25" s="5">
        <f>SUM(J13:J24)</f>
        <v/>
      </c>
      <c r="K25" s="5">
        <f>SUM(K13:K24)</f>
        <v/>
      </c>
      <c r="L25" s="5">
        <f>SUM(L13:L24)</f>
        <v/>
      </c>
      <c r="M25" s="5">
        <f>SUM(M13:M24)</f>
        <v/>
      </c>
      <c r="N25" s="5">
        <f>SUM(N13:N24)</f>
        <v/>
      </c>
      <c r="O25" s="5">
        <f>SUM(O13:O24)</f>
        <v/>
      </c>
      <c r="P25" s="5">
        <f>SUM(P13:P24)</f>
        <v/>
      </c>
      <c r="Q25" s="5">
        <f>SUM(Q13:Q24)</f>
        <v/>
      </c>
      <c r="R25" s="5">
        <f>SUM(R13:R24)</f>
        <v/>
      </c>
      <c r="S25" s="5">
        <f>SUM(S13:S24)</f>
        <v/>
      </c>
      <c r="T25" s="5">
        <f>SUM(T13:T24)</f>
        <v/>
      </c>
      <c r="U25" s="5">
        <f>SUM(U13:U24)</f>
        <v/>
      </c>
      <c r="V25" s="5">
        <f>SUM(V13:V24)</f>
        <v/>
      </c>
      <c r="W25" s="5">
        <f>SUM(W13:W24)</f>
        <v/>
      </c>
      <c r="X25" s="5">
        <f>SUM(X13:X24)</f>
        <v/>
      </c>
      <c r="Y25" s="5">
        <f>SUM(Y13:Y24)</f>
        <v/>
      </c>
      <c r="Z25" s="5">
        <f>SUM(Z13:Z24)</f>
        <v/>
      </c>
      <c r="AA25" s="5">
        <f>SUM(AA13:AA24)</f>
        <v/>
      </c>
      <c r="AB25" s="5">
        <f>SUM(AB13:AB24)</f>
        <v/>
      </c>
      <c r="AC25" s="5">
        <f>SUM(AC13:AC24)</f>
        <v/>
      </c>
    </row>
    <row r="27">
      <c r="AC27" s="2">
        <f>AC25/8</f>
        <v/>
      </c>
    </row>
    <row r="28">
      <c r="B28" s="2" t="inlineStr">
        <is>
          <t>Assumptions:</t>
        </is>
      </c>
      <c r="AC28" s="42">
        <f>AC27*20000</f>
        <v/>
      </c>
    </row>
    <row r="29">
      <c r="A29" s="2" t="inlineStr">
        <is>
          <t>1)</t>
        </is>
      </c>
      <c r="AC29" s="43">
        <f>AC28/85</f>
        <v/>
      </c>
    </row>
    <row r="30">
      <c r="A30" s="2" t="inlineStr">
        <is>
          <t>2)</t>
        </is>
      </c>
      <c r="C30" s="2" t="inlineStr">
        <is>
          <t>FTE</t>
        </is>
      </c>
      <c r="D30" s="2" t="inlineStr">
        <is>
          <t>Involvement</t>
        </is>
      </c>
    </row>
    <row r="31">
      <c r="A31" s="2" t="inlineStr">
        <is>
          <t>3)</t>
        </is>
      </c>
      <c r="B31" s="2" t="inlineStr">
        <is>
          <t>BTP</t>
        </is>
      </c>
      <c r="C31" s="2" t="n">
        <v>1</v>
      </c>
      <c r="D31" s="2" t="n">
        <v>1</v>
      </c>
      <c r="E31" s="2">
        <f>D31*C31</f>
        <v/>
      </c>
    </row>
    <row r="32">
      <c r="A32" s="2" t="inlineStr">
        <is>
          <t>4)</t>
        </is>
      </c>
      <c r="B32" s="2" t="inlineStr">
        <is>
          <t xml:space="preserve">Functional </t>
        </is>
      </c>
      <c r="C32" s="2" t="n">
        <v>1</v>
      </c>
      <c r="D32" s="2" t="n">
        <v>1</v>
      </c>
      <c r="E32" s="2">
        <f>D32*C32</f>
        <v/>
      </c>
    </row>
    <row r="33">
      <c r="A33" s="2" t="inlineStr">
        <is>
          <t>5)</t>
        </is>
      </c>
      <c r="B33" s="2" t="inlineStr">
        <is>
          <t>ABAPER</t>
        </is>
      </c>
      <c r="C33" s="2" t="n">
        <v>1</v>
      </c>
      <c r="D33" s="2" t="n">
        <v>1</v>
      </c>
      <c r="E33" s="2">
        <f>D33*C33</f>
        <v/>
      </c>
    </row>
    <row r="34">
      <c r="A34" s="2" t="inlineStr">
        <is>
          <t>6)</t>
        </is>
      </c>
      <c r="B34" s="2" t="inlineStr">
        <is>
          <t>Integration</t>
        </is>
      </c>
      <c r="C34" s="2" t="n">
        <v>1</v>
      </c>
      <c r="D34" s="2" t="n">
        <v>0.25</v>
      </c>
      <c r="E34" s="2">
        <f>D34*C34</f>
        <v/>
      </c>
    </row>
    <row r="35">
      <c r="A35" s="2" t="inlineStr">
        <is>
          <t>7)</t>
        </is>
      </c>
      <c r="B35" s="2" t="inlineStr">
        <is>
          <t>PMO</t>
        </is>
      </c>
      <c r="C35" s="2" t="n">
        <v>1</v>
      </c>
      <c r="D35" s="2" t="n">
        <v>0.25</v>
      </c>
      <c r="E35" s="2">
        <f>D35*C35</f>
        <v/>
      </c>
    </row>
    <row r="36">
      <c r="A36" s="2" t="inlineStr">
        <is>
          <t>8)</t>
        </is>
      </c>
      <c r="B36" s="2" t="inlineStr">
        <is>
          <t>other</t>
        </is>
      </c>
      <c r="C36" s="2" t="n">
        <v>1</v>
      </c>
      <c r="D36" s="2" t="n">
        <v>0.5</v>
      </c>
      <c r="E36" s="2">
        <f>D36*C36</f>
        <v/>
      </c>
    </row>
    <row r="37">
      <c r="A37" s="2" t="inlineStr">
        <is>
          <t>9)</t>
        </is>
      </c>
      <c r="E37" s="2">
        <f>SUM(E31:E36)</f>
        <v/>
      </c>
      <c r="F37" s="2">
        <f>E37*6</f>
        <v/>
      </c>
      <c r="G37" s="2">
        <f>F37*20000*20</f>
        <v/>
      </c>
    </row>
    <row r="46">
      <c r="I46" s="2" t="n">
        <v>45870</v>
      </c>
    </row>
    <row r="47">
      <c r="I47" s="2">
        <f>+I46+7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5"/>
  <sheetViews>
    <sheetView workbookViewId="0">
      <selection activeCell="D13" sqref="D13:AB15"/>
    </sheetView>
  </sheetViews>
  <sheetFormatPr baseColWidth="10" defaultColWidth="3.5" defaultRowHeight="14"/>
  <cols>
    <col width="2.83203125" bestFit="1" customWidth="1" style="2" min="1" max="1"/>
    <col width="50.33203125" bestFit="1" customWidth="1" style="2" min="2" max="2"/>
    <col width="2.5" customWidth="1" style="2" min="3" max="3"/>
    <col width="4.6640625" customWidth="1" style="2" min="4" max="4"/>
    <col width="5.5" customWidth="1" style="2" min="5" max="5"/>
    <col width="4.83203125" customWidth="1" style="2" min="6" max="6"/>
    <col width="4.5" bestFit="1" customWidth="1" style="2" min="7" max="12"/>
    <col width="4.83203125" bestFit="1" customWidth="1" style="2" min="13" max="25"/>
    <col width="5.5" bestFit="1" customWidth="1" style="2" min="26" max="26"/>
    <col width="6.5" customWidth="1" style="2" min="27" max="27"/>
    <col width="5.33203125" customWidth="1" style="2" min="28" max="28"/>
    <col width="14.1640625" bestFit="1" customWidth="1" style="2" min="29" max="29"/>
    <col width="3.5" customWidth="1" style="2" min="30" max="16384"/>
  </cols>
  <sheetData>
    <row r="1" ht="18" customHeight="1">
      <c r="B1" s="1" t="inlineStr">
        <is>
          <t>Fuel App Development and Deployment</t>
        </is>
      </c>
      <c r="C1" s="1" t="n"/>
    </row>
    <row r="2" ht="49" customHeight="1" thickBot="1">
      <c r="D2" s="16" t="n">
        <v>45866</v>
      </c>
      <c r="E2" s="16">
        <f>+D2+7</f>
        <v/>
      </c>
      <c r="F2" s="16">
        <f>+E2+7</f>
        <v/>
      </c>
      <c r="G2" s="16">
        <f>+F2+7</f>
        <v/>
      </c>
      <c r="H2" s="16">
        <f>+G2+7</f>
        <v/>
      </c>
      <c r="I2" s="16">
        <f>+H2+7</f>
        <v/>
      </c>
      <c r="J2" s="16">
        <f>+I2+7</f>
        <v/>
      </c>
      <c r="K2" s="16">
        <f>+J2+7</f>
        <v/>
      </c>
      <c r="L2" s="16">
        <f>+K2+7</f>
        <v/>
      </c>
      <c r="M2" s="16">
        <f>+L2+7</f>
        <v/>
      </c>
      <c r="N2" s="16">
        <f>+M2+7</f>
        <v/>
      </c>
      <c r="O2" s="16">
        <f>+N2+7</f>
        <v/>
      </c>
      <c r="P2" s="16">
        <f>+O2+7</f>
        <v/>
      </c>
      <c r="Q2" s="16">
        <f>+P2+7</f>
        <v/>
      </c>
      <c r="R2" s="16">
        <f>+Q2+7</f>
        <v/>
      </c>
      <c r="S2" s="16">
        <f>+R2+7</f>
        <v/>
      </c>
      <c r="T2" s="16">
        <f>+S2+7</f>
        <v/>
      </c>
      <c r="U2" s="16">
        <f>+T2+7</f>
        <v/>
      </c>
      <c r="V2" s="16">
        <f>+U2+7</f>
        <v/>
      </c>
      <c r="W2" s="16">
        <f>+V2+7</f>
        <v/>
      </c>
      <c r="X2" s="16">
        <f>+W2+7</f>
        <v/>
      </c>
      <c r="Y2" s="16">
        <f>+X2+7</f>
        <v/>
      </c>
      <c r="Z2" s="16">
        <f>+Y2+7</f>
        <v/>
      </c>
      <c r="AA2" s="16">
        <f>+Z2+7</f>
        <v/>
      </c>
      <c r="AB2" s="16">
        <f>+AA2+7</f>
        <v/>
      </c>
    </row>
    <row r="3" ht="15" customHeight="1">
      <c r="B3" s="3" t="inlineStr">
        <is>
          <t>Project Phases</t>
        </is>
      </c>
      <c r="C3" s="4" t="n"/>
      <c r="D3" s="18" t="inlineStr">
        <is>
          <t>W1</t>
        </is>
      </c>
      <c r="E3" s="18" t="inlineStr">
        <is>
          <t>W2</t>
        </is>
      </c>
      <c r="F3" s="18" t="inlineStr">
        <is>
          <t>W3</t>
        </is>
      </c>
      <c r="G3" s="18" t="inlineStr">
        <is>
          <t>W4</t>
        </is>
      </c>
      <c r="H3" s="18" t="inlineStr">
        <is>
          <t>W5</t>
        </is>
      </c>
      <c r="I3" s="18" t="inlineStr">
        <is>
          <t>W6</t>
        </is>
      </c>
      <c r="J3" s="18" t="inlineStr">
        <is>
          <t>W7</t>
        </is>
      </c>
      <c r="K3" s="18" t="inlineStr">
        <is>
          <t>W8</t>
        </is>
      </c>
      <c r="L3" s="18" t="inlineStr">
        <is>
          <t>W9</t>
        </is>
      </c>
      <c r="M3" s="18" t="inlineStr">
        <is>
          <t>W10</t>
        </is>
      </c>
      <c r="N3" s="18" t="inlineStr">
        <is>
          <t>W11</t>
        </is>
      </c>
      <c r="O3" s="18" t="inlineStr">
        <is>
          <t>W12</t>
        </is>
      </c>
      <c r="P3" s="18" t="inlineStr">
        <is>
          <t>W13</t>
        </is>
      </c>
      <c r="Q3" s="18" t="inlineStr">
        <is>
          <t>W14</t>
        </is>
      </c>
      <c r="R3" s="18" t="inlineStr">
        <is>
          <t>W15</t>
        </is>
      </c>
      <c r="S3" s="18" t="inlineStr">
        <is>
          <t>W16</t>
        </is>
      </c>
      <c r="T3" s="18" t="inlineStr">
        <is>
          <t>W17</t>
        </is>
      </c>
      <c r="U3" s="18" t="inlineStr">
        <is>
          <t>W18</t>
        </is>
      </c>
      <c r="V3" s="18" t="inlineStr">
        <is>
          <t>W19</t>
        </is>
      </c>
      <c r="W3" s="18" t="inlineStr">
        <is>
          <t>W20</t>
        </is>
      </c>
      <c r="X3" s="18" t="inlineStr">
        <is>
          <t>W21</t>
        </is>
      </c>
      <c r="Y3" s="28" t="inlineStr">
        <is>
          <t>W22</t>
        </is>
      </c>
      <c r="Z3" s="39" t="inlineStr">
        <is>
          <t>W23</t>
        </is>
      </c>
      <c r="AA3" s="39" t="inlineStr">
        <is>
          <t>W24</t>
        </is>
      </c>
      <c r="AB3" s="39" t="inlineStr">
        <is>
          <t>W25</t>
        </is>
      </c>
    </row>
    <row r="4">
      <c r="B4" s="5" t="inlineStr">
        <is>
          <t>Ideation and Business Alignment</t>
        </is>
      </c>
      <c r="C4" s="5" t="n"/>
      <c r="D4" s="6" t="n"/>
      <c r="E4" s="6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</row>
    <row r="5">
      <c r="B5" s="5" t="inlineStr">
        <is>
          <t>Design and Architecture</t>
        </is>
      </c>
      <c r="C5" s="5" t="n"/>
      <c r="D5" s="5" t="n"/>
      <c r="E5" s="5" t="n"/>
      <c r="F5" s="7" t="n"/>
      <c r="G5" s="7" t="n"/>
      <c r="H5" s="7" t="n"/>
      <c r="I5" s="7" t="n"/>
      <c r="J5" s="7" t="n"/>
      <c r="K5" s="7" t="n"/>
      <c r="L5" s="7" t="n"/>
      <c r="M5" s="7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</row>
    <row r="6">
      <c r="B6" s="5" t="inlineStr">
        <is>
          <t>Build &amp; Configure (BTP Dev)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8" t="n"/>
      <c r="M6" s="8" t="n"/>
      <c r="N6" s="8" t="n"/>
      <c r="O6" s="8" t="n"/>
      <c r="P6" s="8" t="n"/>
      <c r="Q6" s="8" t="n"/>
      <c r="R6" s="8" t="n"/>
      <c r="S6" s="8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</row>
    <row r="7">
      <c r="B7" s="5" t="inlineStr">
        <is>
          <t>Test &amp; Validate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9" t="n"/>
      <c r="U7" s="9" t="n"/>
      <c r="V7" s="9" t="n"/>
      <c r="W7" s="9" t="n"/>
      <c r="X7" s="9" t="n"/>
      <c r="Y7" s="9" t="n"/>
      <c r="Z7" s="9" t="n"/>
      <c r="AA7" s="9" t="n"/>
      <c r="AB7" s="5" t="n"/>
    </row>
    <row r="8">
      <c r="B8" s="5" t="inlineStr">
        <is>
          <t>Deployment &amp; Go Live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10" t="n"/>
    </row>
    <row r="9">
      <c r="B9" s="5" t="inlineStr">
        <is>
          <t>Support and Continuous Innovation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</row>
    <row r="11" ht="15" customHeight="1" thickBot="1"/>
    <row r="12" ht="16" customHeight="1" thickBot="1">
      <c r="B12" s="11" t="inlineStr">
        <is>
          <t>Resources Estimate (In Hours)</t>
        </is>
      </c>
      <c r="C12" s="5" t="n"/>
      <c r="D12" s="18" t="inlineStr">
        <is>
          <t>W1</t>
        </is>
      </c>
      <c r="E12" s="18" t="inlineStr">
        <is>
          <t>W2</t>
        </is>
      </c>
      <c r="F12" s="18" t="inlineStr">
        <is>
          <t>W3</t>
        </is>
      </c>
      <c r="G12" s="18" t="inlineStr">
        <is>
          <t>W4</t>
        </is>
      </c>
      <c r="H12" s="18" t="inlineStr">
        <is>
          <t>W5</t>
        </is>
      </c>
      <c r="I12" s="18" t="inlineStr">
        <is>
          <t>W6</t>
        </is>
      </c>
      <c r="J12" s="18" t="inlineStr">
        <is>
          <t>W7</t>
        </is>
      </c>
      <c r="K12" s="18" t="inlineStr">
        <is>
          <t>W8</t>
        </is>
      </c>
      <c r="L12" s="18" t="inlineStr">
        <is>
          <t>W9</t>
        </is>
      </c>
      <c r="M12" s="18" t="inlineStr">
        <is>
          <t>W10</t>
        </is>
      </c>
      <c r="N12" s="18" t="inlineStr">
        <is>
          <t>W11</t>
        </is>
      </c>
      <c r="O12" s="18" t="inlineStr">
        <is>
          <t>W12</t>
        </is>
      </c>
      <c r="P12" s="18" t="inlineStr">
        <is>
          <t>W13</t>
        </is>
      </c>
      <c r="Q12" s="18" t="inlineStr">
        <is>
          <t>W14</t>
        </is>
      </c>
      <c r="R12" s="18" t="inlineStr">
        <is>
          <t>W15</t>
        </is>
      </c>
      <c r="S12" s="18" t="inlineStr">
        <is>
          <t>W16</t>
        </is>
      </c>
      <c r="T12" s="18" t="inlineStr">
        <is>
          <t>W17</t>
        </is>
      </c>
      <c r="U12" s="18" t="inlineStr">
        <is>
          <t>W18</t>
        </is>
      </c>
      <c r="V12" s="18" t="inlineStr">
        <is>
          <t>W19</t>
        </is>
      </c>
      <c r="W12" s="18" t="inlineStr">
        <is>
          <t>W20</t>
        </is>
      </c>
      <c r="X12" s="18" t="inlineStr">
        <is>
          <t>W21</t>
        </is>
      </c>
      <c r="Y12" s="18" t="inlineStr">
        <is>
          <t>W22</t>
        </is>
      </c>
      <c r="Z12" s="18" t="inlineStr">
        <is>
          <t>W23</t>
        </is>
      </c>
      <c r="AA12" s="18" t="inlineStr">
        <is>
          <t>W24</t>
        </is>
      </c>
      <c r="AB12" s="18" t="inlineStr">
        <is>
          <t>W25</t>
        </is>
      </c>
      <c r="AC12" s="5" t="inlineStr">
        <is>
          <t>Total</t>
        </is>
      </c>
    </row>
    <row r="13">
      <c r="B13" s="12" t="inlineStr">
        <is>
          <t>Project Manager</t>
        </is>
      </c>
      <c r="C13" s="5" t="n"/>
      <c r="D13" s="5">
        <f>+$AJ$13</f>
        <v/>
      </c>
      <c r="E13" s="5">
        <f>+$AJ$13</f>
        <v/>
      </c>
      <c r="F13" s="5">
        <f>+$AJ$13</f>
        <v/>
      </c>
      <c r="G13" s="5">
        <f>+$AJ$13</f>
        <v/>
      </c>
      <c r="H13" s="5">
        <f>+$AJ$13</f>
        <v/>
      </c>
      <c r="I13" s="5">
        <f>+$AJ$13</f>
        <v/>
      </c>
      <c r="J13" s="5">
        <f>+$AJ$13</f>
        <v/>
      </c>
      <c r="K13" s="5">
        <f>+$AJ$13</f>
        <v/>
      </c>
      <c r="L13" s="5">
        <f>+$AJ$13</f>
        <v/>
      </c>
      <c r="M13" s="5">
        <f>+$AJ$13</f>
        <v/>
      </c>
      <c r="N13" s="5">
        <f>+$AJ$13</f>
        <v/>
      </c>
      <c r="O13" s="5">
        <f>+$AJ$13</f>
        <v/>
      </c>
      <c r="P13" s="5">
        <f>+$AJ$13</f>
        <v/>
      </c>
      <c r="Q13" s="5">
        <f>+$AJ$13</f>
        <v/>
      </c>
      <c r="R13" s="5">
        <f>+$AJ$13</f>
        <v/>
      </c>
      <c r="S13" s="5">
        <f>+$AJ$13</f>
        <v/>
      </c>
      <c r="T13" s="5">
        <f>+$AJ$13</f>
        <v/>
      </c>
      <c r="U13" s="5">
        <f>+$AJ$13</f>
        <v/>
      </c>
      <c r="V13" s="5">
        <f>+$AJ$13</f>
        <v/>
      </c>
      <c r="W13" s="5">
        <f>+$AJ$13</f>
        <v/>
      </c>
      <c r="X13" s="5">
        <f>+$AJ$13</f>
        <v/>
      </c>
      <c r="Y13" s="5">
        <f>+$AJ$13</f>
        <v/>
      </c>
      <c r="Z13" s="5">
        <f>+$AJ$13</f>
        <v/>
      </c>
      <c r="AA13" s="5">
        <f>+$AJ$13</f>
        <v/>
      </c>
      <c r="AB13" s="5">
        <f>+$AJ$13</f>
        <v/>
      </c>
      <c r="AC13" s="5">
        <f>SUM(D13:AB13)</f>
        <v/>
      </c>
      <c r="AJ13" s="2" t="n">
        <v>40</v>
      </c>
    </row>
    <row r="14">
      <c r="B14" s="29" t="inlineStr">
        <is>
          <t>Solution Architect - SAP</t>
        </is>
      </c>
      <c r="C14" s="5" t="n"/>
      <c r="D14" s="5" t="n">
        <v>4</v>
      </c>
      <c r="E14" s="5" t="n">
        <v>4</v>
      </c>
      <c r="F14" s="5" t="n">
        <v>8</v>
      </c>
      <c r="G14" s="5" t="n">
        <v>8</v>
      </c>
      <c r="H14" s="5" t="n">
        <v>16</v>
      </c>
      <c r="I14" s="5" t="n">
        <v>16</v>
      </c>
      <c r="J14" s="5" t="n">
        <v>16</v>
      </c>
      <c r="K14" s="5" t="n">
        <v>16</v>
      </c>
      <c r="L14" s="5" t="n">
        <v>8</v>
      </c>
      <c r="M14" s="5" t="n">
        <v>8</v>
      </c>
      <c r="N14" s="5" t="n">
        <v>8</v>
      </c>
      <c r="O14" s="5" t="n">
        <v>8</v>
      </c>
      <c r="P14" s="5" t="n">
        <v>8</v>
      </c>
      <c r="Q14" s="5" t="n">
        <v>8</v>
      </c>
      <c r="R14" s="5" t="n">
        <v>8</v>
      </c>
      <c r="S14" s="5" t="n">
        <v>8</v>
      </c>
      <c r="T14" s="5" t="n">
        <v>12</v>
      </c>
      <c r="U14" s="5" t="n">
        <v>12</v>
      </c>
      <c r="V14" s="5" t="n">
        <v>12</v>
      </c>
      <c r="W14" s="5" t="n">
        <v>12</v>
      </c>
      <c r="X14" s="5" t="n">
        <v>12</v>
      </c>
      <c r="Y14" s="5" t="n">
        <v>12</v>
      </c>
      <c r="Z14" s="5" t="n">
        <v>12</v>
      </c>
      <c r="AA14" s="5" t="n">
        <v>12</v>
      </c>
      <c r="AB14" s="5" t="n">
        <v>8</v>
      </c>
      <c r="AC14" s="5">
        <f>SUM(D14:AB14)</f>
        <v/>
      </c>
    </row>
    <row r="15">
      <c r="B15" s="29" t="inlineStr">
        <is>
          <t>Solution Architect</t>
        </is>
      </c>
      <c r="C15" s="5" t="n"/>
      <c r="D15" s="5">
        <f>+$AJ$13</f>
        <v/>
      </c>
      <c r="E15" s="5">
        <f>+$AJ$13</f>
        <v/>
      </c>
      <c r="F15" s="5">
        <f>+$AJ$13</f>
        <v/>
      </c>
      <c r="G15" s="5">
        <f>+$AJ$13</f>
        <v/>
      </c>
      <c r="H15" s="5">
        <f>+$AJ$13</f>
        <v/>
      </c>
      <c r="I15" s="5">
        <f>+$AJ$13</f>
        <v/>
      </c>
      <c r="J15" s="5">
        <f>+$AJ$13</f>
        <v/>
      </c>
      <c r="K15" s="5">
        <f>+$AJ$13</f>
        <v/>
      </c>
      <c r="L15" s="5">
        <f>+$AJ$13</f>
        <v/>
      </c>
      <c r="M15" s="5">
        <f>+$AJ$13</f>
        <v/>
      </c>
      <c r="N15" s="5">
        <f>+$AJ$13</f>
        <v/>
      </c>
      <c r="O15" s="5">
        <f>+$AJ$13</f>
        <v/>
      </c>
      <c r="P15" s="5">
        <f>+$AJ$13</f>
        <v/>
      </c>
      <c r="Q15" s="5">
        <f>+$AJ$13</f>
        <v/>
      </c>
      <c r="R15" s="5">
        <f>+$AJ$13</f>
        <v/>
      </c>
      <c r="S15" s="5">
        <f>+$AJ$13</f>
        <v/>
      </c>
      <c r="T15" s="5">
        <f>+$AJ$13*0.5</f>
        <v/>
      </c>
      <c r="U15" s="5">
        <f>+$AJ$13*0.5</f>
        <v/>
      </c>
      <c r="V15" s="5">
        <f>+$AJ$13*0.5</f>
        <v/>
      </c>
      <c r="W15" s="5">
        <f>+$AJ$13*0.5</f>
        <v/>
      </c>
      <c r="X15" s="5">
        <f>+$AJ$13*0.5</f>
        <v/>
      </c>
      <c r="Y15" s="5">
        <f>+$AJ$13*0.5</f>
        <v/>
      </c>
      <c r="Z15" s="5">
        <f>+$AJ$13*0.5</f>
        <v/>
      </c>
      <c r="AA15" s="5">
        <f>+$AJ$13*0.5</f>
        <v/>
      </c>
      <c r="AB15" s="5">
        <f>+$AJ$13*0.5</f>
        <v/>
      </c>
      <c r="AC15" s="5">
        <f>SUM(D15:AB15)</f>
        <v/>
      </c>
    </row>
    <row r="16" customFormat="1" s="45">
      <c r="B16" s="44" t="inlineStr">
        <is>
          <t>BTP Developer</t>
        </is>
      </c>
      <c r="C16" s="10" t="n"/>
      <c r="D16" s="10">
        <f>+$AJ$13*0.5</f>
        <v/>
      </c>
      <c r="E16" s="10">
        <f>+$AJ$13*0.5</f>
        <v/>
      </c>
      <c r="F16" s="10">
        <f>+$AJ$13*0.5</f>
        <v/>
      </c>
      <c r="G16" s="10">
        <f>+$AJ$13*0.5</f>
        <v/>
      </c>
      <c r="H16" s="10">
        <f>+$AJ$13*0.5</f>
        <v/>
      </c>
      <c r="I16" s="10">
        <f>+$AJ$13*0.5</f>
        <v/>
      </c>
      <c r="J16" s="10">
        <f>+$AJ$13*0.5</f>
        <v/>
      </c>
      <c r="K16" s="10">
        <f>+$AJ$13*0.5</f>
        <v/>
      </c>
      <c r="L16" s="10">
        <f>+$AJ$13*2</f>
        <v/>
      </c>
      <c r="M16" s="10">
        <f>+$AJ$13*2</f>
        <v/>
      </c>
      <c r="N16" s="10">
        <f>+$AJ$13*2</f>
        <v/>
      </c>
      <c r="O16" s="10">
        <f>+$AJ$13*2</f>
        <v/>
      </c>
      <c r="P16" s="10">
        <f>+$AJ$13*2</f>
        <v/>
      </c>
      <c r="Q16" s="10">
        <f>+$AJ$13*2</f>
        <v/>
      </c>
      <c r="R16" s="10">
        <f>+$AJ$13*2</f>
        <v/>
      </c>
      <c r="S16" s="10">
        <f>+$AJ$13*2</f>
        <v/>
      </c>
      <c r="T16" s="10">
        <f>+$AJ$13</f>
        <v/>
      </c>
      <c r="U16" s="10">
        <f>+$AJ$13</f>
        <v/>
      </c>
      <c r="V16" s="10">
        <f>+$AJ$13</f>
        <v/>
      </c>
      <c r="W16" s="10">
        <f>+$AJ$13</f>
        <v/>
      </c>
      <c r="X16" s="10">
        <f>+$AJ$13</f>
        <v/>
      </c>
      <c r="Y16" s="10">
        <f>+$AJ$13</f>
        <v/>
      </c>
      <c r="Z16" s="10">
        <f>+$AJ$13</f>
        <v/>
      </c>
      <c r="AA16" s="10">
        <f>+$AJ$13</f>
        <v/>
      </c>
      <c r="AB16" s="10">
        <f>+$AJ$13</f>
        <v/>
      </c>
      <c r="AC16" s="10">
        <f>SUM(D16:AB16)</f>
        <v/>
      </c>
    </row>
    <row r="17" customFormat="1" s="45">
      <c r="B17" s="44" t="inlineStr">
        <is>
          <t>Integration Specialist</t>
        </is>
      </c>
      <c r="C17" s="10" t="n"/>
      <c r="D17" s="10">
        <f>+$AJ$13*0.2</f>
        <v/>
      </c>
      <c r="E17" s="10">
        <f>+$AJ$13*0.2</f>
        <v/>
      </c>
      <c r="F17" s="10">
        <f>+$AJ$13*0.5</f>
        <v/>
      </c>
      <c r="G17" s="10">
        <f>+$AJ$13*0.5</f>
        <v/>
      </c>
      <c r="H17" s="10">
        <f>+$AJ$13*0.5</f>
        <v/>
      </c>
      <c r="I17" s="10">
        <f>+$AJ$13*0.5</f>
        <v/>
      </c>
      <c r="J17" s="10">
        <f>+$AJ$13*0.5</f>
        <v/>
      </c>
      <c r="K17" s="10">
        <f>+$AJ$13*0.5</f>
        <v/>
      </c>
      <c r="L17" s="10">
        <f>+$AJ$13</f>
        <v/>
      </c>
      <c r="M17" s="10">
        <f>+$AJ$13</f>
        <v/>
      </c>
      <c r="N17" s="10">
        <f>+$AJ$13</f>
        <v/>
      </c>
      <c r="O17" s="10">
        <f>+$AJ$13</f>
        <v/>
      </c>
      <c r="P17" s="10">
        <f>+$AJ$13</f>
        <v/>
      </c>
      <c r="Q17" s="10">
        <f>+$AJ$13</f>
        <v/>
      </c>
      <c r="R17" s="10">
        <f>+$AJ$13</f>
        <v/>
      </c>
      <c r="S17" s="10">
        <f>+$AJ$13</f>
        <v/>
      </c>
      <c r="T17" s="10">
        <f>+$AJ$13*0.5</f>
        <v/>
      </c>
      <c r="U17" s="10">
        <f>+$AJ$13*0.5</f>
        <v/>
      </c>
      <c r="V17" s="10">
        <f>+$AJ$13*0.5</f>
        <v/>
      </c>
      <c r="W17" s="10">
        <f>+$AJ$13*0.5</f>
        <v/>
      </c>
      <c r="X17" s="10">
        <f>+$AJ$13*0.5</f>
        <v/>
      </c>
      <c r="Y17" s="10">
        <f>+$AJ$13*0.5</f>
        <v/>
      </c>
      <c r="Z17" s="10">
        <f>+$AJ$13*0.5</f>
        <v/>
      </c>
      <c r="AA17" s="10">
        <f>+$AJ$13*0.5</f>
        <v/>
      </c>
      <c r="AB17" s="10">
        <f>+$AJ$13*0.5</f>
        <v/>
      </c>
      <c r="AC17" s="10">
        <f>SUM(D17:AB17)</f>
        <v/>
      </c>
    </row>
    <row r="18" customFormat="1" s="45">
      <c r="B18" s="44" t="inlineStr">
        <is>
          <t>UI/UX Developer</t>
        </is>
      </c>
      <c r="C18" s="10" t="n"/>
      <c r="D18" s="10" t="n">
        <v>0</v>
      </c>
      <c r="E18" s="10" t="n">
        <v>0</v>
      </c>
      <c r="F18" s="10">
        <f>+$AJ$13*0.5</f>
        <v/>
      </c>
      <c r="G18" s="10">
        <f>+$AJ$13*0.5</f>
        <v/>
      </c>
      <c r="H18" s="10">
        <f>+$AJ$13*0.5</f>
        <v/>
      </c>
      <c r="I18" s="10">
        <f>+$AJ$13*0.5</f>
        <v/>
      </c>
      <c r="J18" s="10">
        <f>+$AJ$13*0.5</f>
        <v/>
      </c>
      <c r="K18" s="10">
        <f>+$AJ$13*0.5</f>
        <v/>
      </c>
      <c r="L18" s="10">
        <f>+$AJ$13</f>
        <v/>
      </c>
      <c r="M18" s="10">
        <f>+$AJ$13</f>
        <v/>
      </c>
      <c r="N18" s="10">
        <f>+$AJ$13</f>
        <v/>
      </c>
      <c r="O18" s="10">
        <f>+$AJ$13</f>
        <v/>
      </c>
      <c r="P18" s="10">
        <f>+$AJ$13</f>
        <v/>
      </c>
      <c r="Q18" s="10">
        <f>+$AJ$13</f>
        <v/>
      </c>
      <c r="R18" s="10">
        <f>+$AJ$13</f>
        <v/>
      </c>
      <c r="S18" s="10">
        <f>+$AJ$13</f>
        <v/>
      </c>
      <c r="T18" s="10">
        <f>+$AJ$13*0.2</f>
        <v/>
      </c>
      <c r="U18" s="10">
        <f>+$AJ$13*0.2</f>
        <v/>
      </c>
      <c r="V18" s="10">
        <f>+$AJ$13*0.2</f>
        <v/>
      </c>
      <c r="W18" s="10">
        <f>+$AJ$13*0.2</f>
        <v/>
      </c>
      <c r="X18" s="10">
        <f>+$AJ$13*0.2</f>
        <v/>
      </c>
      <c r="Y18" s="10">
        <f>+$AJ$13*0.2</f>
        <v/>
      </c>
      <c r="Z18" s="10">
        <f>+$AJ$13*0.2</f>
        <v/>
      </c>
      <c r="AA18" s="10">
        <f>+$AJ$13*0.2</f>
        <v/>
      </c>
      <c r="AB18" s="10">
        <f>+$AJ$13*0.2</f>
        <v/>
      </c>
      <c r="AC18" s="10">
        <f>SUM(D18:AB18)</f>
        <v/>
      </c>
    </row>
    <row r="19" customFormat="1" s="45">
      <c r="B19" s="44" t="inlineStr">
        <is>
          <t>QA Engineer</t>
        </is>
      </c>
      <c r="C19" s="10" t="n"/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>
        <f>+$AJ$13*0.5</f>
        <v/>
      </c>
      <c r="M19" s="10">
        <f>+$AJ$13*0.5</f>
        <v/>
      </c>
      <c r="N19" s="10">
        <f>+$AJ$13*0.5</f>
        <v/>
      </c>
      <c r="O19" s="10">
        <f>+$AJ$13*0.5</f>
        <v/>
      </c>
      <c r="P19" s="10">
        <f>+$AJ$13*0.5</f>
        <v/>
      </c>
      <c r="Q19" s="10">
        <f>+$AJ$13*0.5</f>
        <v/>
      </c>
      <c r="R19" s="10">
        <f>+$AJ$13*0.5</f>
        <v/>
      </c>
      <c r="S19" s="10">
        <f>+$AJ$13*0.5</f>
        <v/>
      </c>
      <c r="T19" s="10">
        <f>+$AJ$13</f>
        <v/>
      </c>
      <c r="U19" s="10">
        <f>+$AJ$13</f>
        <v/>
      </c>
      <c r="V19" s="10">
        <f>+$AJ$13</f>
        <v/>
      </c>
      <c r="W19" s="10">
        <f>+$AJ$13</f>
        <v/>
      </c>
      <c r="X19" s="10">
        <f>+$AJ$13</f>
        <v/>
      </c>
      <c r="Y19" s="10">
        <f>+$AJ$13</f>
        <v/>
      </c>
      <c r="Z19" s="10">
        <f>+$AJ$13</f>
        <v/>
      </c>
      <c r="AA19" s="10">
        <f>+$AJ$13</f>
        <v/>
      </c>
      <c r="AB19" s="10">
        <f>+$AJ$13*0.5</f>
        <v/>
      </c>
      <c r="AC19" s="10">
        <f>SUM(D19:AB19)</f>
        <v/>
      </c>
    </row>
    <row r="20">
      <c r="B20" s="13" t="inlineStr">
        <is>
          <t>Business Analyst</t>
        </is>
      </c>
      <c r="C20" s="5" t="n"/>
      <c r="D20" s="5">
        <f>+$AJ$13*0.5</f>
        <v/>
      </c>
      <c r="E20" s="5">
        <f>+$AJ$13*0.5</f>
        <v/>
      </c>
      <c r="F20" s="5">
        <f>+$AJ$13</f>
        <v/>
      </c>
      <c r="G20" s="5">
        <f>+$AJ$13</f>
        <v/>
      </c>
      <c r="H20" s="5">
        <f>+$AJ$13</f>
        <v/>
      </c>
      <c r="I20" s="5">
        <f>+$AJ$13</f>
        <v/>
      </c>
      <c r="J20" s="5">
        <f>+$AJ$13</f>
        <v/>
      </c>
      <c r="K20" s="5">
        <f>+$AJ$13</f>
        <v/>
      </c>
      <c r="L20" s="5">
        <f>+$AJ$13*0.3</f>
        <v/>
      </c>
      <c r="M20" s="5">
        <f>+$AJ$13*0.3</f>
        <v/>
      </c>
      <c r="N20" s="5">
        <f>+$AJ$13*0.3</f>
        <v/>
      </c>
      <c r="O20" s="5">
        <f>+$AJ$13*0.3</f>
        <v/>
      </c>
      <c r="P20" s="5">
        <f>+$AJ$13*0.3</f>
        <v/>
      </c>
      <c r="Q20" s="5">
        <f>+$AJ$13*0.3</f>
        <v/>
      </c>
      <c r="R20" s="5">
        <f>+$AJ$13*0.3</f>
        <v/>
      </c>
      <c r="S20" s="5">
        <f>+$AJ$13*0.3</f>
        <v/>
      </c>
      <c r="T20" s="5">
        <f>+$AJ$13*0.5</f>
        <v/>
      </c>
      <c r="U20" s="5">
        <f>+$AJ$13*0.5</f>
        <v/>
      </c>
      <c r="V20" s="5">
        <f>+$AJ$13*0.5</f>
        <v/>
      </c>
      <c r="W20" s="5">
        <f>+$AJ$13*0.5</f>
        <v/>
      </c>
      <c r="X20" s="5">
        <f>+$AJ$13*0.5</f>
        <v/>
      </c>
      <c r="Y20" s="5">
        <f>+$AJ$13*0.5</f>
        <v/>
      </c>
      <c r="Z20" s="5">
        <f>+$AJ$13*0.5</f>
        <v/>
      </c>
      <c r="AA20" s="5">
        <f>+$AJ$13*0.5</f>
        <v/>
      </c>
      <c r="AB20" s="5">
        <f>+$AJ$13*0.2</f>
        <v/>
      </c>
      <c r="AC20" s="5">
        <f>SUM(D20:AB20)</f>
        <v/>
      </c>
    </row>
    <row r="21">
      <c r="B21" s="13" t="inlineStr">
        <is>
          <t>DevOps Engineer</t>
        </is>
      </c>
      <c r="C21" s="5" t="n"/>
      <c r="D21" s="5">
        <f>+$AJ$13*0.2</f>
        <v/>
      </c>
      <c r="E21" s="5">
        <f>+$AJ$13*0.2</f>
        <v/>
      </c>
      <c r="F21" s="5">
        <f>+$AJ$13*0.2</f>
        <v/>
      </c>
      <c r="G21" s="5">
        <f>+$AJ$13*0.2</f>
        <v/>
      </c>
      <c r="H21" s="5">
        <f>+$AJ$13*0.2</f>
        <v/>
      </c>
      <c r="I21" s="5">
        <f>+$AJ$13*0.2</f>
        <v/>
      </c>
      <c r="J21" s="5">
        <f>+$AJ$13*0.2</f>
        <v/>
      </c>
      <c r="K21" s="5">
        <f>+$AJ$13*0.2</f>
        <v/>
      </c>
      <c r="L21" s="5">
        <f>+$AJ$13*0.5</f>
        <v/>
      </c>
      <c r="M21" s="5">
        <f>+$AJ$13*0.5</f>
        <v/>
      </c>
      <c r="N21" s="5">
        <f>+$AJ$13*0.5</f>
        <v/>
      </c>
      <c r="O21" s="5">
        <f>+$AJ$13*0.5</f>
        <v/>
      </c>
      <c r="P21" s="5">
        <f>+$AJ$13*0.5</f>
        <v/>
      </c>
      <c r="Q21" s="5">
        <f>+$AJ$13*0.5</f>
        <v/>
      </c>
      <c r="R21" s="5">
        <f>+$AJ$13*0.5</f>
        <v/>
      </c>
      <c r="S21" s="5">
        <f>+$AJ$13*0.5</f>
        <v/>
      </c>
      <c r="T21" s="5">
        <f>+$AJ$13*0.3</f>
        <v/>
      </c>
      <c r="U21" s="5">
        <f>+$AJ$13*0.3</f>
        <v/>
      </c>
      <c r="V21" s="5">
        <f>+$AJ$13*0.3</f>
        <v/>
      </c>
      <c r="W21" s="5">
        <f>+$AJ$13*0.3</f>
        <v/>
      </c>
      <c r="X21" s="5">
        <f>+$AJ$13*0.3</f>
        <v/>
      </c>
      <c r="Y21" s="5">
        <f>+$AJ$13*0.3</f>
        <v/>
      </c>
      <c r="Z21" s="5">
        <f>+$AJ$13*0.3</f>
        <v/>
      </c>
      <c r="AA21" s="5">
        <f>+$AJ$13*0.3</f>
        <v/>
      </c>
      <c r="AB21" s="5">
        <f>+$AJ$13</f>
        <v/>
      </c>
      <c r="AC21" s="5">
        <f>SUM(D21:AB21)</f>
        <v/>
      </c>
    </row>
    <row r="22">
      <c r="B22" s="13" t="n"/>
      <c r="C22" s="30" t="n"/>
      <c r="D22" s="40" t="n"/>
      <c r="E22" s="40" t="n"/>
      <c r="F22" s="40" t="n"/>
      <c r="G22" s="40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</row>
    <row r="23" ht="15" customHeight="1" thickBot="1">
      <c r="B23" s="14" t="inlineStr">
        <is>
          <t>Total</t>
        </is>
      </c>
      <c r="C23" s="15" t="n"/>
      <c r="D23" s="5">
        <f>SUM(D13:D22)</f>
        <v/>
      </c>
      <c r="E23" s="5">
        <f>SUM(E13:E22)</f>
        <v/>
      </c>
      <c r="F23" s="5">
        <f>SUM(F13:F22)</f>
        <v/>
      </c>
      <c r="G23" s="5">
        <f>SUM(G13:G22)</f>
        <v/>
      </c>
      <c r="H23" s="5">
        <f>SUM(H13:H22)</f>
        <v/>
      </c>
      <c r="I23" s="5">
        <f>SUM(I13:I22)</f>
        <v/>
      </c>
      <c r="J23" s="5">
        <f>SUM(J13:J22)</f>
        <v/>
      </c>
      <c r="K23" s="5">
        <f>SUM(K13:K22)</f>
        <v/>
      </c>
      <c r="L23" s="5">
        <f>SUM(L13:L22)</f>
        <v/>
      </c>
      <c r="M23" s="5">
        <f>SUM(M13:M22)</f>
        <v/>
      </c>
      <c r="N23" s="5">
        <f>SUM(N13:N22)</f>
        <v/>
      </c>
      <c r="O23" s="5">
        <f>SUM(O13:O22)</f>
        <v/>
      </c>
      <c r="P23" s="5">
        <f>SUM(P13:P22)</f>
        <v/>
      </c>
      <c r="Q23" s="5">
        <f>SUM(Q13:Q22)</f>
        <v/>
      </c>
      <c r="R23" s="5">
        <f>SUM(R13:R22)</f>
        <v/>
      </c>
      <c r="S23" s="5">
        <f>SUM(S13:S22)</f>
        <v/>
      </c>
      <c r="T23" s="5">
        <f>SUM(T13:T22)</f>
        <v/>
      </c>
      <c r="U23" s="5">
        <f>SUM(U13:U22)</f>
        <v/>
      </c>
      <c r="V23" s="5">
        <f>SUM(V13:V22)</f>
        <v/>
      </c>
      <c r="W23" s="5">
        <f>SUM(W13:W22)</f>
        <v/>
      </c>
      <c r="X23" s="5">
        <f>SUM(X13:X22)</f>
        <v/>
      </c>
      <c r="Y23" s="5">
        <f>SUM(Y13:Y22)</f>
        <v/>
      </c>
      <c r="Z23" s="5">
        <f>SUM(Z13:Z22)</f>
        <v/>
      </c>
      <c r="AA23" s="5">
        <f>SUM(AA13:AA22)</f>
        <v/>
      </c>
      <c r="AB23" s="5">
        <f>SUM(AB13:AB22)</f>
        <v/>
      </c>
      <c r="AC23" s="5">
        <f>SUM(AC13:AC22)</f>
        <v/>
      </c>
    </row>
    <row r="25">
      <c r="AC25" s="2">
        <f>AC23/8</f>
        <v/>
      </c>
    </row>
    <row r="26">
      <c r="B26" s="2" t="inlineStr">
        <is>
          <t>Assumptions:</t>
        </is>
      </c>
      <c r="AC26" s="42">
        <f>AC25*20000</f>
        <v/>
      </c>
    </row>
    <row r="27">
      <c r="A27" s="2" t="inlineStr">
        <is>
          <t>1)</t>
        </is>
      </c>
      <c r="AC27" s="43">
        <f>AC26/85</f>
        <v/>
      </c>
    </row>
    <row r="28">
      <c r="A28" s="2" t="inlineStr">
        <is>
          <t>2)</t>
        </is>
      </c>
    </row>
    <row r="29">
      <c r="A29" s="2" t="inlineStr">
        <is>
          <t>3)</t>
        </is>
      </c>
    </row>
    <row r="30">
      <c r="A30" s="2" t="inlineStr">
        <is>
          <t>4)</t>
        </is>
      </c>
    </row>
    <row r="31">
      <c r="A31" s="2" t="inlineStr">
        <is>
          <t>5)</t>
        </is>
      </c>
    </row>
    <row r="32">
      <c r="A32" s="2" t="inlineStr">
        <is>
          <t>6)</t>
        </is>
      </c>
    </row>
    <row r="33">
      <c r="A33" s="2" t="inlineStr">
        <is>
          <t>7)</t>
        </is>
      </c>
    </row>
    <row r="34">
      <c r="A34" s="2" t="inlineStr">
        <is>
          <t>8)</t>
        </is>
      </c>
    </row>
    <row r="35">
      <c r="A35" s="2" t="inlineStr">
        <is>
          <t>9)</t>
        </is>
      </c>
    </row>
    <row r="44">
      <c r="I44" s="2" t="n">
        <v>45870</v>
      </c>
    </row>
    <row r="45">
      <c r="I45" s="2">
        <f>+I44+7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09"/>
  <sheetViews>
    <sheetView zoomScale="90" zoomScaleNormal="90" workbookViewId="0">
      <pane ySplit="3" topLeftCell="A27" activePane="bottomLeft" state="frozen"/>
      <selection pane="bottomLeft" activeCell="G41" sqref="G41"/>
    </sheetView>
  </sheetViews>
  <sheetFormatPr baseColWidth="10" defaultColWidth="8.83203125" defaultRowHeight="15"/>
  <cols>
    <col width="9.5" bestFit="1" customWidth="1" min="3" max="3"/>
    <col width="3" bestFit="1" customWidth="1" min="4" max="4"/>
    <col width="57.83203125" customWidth="1" style="31" min="5" max="5"/>
    <col width="17.33203125" bestFit="1" customWidth="1" style="31" min="6" max="6"/>
    <col width="17.33203125" customWidth="1" style="31" min="7" max="7"/>
    <col width="6.83203125" customWidth="1" style="23" min="8" max="29"/>
    <col width="6.83203125" customWidth="1" min="30" max="30"/>
  </cols>
  <sheetData>
    <row r="1" ht="22" customHeight="1">
      <c r="H1" s="53" t="n">
        <v>2025</v>
      </c>
      <c r="I1" s="55" t="n"/>
      <c r="J1" s="55" t="n"/>
      <c r="K1" s="55" t="n"/>
      <c r="L1" s="55" t="n"/>
      <c r="M1" s="55" t="n"/>
      <c r="N1" s="55" t="n"/>
      <c r="O1" s="55" t="n"/>
      <c r="P1" s="55" t="n"/>
      <c r="Q1" s="55" t="n"/>
      <c r="R1" s="55" t="n"/>
      <c r="S1" s="55" t="n"/>
      <c r="T1" s="55" t="n"/>
      <c r="U1" s="55" t="n"/>
      <c r="V1" s="55" t="n"/>
      <c r="W1" s="55" t="n"/>
      <c r="X1" s="55" t="n"/>
      <c r="Y1" s="55" t="n"/>
      <c r="Z1" s="55" t="n"/>
      <c r="AA1" s="55" t="n"/>
      <c r="AB1" s="55" t="n"/>
      <c r="AC1" s="55" t="n"/>
      <c r="AD1" s="56" t="n"/>
      <c r="AE1" s="48" t="n">
        <v>2026</v>
      </c>
      <c r="AF1" s="55" t="n"/>
      <c r="AG1" s="55" t="n"/>
      <c r="AH1" s="55" t="n"/>
      <c r="AI1" s="55" t="n"/>
      <c r="AJ1" s="55" t="n"/>
      <c r="AK1" s="55" t="n"/>
      <c r="AL1" s="56" t="n"/>
    </row>
    <row r="2" ht="51.5" customHeight="1">
      <c r="D2" s="57" t="inlineStr">
        <is>
          <t>Week starting</t>
        </is>
      </c>
      <c r="E2" s="55" t="n"/>
      <c r="F2" s="56" t="n"/>
      <c r="G2" s="52" t="inlineStr">
        <is>
          <t>Status</t>
        </is>
      </c>
      <c r="H2" s="16" t="n">
        <v>45866</v>
      </c>
      <c r="I2" s="16">
        <f>+H2+7</f>
        <v/>
      </c>
      <c r="J2" s="16">
        <f>+I2+7</f>
        <v/>
      </c>
      <c r="K2" s="16">
        <f>+J2+7</f>
        <v/>
      </c>
      <c r="L2" s="16">
        <f>+K2+7</f>
        <v/>
      </c>
      <c r="M2" s="16">
        <f>+L2+7</f>
        <v/>
      </c>
      <c r="N2" s="16">
        <f>+M2+7</f>
        <v/>
      </c>
      <c r="O2" s="16">
        <f>+N2+7</f>
        <v/>
      </c>
      <c r="P2" s="16">
        <f>+O2+7</f>
        <v/>
      </c>
      <c r="Q2" s="16">
        <f>+P2+7</f>
        <v/>
      </c>
      <c r="R2" s="16">
        <f>+Q2+7</f>
        <v/>
      </c>
      <c r="S2" s="16">
        <f>+R2+7</f>
        <v/>
      </c>
      <c r="T2" s="16">
        <f>+S2+7</f>
        <v/>
      </c>
      <c r="U2" s="16">
        <f>+T2+7</f>
        <v/>
      </c>
      <c r="V2" s="16">
        <f>+U2+7</f>
        <v/>
      </c>
      <c r="W2" s="16">
        <f>+V2+7</f>
        <v/>
      </c>
      <c r="X2" s="16">
        <f>+W2+7</f>
        <v/>
      </c>
      <c r="Y2" s="16">
        <f>+X2+7</f>
        <v/>
      </c>
      <c r="Z2" s="16">
        <f>+Y2+7</f>
        <v/>
      </c>
      <c r="AA2" s="16">
        <f>+Z2+7</f>
        <v/>
      </c>
      <c r="AB2" s="16">
        <f>+AA2+7</f>
        <v/>
      </c>
      <c r="AC2" s="16">
        <f>+AB2+7</f>
        <v/>
      </c>
      <c r="AD2" s="16">
        <f>+AC2+7</f>
        <v/>
      </c>
      <c r="AE2" s="16">
        <f>+AD2+7</f>
        <v/>
      </c>
      <c r="AF2" s="16">
        <f>+AE2+7</f>
        <v/>
      </c>
      <c r="AG2" s="16">
        <f>+AF2+7</f>
        <v/>
      </c>
      <c r="AH2" s="16">
        <f>+AG2+7</f>
        <v/>
      </c>
      <c r="AI2" s="16">
        <f>+AH2+7</f>
        <v/>
      </c>
      <c r="AJ2" s="16">
        <f>+AI2+7</f>
        <v/>
      </c>
      <c r="AK2" s="16">
        <f>+AJ2+7</f>
        <v/>
      </c>
      <c r="AL2" s="16">
        <f>+AK2+7</f>
        <v/>
      </c>
    </row>
    <row r="3" ht="16" customHeight="1">
      <c r="A3" t="inlineStr">
        <is>
          <t>Phase</t>
        </is>
      </c>
      <c r="B3" t="inlineStr">
        <is>
          <t>Week</t>
        </is>
      </c>
      <c r="C3" t="inlineStr">
        <is>
          <t>Activity ID</t>
        </is>
      </c>
      <c r="D3" s="17" t="inlineStr">
        <is>
          <t>Ph</t>
        </is>
      </c>
      <c r="E3" s="32" t="inlineStr">
        <is>
          <t>Activity</t>
        </is>
      </c>
      <c r="F3" s="32" t="inlineStr">
        <is>
          <t>Responsible</t>
        </is>
      </c>
      <c r="G3" s="32" t="n"/>
      <c r="H3" s="18" t="inlineStr">
        <is>
          <t>W1</t>
        </is>
      </c>
      <c r="I3" s="18" t="inlineStr">
        <is>
          <t>W2</t>
        </is>
      </c>
      <c r="J3" s="18" t="inlineStr">
        <is>
          <t>W3</t>
        </is>
      </c>
      <c r="K3" s="18" t="inlineStr">
        <is>
          <t>W4</t>
        </is>
      </c>
      <c r="L3" s="18" t="inlineStr">
        <is>
          <t>W5</t>
        </is>
      </c>
      <c r="M3" s="18" t="inlineStr">
        <is>
          <t>W6</t>
        </is>
      </c>
      <c r="N3" s="18" t="inlineStr">
        <is>
          <t>W7</t>
        </is>
      </c>
      <c r="O3" s="18" t="inlineStr">
        <is>
          <t>W8</t>
        </is>
      </c>
      <c r="P3" s="18" t="inlineStr">
        <is>
          <t>W9</t>
        </is>
      </c>
      <c r="Q3" s="18" t="inlineStr">
        <is>
          <t>W10</t>
        </is>
      </c>
      <c r="R3" s="18" t="inlineStr">
        <is>
          <t>W11</t>
        </is>
      </c>
      <c r="S3" s="18" t="inlineStr">
        <is>
          <t>W12</t>
        </is>
      </c>
      <c r="T3" s="18" t="inlineStr">
        <is>
          <t>W13</t>
        </is>
      </c>
      <c r="U3" s="18" t="inlineStr">
        <is>
          <t>W14</t>
        </is>
      </c>
      <c r="V3" s="18" t="inlineStr">
        <is>
          <t>W15</t>
        </is>
      </c>
      <c r="W3" s="18" t="inlineStr">
        <is>
          <t>W16</t>
        </is>
      </c>
      <c r="X3" s="18" t="inlineStr">
        <is>
          <t>W17</t>
        </is>
      </c>
      <c r="Y3" s="18" t="inlineStr">
        <is>
          <t>W18</t>
        </is>
      </c>
      <c r="Z3" s="18" t="inlineStr">
        <is>
          <t>W19</t>
        </is>
      </c>
      <c r="AA3" s="18" t="inlineStr">
        <is>
          <t>W20</t>
        </is>
      </c>
      <c r="AB3" s="18" t="inlineStr">
        <is>
          <t>W21</t>
        </is>
      </c>
      <c r="AC3" s="28" t="inlineStr">
        <is>
          <t>W22</t>
        </is>
      </c>
      <c r="AD3" s="39" t="inlineStr">
        <is>
          <t>W23</t>
        </is>
      </c>
      <c r="AE3" s="39" t="inlineStr">
        <is>
          <t>W24</t>
        </is>
      </c>
      <c r="AF3" s="39" t="inlineStr">
        <is>
          <t>W25</t>
        </is>
      </c>
      <c r="AG3" s="39" t="inlineStr">
        <is>
          <t>W26</t>
        </is>
      </c>
      <c r="AH3" s="39" t="inlineStr">
        <is>
          <t>W27</t>
        </is>
      </c>
      <c r="AI3" s="39" t="inlineStr">
        <is>
          <t>W28</t>
        </is>
      </c>
      <c r="AJ3" s="39" t="inlineStr">
        <is>
          <t>W29</t>
        </is>
      </c>
      <c r="AK3" s="39" t="inlineStr">
        <is>
          <t>W30</t>
        </is>
      </c>
      <c r="AL3" s="39" t="inlineStr">
        <is>
          <t>W31</t>
        </is>
      </c>
    </row>
    <row r="4">
      <c r="D4" s="49" t="inlineStr">
        <is>
          <t>Ideation and Business Alignment</t>
        </is>
      </c>
      <c r="E4" s="56" t="n"/>
      <c r="F4" s="35" t="n"/>
      <c r="G4" s="35" t="n"/>
      <c r="H4" s="19" t="inlineStr">
        <is>
          <t>X</t>
        </is>
      </c>
      <c r="I4" s="19" t="inlineStr">
        <is>
          <t>X</t>
        </is>
      </c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</row>
    <row r="5" ht="32" customHeight="1">
      <c r="A5" t="n">
        <v>1</v>
      </c>
      <c r="B5" t="n">
        <v>1</v>
      </c>
      <c r="C5" t="inlineStr">
        <is>
          <t>1.1.1</t>
        </is>
      </c>
      <c r="D5" s="21" t="n"/>
      <c r="E5" s="38" t="inlineStr">
        <is>
          <t>Stakeholder interviews with airline operations team</t>
        </is>
      </c>
      <c r="F5" s="38" t="inlineStr">
        <is>
          <t>PM, BA, Solution Architect</t>
        </is>
      </c>
      <c r="G5" s="46" t="inlineStr">
        <is>
          <t>Complete</t>
        </is>
      </c>
      <c r="H5" s="36" t="inlineStr">
        <is>
          <t>X</t>
        </is>
      </c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</row>
    <row r="6" ht="32" customHeight="1">
      <c r="A6" t="n">
        <v>1</v>
      </c>
      <c r="B6" t="n">
        <v>1</v>
      </c>
      <c r="C6" t="inlineStr">
        <is>
          <t>1.1.2</t>
        </is>
      </c>
      <c r="D6" s="21" t="n"/>
      <c r="E6" s="38" t="inlineStr">
        <is>
          <t>Document current manual accrual processes</t>
        </is>
      </c>
      <c r="F6" s="38" t="inlineStr">
        <is>
          <t>BA, Subject Matter Expert</t>
        </is>
      </c>
      <c r="G6" s="46" t="inlineStr">
        <is>
          <t>Complete</t>
        </is>
      </c>
      <c r="H6" s="36" t="inlineStr">
        <is>
          <t>X</t>
        </is>
      </c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</row>
    <row r="7" ht="16" customHeight="1">
      <c r="A7" t="n">
        <v>1</v>
      </c>
      <c r="B7" t="n">
        <v>1</v>
      </c>
      <c r="C7" t="inlineStr">
        <is>
          <t>1.1.3</t>
        </is>
      </c>
      <c r="D7" s="21" t="n"/>
      <c r="E7" s="38" t="inlineStr">
        <is>
          <t>Analyze fuel visibility gaps and reporting challenges</t>
        </is>
      </c>
      <c r="F7" s="38" t="inlineStr">
        <is>
          <t>BA, Operations Team</t>
        </is>
      </c>
      <c r="G7" s="46" t="inlineStr">
        <is>
          <t>Complete</t>
        </is>
      </c>
      <c r="H7" s="36" t="inlineStr">
        <is>
          <t>X</t>
        </is>
      </c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</row>
    <row r="8" ht="32" customHeight="1">
      <c r="A8" t="n">
        <v>1</v>
      </c>
      <c r="B8" t="n">
        <v>1</v>
      </c>
      <c r="C8" t="inlineStr">
        <is>
          <t>1.2.1</t>
        </is>
      </c>
      <c r="D8" s="21" t="n"/>
      <c r="E8" s="38" t="inlineStr">
        <is>
          <t>Assess SAP Industry Cloud for Airlines capabilities</t>
        </is>
      </c>
      <c r="F8" s="38" t="inlineStr">
        <is>
          <t>Solution Architect, SAP Consultant</t>
        </is>
      </c>
      <c r="G8" s="46" t="inlineStr">
        <is>
          <t>Complete</t>
        </is>
      </c>
      <c r="H8" s="36" t="inlineStr">
        <is>
          <t>X</t>
        </is>
      </c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</row>
    <row r="9" ht="16" customHeight="1">
      <c r="A9" t="n">
        <v>1</v>
      </c>
      <c r="B9" t="n">
        <v>1</v>
      </c>
      <c r="C9" t="inlineStr">
        <is>
          <t>1.2.2</t>
        </is>
      </c>
      <c r="D9" s="21" t="n"/>
      <c r="E9" s="38" t="inlineStr">
        <is>
          <t>Review industry-specific accelerators and templates</t>
        </is>
      </c>
      <c r="F9" s="38" t="inlineStr">
        <is>
          <t>Solution Architect</t>
        </is>
      </c>
      <c r="G9" s="46" t="inlineStr">
        <is>
          <t>Pending</t>
        </is>
      </c>
      <c r="H9" s="36" t="inlineStr">
        <is>
          <t>X</t>
        </is>
      </c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</row>
    <row r="10" ht="32" customHeight="1">
      <c r="A10" t="n">
        <v>1</v>
      </c>
      <c r="B10" t="n">
        <v>2</v>
      </c>
      <c r="C10" t="inlineStr">
        <is>
          <t>2.1.1</t>
        </is>
      </c>
      <c r="D10" s="21" t="n"/>
      <c r="E10" s="38" t="inlineStr">
        <is>
          <t>Evaluate BTP service offerings (CAP, UI5, Work Zone)</t>
        </is>
      </c>
      <c r="F10" s="38" t="inlineStr">
        <is>
          <t>Solution Architect, BTP Developer</t>
        </is>
      </c>
      <c r="G10" s="46" t="inlineStr">
        <is>
          <t>Complete</t>
        </is>
      </c>
      <c r="H10" s="37" t="n"/>
      <c r="I10" s="22" t="inlineStr">
        <is>
          <t>X</t>
        </is>
      </c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</row>
    <row r="11" ht="16" customHeight="1">
      <c r="A11" t="n">
        <v>1</v>
      </c>
      <c r="B11" t="n">
        <v>2</v>
      </c>
      <c r="C11" t="inlineStr">
        <is>
          <t>2.1.2</t>
        </is>
      </c>
      <c r="D11" s="21" t="n"/>
      <c r="E11" s="38" t="inlineStr">
        <is>
          <t>Assess API availability and integration capabilities</t>
        </is>
      </c>
      <c r="F11" s="38" t="inlineStr">
        <is>
          <t>Integration Specialist</t>
        </is>
      </c>
      <c r="G11" s="46" t="inlineStr">
        <is>
          <t>Ongoing</t>
        </is>
      </c>
      <c r="H11" s="37" t="n"/>
      <c r="I11" s="22" t="inlineStr">
        <is>
          <t>X</t>
        </is>
      </c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</row>
    <row r="12" ht="16" customHeight="1">
      <c r="A12" t="n">
        <v>1</v>
      </c>
      <c r="B12" t="n">
        <v>2</v>
      </c>
      <c r="C12" t="inlineStr">
        <is>
          <t>2.1.3</t>
        </is>
      </c>
      <c r="D12" s="21" t="n"/>
      <c r="E12" s="38" t="inlineStr">
        <is>
          <t>Validate connectivity with S/4HANA and other systems</t>
        </is>
      </c>
      <c r="F12" s="38" t="inlineStr">
        <is>
          <t>Integration Specialist</t>
        </is>
      </c>
      <c r="G12" s="46" t="inlineStr">
        <is>
          <t>Ongoing</t>
        </is>
      </c>
      <c r="I12" s="22" t="inlineStr">
        <is>
          <t>X</t>
        </is>
      </c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</row>
    <row r="13" ht="32" customHeight="1">
      <c r="A13" t="n">
        <v>1</v>
      </c>
      <c r="B13" t="n">
        <v>2</v>
      </c>
      <c r="C13" t="inlineStr">
        <is>
          <t>2.2.1</t>
        </is>
      </c>
      <c r="D13" s="21" t="n"/>
      <c r="E13" s="38" t="inlineStr">
        <is>
          <t>Complete SAP PartnerEdge registration</t>
        </is>
      </c>
      <c r="F13" s="38" t="inlineStr">
        <is>
          <t>PM, Solution Architect</t>
        </is>
      </c>
      <c r="G13" s="46" t="inlineStr">
        <is>
          <t>Complete</t>
        </is>
      </c>
      <c r="I13" s="22" t="inlineStr">
        <is>
          <t>X</t>
        </is>
      </c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</row>
    <row r="14" ht="32" customHeight="1">
      <c r="A14" t="n">
        <v>1</v>
      </c>
      <c r="B14" t="n">
        <v>2</v>
      </c>
      <c r="C14" t="inlineStr">
        <is>
          <t>2.2.2</t>
        </is>
      </c>
      <c r="D14" s="21" t="n"/>
      <c r="E14" s="38" t="inlineStr">
        <is>
          <t>Set up development and sandbox environments</t>
        </is>
      </c>
      <c r="F14" s="38" t="inlineStr">
        <is>
          <t>DevOps Engineer, BTP Developer</t>
        </is>
      </c>
      <c r="G14" s="46" t="inlineStr">
        <is>
          <t>Complete</t>
        </is>
      </c>
      <c r="I14" s="22" t="inlineStr">
        <is>
          <t>X</t>
        </is>
      </c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</row>
    <row r="15">
      <c r="D15" s="21" t="n"/>
      <c r="E15" s="33" t="n"/>
      <c r="F15" s="35" t="n"/>
      <c r="G15" s="47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</row>
    <row r="16">
      <c r="D16" s="21" t="n"/>
      <c r="E16" s="33" t="n"/>
      <c r="F16" s="33" t="n"/>
      <c r="G16" s="33" t="n"/>
      <c r="H16" s="33" t="n"/>
      <c r="I16" s="33" t="n"/>
      <c r="J16" s="33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</row>
    <row r="17">
      <c r="D17" s="21" t="n"/>
      <c r="E17" s="33" t="n"/>
      <c r="F17" s="33" t="n"/>
      <c r="G17" s="33" t="n"/>
      <c r="H17" s="33" t="n"/>
      <c r="I17" s="33" t="n"/>
      <c r="J17" s="33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</row>
    <row r="18">
      <c r="D18" s="49" t="inlineStr">
        <is>
          <t>Design and Architecture</t>
        </is>
      </c>
      <c r="E18" s="56" t="n"/>
      <c r="F18" s="35" t="n"/>
      <c r="G18" s="35" t="n"/>
      <c r="H18" s="20" t="n"/>
      <c r="I18" s="20" t="n"/>
      <c r="J18" s="19" t="inlineStr">
        <is>
          <t>X</t>
        </is>
      </c>
      <c r="K18" s="19" t="inlineStr">
        <is>
          <t>X</t>
        </is>
      </c>
      <c r="L18" s="19" t="inlineStr">
        <is>
          <t>X</t>
        </is>
      </c>
      <c r="M18" s="19" t="inlineStr">
        <is>
          <t>X</t>
        </is>
      </c>
      <c r="N18" s="19" t="inlineStr">
        <is>
          <t>X</t>
        </is>
      </c>
      <c r="O18" s="19" t="inlineStr">
        <is>
          <t>X</t>
        </is>
      </c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</row>
    <row r="19" ht="32" customHeight="1">
      <c r="A19" t="n">
        <v>2</v>
      </c>
      <c r="B19" t="n">
        <v>3</v>
      </c>
      <c r="C19" t="inlineStr">
        <is>
          <t>2.1.1</t>
        </is>
      </c>
      <c r="D19" s="21" t="n"/>
      <c r="E19" s="21" t="inlineStr">
        <is>
          <t>Design L1-L4 business process flows</t>
        </is>
      </c>
      <c r="F19" s="38" t="inlineStr">
        <is>
          <t>BA, Solution Architect</t>
        </is>
      </c>
      <c r="G19" s="38" t="inlineStr">
        <is>
          <t>Complete</t>
        </is>
      </c>
      <c r="H19" s="20" t="n"/>
      <c r="I19" s="20" t="n"/>
      <c r="J19" s="24" t="inlineStr">
        <is>
          <t>X</t>
        </is>
      </c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</row>
    <row r="20" ht="16" customHeight="1">
      <c r="A20" t="n">
        <v>2</v>
      </c>
      <c r="B20" t="n">
        <v>3</v>
      </c>
      <c r="C20" t="inlineStr">
        <is>
          <t>2.1.2</t>
        </is>
      </c>
      <c r="D20" s="21" t="n"/>
      <c r="E20" s="21" t="inlineStr">
        <is>
          <t>Define process triggers and decision points</t>
        </is>
      </c>
      <c r="F20" s="38" t="inlineStr">
        <is>
          <t>BA, Business Users</t>
        </is>
      </c>
      <c r="G20" s="38" t="inlineStr">
        <is>
          <t>Complete</t>
        </is>
      </c>
      <c r="H20" s="20" t="n"/>
      <c r="I20" s="20" t="n"/>
      <c r="J20" s="24" t="inlineStr">
        <is>
          <t>X</t>
        </is>
      </c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</row>
    <row r="21" ht="32" customHeight="1">
      <c r="A21" t="n">
        <v>2</v>
      </c>
      <c r="B21" t="n">
        <v>4</v>
      </c>
      <c r="C21" t="inlineStr">
        <is>
          <t>2.2.1</t>
        </is>
      </c>
      <c r="D21" s="21" t="n"/>
      <c r="E21" s="21" t="inlineStr">
        <is>
          <t>Define data models for fuel and accruals</t>
        </is>
      </c>
      <c r="F21" s="38" t="inlineStr">
        <is>
          <t>Solution Architect, Data Architect</t>
        </is>
      </c>
      <c r="G21" s="38" t="inlineStr">
        <is>
          <t>Complete</t>
        </is>
      </c>
      <c r="H21" s="20" t="n"/>
      <c r="I21" s="20" t="n"/>
      <c r="J21" s="20" t="n"/>
      <c r="K21" s="24" t="inlineStr">
        <is>
          <t>X</t>
        </is>
      </c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</row>
    <row r="22" ht="32" customHeight="1">
      <c r="A22" t="n">
        <v>2</v>
      </c>
      <c r="B22" t="n">
        <v>4</v>
      </c>
      <c r="C22" t="inlineStr">
        <is>
          <t>2.2.2</t>
        </is>
      </c>
      <c r="D22" s="21" t="n"/>
      <c r="E22" s="21" t="inlineStr">
        <is>
          <t>Design data security and access control framework</t>
        </is>
      </c>
      <c r="F22" s="38" t="inlineStr">
        <is>
          <t>Security Architect, Solution Architect</t>
        </is>
      </c>
      <c r="G22" s="38" t="inlineStr">
        <is>
          <t>Complete</t>
        </is>
      </c>
      <c r="H22" s="20" t="n"/>
      <c r="I22" s="20" t="n"/>
      <c r="J22" s="20" t="n"/>
      <c r="K22" s="24" t="inlineStr">
        <is>
          <t>X</t>
        </is>
      </c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</row>
    <row r="23" ht="16" customHeight="1">
      <c r="A23" t="n">
        <v>2</v>
      </c>
      <c r="B23" t="n">
        <v>5</v>
      </c>
      <c r="C23" t="inlineStr">
        <is>
          <t>2.3.1</t>
        </is>
      </c>
      <c r="D23" s="21" t="n"/>
      <c r="E23" s="21" t="inlineStr">
        <is>
          <t>Create wireframes for BTP applications</t>
        </is>
      </c>
      <c r="F23" s="38" t="inlineStr">
        <is>
          <t>UX Designer, BA</t>
        </is>
      </c>
      <c r="G23" s="38" t="inlineStr">
        <is>
          <t>Complete</t>
        </is>
      </c>
      <c r="H23" s="20" t="n"/>
      <c r="I23" s="20" t="n"/>
      <c r="J23" s="20" t="n"/>
      <c r="K23" s="20" t="n"/>
      <c r="L23" s="24" t="inlineStr">
        <is>
          <t>X</t>
        </is>
      </c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</row>
    <row r="24" ht="32" customHeight="1">
      <c r="A24" t="n">
        <v>2</v>
      </c>
      <c r="B24" t="n">
        <v>5</v>
      </c>
      <c r="C24" t="inlineStr">
        <is>
          <t>2.3.2</t>
        </is>
      </c>
      <c r="D24" s="21" t="n"/>
      <c r="E24" s="21" t="inlineStr">
        <is>
          <t>Design user experience for fuel visibility dashboards</t>
        </is>
      </c>
      <c r="F24" s="38" t="inlineStr">
        <is>
          <t>UX Designer, Business Users</t>
        </is>
      </c>
      <c r="G24" s="38" t="inlineStr">
        <is>
          <t>Complete</t>
        </is>
      </c>
      <c r="H24" s="20" t="n"/>
      <c r="I24" s="20" t="n"/>
      <c r="J24" s="20" t="n"/>
      <c r="K24" s="20" t="n"/>
      <c r="L24" s="24" t="inlineStr">
        <is>
          <t>X</t>
        </is>
      </c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</row>
    <row r="25" ht="48" customHeight="1">
      <c r="A25" t="n">
        <v>2</v>
      </c>
      <c r="B25" t="n">
        <v>6</v>
      </c>
      <c r="C25" t="inlineStr">
        <is>
          <t>2.4.1</t>
        </is>
      </c>
      <c r="D25" s="21" t="n"/>
      <c r="E25" s="21" t="inlineStr">
        <is>
          <t>Design SAP Integration Suite connectivity patterns</t>
        </is>
      </c>
      <c r="F25" s="38" t="inlineStr">
        <is>
          <t>Integration Specialist, Solution Architect</t>
        </is>
      </c>
      <c r="G25" s="38" t="inlineStr">
        <is>
          <t>Complete</t>
        </is>
      </c>
      <c r="H25" s="20" t="n"/>
      <c r="I25" s="20" t="n"/>
      <c r="J25" s="20" t="n"/>
      <c r="K25" s="20" t="n"/>
      <c r="L25" s="20" t="n"/>
      <c r="M25" s="24" t="inlineStr">
        <is>
          <t>X</t>
        </is>
      </c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</row>
    <row r="26" ht="48" customHeight="1">
      <c r="A26" t="n">
        <v>2</v>
      </c>
      <c r="B26" t="n">
        <v>6</v>
      </c>
      <c r="C26" t="inlineStr">
        <is>
          <t>2.4.2</t>
        </is>
      </c>
      <c r="D26" s="21" t="n"/>
      <c r="E26" s="21" t="inlineStr">
        <is>
          <t>Plan API management and security protocols</t>
        </is>
      </c>
      <c r="F26" s="38" t="inlineStr">
        <is>
          <t>Integration Specialist, Security Architect</t>
        </is>
      </c>
      <c r="G26" s="38" t="inlineStr">
        <is>
          <t>In progress</t>
        </is>
      </c>
      <c r="H26" s="20" t="n"/>
      <c r="I26" s="20" t="n"/>
      <c r="J26" s="20" t="n"/>
      <c r="K26" s="20" t="n"/>
      <c r="L26" s="20" t="n"/>
      <c r="M26" s="24" t="inlineStr">
        <is>
          <t>X</t>
        </is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</row>
    <row r="27" ht="32" customHeight="1">
      <c r="A27" t="n">
        <v>2</v>
      </c>
      <c r="B27" t="n">
        <v>7</v>
      </c>
      <c r="C27" t="inlineStr">
        <is>
          <t>2.5.1</t>
        </is>
      </c>
      <c r="D27" s="21" t="n"/>
      <c r="E27" s="21" t="inlineStr">
        <is>
          <t>Create high-level design (HLD) document</t>
        </is>
      </c>
      <c r="F27" s="38" t="inlineStr">
        <is>
          <t>Solution Architect, Technical Lead</t>
        </is>
      </c>
      <c r="G27" s="38" t="inlineStr">
        <is>
          <t>In progress</t>
        </is>
      </c>
      <c r="H27" s="20" t="n"/>
      <c r="I27" s="20" t="n"/>
      <c r="J27" s="20" t="n"/>
      <c r="K27" s="20" t="n"/>
      <c r="L27" s="20" t="n"/>
      <c r="M27" s="20" t="n"/>
      <c r="N27" s="24" t="inlineStr">
        <is>
          <t>X</t>
        </is>
      </c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</row>
    <row r="28" ht="32" customHeight="1">
      <c r="A28" t="n">
        <v>2</v>
      </c>
      <c r="B28" t="n">
        <v>7</v>
      </c>
      <c r="C28" t="inlineStr">
        <is>
          <t>2.5.2</t>
        </is>
      </c>
      <c r="D28" s="21" t="n"/>
      <c r="E28" s="21" t="inlineStr">
        <is>
          <t>Design microservices architecture on BTP</t>
        </is>
      </c>
      <c r="F28" s="38" t="inlineStr">
        <is>
          <t>Solution Architect, BTP Developer</t>
        </is>
      </c>
      <c r="G28" s="38" t="inlineStr">
        <is>
          <t>In progress</t>
        </is>
      </c>
      <c r="H28" s="20" t="n"/>
      <c r="I28" s="20" t="n"/>
      <c r="J28" s="20" t="n"/>
      <c r="K28" s="20" t="n"/>
      <c r="L28" s="20" t="n"/>
      <c r="M28" s="20" t="n"/>
      <c r="N28" s="24" t="inlineStr">
        <is>
          <t>X</t>
        </is>
      </c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</row>
    <row r="29" ht="48" customHeight="1">
      <c r="A29" t="n">
        <v>2</v>
      </c>
      <c r="B29" t="n">
        <v>8</v>
      </c>
      <c r="C29" t="inlineStr">
        <is>
          <t>2.6.1</t>
        </is>
      </c>
      <c r="D29" s="21" t="n"/>
      <c r="E29" s="21" t="inlineStr">
        <is>
          <t>Finalize API specifications and event contracts</t>
        </is>
      </c>
      <c r="F29" s="38" t="inlineStr">
        <is>
          <t>Integration Specialist, BTP Developer</t>
        </is>
      </c>
      <c r="G29" s="38" t="inlineStr">
        <is>
          <t>In progress</t>
        </is>
      </c>
      <c r="H29" s="20" t="n"/>
      <c r="I29" s="20" t="n"/>
      <c r="J29" s="20" t="n"/>
      <c r="K29" s="20" t="n"/>
      <c r="L29" s="20" t="n"/>
      <c r="M29" s="20" t="n"/>
      <c r="N29" s="20" t="n"/>
      <c r="O29" s="24" t="inlineStr">
        <is>
          <t>X</t>
        </is>
      </c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</row>
    <row r="30" ht="16" customHeight="1">
      <c r="A30" t="n">
        <v>2</v>
      </c>
      <c r="B30" t="n">
        <v>8</v>
      </c>
      <c r="C30" t="inlineStr">
        <is>
          <t>2.6.2</t>
        </is>
      </c>
      <c r="D30" s="21" t="n"/>
      <c r="E30" s="21" t="inlineStr">
        <is>
          <t>Complete architecture diagrams</t>
        </is>
      </c>
      <c r="F30" s="38" t="inlineStr">
        <is>
          <t>Solution Architect</t>
        </is>
      </c>
      <c r="G30" s="38" t="n"/>
      <c r="H30" s="20" t="n"/>
      <c r="I30" s="20" t="n"/>
      <c r="J30" s="20" t="n"/>
      <c r="K30" s="20" t="n"/>
      <c r="L30" s="20" t="n"/>
      <c r="M30" s="20" t="n"/>
      <c r="N30" s="20" t="n"/>
      <c r="O30" s="24" t="inlineStr">
        <is>
          <t>X</t>
        </is>
      </c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</row>
    <row r="31">
      <c r="D31" s="21" t="n"/>
      <c r="E31" s="33" t="n"/>
      <c r="F31" s="35" t="n"/>
      <c r="G31" s="35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</row>
    <row r="32">
      <c r="D32" s="49" t="inlineStr">
        <is>
          <t>Build &amp; Configure (BTP Dev)</t>
        </is>
      </c>
      <c r="E32" s="56" t="n"/>
      <c r="F32" s="35" t="n"/>
      <c r="G32" s="35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19" t="inlineStr">
        <is>
          <t>X</t>
        </is>
      </c>
      <c r="Q32" s="19" t="inlineStr">
        <is>
          <t>X</t>
        </is>
      </c>
      <c r="R32" s="19" t="inlineStr">
        <is>
          <t>X</t>
        </is>
      </c>
      <c r="S32" s="19" t="inlineStr">
        <is>
          <t>X</t>
        </is>
      </c>
      <c r="T32" s="19" t="inlineStr">
        <is>
          <t>X</t>
        </is>
      </c>
      <c r="U32" s="19" t="inlineStr">
        <is>
          <t>X</t>
        </is>
      </c>
      <c r="V32" s="19" t="inlineStr">
        <is>
          <t>X</t>
        </is>
      </c>
      <c r="W32" s="19" t="inlineStr">
        <is>
          <t>X</t>
        </is>
      </c>
      <c r="X32" s="20" t="n"/>
      <c r="Y32" s="20" t="n"/>
      <c r="Z32" s="20" t="n"/>
      <c r="AA32" s="20" t="n"/>
      <c r="AB32" s="20" t="n"/>
      <c r="AC32" s="20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</row>
    <row r="33" ht="32" customHeight="1">
      <c r="A33" t="n">
        <v>3</v>
      </c>
      <c r="B33" t="n">
        <v>9</v>
      </c>
      <c r="C33" t="inlineStr">
        <is>
          <t>3.1.1</t>
        </is>
      </c>
      <c r="D33" s="21" t="n"/>
      <c r="E33" s="21" t="inlineStr">
        <is>
          <t>Set up BTP subaccounts and entitlements</t>
        </is>
      </c>
      <c r="F33" s="38" t="inlineStr">
        <is>
          <t>DevOps Engineer, BTP Admin</t>
        </is>
      </c>
      <c r="G33" s="38" t="inlineStr">
        <is>
          <t>Complete</t>
        </is>
      </c>
      <c r="H33" s="20" t="n"/>
      <c r="I33" s="20" t="n"/>
      <c r="J33" s="20" t="n"/>
      <c r="K33" s="20" t="n"/>
      <c r="L33" s="20" t="n"/>
      <c r="M33" s="20" t="n"/>
      <c r="N33" s="20" t="n"/>
      <c r="O33" s="20" t="n"/>
      <c r="P33" s="25" t="inlineStr">
        <is>
          <t>X</t>
        </is>
      </c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</row>
    <row r="34" ht="16" customHeight="1">
      <c r="A34" t="n">
        <v>3</v>
      </c>
      <c r="B34" t="n">
        <v>9</v>
      </c>
      <c r="C34" t="inlineStr">
        <is>
          <t>3.1.2</t>
        </is>
      </c>
      <c r="D34" s="21" t="n"/>
      <c r="E34" s="21" t="inlineStr">
        <is>
          <t>Configure Cloud Foundry and Kyma runtime</t>
        </is>
      </c>
      <c r="F34" s="38" t="inlineStr">
        <is>
          <t>DevOps Engineer</t>
        </is>
      </c>
      <c r="G34" s="38" t="inlineStr">
        <is>
          <t>Complete</t>
        </is>
      </c>
      <c r="H34" s="20" t="n"/>
      <c r="I34" s="20" t="n"/>
      <c r="J34" s="20" t="n"/>
      <c r="K34" s="20" t="n"/>
      <c r="L34" s="20" t="n"/>
      <c r="M34" s="20" t="n"/>
      <c r="N34" s="20" t="n"/>
      <c r="O34" s="20" t="n"/>
      <c r="P34" s="25" t="inlineStr">
        <is>
          <t>X</t>
        </is>
      </c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</row>
    <row r="35" ht="32" customHeight="1">
      <c r="A35" t="n">
        <v>3</v>
      </c>
      <c r="B35" t="n">
        <v>9</v>
      </c>
      <c r="C35" t="inlineStr">
        <is>
          <t>3.1.3</t>
        </is>
      </c>
      <c r="D35" s="21" t="n"/>
      <c r="E35" s="21" t="inlineStr">
        <is>
          <t>Set up HANA Cloud database instances</t>
        </is>
      </c>
      <c r="F35" s="38" t="inlineStr">
        <is>
          <t>Database Admin, DevOps Engineer</t>
        </is>
      </c>
      <c r="G35" s="38" t="inlineStr">
        <is>
          <t>Complete</t>
        </is>
      </c>
      <c r="H35" s="20" t="n"/>
      <c r="I35" s="20" t="n"/>
      <c r="J35" s="20" t="n"/>
      <c r="K35" s="20" t="n"/>
      <c r="L35" s="20" t="n"/>
      <c r="M35" s="20" t="n"/>
      <c r="N35" s="20" t="n"/>
      <c r="O35" s="20" t="n"/>
      <c r="P35" s="25" t="inlineStr">
        <is>
          <t>X</t>
        </is>
      </c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</row>
    <row r="36" ht="16" customHeight="1">
      <c r="A36" t="n">
        <v>3</v>
      </c>
      <c r="B36" t="n">
        <v>10</v>
      </c>
      <c r="C36" t="inlineStr">
        <is>
          <t>3.2.1</t>
        </is>
      </c>
      <c r="D36" s="21" t="n"/>
      <c r="E36" s="21" t="inlineStr">
        <is>
          <t>Develop core CAP services for fuel management</t>
        </is>
      </c>
      <c r="F36" s="38" t="inlineStr">
        <is>
          <t>BTP Developer (2)</t>
        </is>
      </c>
      <c r="G36" s="38" t="inlineStr">
        <is>
          <t>Complete</t>
        </is>
      </c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5" t="inlineStr">
        <is>
          <t>X</t>
        </is>
      </c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</row>
    <row r="37" ht="16" customHeight="1">
      <c r="A37" t="n">
        <v>3</v>
      </c>
      <c r="B37" t="n">
        <v>10</v>
      </c>
      <c r="C37" t="inlineStr">
        <is>
          <t>3.2.2</t>
        </is>
      </c>
      <c r="D37" s="21" t="n"/>
      <c r="E37" s="21" t="inlineStr">
        <is>
          <t>Implement data models and OData services</t>
        </is>
      </c>
      <c r="F37" s="38" t="inlineStr">
        <is>
          <t>BTP Developer</t>
        </is>
      </c>
      <c r="G37" s="38" t="inlineStr">
        <is>
          <t>Complete</t>
        </is>
      </c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5" t="inlineStr">
        <is>
          <t>X</t>
        </is>
      </c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</row>
    <row r="38" ht="16" customHeight="1">
      <c r="A38" t="n">
        <v>3</v>
      </c>
      <c r="B38" t="n">
        <v>11</v>
      </c>
      <c r="C38" t="inlineStr">
        <is>
          <t>3.3.1</t>
        </is>
      </c>
      <c r="D38" s="21" t="n"/>
      <c r="E38" s="21" t="inlineStr">
        <is>
          <t>Configure Cloud Integration (CPI) flows</t>
        </is>
      </c>
      <c r="F38" s="38" t="inlineStr">
        <is>
          <t>Integration Specialist</t>
        </is>
      </c>
      <c r="G38" s="38" t="inlineStr">
        <is>
          <t>Complete</t>
        </is>
      </c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5" t="inlineStr">
        <is>
          <t>X</t>
        </is>
      </c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</row>
    <row r="39" ht="16" customHeight="1">
      <c r="A39" t="n">
        <v>3</v>
      </c>
      <c r="B39" t="n">
        <v>11</v>
      </c>
      <c r="C39" t="inlineStr">
        <is>
          <t>3.3.2</t>
        </is>
      </c>
      <c r="D39" s="21" t="n"/>
      <c r="E39" s="21" t="inlineStr">
        <is>
          <t>Develop API proxies in API Management</t>
        </is>
      </c>
      <c r="F39" s="38" t="inlineStr">
        <is>
          <t>Integration Specialist</t>
        </is>
      </c>
      <c r="G39" s="38" t="inlineStr">
        <is>
          <t>Ongoing</t>
        </is>
      </c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5" t="inlineStr">
        <is>
          <t>X</t>
        </is>
      </c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</row>
    <row r="40" ht="48" customHeight="1">
      <c r="A40" t="n">
        <v>3</v>
      </c>
      <c r="B40" t="n">
        <v>12</v>
      </c>
      <c r="C40" t="inlineStr">
        <is>
          <t>3.4.1</t>
        </is>
      </c>
      <c r="D40" s="21" t="n"/>
      <c r="E40" s="21" t="inlineStr">
        <is>
          <t>Develop connectors for airline operational systems</t>
        </is>
      </c>
      <c r="F40" s="38" t="inlineStr">
        <is>
          <t>Integration Specialist, BTP Developer</t>
        </is>
      </c>
      <c r="G40" s="38" t="inlineStr">
        <is>
          <t>Ongoing</t>
        </is>
      </c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5" t="inlineStr">
        <is>
          <t>X</t>
        </is>
      </c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</row>
    <row r="41" ht="16" customHeight="1">
      <c r="A41" t="n">
        <v>3</v>
      </c>
      <c r="B41" t="n">
        <v>12</v>
      </c>
      <c r="C41" t="inlineStr">
        <is>
          <t>3.4.2</t>
        </is>
      </c>
      <c r="D41" s="21" t="n"/>
      <c r="E41" s="21" t="inlineStr">
        <is>
          <t>Implement fuel supplier data integration</t>
        </is>
      </c>
      <c r="F41" s="38" t="inlineStr">
        <is>
          <t>Integration Specialist</t>
        </is>
      </c>
      <c r="G41" s="38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5" t="inlineStr">
        <is>
          <t>X</t>
        </is>
      </c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</row>
    <row r="42" ht="32" customHeight="1">
      <c r="A42" t="n">
        <v>3</v>
      </c>
      <c r="B42" t="n">
        <v>13</v>
      </c>
      <c r="C42" t="inlineStr">
        <is>
          <t>3.5.1</t>
        </is>
      </c>
      <c r="D42" s="21" t="n"/>
      <c r="E42" s="21" t="inlineStr">
        <is>
          <t>Develop fuel visibility dashboard (UI5)</t>
        </is>
      </c>
      <c r="F42" s="38" t="inlineStr">
        <is>
          <t>UI Developer, BTP Developer</t>
        </is>
      </c>
      <c r="G42" s="38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5" t="inlineStr">
        <is>
          <t>X</t>
        </is>
      </c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</row>
    <row r="43" ht="16" customHeight="1">
      <c r="A43" t="n">
        <v>3</v>
      </c>
      <c r="B43" t="n">
        <v>13</v>
      </c>
      <c r="C43" t="inlineStr">
        <is>
          <t>3.5.2</t>
        </is>
      </c>
      <c r="D43" s="21" t="n"/>
      <c r="E43" s="21" t="inlineStr">
        <is>
          <t>Create accrual management interfaces</t>
        </is>
      </c>
      <c r="F43" s="38" t="inlineStr">
        <is>
          <t>UI Developer</t>
        </is>
      </c>
      <c r="G43" s="38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5" t="inlineStr">
        <is>
          <t>X</t>
        </is>
      </c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</row>
    <row r="44" ht="32" customHeight="1">
      <c r="A44" t="n">
        <v>3</v>
      </c>
      <c r="B44" t="n">
        <v>14</v>
      </c>
      <c r="C44" t="inlineStr">
        <is>
          <t>3.6.1</t>
        </is>
      </c>
      <c r="D44" s="21" t="n"/>
      <c r="E44" s="21" t="inlineStr">
        <is>
          <t>Configure SAP Work Zone for role-based access</t>
        </is>
      </c>
      <c r="F44" s="38" t="inlineStr">
        <is>
          <t>BTP Developer, Security Admin</t>
        </is>
      </c>
      <c r="G44" s="38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5" t="inlineStr">
        <is>
          <t>X</t>
        </is>
      </c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</row>
    <row r="45" ht="16" customHeight="1">
      <c r="A45" t="n">
        <v>3</v>
      </c>
      <c r="B45" t="n">
        <v>14</v>
      </c>
      <c r="C45" t="inlineStr">
        <is>
          <t>3.6.2</t>
        </is>
      </c>
      <c r="D45" s="21" t="n"/>
      <c r="E45" s="21" t="inlineStr">
        <is>
          <t>Integrate applications into Work Zone</t>
        </is>
      </c>
      <c r="F45" s="38" t="inlineStr">
        <is>
          <t>BTP Developer</t>
        </is>
      </c>
      <c r="G45" s="38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5" t="inlineStr">
        <is>
          <t>X</t>
        </is>
      </c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</row>
    <row r="46" ht="32" customHeight="1">
      <c r="A46" t="n">
        <v>3</v>
      </c>
      <c r="B46" t="n">
        <v>15</v>
      </c>
      <c r="C46" t="inlineStr">
        <is>
          <t>3.7.1</t>
        </is>
      </c>
      <c r="D46" s="21" t="n"/>
      <c r="E46" s="21" t="inlineStr">
        <is>
          <t>Configure CPE for fuel price management</t>
        </is>
      </c>
      <c r="F46" s="38" t="inlineStr">
        <is>
          <t>BTP Developer, Business Analyst</t>
        </is>
      </c>
      <c r="G46" s="38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5" t="inlineStr">
        <is>
          <t>X</t>
        </is>
      </c>
      <c r="W46" s="20" t="n"/>
      <c r="X46" s="20" t="n"/>
      <c r="Y46" s="20" t="n"/>
      <c r="Z46" s="20" t="n"/>
      <c r="AA46" s="20" t="n"/>
      <c r="AB46" s="20" t="n"/>
      <c r="AC46" s="20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1" t="n"/>
    </row>
    <row r="47" ht="32" customHeight="1">
      <c r="A47" t="n">
        <v>3</v>
      </c>
      <c r="B47" t="n">
        <v>15</v>
      </c>
      <c r="C47" t="inlineStr">
        <is>
          <t>3.7.2</t>
        </is>
      </c>
      <c r="D47" s="21" t="n"/>
      <c r="E47" s="21" t="inlineStr">
        <is>
          <t>Set up pricing models and calculation rules</t>
        </is>
      </c>
      <c r="F47" s="38" t="inlineStr">
        <is>
          <t>Business Analyst, BTP Developer</t>
        </is>
      </c>
      <c r="G47" s="38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5" t="inlineStr">
        <is>
          <t>X</t>
        </is>
      </c>
      <c r="W47" s="20" t="n"/>
      <c r="X47" s="20" t="n"/>
      <c r="Y47" s="20" t="n"/>
      <c r="Z47" s="20" t="n"/>
      <c r="AA47" s="20" t="n"/>
      <c r="AB47" s="20" t="n"/>
      <c r="AC47" s="20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</row>
    <row r="48" ht="16" customHeight="1">
      <c r="A48" t="n">
        <v>3</v>
      </c>
      <c r="B48" t="n">
        <v>16</v>
      </c>
      <c r="C48" t="inlineStr">
        <is>
          <t>3.8.1</t>
        </is>
      </c>
      <c r="D48" s="21" t="n"/>
      <c r="E48" s="21" t="inlineStr">
        <is>
          <t>Develop custom fuel logging capabilities</t>
        </is>
      </c>
      <c r="F48" s="38" t="inlineStr">
        <is>
          <t>BTP Developer (2)</t>
        </is>
      </c>
      <c r="G48" s="38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5" t="inlineStr">
        <is>
          <t>X</t>
        </is>
      </c>
      <c r="X48" s="20" t="n"/>
      <c r="Y48" s="20" t="n"/>
      <c r="Z48" s="20" t="n"/>
      <c r="AA48" s="20" t="n"/>
      <c r="AB48" s="20" t="n"/>
      <c r="AC48" s="20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</row>
    <row r="49" ht="32" customHeight="1">
      <c r="A49" t="n">
        <v>3</v>
      </c>
      <c r="B49" t="n">
        <v>16</v>
      </c>
      <c r="C49" t="inlineStr">
        <is>
          <t>3.8.2</t>
        </is>
      </c>
      <c r="D49" s="21" t="n"/>
      <c r="E49" s="21" t="inlineStr">
        <is>
          <t>Create cockpit dashboard for operations</t>
        </is>
      </c>
      <c r="F49" s="38" t="inlineStr">
        <is>
          <t>UI Developer, BTP Developer</t>
        </is>
      </c>
      <c r="G49" s="38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5" t="inlineStr">
        <is>
          <t>X</t>
        </is>
      </c>
      <c r="X49" s="20" t="n"/>
      <c r="Y49" s="20" t="n"/>
      <c r="Z49" s="20" t="n"/>
      <c r="AA49" s="20" t="n"/>
      <c r="AB49" s="20" t="n"/>
      <c r="AC49" s="20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</row>
    <row r="50">
      <c r="D50" s="21" t="n"/>
      <c r="E50" s="33" t="n"/>
      <c r="F50" s="35" t="n"/>
      <c r="G50" s="35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</row>
    <row r="51">
      <c r="D51" s="49" t="inlineStr">
        <is>
          <t>Test &amp; Validate</t>
        </is>
      </c>
      <c r="E51" s="56" t="n"/>
      <c r="F51" s="35" t="n"/>
      <c r="G51" s="35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19" t="inlineStr">
        <is>
          <t>X</t>
        </is>
      </c>
      <c r="Y51" s="19" t="inlineStr">
        <is>
          <t>X</t>
        </is>
      </c>
      <c r="Z51" s="19" t="inlineStr">
        <is>
          <t>X</t>
        </is>
      </c>
      <c r="AA51" s="19" t="inlineStr">
        <is>
          <t>X</t>
        </is>
      </c>
      <c r="AB51" s="19" t="inlineStr">
        <is>
          <t>X</t>
        </is>
      </c>
      <c r="AC51" s="19" t="inlineStr">
        <is>
          <t>X</t>
        </is>
      </c>
      <c r="AD51" s="19" t="inlineStr">
        <is>
          <t>X</t>
        </is>
      </c>
      <c r="AE51" s="19" t="inlineStr">
        <is>
          <t>X</t>
        </is>
      </c>
      <c r="AF51" s="21" t="n"/>
      <c r="AG51" s="21" t="n"/>
      <c r="AH51" s="21" t="n"/>
      <c r="AI51" s="21" t="n"/>
      <c r="AJ51" s="21" t="n"/>
      <c r="AK51" s="21" t="n"/>
      <c r="AL51" s="21" t="n"/>
    </row>
    <row r="52" ht="32" customHeight="1">
      <c r="A52" t="n">
        <v>4</v>
      </c>
      <c r="B52" t="n">
        <v>17</v>
      </c>
      <c r="C52" t="inlineStr">
        <is>
          <t>4.1.1</t>
        </is>
      </c>
      <c r="D52" s="21" t="n"/>
      <c r="E52" s="21" t="inlineStr">
        <is>
          <t>Execute unit tests for all CAP services</t>
        </is>
      </c>
      <c r="F52" s="38" t="inlineStr">
        <is>
          <t>QA Engineer, BTP Developer</t>
        </is>
      </c>
      <c r="G52" s="38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6" t="inlineStr">
        <is>
          <t>X</t>
        </is>
      </c>
      <c r="Y52" s="20" t="n"/>
      <c r="Z52" s="20" t="n"/>
      <c r="AA52" s="20" t="n"/>
      <c r="AB52" s="20" t="n"/>
      <c r="AC52" s="20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</row>
    <row r="53" ht="32" customHeight="1">
      <c r="A53" t="n">
        <v>4</v>
      </c>
      <c r="B53" t="n">
        <v>17</v>
      </c>
      <c r="C53" t="inlineStr">
        <is>
          <t>4.1.2</t>
        </is>
      </c>
      <c r="D53" s="21" t="n"/>
      <c r="E53" s="21" t="inlineStr">
        <is>
          <t>Perform code quality and security scans</t>
        </is>
      </c>
      <c r="F53" s="38" t="inlineStr">
        <is>
          <t>QA Engineer, Security Architect</t>
        </is>
      </c>
      <c r="G53" s="38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6" t="inlineStr">
        <is>
          <t>X</t>
        </is>
      </c>
      <c r="Y53" s="20" t="n"/>
      <c r="Z53" s="20" t="n"/>
      <c r="AA53" s="20" t="n"/>
      <c r="AB53" s="20" t="n"/>
      <c r="AC53" s="20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</row>
    <row r="54" ht="32" customHeight="1">
      <c r="A54" t="n">
        <v>4</v>
      </c>
      <c r="B54" t="n">
        <v>18</v>
      </c>
      <c r="C54" t="inlineStr">
        <is>
          <t>4.2.1</t>
        </is>
      </c>
      <c r="D54" s="21" t="n"/>
      <c r="E54" s="21" t="inlineStr">
        <is>
          <t>Test end-to-end integration flows</t>
        </is>
      </c>
      <c r="F54" s="38" t="inlineStr">
        <is>
          <t>QA Engineer, Integration Specialist</t>
        </is>
      </c>
      <c r="G54" s="38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6" t="inlineStr">
        <is>
          <t>X</t>
        </is>
      </c>
      <c r="Z54" s="20" t="n"/>
      <c r="AA54" s="20" t="n"/>
      <c r="AB54" s="20" t="n"/>
      <c r="AC54" s="20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</row>
    <row r="55" ht="32" customHeight="1">
      <c r="A55" t="n">
        <v>4</v>
      </c>
      <c r="B55" t="n">
        <v>18</v>
      </c>
      <c r="C55" t="inlineStr">
        <is>
          <t>4.2.2</t>
        </is>
      </c>
      <c r="D55" s="21" t="n"/>
      <c r="E55" s="21" t="inlineStr">
        <is>
          <t>Validate data synchronization between systems</t>
        </is>
      </c>
      <c r="F55" s="38" t="inlineStr">
        <is>
          <t>QA Engineer, Data Analyst</t>
        </is>
      </c>
      <c r="G55" s="38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6" t="inlineStr">
        <is>
          <t>X</t>
        </is>
      </c>
      <c r="Z55" s="20" t="n"/>
      <c r="AA55" s="20" t="n"/>
      <c r="AB55" s="20" t="n"/>
      <c r="AC55" s="20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</row>
    <row r="56" ht="32" customHeight="1">
      <c r="A56" t="n">
        <v>4</v>
      </c>
      <c r="B56" t="n">
        <v>19</v>
      </c>
      <c r="C56" t="inlineStr">
        <is>
          <t>4.3.1</t>
        </is>
      </c>
      <c r="D56" s="21" t="n"/>
      <c r="E56" s="21" t="inlineStr">
        <is>
          <t>Execute business process testing scenarios</t>
        </is>
      </c>
      <c r="F56" s="38" t="inlineStr">
        <is>
          <t>QA Engineer, Business Users</t>
        </is>
      </c>
      <c r="G56" s="38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6" t="inlineStr">
        <is>
          <t>X</t>
        </is>
      </c>
      <c r="AA56" s="20" t="n"/>
      <c r="AB56" s="20" t="n"/>
      <c r="AC56" s="20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</row>
    <row r="57" ht="32" customHeight="1">
      <c r="A57" t="n">
        <v>4</v>
      </c>
      <c r="B57" t="n">
        <v>19</v>
      </c>
      <c r="C57" t="inlineStr">
        <is>
          <t>4.3.2</t>
        </is>
      </c>
      <c r="D57" s="21" t="n"/>
      <c r="E57" s="21" t="inlineStr">
        <is>
          <t>Conduct user acceptance testing with airline staff</t>
        </is>
      </c>
      <c r="F57" s="38" t="inlineStr">
        <is>
          <t>Business Users, QA Engineer</t>
        </is>
      </c>
      <c r="G57" s="38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6" t="inlineStr">
        <is>
          <t>X</t>
        </is>
      </c>
      <c r="AA57" s="20" t="n"/>
      <c r="AB57" s="20" t="n"/>
      <c r="AC57" s="20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</row>
    <row r="58" ht="32" customHeight="1">
      <c r="A58" t="n">
        <v>4</v>
      </c>
      <c r="B58" t="n">
        <v>20</v>
      </c>
      <c r="C58" t="inlineStr">
        <is>
          <t>4.4.1</t>
        </is>
      </c>
      <c r="D58" s="21" t="n"/>
      <c r="E58" s="21" t="inlineStr">
        <is>
          <t>Execute performance testing for high-volume scenarios</t>
        </is>
      </c>
      <c r="F58" s="38" t="inlineStr">
        <is>
          <t>QA Engineer, Performance Tester</t>
        </is>
      </c>
      <c r="G58" s="38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  <c r="AA58" s="26" t="inlineStr">
        <is>
          <t>X</t>
        </is>
      </c>
      <c r="AB58" s="20" t="n"/>
      <c r="AC58" s="20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</row>
    <row r="59" ht="16" customHeight="1">
      <c r="A59" t="n">
        <v>4</v>
      </c>
      <c r="B59" t="n">
        <v>20</v>
      </c>
      <c r="C59" t="inlineStr">
        <is>
          <t>4.4.2</t>
        </is>
      </c>
      <c r="D59" s="21" t="n"/>
      <c r="E59" s="21" t="inlineStr">
        <is>
          <t>Test concurrent user access and system scalability</t>
        </is>
      </c>
      <c r="F59" s="38" t="inlineStr">
        <is>
          <t>Performance Tester</t>
        </is>
      </c>
      <c r="G59" s="38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  <c r="AA59" s="26" t="inlineStr">
        <is>
          <t>X</t>
        </is>
      </c>
      <c r="AB59" s="20" t="n"/>
      <c r="AC59" s="20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</row>
    <row r="60" ht="32" customHeight="1">
      <c r="A60" t="n">
        <v>4</v>
      </c>
      <c r="B60" t="n">
        <v>21</v>
      </c>
      <c r="C60" t="inlineStr">
        <is>
          <t>4.5.1</t>
        </is>
      </c>
      <c r="D60" s="21" t="n"/>
      <c r="E60" s="21" t="inlineStr">
        <is>
          <t>Simulate bulk flight operations and fuel consumption</t>
        </is>
      </c>
      <c r="F60" s="38" t="inlineStr">
        <is>
          <t>QA Engineer, Business Users</t>
        </is>
      </c>
      <c r="G60" s="38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6" t="inlineStr">
        <is>
          <t>X</t>
        </is>
      </c>
      <c r="AC60" s="20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</row>
    <row r="61" ht="32" customHeight="1">
      <c r="A61" t="n">
        <v>4</v>
      </c>
      <c r="B61" t="n">
        <v>21</v>
      </c>
      <c r="C61" t="inlineStr">
        <is>
          <t>4.5.2</t>
        </is>
      </c>
      <c r="D61" s="21" t="n"/>
      <c r="E61" s="21" t="inlineStr">
        <is>
          <t>Test into-plane fuel tracking and validation</t>
        </is>
      </c>
      <c r="F61" s="38" t="inlineStr">
        <is>
          <t>QA Engineer, Operations Team</t>
        </is>
      </c>
      <c r="G61" s="38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6" t="inlineStr">
        <is>
          <t>X</t>
        </is>
      </c>
      <c r="AC61" s="20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</row>
    <row r="62" ht="32" customHeight="1">
      <c r="A62" t="n">
        <v>4</v>
      </c>
      <c r="B62" t="n">
        <v>22</v>
      </c>
      <c r="C62" t="inlineStr">
        <is>
          <t>4.6.1</t>
        </is>
      </c>
      <c r="D62" s="21" t="n"/>
      <c r="E62" s="21" t="inlineStr">
        <is>
          <t>Execute full end-to-end business scenarios</t>
        </is>
      </c>
      <c r="F62" s="38" t="inlineStr">
        <is>
          <t>QA Engineer, All stakeholders</t>
        </is>
      </c>
      <c r="G62" s="38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6" t="inlineStr">
        <is>
          <t>X</t>
        </is>
      </c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</row>
    <row r="63" ht="32" customHeight="1">
      <c r="A63" t="n">
        <v>4</v>
      </c>
      <c r="B63" t="n">
        <v>22</v>
      </c>
      <c r="C63" t="inlineStr">
        <is>
          <t>4.6.2</t>
        </is>
      </c>
      <c r="D63" s="21" t="n"/>
      <c r="E63" s="21" t="inlineStr">
        <is>
          <t>Test disaster recovery and backup procedures</t>
        </is>
      </c>
      <c r="F63" s="38" t="inlineStr">
        <is>
          <t>DevOps Engineer, QA Engineer</t>
        </is>
      </c>
      <c r="G63" s="38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  <c r="AA63" s="20" t="n"/>
      <c r="AB63" s="20" t="n"/>
      <c r="AC63" s="26" t="inlineStr">
        <is>
          <t>X</t>
        </is>
      </c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</row>
    <row r="64" ht="32" customHeight="1">
      <c r="A64" t="n">
        <v>4</v>
      </c>
      <c r="B64" t="n">
        <v>23</v>
      </c>
      <c r="C64" t="inlineStr">
        <is>
          <t>4.7.1</t>
        </is>
      </c>
      <c r="D64" s="21" t="n"/>
      <c r="E64" s="21" t="inlineStr">
        <is>
          <t>Incorporate feedback from airline business users</t>
        </is>
      </c>
      <c r="F64" s="38" t="inlineStr">
        <is>
          <t>BTP Developer, Business Users</t>
        </is>
      </c>
      <c r="G64" s="38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6" t="inlineStr">
        <is>
          <t>X</t>
        </is>
      </c>
      <c r="AE64" s="21" t="n"/>
      <c r="AF64" s="21" t="n"/>
      <c r="AG64" s="21" t="n"/>
      <c r="AH64" s="21" t="n"/>
      <c r="AI64" s="21" t="n"/>
      <c r="AJ64" s="21" t="n"/>
      <c r="AK64" s="21" t="n"/>
      <c r="AL64" s="21" t="n"/>
    </row>
    <row r="65" ht="32" customHeight="1">
      <c r="A65" t="n">
        <v>4</v>
      </c>
      <c r="B65" t="n">
        <v>23</v>
      </c>
      <c r="C65" t="inlineStr">
        <is>
          <t>4.7.2</t>
        </is>
      </c>
      <c r="D65" s="21" t="n"/>
      <c r="E65" s="21" t="inlineStr">
        <is>
          <t>Address SAP IBU recommendations</t>
        </is>
      </c>
      <c r="F65" s="38" t="inlineStr">
        <is>
          <t>Solution Architect, BTP Developer</t>
        </is>
      </c>
      <c r="G65" s="38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  <c r="AA65" s="20" t="n"/>
      <c r="AB65" s="20" t="n"/>
      <c r="AC65" s="20" t="n"/>
      <c r="AD65" s="26" t="inlineStr">
        <is>
          <t>X</t>
        </is>
      </c>
      <c r="AE65" s="21" t="n"/>
      <c r="AF65" s="21" t="n"/>
      <c r="AG65" s="21" t="n"/>
      <c r="AH65" s="21" t="n"/>
      <c r="AI65" s="21" t="n"/>
      <c r="AJ65" s="21" t="n"/>
      <c r="AK65" s="21" t="n"/>
      <c r="AL65" s="21" t="n"/>
    </row>
    <row r="66" ht="32" customHeight="1">
      <c r="A66" t="n">
        <v>4</v>
      </c>
      <c r="B66" t="n">
        <v>24</v>
      </c>
      <c r="C66" t="inlineStr">
        <is>
          <t>4.8.1</t>
        </is>
      </c>
      <c r="D66" s="21" t="n"/>
      <c r="E66" s="21" t="inlineStr">
        <is>
          <t>Execute security penetration testing</t>
        </is>
      </c>
      <c r="F66" s="38" t="inlineStr">
        <is>
          <t>Security Tester, QA Engineer</t>
        </is>
      </c>
      <c r="G66" s="38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1" t="n"/>
      <c r="AE66" s="26" t="inlineStr">
        <is>
          <t>X</t>
        </is>
      </c>
      <c r="AF66" s="21" t="n"/>
      <c r="AG66" s="21" t="n"/>
      <c r="AH66" s="21" t="n"/>
      <c r="AI66" s="21" t="n"/>
      <c r="AJ66" s="21" t="n"/>
      <c r="AK66" s="21" t="n"/>
      <c r="AL66" s="21" t="n"/>
    </row>
    <row r="67" ht="32" customHeight="1">
      <c r="A67" t="n">
        <v>4</v>
      </c>
      <c r="B67" t="n">
        <v>24</v>
      </c>
      <c r="C67" t="inlineStr">
        <is>
          <t>4.8.2</t>
        </is>
      </c>
      <c r="D67" s="21" t="n"/>
      <c r="E67" s="21" t="inlineStr">
        <is>
          <t>Validate compliance with aviation regulations</t>
        </is>
      </c>
      <c r="F67" s="38" t="inlineStr">
        <is>
          <t>Compliance Officer, QA Engineer</t>
        </is>
      </c>
      <c r="G67" s="38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1" t="n"/>
      <c r="AE67" s="26" t="inlineStr">
        <is>
          <t>X</t>
        </is>
      </c>
      <c r="AF67" s="21" t="n"/>
      <c r="AG67" s="21" t="n"/>
      <c r="AH67" s="21" t="n"/>
      <c r="AI67" s="21" t="n"/>
      <c r="AJ67" s="21" t="n"/>
      <c r="AK67" s="21" t="n"/>
      <c r="AL67" s="21" t="n"/>
    </row>
    <row r="68">
      <c r="A68" t="n">
        <v>4</v>
      </c>
      <c r="B68" t="n">
        <v>24</v>
      </c>
      <c r="C68" t="inlineStr">
        <is>
          <t>4.9.1</t>
        </is>
      </c>
      <c r="E68" t="inlineStr">
        <is>
          <t>Validate all CAP backend services and OData endpoints</t>
        </is>
      </c>
      <c r="F68" t="inlineStr">
        <is>
          <t>QA Engineer, BTP Developer</t>
        </is>
      </c>
      <c r="G68" t="inlineStr">
        <is>
          <t>In Progress</t>
        </is>
      </c>
    </row>
    <row r="69">
      <c r="A69" t="n">
        <v>4</v>
      </c>
      <c r="B69" t="n">
        <v>24</v>
      </c>
      <c r="C69" t="inlineStr">
        <is>
          <t>4.9.2</t>
        </is>
      </c>
      <c r="E69" t="inlineStr">
        <is>
          <t>Verify database schema and data integrity</t>
        </is>
      </c>
      <c r="F69" t="inlineStr">
        <is>
          <t>QA Engineer, Database Admin</t>
        </is>
      </c>
      <c r="G69" t="inlineStr">
        <is>
          <t>Pending</t>
        </is>
      </c>
    </row>
    <row r="70">
      <c r="A70" t="n">
        <v>4</v>
      </c>
      <c r="B70" t="n">
        <v>25</v>
      </c>
      <c r="C70" t="inlineStr">
        <is>
          <t>4.9.3</t>
        </is>
      </c>
      <c r="E70" t="inlineStr">
        <is>
          <t>Validate authorization and role-based access control</t>
        </is>
      </c>
      <c r="F70" t="inlineStr">
        <is>
          <t>Security Architect, QA Engineer</t>
        </is>
      </c>
      <c r="G70" t="inlineStr">
        <is>
          <t>Pending</t>
        </is>
      </c>
    </row>
    <row r="71" ht="32" customHeight="1">
      <c r="A71" t="n">
        <v>4</v>
      </c>
      <c r="B71" t="n">
        <v>25</v>
      </c>
      <c r="C71" t="inlineStr">
        <is>
          <t>4.10.1</t>
        </is>
      </c>
      <c r="E71" t="inlineStr">
        <is>
          <t>Execute UI5 component and unit tests</t>
        </is>
      </c>
      <c r="F71" t="inlineStr">
        <is>
          <t>UI Developer, QA Engineer</t>
        </is>
      </c>
      <c r="G71" t="inlineStr">
        <is>
          <t>Pending</t>
        </is>
      </c>
    </row>
    <row r="72" ht="32" customHeight="1">
      <c r="A72" t="n">
        <v>4</v>
      </c>
      <c r="B72" t="n">
        <v>25</v>
      </c>
      <c r="C72" t="inlineStr">
        <is>
          <t>4.10.2</t>
        </is>
      </c>
      <c r="E72" t="inlineStr">
        <is>
          <t>Perform cross-browser and responsive design testing</t>
        </is>
      </c>
      <c r="F72" t="inlineStr">
        <is>
          <t>QA Engineer, UI Developer</t>
        </is>
      </c>
      <c r="G72" t="inlineStr">
        <is>
          <t>Pending</t>
        </is>
      </c>
    </row>
    <row r="73" ht="32" customHeight="1">
      <c r="A73" t="n">
        <v>4</v>
      </c>
      <c r="B73" t="n">
        <v>26</v>
      </c>
      <c r="C73" t="inlineStr">
        <is>
          <t>4.10.3</t>
        </is>
      </c>
      <c r="E73" t="inlineStr">
        <is>
          <t>Validate Fiori Elements annotations and previews</t>
        </is>
      </c>
      <c r="F73" t="inlineStr">
        <is>
          <t>UI Developer, BTP Developer</t>
        </is>
      </c>
      <c r="G73" t="inlineStr">
        <is>
          <t>Pending</t>
        </is>
      </c>
    </row>
    <row r="74" ht="48" customHeight="1">
      <c r="A74" t="n">
        <v>4</v>
      </c>
      <c r="B74" t="n">
        <v>26</v>
      </c>
      <c r="C74" t="inlineStr">
        <is>
          <t>4.11.1</t>
        </is>
      </c>
      <c r="E74" t="inlineStr">
        <is>
          <t>Execute end-to-end backend-frontend integration tests</t>
        </is>
      </c>
      <c r="F74" t="inlineStr">
        <is>
          <t>QA Engineer, Full Stack Team</t>
        </is>
      </c>
      <c r="G74" t="inlineStr">
        <is>
          <t>Pending</t>
        </is>
      </c>
    </row>
    <row r="75" ht="32" customHeight="1">
      <c r="A75" t="n">
        <v>4</v>
      </c>
      <c r="B75" t="n">
        <v>26</v>
      </c>
      <c r="C75" t="inlineStr">
        <is>
          <t>4.11.2</t>
        </is>
      </c>
      <c r="E75" t="inlineStr">
        <is>
          <t>Test HTML5 Application Repository deployment</t>
        </is>
      </c>
      <c r="F75" t="inlineStr">
        <is>
          <t>QA Engineer, DevOps Engineer</t>
        </is>
      </c>
      <c r="G75" t="inlineStr">
        <is>
          <t>Pending</t>
        </is>
      </c>
    </row>
    <row r="76">
      <c r="A76" t="n">
        <v>4</v>
      </c>
      <c r="B76" t="n">
        <v>27</v>
      </c>
      <c r="C76" t="inlineStr">
        <is>
          <t>4.11.3</t>
        </is>
      </c>
      <c r="E76" t="inlineStr">
        <is>
          <t>Validate MTA deployment and service bindings</t>
        </is>
      </c>
      <c r="F76" t="inlineStr">
        <is>
          <t>DevOps Engineer, QA Engineer</t>
        </is>
      </c>
      <c r="G76" t="inlineStr">
        <is>
          <t>Pending</t>
        </is>
      </c>
    </row>
    <row r="77">
      <c r="D77" s="21" t="n"/>
      <c r="E77" s="34" t="n"/>
      <c r="F77" s="35" t="n"/>
      <c r="G77" s="35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  <c r="AA77" s="20" t="n"/>
      <c r="AB77" s="20" t="n"/>
      <c r="AC77" s="20" t="n"/>
      <c r="AD77" s="20" t="n"/>
      <c r="AE77" s="21" t="n"/>
      <c r="AF77" s="21" t="n"/>
      <c r="AG77" s="21" t="n"/>
      <c r="AH77" s="21" t="n"/>
      <c r="AI77" s="21" t="n"/>
      <c r="AJ77" s="21" t="n"/>
      <c r="AK77" s="21" t="n"/>
      <c r="AL77" s="21" t="n"/>
    </row>
    <row r="78">
      <c r="D78" s="21" t="n"/>
      <c r="E78" s="33" t="n"/>
      <c r="F78" s="35" t="n"/>
      <c r="G78" s="35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1" t="n"/>
      <c r="AF78" s="21" t="n"/>
      <c r="AG78" s="21" t="n"/>
      <c r="AH78" s="21" t="n"/>
      <c r="AI78" s="21" t="n"/>
      <c r="AJ78" s="21" t="n"/>
      <c r="AK78" s="21" t="n"/>
      <c r="AL78" s="21" t="n"/>
    </row>
    <row r="79">
      <c r="D79" s="49" t="inlineStr">
        <is>
          <t>Deployment &amp; Go Live</t>
        </is>
      </c>
      <c r="E79" s="56" t="n"/>
      <c r="F79" s="35" t="n"/>
      <c r="G79" s="35" t="n"/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20" t="n"/>
      <c r="Z79" s="20" t="n"/>
      <c r="AA79" s="20" t="n"/>
      <c r="AB79" s="20" t="n"/>
      <c r="AC79" s="20" t="n"/>
      <c r="AD79" s="20" t="n"/>
      <c r="AE79" s="21" t="n"/>
      <c r="AF79" s="19" t="inlineStr">
        <is>
          <t>X</t>
        </is>
      </c>
      <c r="AG79" s="21" t="n"/>
      <c r="AH79" s="21" t="n"/>
      <c r="AI79" s="21" t="n"/>
      <c r="AJ79" s="21" t="n"/>
      <c r="AK79" s="21" t="n"/>
      <c r="AL79" s="21" t="n"/>
    </row>
    <row r="80" ht="32" customHeight="1">
      <c r="A80" t="n">
        <v>5</v>
      </c>
      <c r="B80" t="n">
        <v>25</v>
      </c>
      <c r="C80" t="inlineStr">
        <is>
          <t>5.1.1</t>
        </is>
      </c>
      <c r="D80" s="21" t="n"/>
      <c r="E80" s="21" t="inlineStr">
        <is>
          <t>Configure production BTP environment</t>
        </is>
      </c>
      <c r="F80" s="38" t="inlineStr">
        <is>
          <t>DevOps Engineer, BTP Admin</t>
        </is>
      </c>
      <c r="G80" s="38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1" t="n"/>
      <c r="AF80" s="27" t="inlineStr">
        <is>
          <t>X</t>
        </is>
      </c>
      <c r="AG80" s="21" t="n"/>
      <c r="AH80" s="21" t="n"/>
      <c r="AI80" s="21" t="n"/>
      <c r="AJ80" s="21" t="n"/>
      <c r="AK80" s="21" t="n"/>
      <c r="AL80" s="21" t="n"/>
    </row>
    <row r="81" ht="32" customHeight="1">
      <c r="A81" t="n">
        <v>5</v>
      </c>
      <c r="B81" t="n">
        <v>25</v>
      </c>
      <c r="C81" t="inlineStr">
        <is>
          <t>5.1.2</t>
        </is>
      </c>
      <c r="D81" s="21" t="n"/>
      <c r="E81" s="21" t="inlineStr">
        <is>
          <t>Deploy applications and integration flows</t>
        </is>
      </c>
      <c r="F81" s="38" t="inlineStr">
        <is>
          <t>DevOps Engineer, BTP Developer</t>
        </is>
      </c>
      <c r="G81" s="38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  <c r="AA81" s="20" t="n"/>
      <c r="AB81" s="20" t="n"/>
      <c r="AC81" s="20" t="n"/>
      <c r="AD81" s="20" t="n"/>
      <c r="AE81" s="21" t="n"/>
      <c r="AF81" s="27" t="inlineStr">
        <is>
          <t>X</t>
        </is>
      </c>
      <c r="AG81" s="21" t="n"/>
      <c r="AH81" s="21" t="n"/>
      <c r="AI81" s="21" t="n"/>
      <c r="AJ81" s="21" t="n"/>
      <c r="AK81" s="21" t="n"/>
      <c r="AL81" s="21" t="n"/>
    </row>
    <row r="82" ht="32" customHeight="1">
      <c r="A82" t="n">
        <v>5</v>
      </c>
      <c r="B82" t="n">
        <v>25</v>
      </c>
      <c r="C82" t="inlineStr">
        <is>
          <t>5.2.1</t>
        </is>
      </c>
      <c r="D82" s="21" t="n"/>
      <c r="E82" s="21" t="inlineStr">
        <is>
          <t>Execute cutover plan and data migration</t>
        </is>
      </c>
      <c r="F82" s="38" t="inlineStr">
        <is>
          <t>DevOps Engineer, Data Migration Team</t>
        </is>
      </c>
      <c r="G82" s="38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0" t="n"/>
      <c r="AE82" s="21" t="n"/>
      <c r="AF82" s="27" t="inlineStr">
        <is>
          <t>X</t>
        </is>
      </c>
      <c r="AG82" s="21" t="n"/>
      <c r="AH82" s="21" t="n"/>
      <c r="AI82" s="21" t="n"/>
      <c r="AJ82" s="21" t="n"/>
      <c r="AK82" s="21" t="n"/>
      <c r="AL82" s="21" t="n"/>
    </row>
    <row r="83" ht="32" customHeight="1">
      <c r="A83" t="n">
        <v>5</v>
      </c>
      <c r="B83" t="n">
        <v>25</v>
      </c>
      <c r="C83" t="inlineStr">
        <is>
          <t>5.2.2</t>
        </is>
      </c>
      <c r="D83" s="21" t="n"/>
      <c r="E83" s="21" t="inlineStr">
        <is>
          <t>Activate production integrations and workflows</t>
        </is>
      </c>
      <c r="F83" s="38" t="inlineStr">
        <is>
          <t>Integration Specialist, Operations Team</t>
        </is>
      </c>
      <c r="G83" s="38" t="n"/>
      <c r="H83" s="20" t="n"/>
      <c r="I83" s="20" t="n"/>
      <c r="J83" s="20" t="n"/>
      <c r="K83" s="20" t="n"/>
      <c r="L83" s="20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20" t="n"/>
      <c r="Z83" s="20" t="n"/>
      <c r="AA83" s="20" t="n"/>
      <c r="AB83" s="20" t="n"/>
      <c r="AC83" s="20" t="n"/>
      <c r="AD83" s="20" t="n"/>
      <c r="AE83" s="21" t="n"/>
      <c r="AF83" s="27" t="inlineStr">
        <is>
          <t>X</t>
        </is>
      </c>
      <c r="AG83" s="21" t="n"/>
      <c r="AH83" s="21" t="n"/>
      <c r="AI83" s="21" t="n"/>
      <c r="AJ83" s="21" t="n"/>
      <c r="AK83" s="21" t="n"/>
      <c r="AL83" s="21" t="n"/>
    </row>
    <row r="84" ht="32" customHeight="1">
      <c r="A84" t="n">
        <v>5</v>
      </c>
      <c r="B84" t="n">
        <v>25</v>
      </c>
      <c r="C84" t="inlineStr">
        <is>
          <t>5.3.1</t>
        </is>
      </c>
      <c r="D84" s="21" t="n"/>
      <c r="E84" s="21" t="inlineStr">
        <is>
          <t>Complete handover to operations team</t>
        </is>
      </c>
      <c r="F84" s="38" t="inlineStr">
        <is>
          <t>PM, Operations Manager</t>
        </is>
      </c>
      <c r="G84" s="38" t="n"/>
      <c r="H84" s="20" t="n"/>
      <c r="I84" s="20" t="n"/>
      <c r="J84" s="20" t="n"/>
      <c r="K84" s="20" t="n"/>
      <c r="L84" s="20" t="n"/>
      <c r="M84" s="20" t="n"/>
      <c r="N84" s="20" t="n"/>
      <c r="O84" s="20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20" t="n"/>
      <c r="Z84" s="20" t="n"/>
      <c r="AA84" s="20" t="n"/>
      <c r="AB84" s="20" t="n"/>
      <c r="AC84" s="20" t="n"/>
      <c r="AD84" s="21" t="n"/>
      <c r="AE84" s="21" t="n"/>
      <c r="AF84" s="27" t="inlineStr">
        <is>
          <t>X</t>
        </is>
      </c>
      <c r="AG84" s="21" t="n"/>
      <c r="AH84" s="21" t="n"/>
      <c r="AI84" s="21" t="n"/>
      <c r="AJ84" s="21" t="n"/>
      <c r="AK84" s="21" t="n"/>
      <c r="AL84" s="21" t="n"/>
    </row>
    <row r="85" ht="32" customHeight="1">
      <c r="D85" s="21" t="n"/>
      <c r="E85" s="38" t="n"/>
      <c r="F85" s="38" t="n"/>
      <c r="G85" s="38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</row>
    <row r="86">
      <c r="D86" s="21" t="n"/>
      <c r="E86" s="38" t="n"/>
      <c r="F86" s="38" t="n"/>
      <c r="G86" s="38" t="n"/>
      <c r="H86" s="20" t="n"/>
      <c r="I86" s="20" t="n"/>
      <c r="J86" s="20" t="n"/>
      <c r="K86" s="20" t="n"/>
      <c r="L86" s="20" t="n"/>
      <c r="M86" s="20" t="n"/>
      <c r="N86" s="20" t="n"/>
      <c r="O86" s="20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20" t="n"/>
      <c r="Z86" s="20" t="n"/>
      <c r="AA86" s="20" t="n"/>
      <c r="AB86" s="20" t="n"/>
      <c r="AC86" s="20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</row>
    <row r="87">
      <c r="D87" s="21" t="n"/>
      <c r="E87" s="38" t="n"/>
      <c r="F87" s="38" t="n"/>
      <c r="G87" s="38" t="n"/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20" t="n"/>
      <c r="Z87" s="20" t="n"/>
      <c r="AA87" s="20" t="n"/>
      <c r="AB87" s="20" t="n"/>
      <c r="AC87" s="20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</row>
    <row r="88">
      <c r="D88" s="49" t="inlineStr">
        <is>
          <t>Support and Continuous Innovation</t>
        </is>
      </c>
      <c r="E88" s="56" t="n"/>
      <c r="F88" s="35" t="n"/>
      <c r="G88" s="35" t="n"/>
      <c r="H88" s="20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 t="n"/>
      <c r="Y88" s="20" t="n"/>
      <c r="Z88" s="20" t="n"/>
      <c r="AA88" s="20" t="n"/>
      <c r="AB88" s="20" t="n"/>
      <c r="AC88" s="20" t="n"/>
      <c r="AD88" s="20" t="n"/>
      <c r="AE88" s="21" t="n"/>
      <c r="AF88" s="19" t="inlineStr">
        <is>
          <t>X</t>
        </is>
      </c>
      <c r="AG88" s="21" t="n"/>
      <c r="AH88" s="21" t="n"/>
      <c r="AI88" s="21" t="n"/>
      <c r="AJ88" s="21" t="n"/>
      <c r="AK88" s="21" t="n"/>
      <c r="AL88" s="21" t="n"/>
    </row>
    <row r="89">
      <c r="A89" t="n">
        <v>6</v>
      </c>
      <c r="B89" t="inlineStr">
        <is>
          <t>Ongoing</t>
        </is>
      </c>
      <c r="C89" t="inlineStr">
        <is>
          <t>6.1.1</t>
        </is>
      </c>
      <c r="D89" s="21" t="n"/>
      <c r="E89" s="21" t="inlineStr">
        <is>
          <t>Monitor application performance and availability</t>
        </is>
      </c>
      <c r="F89" s="38" t="inlineStr">
        <is>
          <t>Operations Team, Support Engineer</t>
        </is>
      </c>
      <c r="G89" s="38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</row>
    <row r="90">
      <c r="A90" t="n">
        <v>6</v>
      </c>
      <c r="B90" t="inlineStr">
        <is>
          <t>Ongoing</t>
        </is>
      </c>
      <c r="C90" t="inlineStr">
        <is>
          <t>6.1.2</t>
        </is>
      </c>
      <c r="D90" s="21" t="n"/>
      <c r="E90" s="21" t="inlineStr">
        <is>
          <t>Respond to user issues and service requests</t>
        </is>
      </c>
      <c r="F90" s="38" t="inlineStr">
        <is>
          <t>Support Engineer, Help Desk</t>
        </is>
      </c>
      <c r="G90" s="38" t="n"/>
      <c r="H90" s="20" t="n"/>
      <c r="I90" s="20" t="n"/>
      <c r="J90" s="20" t="n"/>
      <c r="K90" s="20" t="n"/>
      <c r="L90" s="20" t="n"/>
      <c r="M90" s="20" t="n"/>
      <c r="N90" s="20" t="n"/>
      <c r="O90" s="20" t="n"/>
      <c r="P90" s="20" t="n"/>
      <c r="Q90" s="20" t="n"/>
      <c r="R90" s="20" t="n"/>
      <c r="S90" s="20" t="n"/>
      <c r="T90" s="20" t="n"/>
      <c r="U90" s="20" t="n"/>
      <c r="V90" s="20" t="n"/>
      <c r="W90" s="20" t="n"/>
      <c r="X90" s="20" t="n"/>
      <c r="Y90" s="20" t="n"/>
      <c r="Z90" s="20" t="n"/>
      <c r="AA90" s="20" t="n"/>
      <c r="AB90" s="20" t="n"/>
      <c r="AC90" s="20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</row>
    <row r="91">
      <c r="A91" t="n">
        <v>6</v>
      </c>
      <c r="B91" t="inlineStr">
        <is>
          <t>Ongoing</t>
        </is>
      </c>
      <c r="C91" t="inlineStr">
        <is>
          <t>6.2.1</t>
        </is>
      </c>
      <c r="D91" s="21" t="n"/>
      <c r="E91" s="21" t="inlineStr">
        <is>
          <t>Collect user feedback and enhancement requests</t>
        </is>
      </c>
      <c r="F91" s="38" t="inlineStr">
        <is>
          <t>Product Owner, Business Analyst</t>
        </is>
      </c>
      <c r="G91" s="38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  <c r="AA91" s="20" t="n"/>
      <c r="AB91" s="20" t="n"/>
      <c r="AC91" s="20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</row>
    <row r="92">
      <c r="A92" t="n">
        <v>6</v>
      </c>
      <c r="B92" t="inlineStr">
        <is>
          <t>Ongoing</t>
        </is>
      </c>
      <c r="C92" t="inlineStr">
        <is>
          <t>6.2.2</t>
        </is>
      </c>
      <c r="D92" s="21" t="n"/>
      <c r="E92" s="21" t="inlineStr">
        <is>
          <t>Plan additional features and improvements</t>
        </is>
      </c>
      <c r="F92" s="38" t="inlineStr">
        <is>
          <t>Product Owner, Solution Architect</t>
        </is>
      </c>
      <c r="G92" s="38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20" t="n"/>
      <c r="Z92" s="20" t="n"/>
      <c r="AA92" s="20" t="n"/>
      <c r="AB92" s="20" t="n"/>
      <c r="AC92" s="20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</row>
    <row r="93">
      <c r="A93" t="n">
        <v>6</v>
      </c>
      <c r="B93" t="inlineStr">
        <is>
          <t>Ongoing</t>
        </is>
      </c>
      <c r="C93" t="inlineStr">
        <is>
          <t>6.3.1</t>
        </is>
      </c>
      <c r="D93" s="21" t="n"/>
      <c r="E93" s="21" t="inlineStr">
        <is>
          <t>Review and update technology stack</t>
        </is>
      </c>
      <c r="F93" s="38" t="inlineStr">
        <is>
          <t>Solution Architect, DevOps Engineer</t>
        </is>
      </c>
      <c r="G93" s="38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</row>
    <row r="94">
      <c r="A94" t="n">
        <v>6</v>
      </c>
      <c r="B94" t="inlineStr">
        <is>
          <t>Ongoing</t>
        </is>
      </c>
      <c r="C94" t="inlineStr">
        <is>
          <t>6.3.2</t>
        </is>
      </c>
      <c r="D94" s="21" t="n"/>
      <c r="E94" s="21" t="inlineStr">
        <is>
          <t>Evaluate new SAP BTP capabilities</t>
        </is>
      </c>
      <c r="F94" s="38" t="inlineStr">
        <is>
          <t>Solution Architect, BTP Developer</t>
        </is>
      </c>
      <c r="G94" s="38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  <c r="X94" s="20" t="n"/>
      <c r="Y94" s="20" t="n"/>
      <c r="Z94" s="20" t="n"/>
      <c r="AA94" s="20" t="n"/>
      <c r="AB94" s="20" t="n"/>
      <c r="AC94" s="20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</row>
    <row r="95">
      <c r="D95" s="21" t="n"/>
      <c r="E95" s="38" t="n"/>
      <c r="F95" s="38" t="n"/>
      <c r="G95" s="38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20" t="n"/>
      <c r="Z95" s="20" t="n"/>
      <c r="AA95" s="20" t="n"/>
      <c r="AB95" s="20" t="n"/>
      <c r="AC95" s="20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</row>
    <row r="96">
      <c r="D96" s="21" t="n"/>
      <c r="E96" s="38" t="n"/>
      <c r="F96" s="38" t="n"/>
      <c r="G96" s="38" t="n"/>
      <c r="H96" s="20" t="n"/>
      <c r="I96" s="20" t="n"/>
      <c r="J96" s="20" t="n"/>
      <c r="K96" s="20" t="n"/>
      <c r="L96" s="20" t="n"/>
      <c r="M96" s="20" t="n"/>
      <c r="N96" s="20" t="n"/>
      <c r="O96" s="20" t="n"/>
      <c r="P96" s="20" t="n"/>
      <c r="Q96" s="20" t="n"/>
      <c r="R96" s="20" t="n"/>
      <c r="S96" s="20" t="n"/>
      <c r="T96" s="20" t="n"/>
      <c r="U96" s="20" t="n"/>
      <c r="V96" s="20" t="n"/>
      <c r="W96" s="20" t="n"/>
      <c r="X96" s="20" t="n"/>
      <c r="Y96" s="20" t="n"/>
      <c r="Z96" s="20" t="n"/>
      <c r="AA96" s="20" t="n"/>
      <c r="AB96" s="20" t="n"/>
      <c r="AC96" s="20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</row>
    <row r="97">
      <c r="D97" s="21" t="n"/>
      <c r="E97" s="38" t="n"/>
      <c r="F97" s="38" t="n"/>
      <c r="G97" s="38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  <c r="AA97" s="20" t="n"/>
      <c r="AB97" s="20" t="n"/>
      <c r="AC97" s="20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</row>
    <row r="98">
      <c r="D98" s="21" t="n"/>
      <c r="E98" s="38" t="n"/>
      <c r="F98" s="38" t="n"/>
      <c r="G98" s="38" t="n"/>
      <c r="H98" s="20" t="n"/>
      <c r="I98" s="20" t="n"/>
      <c r="J98" s="20" t="n"/>
      <c r="K98" s="20" t="n"/>
      <c r="L98" s="20" t="n"/>
      <c r="M98" s="20" t="n"/>
      <c r="N98" s="20" t="n"/>
      <c r="O98" s="20" t="n"/>
      <c r="P98" s="20" t="n"/>
      <c r="Q98" s="20" t="n"/>
      <c r="R98" s="20" t="n"/>
      <c r="S98" s="20" t="n"/>
      <c r="T98" s="20" t="n"/>
      <c r="U98" s="20" t="n"/>
      <c r="V98" s="20" t="n"/>
      <c r="W98" s="20" t="n"/>
      <c r="X98" s="20" t="n"/>
      <c r="Y98" s="20" t="n"/>
      <c r="Z98" s="20" t="n"/>
      <c r="AA98" s="20" t="n"/>
      <c r="AB98" s="20" t="n"/>
      <c r="AC98" s="20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</row>
    <row r="99">
      <c r="D99" s="21" t="n"/>
      <c r="E99" s="38" t="n"/>
      <c r="F99" s="38" t="n"/>
      <c r="G99" s="38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 t="n"/>
      <c r="Y99" s="20" t="n"/>
      <c r="Z99" s="20" t="n"/>
      <c r="AA99" s="20" t="n"/>
      <c r="AB99" s="20" t="n"/>
      <c r="AC99" s="20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</row>
    <row r="100">
      <c r="D100" s="21" t="n"/>
      <c r="E100" s="38" t="n"/>
      <c r="F100" s="38" t="n"/>
      <c r="G100" s="38" t="n"/>
      <c r="H100" s="20" t="n"/>
      <c r="I100" s="20" t="n"/>
      <c r="J100" s="20" t="n"/>
      <c r="K100" s="20" t="n"/>
      <c r="L100" s="20" t="n"/>
      <c r="M100" s="20" t="n"/>
      <c r="N100" s="20" t="n"/>
      <c r="O100" s="20" t="n"/>
      <c r="P100" s="20" t="n"/>
      <c r="Q100" s="20" t="n"/>
      <c r="R100" s="20" t="n"/>
      <c r="S100" s="20" t="n"/>
      <c r="T100" s="20" t="n"/>
      <c r="U100" s="20" t="n"/>
      <c r="V100" s="20" t="n"/>
      <c r="W100" s="20" t="n"/>
      <c r="X100" s="20" t="n"/>
      <c r="Y100" s="20" t="n"/>
      <c r="Z100" s="20" t="n"/>
      <c r="AA100" s="20" t="n"/>
      <c r="AB100" s="20" t="n"/>
      <c r="AC100" s="20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</row>
    <row r="101">
      <c r="D101" s="21" t="n"/>
      <c r="E101" s="38" t="n"/>
      <c r="F101" s="38" t="n"/>
      <c r="G101" s="38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  <c r="Y101" s="20" t="n"/>
      <c r="Z101" s="20" t="n"/>
      <c r="AA101" s="20" t="n"/>
      <c r="AB101" s="20" t="n"/>
      <c r="AC101" s="20" t="n"/>
      <c r="AD101" s="21" t="n"/>
      <c r="AE101" s="21" t="n"/>
      <c r="AF101" s="21" t="n"/>
      <c r="AG101" s="21" t="n"/>
      <c r="AH101" s="21" t="n"/>
      <c r="AI101" s="21" t="n"/>
      <c r="AJ101" s="21" t="n"/>
      <c r="AK101" s="21" t="n"/>
      <c r="AL101" s="21" t="n"/>
    </row>
    <row r="102">
      <c r="D102" s="21" t="n"/>
      <c r="E102" s="38" t="n"/>
      <c r="F102" s="38" t="n"/>
      <c r="G102" s="38" t="n"/>
      <c r="H102" s="20" t="n"/>
      <c r="I102" s="20" t="n"/>
      <c r="J102" s="20" t="n"/>
      <c r="K102" s="20" t="n"/>
      <c r="L102" s="20" t="n"/>
      <c r="M102" s="20" t="n"/>
      <c r="N102" s="20" t="n"/>
      <c r="O102" s="20" t="n"/>
      <c r="P102" s="20" t="n"/>
      <c r="Q102" s="20" t="n"/>
      <c r="R102" s="20" t="n"/>
      <c r="S102" s="20" t="n"/>
      <c r="T102" s="20" t="n"/>
      <c r="U102" s="20" t="n"/>
      <c r="V102" s="20" t="n"/>
      <c r="W102" s="20" t="n"/>
      <c r="X102" s="20" t="n"/>
      <c r="Y102" s="20" t="n"/>
      <c r="Z102" s="20" t="n"/>
      <c r="AA102" s="20" t="n"/>
      <c r="AB102" s="20" t="n"/>
      <c r="AC102" s="20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</row>
    <row r="103">
      <c r="D103" s="21" t="n"/>
      <c r="E103" s="38" t="n"/>
      <c r="F103" s="38" t="n"/>
      <c r="G103" s="38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  <c r="W103" s="20" t="n"/>
      <c r="X103" s="20" t="n"/>
      <c r="Y103" s="20" t="n"/>
      <c r="Z103" s="20" t="n"/>
      <c r="AA103" s="20" t="n"/>
      <c r="AB103" s="20" t="n"/>
      <c r="AC103" s="20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</row>
    <row r="104">
      <c r="D104" s="21" t="n"/>
      <c r="E104" s="38" t="n"/>
      <c r="F104" s="38" t="n"/>
      <c r="G104" s="38" t="n"/>
      <c r="H104" s="20" t="n"/>
      <c r="I104" s="20" t="n"/>
      <c r="J104" s="20" t="n"/>
      <c r="K104" s="20" t="n"/>
      <c r="L104" s="20" t="n"/>
      <c r="M104" s="20" t="n"/>
      <c r="N104" s="20" t="n"/>
      <c r="O104" s="20" t="n"/>
      <c r="P104" s="20" t="n"/>
      <c r="Q104" s="20" t="n"/>
      <c r="R104" s="20" t="n"/>
      <c r="S104" s="20" t="n"/>
      <c r="T104" s="20" t="n"/>
      <c r="U104" s="20" t="n"/>
      <c r="V104" s="20" t="n"/>
      <c r="W104" s="20" t="n"/>
      <c r="X104" s="20" t="n"/>
      <c r="Y104" s="20" t="n"/>
      <c r="Z104" s="20" t="n"/>
      <c r="AA104" s="20" t="n"/>
      <c r="AB104" s="20" t="n"/>
      <c r="AC104" s="20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</row>
    <row r="105">
      <c r="D105" s="21" t="n"/>
      <c r="E105" s="38" t="n"/>
      <c r="F105" s="38" t="n"/>
      <c r="G105" s="38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  <c r="W105" s="20" t="n"/>
      <c r="X105" s="20" t="n"/>
      <c r="Y105" s="20" t="n"/>
      <c r="Z105" s="20" t="n"/>
      <c r="AA105" s="20" t="n"/>
      <c r="AB105" s="20" t="n"/>
      <c r="AC105" s="20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</row>
    <row r="106">
      <c r="D106" s="21" t="n"/>
      <c r="E106" s="38" t="n"/>
      <c r="F106" s="38" t="n"/>
      <c r="G106" s="38" t="n"/>
      <c r="H106" s="20" t="n"/>
      <c r="I106" s="20" t="n"/>
      <c r="J106" s="20" t="n"/>
      <c r="K106" s="20" t="n"/>
      <c r="L106" s="20" t="n"/>
      <c r="M106" s="20" t="n"/>
      <c r="N106" s="20" t="n"/>
      <c r="O106" s="20" t="n"/>
      <c r="P106" s="20" t="n"/>
      <c r="Q106" s="20" t="n"/>
      <c r="R106" s="20" t="n"/>
      <c r="S106" s="20" t="n"/>
      <c r="T106" s="20" t="n"/>
      <c r="U106" s="20" t="n"/>
      <c r="V106" s="20" t="n"/>
      <c r="W106" s="20" t="n"/>
      <c r="X106" s="20" t="n"/>
      <c r="Y106" s="20" t="n"/>
      <c r="Z106" s="20" t="n"/>
      <c r="AA106" s="20" t="n"/>
      <c r="AB106" s="20" t="n"/>
      <c r="AC106" s="20" t="n"/>
      <c r="AD106" s="21" t="n"/>
      <c r="AE106" s="21" t="n"/>
      <c r="AF106" s="21" t="n"/>
      <c r="AG106" s="21" t="n"/>
      <c r="AH106" s="21" t="n"/>
      <c r="AI106" s="21" t="n"/>
      <c r="AJ106" s="21" t="n"/>
      <c r="AK106" s="21" t="n"/>
      <c r="AL106" s="21" t="n"/>
    </row>
    <row r="107">
      <c r="D107" s="21" t="n"/>
      <c r="E107" s="38" t="n"/>
      <c r="F107" s="38" t="n"/>
      <c r="G107" s="38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  <c r="Y107" s="20" t="n"/>
      <c r="Z107" s="20" t="n"/>
      <c r="AA107" s="20" t="n"/>
      <c r="AB107" s="20" t="n"/>
      <c r="AC107" s="20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</row>
    <row r="108">
      <c r="D108" s="21" t="n"/>
      <c r="E108" s="38" t="n"/>
      <c r="F108" s="38" t="n"/>
      <c r="G108" s="38" t="n"/>
      <c r="H108" s="20" t="n"/>
      <c r="I108" s="20" t="n"/>
      <c r="J108" s="20" t="n"/>
      <c r="K108" s="20" t="n"/>
      <c r="L108" s="20" t="n"/>
      <c r="M108" s="20" t="n"/>
      <c r="N108" s="20" t="n"/>
      <c r="O108" s="20" t="n"/>
      <c r="P108" s="20" t="n"/>
      <c r="Q108" s="20" t="n"/>
      <c r="R108" s="20" t="n"/>
      <c r="S108" s="20" t="n"/>
      <c r="T108" s="20" t="n"/>
      <c r="U108" s="20" t="n"/>
      <c r="V108" s="20" t="n"/>
      <c r="W108" s="20" t="n"/>
      <c r="X108" s="20" t="n"/>
      <c r="Y108" s="20" t="n"/>
      <c r="Z108" s="20" t="n"/>
      <c r="AA108" s="20" t="n"/>
      <c r="AB108" s="20" t="n"/>
      <c r="AC108" s="20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</row>
    <row r="109">
      <c r="D109" s="21" t="n"/>
      <c r="E109" s="38" t="n"/>
      <c r="F109" s="38" t="n"/>
      <c r="G109" s="38" t="n"/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0" t="n"/>
      <c r="X109" s="20" t="n"/>
      <c r="Y109" s="20" t="n"/>
      <c r="Z109" s="20" t="n"/>
      <c r="AA109" s="20" t="n"/>
      <c r="AB109" s="20" t="n"/>
      <c r="AC109" s="20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</row>
  </sheetData>
  <mergeCells count="9">
    <mergeCell ref="D2:F2"/>
    <mergeCell ref="D51:E51"/>
    <mergeCell ref="D32:E32"/>
    <mergeCell ref="AE1:AL1"/>
    <mergeCell ref="D4:E4"/>
    <mergeCell ref="D70:E70"/>
    <mergeCell ref="D18:E18"/>
    <mergeCell ref="D79:E79"/>
    <mergeCell ref="H1:A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D5:E10"/>
  <sheetViews>
    <sheetView tabSelected="1" workbookViewId="0">
      <selection activeCell="E7" sqref="E7"/>
    </sheetView>
  </sheetViews>
  <sheetFormatPr baseColWidth="10" defaultRowHeight="15"/>
  <sheetData>
    <row r="5">
      <c r="D5" s="54" t="n">
        <v>0.15</v>
      </c>
      <c r="E5">
        <f>D5*$E$10</f>
        <v/>
      </c>
    </row>
    <row r="6">
      <c r="D6" s="54" t="n">
        <v>0.3</v>
      </c>
      <c r="E6">
        <f>D6*$E$10</f>
        <v/>
      </c>
    </row>
    <row r="7">
      <c r="D7" s="54" t="n">
        <v>0.3</v>
      </c>
      <c r="E7">
        <f>D7*$E$10</f>
        <v/>
      </c>
    </row>
    <row r="8">
      <c r="D8" s="54" t="n">
        <v>0.15</v>
      </c>
      <c r="E8">
        <f>D8*$E$10</f>
        <v/>
      </c>
    </row>
    <row r="9">
      <c r="D9" s="54" t="n">
        <v>0.1</v>
      </c>
      <c r="E9">
        <f>D9*$E$10</f>
        <v/>
      </c>
    </row>
    <row r="10">
      <c r="D10" s="54">
        <f>SUM(D5:D9)</f>
        <v/>
      </c>
      <c r="E10" t="n">
        <v>750000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Satya Vetsa</dc:creator>
  <dcterms:created xsi:type="dcterms:W3CDTF">2015-06-05T18:17:20Z</dcterms:created>
  <dcterms:modified xsi:type="dcterms:W3CDTF">2026-02-06T06:44:58Z</dcterms:modified>
  <cp:lastModifiedBy>Kalpesh Chavda</cp:lastModifiedBy>
</cp:coreProperties>
</file>