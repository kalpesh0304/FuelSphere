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https://diligentindia-my.sharepoint.com/personal/kalpesh_chavda_diligentglobal_com/Documents/Projects/FuelSphere/"/>
    </mc:Choice>
  </mc:AlternateContent>
  <xr:revisionPtr revIDLastSave="44" documentId="13_ncr:1_{D2FD3A13-13E9-6043-A7E3-4507857FC741}" xr6:coauthVersionLast="47" xr6:coauthVersionMax="47" xr10:uidLastSave="{4C2065D3-17A3-DC42-AE65-71332F634E25}"/>
  <bookViews>
    <workbookView xWindow="0" yWindow="740" windowWidth="29400" windowHeight="17400" activeTab="2" xr2:uid="{00000000-000D-0000-FFFF-FFFF00000000}"/>
  </bookViews>
  <sheets>
    <sheet name="Summary" sheetId="4" r:id="rId1"/>
    <sheet name="Sheet1" sheetId="5" r:id="rId2"/>
    <sheet name="Detailed Activi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4" l="1"/>
  <c r="F37" i="4"/>
  <c r="E37" i="4"/>
  <c r="E36" i="4"/>
  <c r="E35" i="4"/>
  <c r="E34" i="4"/>
  <c r="E33" i="4"/>
  <c r="E32" i="4"/>
  <c r="E31" i="4"/>
  <c r="I45" i="5"/>
  <c r="X23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AC21" i="5" s="1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C20" i="5" s="1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AC19" i="5" s="1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AC18" i="5" s="1"/>
  <c r="I18" i="5"/>
  <c r="H18" i="5"/>
  <c r="G18" i="5"/>
  <c r="F18" i="5"/>
  <c r="AB17" i="5"/>
  <c r="AA17" i="5"/>
  <c r="AA23" i="5" s="1"/>
  <c r="Z17" i="5"/>
  <c r="Z23" i="5" s="1"/>
  <c r="Y17" i="5"/>
  <c r="X17" i="5"/>
  <c r="W17" i="5"/>
  <c r="V17" i="5"/>
  <c r="U17" i="5"/>
  <c r="T17" i="5"/>
  <c r="S17" i="5"/>
  <c r="S23" i="5" s="1"/>
  <c r="R17" i="5"/>
  <c r="R23" i="5" s="1"/>
  <c r="Q17" i="5"/>
  <c r="P17" i="5"/>
  <c r="O17" i="5"/>
  <c r="N17" i="5"/>
  <c r="M17" i="5"/>
  <c r="L17" i="5"/>
  <c r="K17" i="5"/>
  <c r="K23" i="5" s="1"/>
  <c r="J17" i="5"/>
  <c r="J23" i="5" s="1"/>
  <c r="I17" i="5"/>
  <c r="H17" i="5"/>
  <c r="G17" i="5"/>
  <c r="F17" i="5"/>
  <c r="E17" i="5"/>
  <c r="D17" i="5"/>
  <c r="AC17" i="5" s="1"/>
  <c r="AB16" i="5"/>
  <c r="AB23" i="5" s="1"/>
  <c r="AA16" i="5"/>
  <c r="Z16" i="5"/>
  <c r="Y16" i="5"/>
  <c r="X16" i="5"/>
  <c r="W16" i="5"/>
  <c r="V16" i="5"/>
  <c r="U16" i="5"/>
  <c r="U23" i="5" s="1"/>
  <c r="T16" i="5"/>
  <c r="T23" i="5" s="1"/>
  <c r="S16" i="5"/>
  <c r="R16" i="5"/>
  <c r="Q16" i="5"/>
  <c r="P16" i="5"/>
  <c r="O16" i="5"/>
  <c r="N16" i="5"/>
  <c r="M16" i="5"/>
  <c r="M23" i="5" s="1"/>
  <c r="L16" i="5"/>
  <c r="L23" i="5" s="1"/>
  <c r="K16" i="5"/>
  <c r="J16" i="5"/>
  <c r="I16" i="5"/>
  <c r="H16" i="5"/>
  <c r="G16" i="5"/>
  <c r="F16" i="5"/>
  <c r="E16" i="5"/>
  <c r="E23" i="5" s="1"/>
  <c r="D16" i="5"/>
  <c r="D23" i="5" s="1"/>
  <c r="AB15" i="5"/>
  <c r="AA15" i="5"/>
  <c r="Z15" i="5"/>
  <c r="Y15" i="5"/>
  <c r="X15" i="5"/>
  <c r="W15" i="5"/>
  <c r="W23" i="5" s="1"/>
  <c r="V15" i="5"/>
  <c r="V23" i="5" s="1"/>
  <c r="U15" i="5"/>
  <c r="T15" i="5"/>
  <c r="S15" i="5"/>
  <c r="R15" i="5"/>
  <c r="Q15" i="5"/>
  <c r="P15" i="5"/>
  <c r="P23" i="5" s="1"/>
  <c r="O15" i="5"/>
  <c r="O23" i="5" s="1"/>
  <c r="N15" i="5"/>
  <c r="N23" i="5" s="1"/>
  <c r="M15" i="5"/>
  <c r="L15" i="5"/>
  <c r="K15" i="5"/>
  <c r="J15" i="5"/>
  <c r="I15" i="5"/>
  <c r="H15" i="5"/>
  <c r="H23" i="5" s="1"/>
  <c r="G15" i="5"/>
  <c r="G23" i="5" s="1"/>
  <c r="F15" i="5"/>
  <c r="F23" i="5" s="1"/>
  <c r="E15" i="5"/>
  <c r="D15" i="5"/>
  <c r="AC15" i="5" s="1"/>
  <c r="AC14" i="5"/>
  <c r="AB13" i="5"/>
  <c r="AA13" i="5"/>
  <c r="Z13" i="5"/>
  <c r="Y13" i="5"/>
  <c r="Y23" i="5" s="1"/>
  <c r="X13" i="5"/>
  <c r="W13" i="5"/>
  <c r="V13" i="5"/>
  <c r="U13" i="5"/>
  <c r="T13" i="5"/>
  <c r="S13" i="5"/>
  <c r="R13" i="5"/>
  <c r="Q13" i="5"/>
  <c r="Q23" i="5" s="1"/>
  <c r="P13" i="5"/>
  <c r="O13" i="5"/>
  <c r="N13" i="5"/>
  <c r="M13" i="5"/>
  <c r="L13" i="5"/>
  <c r="K13" i="5"/>
  <c r="J13" i="5"/>
  <c r="I13" i="5"/>
  <c r="I23" i="5" s="1"/>
  <c r="H13" i="5"/>
  <c r="G13" i="5"/>
  <c r="F13" i="5"/>
  <c r="E13" i="5"/>
  <c r="D13" i="5"/>
  <c r="AC13" i="5" s="1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14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AC15" i="4" s="1"/>
  <c r="AB13" i="4"/>
  <c r="AA13" i="4"/>
  <c r="Z13" i="4"/>
  <c r="Y13" i="4"/>
  <c r="X13" i="4"/>
  <c r="W13" i="4"/>
  <c r="W25" i="4" s="1"/>
  <c r="V13" i="4"/>
  <c r="V25" i="4" s="1"/>
  <c r="U13" i="4"/>
  <c r="U25" i="4" s="1"/>
  <c r="T13" i="4"/>
  <c r="S13" i="4"/>
  <c r="R13" i="4"/>
  <c r="Q13" i="4"/>
  <c r="P13" i="4"/>
  <c r="O13" i="4"/>
  <c r="O25" i="4" s="1"/>
  <c r="N13" i="4"/>
  <c r="N25" i="4" s="1"/>
  <c r="M13" i="4"/>
  <c r="M25" i="4" s="1"/>
  <c r="L13" i="4"/>
  <c r="K13" i="4"/>
  <c r="J13" i="4"/>
  <c r="I13" i="4"/>
  <c r="H13" i="4"/>
  <c r="G13" i="4"/>
  <c r="G25" i="4" s="1"/>
  <c r="F13" i="4"/>
  <c r="F25" i="4" s="1"/>
  <c r="E13" i="4"/>
  <c r="E25" i="4" s="1"/>
  <c r="D13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I47" i="4"/>
  <c r="I2" i="3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X25" i="4" l="1"/>
  <c r="I25" i="4"/>
  <c r="Q25" i="4"/>
  <c r="Y25" i="4"/>
  <c r="AC23" i="4"/>
  <c r="J25" i="4"/>
  <c r="R25" i="4"/>
  <c r="Z25" i="4"/>
  <c r="K25" i="4"/>
  <c r="S25" i="4"/>
  <c r="AA25" i="4"/>
  <c r="H25" i="4"/>
  <c r="P25" i="4"/>
  <c r="D25" i="4"/>
  <c r="L25" i="4"/>
  <c r="T25" i="4"/>
  <c r="AB25" i="4"/>
  <c r="AC16" i="5"/>
  <c r="AC23" i="5" s="1"/>
  <c r="AC25" i="5" s="1"/>
  <c r="AC26" i="5" s="1"/>
  <c r="AC27" i="5" s="1"/>
  <c r="AC16" i="4"/>
  <c r="AC13" i="4"/>
  <c r="AC22" i="4"/>
  <c r="AC19" i="4"/>
  <c r="AC18" i="4"/>
  <c r="AC17" i="4"/>
  <c r="AC25" i="4" l="1"/>
  <c r="AC27" i="4" s="1"/>
  <c r="AC28" i="4" s="1"/>
  <c r="AC29" i="4" s="1"/>
</calcChain>
</file>

<file path=xl/sharedStrings.xml><?xml version="1.0" encoding="utf-8"?>
<sst xmlns="http://schemas.openxmlformats.org/spreadsheetml/2006/main" count="570" uniqueCount="257">
  <si>
    <t>Project Phases</t>
  </si>
  <si>
    <t>W1</t>
  </si>
  <si>
    <t>W2</t>
  </si>
  <si>
    <t>W3</t>
  </si>
  <si>
    <t>W4</t>
  </si>
  <si>
    <t>W5</t>
  </si>
  <si>
    <t>W6</t>
  </si>
  <si>
    <t>Resources Estimate (In Hours)</t>
  </si>
  <si>
    <t>Project Manager</t>
  </si>
  <si>
    <t>Total</t>
  </si>
  <si>
    <t>Assumptions:</t>
  </si>
  <si>
    <t>1)</t>
  </si>
  <si>
    <t>2)</t>
  </si>
  <si>
    <t>3)</t>
  </si>
  <si>
    <t>4)</t>
  </si>
  <si>
    <t>5)</t>
  </si>
  <si>
    <t>6)</t>
  </si>
  <si>
    <t>7)</t>
  </si>
  <si>
    <t>8)</t>
  </si>
  <si>
    <t>9)</t>
  </si>
  <si>
    <t>Week starting</t>
  </si>
  <si>
    <t>Ph</t>
  </si>
  <si>
    <t>Activity</t>
  </si>
  <si>
    <t>Responsible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</si>
  <si>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</si>
  <si>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</si>
  <si>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</si>
  <si>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</si>
  <si>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</si>
  <si>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</si>
  <si>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</si>
  <si>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</si>
  <si>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</si>
  <si>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</si>
  <si>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</si>
  <si>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</si>
  <si>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</si>
  <si>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</si>
  <si>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</si>
  <si>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</si>
  <si>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X</t>
  </si>
  <si>
    <t>Fuel App Development and Deployment</t>
  </si>
  <si>
    <t>Solution Architect</t>
  </si>
  <si>
    <t>Ideation and Business Alignment</t>
  </si>
  <si>
    <t>Stakeholder interviews with airline operations team</t>
  </si>
  <si>
    <t>Document current manual accrual processes</t>
  </si>
  <si>
    <t>Analyze fuel visibility gaps and reporting challenges</t>
  </si>
  <si>
    <t>Assess SAP Industry Cloud for Airlines capabilities</t>
  </si>
  <si>
    <t>Review industry-specific accelerators and templates</t>
  </si>
  <si>
    <t>Evaluate BTP service offerings (CAP, UI5, Work Zone)</t>
  </si>
  <si>
    <t>Assess API availability and integration capabilities</t>
  </si>
  <si>
    <t>Validate connectivity with S/4HANA and other systems</t>
  </si>
  <si>
    <t>Complete SAP PartnerEdge registration</t>
  </si>
  <si>
    <t>Set up development and sandbox environments</t>
  </si>
  <si>
    <t>PM, BA, Solution Architect</t>
  </si>
  <si>
    <t>BA, Subject Matter Expert</t>
  </si>
  <si>
    <t>BA, Operations Team</t>
  </si>
  <si>
    <t>Solution Architect, SAP Consultant</t>
  </si>
  <si>
    <t>Solution Architect, BTP Developer</t>
  </si>
  <si>
    <t>Integration Specialist</t>
  </si>
  <si>
    <t>PM, Solution Architect</t>
  </si>
  <si>
    <t>DevOps Engineer, BTP Developer</t>
  </si>
  <si>
    <t>Design and Architecture</t>
  </si>
  <si>
    <t>Design L1-L4 business process flows</t>
  </si>
  <si>
    <t>Define process triggers and decision points</t>
  </si>
  <si>
    <t>Define data models for fuel and accruals</t>
  </si>
  <si>
    <t>Design data security and access control framework</t>
  </si>
  <si>
    <t>Create wireframes for BTP applications</t>
  </si>
  <si>
    <t>Design user experience for fuel visibility dashboards</t>
  </si>
  <si>
    <t>Design SAP Integration Suite connectivity patterns</t>
  </si>
  <si>
    <t>Plan API management and security protocols</t>
  </si>
  <si>
    <t>Create high-level design (HLD) document</t>
  </si>
  <si>
    <t>Design microservices architecture on BTP</t>
  </si>
  <si>
    <t>Finalize API specifications and event contracts</t>
  </si>
  <si>
    <t>Complete architecture diagrams</t>
  </si>
  <si>
    <t>Phase</t>
  </si>
  <si>
    <t>Week</t>
  </si>
  <si>
    <t>Activity ID</t>
  </si>
  <si>
    <t>1.1.1</t>
  </si>
  <si>
    <t>1.1.2</t>
  </si>
  <si>
    <t>1.1.3</t>
  </si>
  <si>
    <t>1.2.1</t>
  </si>
  <si>
    <t>1.2.2</t>
  </si>
  <si>
    <t>2.1.1</t>
  </si>
  <si>
    <t>2.1.2</t>
  </si>
  <si>
    <t>2.1.3</t>
  </si>
  <si>
    <t>2.2.1</t>
  </si>
  <si>
    <t>2.2.2</t>
  </si>
  <si>
    <t>2.3.1</t>
  </si>
  <si>
    <t>2.3.2</t>
  </si>
  <si>
    <t>2.4.1</t>
  </si>
  <si>
    <t>2.4.2</t>
  </si>
  <si>
    <t>2.5.1</t>
  </si>
  <si>
    <t>2.5.2</t>
  </si>
  <si>
    <t>2.6.1</t>
  </si>
  <si>
    <t>2.6.2</t>
  </si>
  <si>
    <t>Build &amp; Configure (BTP Dev)</t>
  </si>
  <si>
    <t>Set up BTP subaccounts and entitlements</t>
  </si>
  <si>
    <t>Configure Cloud Foundry and Kyma runtime</t>
  </si>
  <si>
    <t>Set up HANA Cloud database instances</t>
  </si>
  <si>
    <t>Develop core CAP services for fuel management</t>
  </si>
  <si>
    <t>Implement data models and OData services</t>
  </si>
  <si>
    <t>Configure Cloud Integration (CPI) flows</t>
  </si>
  <si>
    <t>Develop API proxies in API Management</t>
  </si>
  <si>
    <t>Develop connectors for airline operational systems</t>
  </si>
  <si>
    <t>Implement fuel supplier data integration</t>
  </si>
  <si>
    <t>Develop fuel visibility dashboard (UI5)</t>
  </si>
  <si>
    <t>Create accrual management interfaces</t>
  </si>
  <si>
    <t>Configure SAP Work Zone for role-based access</t>
  </si>
  <si>
    <t>Integrate applications into Work Zone</t>
  </si>
  <si>
    <t>Configure CPE for fuel price management</t>
  </si>
  <si>
    <t>Set up pricing models and calculation rules</t>
  </si>
  <si>
    <t>Develop custom fuel logging capabilities</t>
  </si>
  <si>
    <t>Create cockpit dashboard for operations</t>
  </si>
  <si>
    <t>DevOps Engineer, BTP Admin</t>
  </si>
  <si>
    <t>DevOps Engineer</t>
  </si>
  <si>
    <t>Database Admin, DevOps Engineer</t>
  </si>
  <si>
    <t>BTP Developer (2)</t>
  </si>
  <si>
    <t>BTP Developer</t>
  </si>
  <si>
    <t>Integration Specialist, BTP Developer</t>
  </si>
  <si>
    <t>UI Developer, BTP Developer</t>
  </si>
  <si>
    <t>UI Developer</t>
  </si>
  <si>
    <t>BTP Developer, Security Admin</t>
  </si>
  <si>
    <t>BTP Developer, Business Analyst</t>
  </si>
  <si>
    <t>Business Analyst, BTP Developer</t>
  </si>
  <si>
    <t>BA, Solution Architect</t>
  </si>
  <si>
    <t>BA, Business Users</t>
  </si>
  <si>
    <t>Solution Architect, Data Architect</t>
  </si>
  <si>
    <t>Security Architect, Solution Architect</t>
  </si>
  <si>
    <t>UX Designer, BA</t>
  </si>
  <si>
    <t>UX Designer, Business Users</t>
  </si>
  <si>
    <t>Integration Specialist, Solution Architect</t>
  </si>
  <si>
    <t>Integration Specialist, Security Architect</t>
  </si>
  <si>
    <t>Solution Architect, Technical Lead</t>
  </si>
  <si>
    <t>3.1.1</t>
  </si>
  <si>
    <t>3.1.2</t>
  </si>
  <si>
    <t>3.1.3</t>
  </si>
  <si>
    <t>3.2.1</t>
  </si>
  <si>
    <t>3.2.2</t>
  </si>
  <si>
    <t>3.3.1</t>
  </si>
  <si>
    <t>3.3.2</t>
  </si>
  <si>
    <t>3.4.1</t>
  </si>
  <si>
    <t>3.4.2</t>
  </si>
  <si>
    <t>3.5.1</t>
  </si>
  <si>
    <t>3.5.2</t>
  </si>
  <si>
    <t>3.6.1</t>
  </si>
  <si>
    <t>3.6.2</t>
  </si>
  <si>
    <t>3.7.1</t>
  </si>
  <si>
    <t>3.7.2</t>
  </si>
  <si>
    <t>3.8.1</t>
  </si>
  <si>
    <t>3.8.2</t>
  </si>
  <si>
    <t>Test &amp; Validate</t>
  </si>
  <si>
    <t>Execute unit tests for all CAP services</t>
  </si>
  <si>
    <t>Perform code quality and security scans</t>
  </si>
  <si>
    <t>Test end-to-end integration flows</t>
  </si>
  <si>
    <t>Validate data synchronization between systems</t>
  </si>
  <si>
    <t>Execute business process testing scenarios</t>
  </si>
  <si>
    <t>Conduct user acceptance testing with airline staff</t>
  </si>
  <si>
    <t>Execute performance testing for high-volume scenarios</t>
  </si>
  <si>
    <t>Test concurrent user access and system scalability</t>
  </si>
  <si>
    <t>Simulate bulk flight operations and fuel consumption</t>
  </si>
  <si>
    <t>Test into-plane fuel tracking and validation</t>
  </si>
  <si>
    <t>Execute full end-to-end business scenarios</t>
  </si>
  <si>
    <t>Test disaster recovery and backup procedures</t>
  </si>
  <si>
    <t>Incorporate feedback from airline business users</t>
  </si>
  <si>
    <t>Address SAP IBU recommendations</t>
  </si>
  <si>
    <t>Execute security penetration testing</t>
  </si>
  <si>
    <t>Validate compliance with aviation regulations</t>
  </si>
  <si>
    <t>4.1.1</t>
  </si>
  <si>
    <t>4.1.2</t>
  </si>
  <si>
    <t>4.2.1</t>
  </si>
  <si>
    <t>4.2.2</t>
  </si>
  <si>
    <t>4.3.1</t>
  </si>
  <si>
    <t>4.3.2</t>
  </si>
  <si>
    <t>4.4.1</t>
  </si>
  <si>
    <t>4.4.2</t>
  </si>
  <si>
    <t>4.5.1</t>
  </si>
  <si>
    <t>4.5.2</t>
  </si>
  <si>
    <t>4.6.1</t>
  </si>
  <si>
    <t>4.6.2</t>
  </si>
  <si>
    <t>4.7.1</t>
  </si>
  <si>
    <t>4.7.2</t>
  </si>
  <si>
    <t>4.8.1</t>
  </si>
  <si>
    <t>4.8.2</t>
  </si>
  <si>
    <t>QA Engineer, BTP Developer</t>
  </si>
  <si>
    <t>QA Engineer, Security Architect</t>
  </si>
  <si>
    <t>QA Engineer, Integration Specialist</t>
  </si>
  <si>
    <t>QA Engineer, Data Analyst</t>
  </si>
  <si>
    <t>QA Engineer, Business Users</t>
  </si>
  <si>
    <t>Business Users, QA Engineer</t>
  </si>
  <si>
    <t>QA Engineer, Performance Tester</t>
  </si>
  <si>
    <t>Performance Tester</t>
  </si>
  <si>
    <t>QA Engineer, Operations Team</t>
  </si>
  <si>
    <t>QA Engineer, All stakeholders</t>
  </si>
  <si>
    <t>DevOps Engineer, QA Engineer</t>
  </si>
  <si>
    <t>BTP Developer, Business Users</t>
  </si>
  <si>
    <t>Security Tester, QA Engineer</t>
  </si>
  <si>
    <t>Compliance Officer, QA Engineer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</si>
  <si>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</si>
  <si>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</si>
  <si>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</si>
  <si>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</si>
  <si>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</si>
  <si>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</si>
  <si>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</si>
  <si>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</si>
  <si>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</si>
  <si>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Deployment &amp; Go Live</t>
  </si>
  <si>
    <t>Configure production BTP environment</t>
  </si>
  <si>
    <t>Deploy applications and integration flows</t>
  </si>
  <si>
    <t>Execute cutover plan and data migration</t>
  </si>
  <si>
    <t>Activate production integrations and workflows</t>
  </si>
  <si>
    <t>Complete handover to operations team</t>
  </si>
  <si>
    <t>5.1.1</t>
  </si>
  <si>
    <t>5.1.2</t>
  </si>
  <si>
    <t>5.2.1</t>
  </si>
  <si>
    <t>5.2.2</t>
  </si>
  <si>
    <t>5.3.1</t>
  </si>
  <si>
    <t>DevOps Engineer, Data Migration Team</t>
  </si>
  <si>
    <t>Integration Specialist, Operations Team</t>
  </si>
  <si>
    <t>PM, Operations Manager</t>
  </si>
  <si>
    <t>Monitor application performance and availability</t>
  </si>
  <si>
    <t>Respond to user issues and service requests</t>
  </si>
  <si>
    <t>Collect user feedback and enhancement requests</t>
  </si>
  <si>
    <t>Plan additional features and improvements</t>
  </si>
  <si>
    <t>Review and update technology stack</t>
  </si>
  <si>
    <t>Evaluate new SAP BTP capabilities</t>
  </si>
  <si>
    <t>6.1.1</t>
  </si>
  <si>
    <t>6.1.2</t>
  </si>
  <si>
    <t>6.2.1</t>
  </si>
  <si>
    <t>6.2.2</t>
  </si>
  <si>
    <t>6.3.1</t>
  </si>
  <si>
    <t>6.3.2</t>
  </si>
  <si>
    <t>Ongoing</t>
  </si>
  <si>
    <t>Operations Team, Support Engineer</t>
  </si>
  <si>
    <t>Support Engineer, Help Desk</t>
  </si>
  <si>
    <t>Product Owner, Business Analyst</t>
  </si>
  <si>
    <t>Product Owner, Solution Architect</t>
  </si>
  <si>
    <t>Solution Architect, DevOps Engineer</t>
  </si>
  <si>
    <t>UI/UX Developer</t>
  </si>
  <si>
    <t>QA Engineer</t>
  </si>
  <si>
    <t>Business Analyst</t>
  </si>
  <si>
    <t>Support and Continuous Innovation</t>
  </si>
  <si>
    <t>Solution Architect - SAP</t>
  </si>
  <si>
    <t>Knowledge Management</t>
  </si>
  <si>
    <t>Security - Compliance</t>
  </si>
  <si>
    <t>BTP</t>
  </si>
  <si>
    <t xml:space="preserve">Functional </t>
  </si>
  <si>
    <t>ABAPER</t>
  </si>
  <si>
    <t>Integration</t>
  </si>
  <si>
    <t>PMO</t>
  </si>
  <si>
    <t>other</t>
  </si>
  <si>
    <t>FTE</t>
  </si>
  <si>
    <t>Involvement</t>
  </si>
  <si>
    <t>Status</t>
  </si>
  <si>
    <t>Complete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</si>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</sst>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8"/>
      <color theme="5" tint="-0.249977111117893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2" borderId="4" xfId="0" applyFont="1" applyFill="1" applyBorder="1"/>
    <xf numFmtId="0" fontId="2" fillId="3" borderId="4" xfId="0" applyFont="1" applyFill="1" applyBorder="1"/>
    <xf numFmtId="0" fontId="2" fillId="4" borderId="4" xfId="0" applyFont="1" applyFill="1" applyBorder="1"/>
    <xf numFmtId="0" fontId="2" fillId="5" borderId="4" xfId="0" applyFont="1" applyFill="1" applyBorder="1"/>
    <xf numFmtId="0" fontId="2" fillId="6" borderId="4" xfId="0" applyFont="1" applyFill="1" applyBorder="1"/>
    <xf numFmtId="0" fontId="3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6" fontId="6" fillId="8" borderId="4" xfId="0" applyNumberFormat="1" applyFont="1" applyFill="1" applyBorder="1" applyAlignment="1">
      <alignment horizontal="center" vertical="center" textRotation="90"/>
    </xf>
    <xf numFmtId="0" fontId="4" fillId="9" borderId="4" xfId="0" applyFont="1" applyFill="1" applyBorder="1"/>
    <xf numFmtId="0" fontId="4" fillId="9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0" fillId="12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0" fillId="0" borderId="0" xfId="0" applyAlignment="1">
      <alignment wrapText="1"/>
    </xf>
    <xf numFmtId="0" fontId="4" fillId="9" borderId="4" xfId="0" applyFont="1" applyFill="1" applyBorder="1" applyAlignment="1">
      <alignment wrapText="1"/>
    </xf>
    <xf numFmtId="0" fontId="8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0" fillId="12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wrapText="1"/>
    </xf>
    <xf numFmtId="0" fontId="4" fillId="9" borderId="15" xfId="0" applyFont="1" applyFill="1" applyBorder="1" applyAlignment="1">
      <alignment horizontal="center" vertical="center"/>
    </xf>
    <xf numFmtId="0" fontId="2" fillId="0" borderId="16" xfId="0" applyFont="1" applyBorder="1"/>
    <xf numFmtId="0" fontId="0" fillId="0" borderId="11" xfId="0" applyBorder="1" applyAlignment="1">
      <alignment horizontal="right" vertical="center"/>
    </xf>
    <xf numFmtId="43" fontId="2" fillId="0" borderId="0" xfId="1" applyFont="1"/>
    <xf numFmtId="43" fontId="2" fillId="0" borderId="0" xfId="0" applyNumberFormat="1" applyFont="1"/>
    <xf numFmtId="0" fontId="2" fillId="6" borderId="6" xfId="0" applyFont="1" applyFill="1" applyBorder="1"/>
    <xf numFmtId="0" fontId="2" fillId="6" borderId="0" xfId="0" applyFont="1" applyFill="1"/>
    <xf numFmtId="0" fontId="0" fillId="0" borderId="11" xfId="0" applyBorder="1" applyAlignment="1">
      <alignment wrapText="1"/>
    </xf>
    <xf numFmtId="0" fontId="6" fillId="0" borderId="0" xfId="0" applyFont="1" applyAlignment="1">
      <alignment wrapText="1"/>
    </xf>
    <xf numFmtId="0" fontId="0" fillId="13" borderId="4" xfId="0" applyFill="1" applyBorder="1" applyAlignment="1">
      <alignment horizontal="center"/>
    </xf>
    <xf numFmtId="0" fontId="7" fillId="10" borderId="4" xfId="0" applyFont="1" applyFill="1" applyBorder="1" applyAlignment="1">
      <alignment horizontal="left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11" xfId="0" applyBorder="1" applyAlignment="1">
      <alignment horizontal="right" vertical="center"/>
    </xf>
    <xf numFmtId="0" fontId="5" fillId="7" borderId="4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336551</xdr:colOff>
      <xdr:row>6</xdr:row>
      <xdr:rowOff>36513</xdr:rowOff>
    </xdr:from>
    <xdr:to>
      <xdr:col>28</xdr:col>
      <xdr:colOff>39687</xdr:colOff>
      <xdr:row>7</xdr:row>
      <xdr:rowOff>166688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29DAB46-860C-4724-96AB-9C00966C1B7E}"/>
            </a:ext>
          </a:extLst>
        </xdr:cNvPr>
        <xdr:cNvSpPr/>
      </xdr:nvSpPr>
      <xdr:spPr>
        <a:xfrm>
          <a:off x="12163426" y="1592263"/>
          <a:ext cx="76199" cy="30480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336551</xdr:colOff>
      <xdr:row>6</xdr:row>
      <xdr:rowOff>36513</xdr:rowOff>
    </xdr:from>
    <xdr:to>
      <xdr:col>28</xdr:col>
      <xdr:colOff>39687</xdr:colOff>
      <xdr:row>7</xdr:row>
      <xdr:rowOff>166688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1D701318-2DC8-EB4D-B5DA-08800E20D428}"/>
            </a:ext>
          </a:extLst>
        </xdr:cNvPr>
        <xdr:cNvSpPr/>
      </xdr:nvSpPr>
      <xdr:spPr>
        <a:xfrm>
          <a:off x="13481051" y="1611313"/>
          <a:ext cx="109536" cy="3079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9B75F-1223-46D7-9FD1-CD71EE065876}">
  <dimension ref="A1:AJ47"/>
  <sheetViews>
    <sheetView topLeftCell="A15" zoomScale="160" zoomScaleNormal="160" workbookViewId="0">
      <selection activeCell="G37" sqref="G37"/>
    </sheetView>
  </sheetViews>
  <sheetFormatPr baseColWidth="10" defaultColWidth="3.5" defaultRowHeight="14" x14ac:dyDescent="0.15"/>
  <cols>
    <col min="1" max="1" width="2.83203125" style="2" bestFit="1" customWidth="1"/>
    <col min="2" max="2" width="50.33203125" style="2" bestFit="1" customWidth="1"/>
    <col min="3" max="3" width="2.5" style="2" customWidth="1"/>
    <col min="4" max="4" width="4.6640625" style="2" customWidth="1"/>
    <col min="5" max="5" width="5.5" style="2" customWidth="1"/>
    <col min="6" max="6" width="4.83203125" style="2" customWidth="1"/>
    <col min="7" max="7" width="8.33203125" style="2" bestFit="1" customWidth="1"/>
    <col min="8" max="12" width="4.5" style="2" bestFit="1" customWidth="1"/>
    <col min="13" max="25" width="4.83203125" style="2" bestFit="1" customWidth="1"/>
    <col min="26" max="26" width="5.5" style="2" bestFit="1" customWidth="1"/>
    <col min="27" max="27" width="6.5" style="2" customWidth="1"/>
    <col min="28" max="28" width="5.33203125" style="2" customWidth="1"/>
    <col min="29" max="29" width="14.1640625" style="2" bestFit="1" customWidth="1"/>
    <col min="30" max="16384" width="3.5" style="2"/>
  </cols>
  <sheetData>
    <row r="1" spans="2:36" ht="18" x14ac:dyDescent="0.2">
      <c r="B1" s="1" t="s">
        <v>41</v>
      </c>
      <c r="C1" s="1"/>
    </row>
    <row r="2" spans="2:36" ht="49" customHeight="1" thickBot="1" x14ac:dyDescent="0.2">
      <c r="D2" s="16">
        <v>45866</v>
      </c>
      <c r="E2" s="16">
        <f t="shared" ref="E2:AB2" si="0">+D2+7</f>
        <v>45873</v>
      </c>
      <c r="F2" s="16">
        <f t="shared" si="0"/>
        <v>45880</v>
      </c>
      <c r="G2" s="16">
        <f t="shared" si="0"/>
        <v>45887</v>
      </c>
      <c r="H2" s="16">
        <f t="shared" si="0"/>
        <v>45894</v>
      </c>
      <c r="I2" s="16">
        <f t="shared" si="0"/>
        <v>45901</v>
      </c>
      <c r="J2" s="16">
        <f t="shared" si="0"/>
        <v>45908</v>
      </c>
      <c r="K2" s="16">
        <f t="shared" si="0"/>
        <v>45915</v>
      </c>
      <c r="L2" s="16">
        <f t="shared" si="0"/>
        <v>45922</v>
      </c>
      <c r="M2" s="16">
        <f t="shared" si="0"/>
        <v>45929</v>
      </c>
      <c r="N2" s="16">
        <f t="shared" si="0"/>
        <v>45936</v>
      </c>
      <c r="O2" s="16">
        <f t="shared" si="0"/>
        <v>45943</v>
      </c>
      <c r="P2" s="16">
        <f t="shared" si="0"/>
        <v>45950</v>
      </c>
      <c r="Q2" s="16">
        <f t="shared" si="0"/>
        <v>45957</v>
      </c>
      <c r="R2" s="16">
        <f t="shared" si="0"/>
        <v>45964</v>
      </c>
      <c r="S2" s="16">
        <f t="shared" si="0"/>
        <v>45971</v>
      </c>
      <c r="T2" s="16">
        <f t="shared" si="0"/>
        <v>45978</v>
      </c>
      <c r="U2" s="16">
        <f t="shared" si="0"/>
        <v>45985</v>
      </c>
      <c r="V2" s="16">
        <f t="shared" si="0"/>
        <v>45992</v>
      </c>
      <c r="W2" s="16">
        <f t="shared" si="0"/>
        <v>45999</v>
      </c>
      <c r="X2" s="16">
        <f t="shared" si="0"/>
        <v>46006</v>
      </c>
      <c r="Y2" s="16">
        <f t="shared" si="0"/>
        <v>46013</v>
      </c>
      <c r="Z2" s="16">
        <f t="shared" si="0"/>
        <v>46020</v>
      </c>
      <c r="AA2" s="16">
        <f t="shared" si="0"/>
        <v>46027</v>
      </c>
      <c r="AB2" s="16">
        <f t="shared" si="0"/>
        <v>46034</v>
      </c>
    </row>
    <row r="3" spans="2:36" ht="15" x14ac:dyDescent="0.15">
      <c r="B3" s="3" t="s">
        <v>0</v>
      </c>
      <c r="C3" s="4"/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18" t="s">
        <v>6</v>
      </c>
      <c r="J3" s="18" t="s">
        <v>24</v>
      </c>
      <c r="K3" s="18" t="s">
        <v>25</v>
      </c>
      <c r="L3" s="18" t="s">
        <v>26</v>
      </c>
      <c r="M3" s="18" t="s">
        <v>27</v>
      </c>
      <c r="N3" s="18" t="s">
        <v>28</v>
      </c>
      <c r="O3" s="18" t="s">
        <v>29</v>
      </c>
      <c r="P3" s="18" t="s">
        <v>30</v>
      </c>
      <c r="Q3" s="18" t="s">
        <v>31</v>
      </c>
      <c r="R3" s="18" t="s">
        <v>32</v>
      </c>
      <c r="S3" s="18" t="s">
        <v>33</v>
      </c>
      <c r="T3" s="18" t="s">
        <v>34</v>
      </c>
      <c r="U3" s="18" t="s">
        <v>35</v>
      </c>
      <c r="V3" s="18" t="s">
        <v>36</v>
      </c>
      <c r="W3" s="18" t="s">
        <v>37</v>
      </c>
      <c r="X3" s="18" t="s">
        <v>38</v>
      </c>
      <c r="Y3" s="28" t="s">
        <v>39</v>
      </c>
      <c r="Z3" s="39" t="s">
        <v>198</v>
      </c>
      <c r="AA3" s="39" t="s">
        <v>199</v>
      </c>
      <c r="AB3" s="39" t="s">
        <v>200</v>
      </c>
    </row>
    <row r="4" spans="2:36" x14ac:dyDescent="0.15">
      <c r="B4" s="5" t="s">
        <v>43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2:36" x14ac:dyDescent="0.15">
      <c r="B5" s="5" t="s">
        <v>62</v>
      </c>
      <c r="C5" s="5"/>
      <c r="D5" s="5"/>
      <c r="E5" s="5"/>
      <c r="F5" s="7"/>
      <c r="G5" s="7"/>
      <c r="H5" s="7"/>
      <c r="I5" s="7"/>
      <c r="J5" s="7"/>
      <c r="K5" s="7"/>
      <c r="L5" s="7"/>
      <c r="M5" s="7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2:36" x14ac:dyDescent="0.15">
      <c r="B6" s="5" t="s">
        <v>96</v>
      </c>
      <c r="C6" s="5"/>
      <c r="D6" s="5"/>
      <c r="E6" s="5"/>
      <c r="F6" s="5"/>
      <c r="G6" s="5"/>
      <c r="H6" s="5"/>
      <c r="I6" s="5"/>
      <c r="J6" s="5"/>
      <c r="K6" s="5"/>
      <c r="L6" s="8"/>
      <c r="M6" s="8"/>
      <c r="N6" s="8"/>
      <c r="O6" s="8"/>
      <c r="P6" s="8"/>
      <c r="Q6" s="8"/>
      <c r="R6" s="8"/>
      <c r="S6" s="8"/>
      <c r="T6" s="5"/>
      <c r="U6" s="5"/>
      <c r="V6" s="5"/>
      <c r="W6" s="5"/>
      <c r="X6" s="5"/>
      <c r="Y6" s="5"/>
      <c r="Z6" s="5"/>
      <c r="AA6" s="5"/>
      <c r="AB6" s="5"/>
    </row>
    <row r="7" spans="2:36" x14ac:dyDescent="0.15">
      <c r="B7" s="5" t="s">
        <v>151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9"/>
      <c r="U7" s="9"/>
      <c r="V7" s="9"/>
      <c r="W7" s="9"/>
      <c r="X7" s="9"/>
      <c r="Y7" s="9"/>
      <c r="Z7" s="9"/>
      <c r="AA7" s="9"/>
      <c r="AB7" s="5"/>
    </row>
    <row r="8" spans="2:36" x14ac:dyDescent="0.15">
      <c r="B8" s="5" t="s">
        <v>207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10"/>
    </row>
    <row r="9" spans="2:36" x14ac:dyDescent="0.15">
      <c r="B9" s="5" t="s">
        <v>242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1" spans="2:36" ht="15" thickBot="1" x14ac:dyDescent="0.2"/>
    <row r="12" spans="2:36" ht="16" thickBot="1" x14ac:dyDescent="0.2">
      <c r="B12" s="11" t="s">
        <v>7</v>
      </c>
      <c r="C12" s="5"/>
      <c r="D12" s="18" t="s">
        <v>1</v>
      </c>
      <c r="E12" s="18" t="s">
        <v>2</v>
      </c>
      <c r="F12" s="18" t="s">
        <v>3</v>
      </c>
      <c r="G12" s="18" t="s">
        <v>4</v>
      </c>
      <c r="H12" s="18" t="s">
        <v>5</v>
      </c>
      <c r="I12" s="18" t="s">
        <v>6</v>
      </c>
      <c r="J12" s="18" t="s">
        <v>24</v>
      </c>
      <c r="K12" s="18" t="s">
        <v>25</v>
      </c>
      <c r="L12" s="18" t="s">
        <v>26</v>
      </c>
      <c r="M12" s="18" t="s">
        <v>27</v>
      </c>
      <c r="N12" s="18" t="s">
        <v>28</v>
      </c>
      <c r="O12" s="18" t="s">
        <v>29</v>
      </c>
      <c r="P12" s="18" t="s">
        <v>30</v>
      </c>
      <c r="Q12" s="18" t="s">
        <v>31</v>
      </c>
      <c r="R12" s="18" t="s">
        <v>32</v>
      </c>
      <c r="S12" s="18" t="s">
        <v>33</v>
      </c>
      <c r="T12" s="18" t="s">
        <v>34</v>
      </c>
      <c r="U12" s="18" t="s">
        <v>35</v>
      </c>
      <c r="V12" s="18" t="s">
        <v>36</v>
      </c>
      <c r="W12" s="18" t="s">
        <v>37</v>
      </c>
      <c r="X12" s="18" t="s">
        <v>38</v>
      </c>
      <c r="Y12" s="18" t="s">
        <v>39</v>
      </c>
      <c r="Z12" s="18" t="s">
        <v>198</v>
      </c>
      <c r="AA12" s="18" t="s">
        <v>199</v>
      </c>
      <c r="AB12" s="18" t="s">
        <v>200</v>
      </c>
      <c r="AC12" s="5" t="s">
        <v>9</v>
      </c>
    </row>
    <row r="13" spans="2:36" x14ac:dyDescent="0.15">
      <c r="B13" s="12" t="s">
        <v>8</v>
      </c>
      <c r="C13" s="5"/>
      <c r="D13" s="5">
        <f t="shared" ref="D13:AB13" si="1">+$AJ$13</f>
        <v>40</v>
      </c>
      <c r="E13" s="5">
        <f t="shared" si="1"/>
        <v>40</v>
      </c>
      <c r="F13" s="5">
        <f t="shared" si="1"/>
        <v>40</v>
      </c>
      <c r="G13" s="5">
        <f t="shared" si="1"/>
        <v>40</v>
      </c>
      <c r="H13" s="5">
        <f t="shared" si="1"/>
        <v>40</v>
      </c>
      <c r="I13" s="5">
        <f t="shared" si="1"/>
        <v>40</v>
      </c>
      <c r="J13" s="5">
        <f t="shared" si="1"/>
        <v>40</v>
      </c>
      <c r="K13" s="5">
        <f t="shared" si="1"/>
        <v>40</v>
      </c>
      <c r="L13" s="5">
        <f t="shared" si="1"/>
        <v>40</v>
      </c>
      <c r="M13" s="5">
        <f t="shared" si="1"/>
        <v>40</v>
      </c>
      <c r="N13" s="5">
        <f t="shared" si="1"/>
        <v>40</v>
      </c>
      <c r="O13" s="5">
        <f t="shared" si="1"/>
        <v>40</v>
      </c>
      <c r="P13" s="5">
        <f t="shared" si="1"/>
        <v>40</v>
      </c>
      <c r="Q13" s="5">
        <f t="shared" si="1"/>
        <v>40</v>
      </c>
      <c r="R13" s="5">
        <f t="shared" si="1"/>
        <v>40</v>
      </c>
      <c r="S13" s="5">
        <f t="shared" si="1"/>
        <v>40</v>
      </c>
      <c r="T13" s="5">
        <f t="shared" si="1"/>
        <v>40</v>
      </c>
      <c r="U13" s="5">
        <f t="shared" si="1"/>
        <v>40</v>
      </c>
      <c r="V13" s="5">
        <f t="shared" si="1"/>
        <v>40</v>
      </c>
      <c r="W13" s="5">
        <f t="shared" si="1"/>
        <v>40</v>
      </c>
      <c r="X13" s="5">
        <f t="shared" si="1"/>
        <v>40</v>
      </c>
      <c r="Y13" s="5">
        <f t="shared" si="1"/>
        <v>40</v>
      </c>
      <c r="Z13" s="5">
        <f t="shared" si="1"/>
        <v>40</v>
      </c>
      <c r="AA13" s="5">
        <f t="shared" si="1"/>
        <v>40</v>
      </c>
      <c r="AB13" s="5">
        <f t="shared" si="1"/>
        <v>40</v>
      </c>
      <c r="AC13" s="5">
        <f>SUM(D13:AB13)</f>
        <v>1000</v>
      </c>
      <c r="AJ13" s="2">
        <v>40</v>
      </c>
    </row>
    <row r="14" spans="2:36" x14ac:dyDescent="0.15">
      <c r="B14" s="29" t="s">
        <v>243</v>
      </c>
      <c r="C14" s="5"/>
      <c r="D14" s="5">
        <v>4</v>
      </c>
      <c r="E14" s="5">
        <v>4</v>
      </c>
      <c r="F14" s="5">
        <v>8</v>
      </c>
      <c r="G14" s="5">
        <v>8</v>
      </c>
      <c r="H14" s="5">
        <v>16</v>
      </c>
      <c r="I14" s="5">
        <v>16</v>
      </c>
      <c r="J14" s="5">
        <v>16</v>
      </c>
      <c r="K14" s="5">
        <v>16</v>
      </c>
      <c r="L14" s="5">
        <v>8</v>
      </c>
      <c r="M14" s="5">
        <v>8</v>
      </c>
      <c r="N14" s="5">
        <v>8</v>
      </c>
      <c r="O14" s="5">
        <v>8</v>
      </c>
      <c r="P14" s="5">
        <v>8</v>
      </c>
      <c r="Q14" s="5">
        <v>8</v>
      </c>
      <c r="R14" s="5">
        <v>8</v>
      </c>
      <c r="S14" s="5">
        <v>8</v>
      </c>
      <c r="T14" s="5">
        <v>12</v>
      </c>
      <c r="U14" s="5">
        <v>12</v>
      </c>
      <c r="V14" s="5">
        <v>12</v>
      </c>
      <c r="W14" s="5">
        <v>12</v>
      </c>
      <c r="X14" s="5">
        <v>12</v>
      </c>
      <c r="Y14" s="5">
        <v>12</v>
      </c>
      <c r="Z14" s="5">
        <v>12</v>
      </c>
      <c r="AA14" s="5">
        <v>12</v>
      </c>
      <c r="AB14" s="5">
        <v>8</v>
      </c>
      <c r="AC14" s="5">
        <f>SUM(D14:AB14)</f>
        <v>256</v>
      </c>
    </row>
    <row r="15" spans="2:36" x14ac:dyDescent="0.15">
      <c r="B15" s="29" t="s">
        <v>42</v>
      </c>
      <c r="C15" s="5"/>
      <c r="D15" s="5">
        <f t="shared" ref="D15:S15" si="2">+$AJ$13</f>
        <v>40</v>
      </c>
      <c r="E15" s="5">
        <f t="shared" si="2"/>
        <v>40</v>
      </c>
      <c r="F15" s="5">
        <f t="shared" si="2"/>
        <v>40</v>
      </c>
      <c r="G15" s="5">
        <f t="shared" si="2"/>
        <v>40</v>
      </c>
      <c r="H15" s="5">
        <f t="shared" si="2"/>
        <v>40</v>
      </c>
      <c r="I15" s="5">
        <f t="shared" si="2"/>
        <v>40</v>
      </c>
      <c r="J15" s="5">
        <f t="shared" si="2"/>
        <v>40</v>
      </c>
      <c r="K15" s="5">
        <f t="shared" si="2"/>
        <v>40</v>
      </c>
      <c r="L15" s="5">
        <f t="shared" si="2"/>
        <v>40</v>
      </c>
      <c r="M15" s="5">
        <f t="shared" si="2"/>
        <v>40</v>
      </c>
      <c r="N15" s="5">
        <f t="shared" si="2"/>
        <v>40</v>
      </c>
      <c r="O15" s="5">
        <f t="shared" si="2"/>
        <v>40</v>
      </c>
      <c r="P15" s="5">
        <f t="shared" si="2"/>
        <v>40</v>
      </c>
      <c r="Q15" s="5">
        <f t="shared" si="2"/>
        <v>40</v>
      </c>
      <c r="R15" s="5">
        <f t="shared" si="2"/>
        <v>40</v>
      </c>
      <c r="S15" s="5">
        <f t="shared" si="2"/>
        <v>40</v>
      </c>
      <c r="T15" s="5">
        <f t="shared" ref="T15:AB15" si="3">+$AJ$13*0.5</f>
        <v>20</v>
      </c>
      <c r="U15" s="5">
        <f t="shared" si="3"/>
        <v>20</v>
      </c>
      <c r="V15" s="5">
        <f t="shared" si="3"/>
        <v>20</v>
      </c>
      <c r="W15" s="5">
        <f t="shared" si="3"/>
        <v>20</v>
      </c>
      <c r="X15" s="5">
        <f t="shared" si="3"/>
        <v>20</v>
      </c>
      <c r="Y15" s="5">
        <f t="shared" si="3"/>
        <v>20</v>
      </c>
      <c r="Z15" s="5">
        <f t="shared" si="3"/>
        <v>20</v>
      </c>
      <c r="AA15" s="5">
        <f t="shared" si="3"/>
        <v>20</v>
      </c>
      <c r="AB15" s="5">
        <f t="shared" si="3"/>
        <v>20</v>
      </c>
      <c r="AC15" s="5">
        <f t="shared" ref="AC15:AC23" si="4">SUM(D15:AB15)</f>
        <v>820</v>
      </c>
    </row>
    <row r="16" spans="2:36" s="45" customFormat="1" x14ac:dyDescent="0.15">
      <c r="B16" s="44" t="s">
        <v>118</v>
      </c>
      <c r="C16" s="10"/>
      <c r="D16" s="10">
        <f>+$AJ$13*0.5</f>
        <v>20</v>
      </c>
      <c r="E16" s="10">
        <f>+$AJ$13*0.5</f>
        <v>20</v>
      </c>
      <c r="F16" s="10">
        <f t="shared" ref="F16:K18" si="5">+$AJ$13*0.5</f>
        <v>20</v>
      </c>
      <c r="G16" s="10">
        <f t="shared" si="5"/>
        <v>20</v>
      </c>
      <c r="H16" s="10">
        <f t="shared" si="5"/>
        <v>20</v>
      </c>
      <c r="I16" s="10">
        <f t="shared" si="5"/>
        <v>20</v>
      </c>
      <c r="J16" s="10">
        <f t="shared" si="5"/>
        <v>20</v>
      </c>
      <c r="K16" s="10">
        <f t="shared" si="5"/>
        <v>20</v>
      </c>
      <c r="L16" s="10">
        <f>+$AJ$13*2</f>
        <v>80</v>
      </c>
      <c r="M16" s="10">
        <f t="shared" ref="M16:S16" si="6">+$AJ$13*2</f>
        <v>80</v>
      </c>
      <c r="N16" s="10">
        <f t="shared" si="6"/>
        <v>80</v>
      </c>
      <c r="O16" s="10">
        <f t="shared" si="6"/>
        <v>80</v>
      </c>
      <c r="P16" s="10">
        <f t="shared" si="6"/>
        <v>80</v>
      </c>
      <c r="Q16" s="10">
        <f t="shared" si="6"/>
        <v>80</v>
      </c>
      <c r="R16" s="10">
        <f t="shared" si="6"/>
        <v>80</v>
      </c>
      <c r="S16" s="10">
        <f t="shared" si="6"/>
        <v>80</v>
      </c>
      <c r="T16" s="10">
        <f t="shared" ref="T16:AB16" si="7">+$AJ$13</f>
        <v>40</v>
      </c>
      <c r="U16" s="10">
        <f t="shared" si="7"/>
        <v>40</v>
      </c>
      <c r="V16" s="10">
        <f t="shared" si="7"/>
        <v>40</v>
      </c>
      <c r="W16" s="10">
        <f t="shared" si="7"/>
        <v>40</v>
      </c>
      <c r="X16" s="10">
        <f t="shared" si="7"/>
        <v>40</v>
      </c>
      <c r="Y16" s="10">
        <f t="shared" si="7"/>
        <v>40</v>
      </c>
      <c r="Z16" s="10">
        <f t="shared" si="7"/>
        <v>40</v>
      </c>
      <c r="AA16" s="10">
        <f t="shared" si="7"/>
        <v>40</v>
      </c>
      <c r="AB16" s="10">
        <f t="shared" si="7"/>
        <v>40</v>
      </c>
      <c r="AC16" s="10">
        <f t="shared" si="4"/>
        <v>1160</v>
      </c>
    </row>
    <row r="17" spans="1:29" s="45" customFormat="1" x14ac:dyDescent="0.15">
      <c r="B17" s="44" t="s">
        <v>59</v>
      </c>
      <c r="C17" s="10"/>
      <c r="D17" s="10">
        <f>+$AJ$13*0.2</f>
        <v>8</v>
      </c>
      <c r="E17" s="10">
        <f>+$AJ$13*0.2</f>
        <v>8</v>
      </c>
      <c r="F17" s="10">
        <f t="shared" si="5"/>
        <v>20</v>
      </c>
      <c r="G17" s="10">
        <f t="shared" si="5"/>
        <v>20</v>
      </c>
      <c r="H17" s="10">
        <f t="shared" si="5"/>
        <v>20</v>
      </c>
      <c r="I17" s="10">
        <f t="shared" si="5"/>
        <v>20</v>
      </c>
      <c r="J17" s="10">
        <f t="shared" si="5"/>
        <v>20</v>
      </c>
      <c r="K17" s="10">
        <f t="shared" si="5"/>
        <v>20</v>
      </c>
      <c r="L17" s="10">
        <f t="shared" ref="L17:S18" si="8">+$AJ$13</f>
        <v>40</v>
      </c>
      <c r="M17" s="10">
        <f t="shared" si="8"/>
        <v>40</v>
      </c>
      <c r="N17" s="10">
        <f t="shared" si="8"/>
        <v>40</v>
      </c>
      <c r="O17" s="10">
        <f t="shared" si="8"/>
        <v>40</v>
      </c>
      <c r="P17" s="10">
        <f t="shared" si="8"/>
        <v>40</v>
      </c>
      <c r="Q17" s="10">
        <f t="shared" si="8"/>
        <v>40</v>
      </c>
      <c r="R17" s="10">
        <f t="shared" si="8"/>
        <v>40</v>
      </c>
      <c r="S17" s="10">
        <f t="shared" si="8"/>
        <v>40</v>
      </c>
      <c r="T17" s="10">
        <f t="shared" ref="T17:AB17" si="9">+$AJ$13*0.5</f>
        <v>20</v>
      </c>
      <c r="U17" s="10">
        <f t="shared" si="9"/>
        <v>20</v>
      </c>
      <c r="V17" s="10">
        <f t="shared" si="9"/>
        <v>20</v>
      </c>
      <c r="W17" s="10">
        <f t="shared" si="9"/>
        <v>20</v>
      </c>
      <c r="X17" s="10">
        <f t="shared" si="9"/>
        <v>20</v>
      </c>
      <c r="Y17" s="10">
        <f t="shared" si="9"/>
        <v>20</v>
      </c>
      <c r="Z17" s="10">
        <f t="shared" si="9"/>
        <v>20</v>
      </c>
      <c r="AA17" s="10">
        <f t="shared" si="9"/>
        <v>20</v>
      </c>
      <c r="AB17" s="10">
        <f t="shared" si="9"/>
        <v>20</v>
      </c>
      <c r="AC17" s="10">
        <f t="shared" si="4"/>
        <v>636</v>
      </c>
    </row>
    <row r="18" spans="1:29" s="45" customFormat="1" x14ac:dyDescent="0.15">
      <c r="B18" s="44" t="s">
        <v>239</v>
      </c>
      <c r="C18" s="10"/>
      <c r="D18" s="10">
        <v>0</v>
      </c>
      <c r="E18" s="10">
        <v>0</v>
      </c>
      <c r="F18" s="10">
        <f t="shared" si="5"/>
        <v>20</v>
      </c>
      <c r="G18" s="10">
        <f t="shared" si="5"/>
        <v>20</v>
      </c>
      <c r="H18" s="10">
        <f t="shared" si="5"/>
        <v>20</v>
      </c>
      <c r="I18" s="10">
        <f t="shared" si="5"/>
        <v>20</v>
      </c>
      <c r="J18" s="10">
        <f t="shared" si="5"/>
        <v>20</v>
      </c>
      <c r="K18" s="10">
        <f t="shared" si="5"/>
        <v>20</v>
      </c>
      <c r="L18" s="10">
        <f t="shared" si="8"/>
        <v>40</v>
      </c>
      <c r="M18" s="10">
        <f t="shared" si="8"/>
        <v>40</v>
      </c>
      <c r="N18" s="10">
        <f t="shared" si="8"/>
        <v>40</v>
      </c>
      <c r="O18" s="10">
        <f t="shared" si="8"/>
        <v>40</v>
      </c>
      <c r="P18" s="10">
        <f t="shared" si="8"/>
        <v>40</v>
      </c>
      <c r="Q18" s="10">
        <f t="shared" si="8"/>
        <v>40</v>
      </c>
      <c r="R18" s="10">
        <f t="shared" si="8"/>
        <v>40</v>
      </c>
      <c r="S18" s="10">
        <f t="shared" si="8"/>
        <v>40</v>
      </c>
      <c r="T18" s="10">
        <f t="shared" ref="T18:AB18" si="10">+$AJ$13*0.2</f>
        <v>8</v>
      </c>
      <c r="U18" s="10">
        <f t="shared" si="10"/>
        <v>8</v>
      </c>
      <c r="V18" s="10">
        <f t="shared" si="10"/>
        <v>8</v>
      </c>
      <c r="W18" s="10">
        <f t="shared" si="10"/>
        <v>8</v>
      </c>
      <c r="X18" s="10">
        <f t="shared" si="10"/>
        <v>8</v>
      </c>
      <c r="Y18" s="10">
        <f t="shared" si="10"/>
        <v>8</v>
      </c>
      <c r="Z18" s="10">
        <f t="shared" si="10"/>
        <v>8</v>
      </c>
      <c r="AA18" s="10">
        <f t="shared" si="10"/>
        <v>8</v>
      </c>
      <c r="AB18" s="10">
        <f t="shared" si="10"/>
        <v>8</v>
      </c>
      <c r="AC18" s="10">
        <f t="shared" si="4"/>
        <v>512</v>
      </c>
    </row>
    <row r="19" spans="1:29" s="45" customFormat="1" x14ac:dyDescent="0.15">
      <c r="B19" s="44" t="s">
        <v>240</v>
      </c>
      <c r="C19" s="10"/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f>+$AJ$13*0.5</f>
        <v>20</v>
      </c>
      <c r="M19" s="10">
        <f t="shared" ref="M19:S19" si="11">+$AJ$13*0.5</f>
        <v>20</v>
      </c>
      <c r="N19" s="10">
        <f t="shared" si="11"/>
        <v>20</v>
      </c>
      <c r="O19" s="10">
        <f t="shared" si="11"/>
        <v>20</v>
      </c>
      <c r="P19" s="10">
        <f t="shared" si="11"/>
        <v>20</v>
      </c>
      <c r="Q19" s="10">
        <f t="shared" si="11"/>
        <v>20</v>
      </c>
      <c r="R19" s="10">
        <f t="shared" si="11"/>
        <v>20</v>
      </c>
      <c r="S19" s="10">
        <f t="shared" si="11"/>
        <v>20</v>
      </c>
      <c r="T19" s="10">
        <f t="shared" ref="T19:AA19" si="12">+$AJ$13</f>
        <v>40</v>
      </c>
      <c r="U19" s="10">
        <f t="shared" si="12"/>
        <v>40</v>
      </c>
      <c r="V19" s="10">
        <f t="shared" si="12"/>
        <v>40</v>
      </c>
      <c r="W19" s="10">
        <f t="shared" si="12"/>
        <v>40</v>
      </c>
      <c r="X19" s="10">
        <f t="shared" si="12"/>
        <v>40</v>
      </c>
      <c r="Y19" s="10">
        <f t="shared" si="12"/>
        <v>40</v>
      </c>
      <c r="Z19" s="10">
        <f t="shared" si="12"/>
        <v>40</v>
      </c>
      <c r="AA19" s="10">
        <f t="shared" si="12"/>
        <v>40</v>
      </c>
      <c r="AB19" s="10">
        <f>+$AJ$13*0.5</f>
        <v>20</v>
      </c>
      <c r="AC19" s="10">
        <f t="shared" si="4"/>
        <v>500</v>
      </c>
    </row>
    <row r="20" spans="1:29" s="45" customFormat="1" x14ac:dyDescent="0.15">
      <c r="B20" s="44" t="s">
        <v>244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spans="1:29" s="45" customFormat="1" x14ac:dyDescent="0.15">
      <c r="B21" s="44" t="s">
        <v>245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spans="1:29" x14ac:dyDescent="0.15">
      <c r="B22" s="13" t="s">
        <v>241</v>
      </c>
      <c r="C22" s="5"/>
      <c r="D22" s="5">
        <f>+$AJ$13*0.5</f>
        <v>20</v>
      </c>
      <c r="E22" s="5">
        <f>+$AJ$13*0.5</f>
        <v>20</v>
      </c>
      <c r="F22" s="5">
        <f t="shared" ref="F22:K22" si="13">+$AJ$13</f>
        <v>40</v>
      </c>
      <c r="G22" s="5">
        <f t="shared" si="13"/>
        <v>40</v>
      </c>
      <c r="H22" s="5">
        <f t="shared" si="13"/>
        <v>40</v>
      </c>
      <c r="I22" s="5">
        <f t="shared" si="13"/>
        <v>40</v>
      </c>
      <c r="J22" s="5">
        <f t="shared" si="13"/>
        <v>40</v>
      </c>
      <c r="K22" s="5">
        <f t="shared" si="13"/>
        <v>40</v>
      </c>
      <c r="L22" s="5">
        <f>+$AJ$13*0.3</f>
        <v>12</v>
      </c>
      <c r="M22" s="5">
        <f t="shared" ref="M22:AA23" si="14">+$AJ$13*0.3</f>
        <v>12</v>
      </c>
      <c r="N22" s="5">
        <f t="shared" si="14"/>
        <v>12</v>
      </c>
      <c r="O22" s="5">
        <f t="shared" si="14"/>
        <v>12</v>
      </c>
      <c r="P22" s="5">
        <f t="shared" si="14"/>
        <v>12</v>
      </c>
      <c r="Q22" s="5">
        <f t="shared" si="14"/>
        <v>12</v>
      </c>
      <c r="R22" s="5">
        <f t="shared" si="14"/>
        <v>12</v>
      </c>
      <c r="S22" s="5">
        <f t="shared" si="14"/>
        <v>12</v>
      </c>
      <c r="T22" s="5">
        <f t="shared" ref="T22:AA22" si="15">+$AJ$13*0.5</f>
        <v>20</v>
      </c>
      <c r="U22" s="5">
        <f t="shared" si="15"/>
        <v>20</v>
      </c>
      <c r="V22" s="5">
        <f t="shared" si="15"/>
        <v>20</v>
      </c>
      <c r="W22" s="5">
        <f t="shared" si="15"/>
        <v>20</v>
      </c>
      <c r="X22" s="5">
        <f t="shared" si="15"/>
        <v>20</v>
      </c>
      <c r="Y22" s="5">
        <f t="shared" si="15"/>
        <v>20</v>
      </c>
      <c r="Z22" s="5">
        <f t="shared" si="15"/>
        <v>20</v>
      </c>
      <c r="AA22" s="5">
        <f t="shared" si="15"/>
        <v>20</v>
      </c>
      <c r="AB22" s="5">
        <f>+$AJ$13*0.2</f>
        <v>8</v>
      </c>
      <c r="AC22" s="5">
        <f t="shared" si="4"/>
        <v>544</v>
      </c>
    </row>
    <row r="23" spans="1:29" x14ac:dyDescent="0.15">
      <c r="B23" s="13" t="s">
        <v>115</v>
      </c>
      <c r="C23" s="5"/>
      <c r="D23" s="5">
        <f>+$AJ$13*0.2</f>
        <v>8</v>
      </c>
      <c r="E23" s="5">
        <f>+$AJ$13*0.2</f>
        <v>8</v>
      </c>
      <c r="F23" s="5">
        <f t="shared" ref="F23:K23" si="16">+$AJ$13*0.2</f>
        <v>8</v>
      </c>
      <c r="G23" s="5">
        <f t="shared" si="16"/>
        <v>8</v>
      </c>
      <c r="H23" s="5">
        <f t="shared" si="16"/>
        <v>8</v>
      </c>
      <c r="I23" s="5">
        <f t="shared" si="16"/>
        <v>8</v>
      </c>
      <c r="J23" s="5">
        <f t="shared" si="16"/>
        <v>8</v>
      </c>
      <c r="K23" s="5">
        <f t="shared" si="16"/>
        <v>8</v>
      </c>
      <c r="L23" s="5">
        <f t="shared" ref="L23:S23" si="17">+$AJ$13*0.5</f>
        <v>20</v>
      </c>
      <c r="M23" s="5">
        <f t="shared" si="17"/>
        <v>20</v>
      </c>
      <c r="N23" s="5">
        <f t="shared" si="17"/>
        <v>20</v>
      </c>
      <c r="O23" s="5">
        <f t="shared" si="17"/>
        <v>20</v>
      </c>
      <c r="P23" s="5">
        <f t="shared" si="17"/>
        <v>20</v>
      </c>
      <c r="Q23" s="5">
        <f t="shared" si="17"/>
        <v>20</v>
      </c>
      <c r="R23" s="5">
        <f t="shared" si="17"/>
        <v>20</v>
      </c>
      <c r="S23" s="5">
        <f t="shared" si="17"/>
        <v>20</v>
      </c>
      <c r="T23" s="5">
        <f t="shared" si="14"/>
        <v>12</v>
      </c>
      <c r="U23" s="5">
        <f t="shared" si="14"/>
        <v>12</v>
      </c>
      <c r="V23" s="5">
        <f t="shared" si="14"/>
        <v>12</v>
      </c>
      <c r="W23" s="5">
        <f t="shared" si="14"/>
        <v>12</v>
      </c>
      <c r="X23" s="5">
        <f t="shared" si="14"/>
        <v>12</v>
      </c>
      <c r="Y23" s="5">
        <f t="shared" si="14"/>
        <v>12</v>
      </c>
      <c r="Z23" s="5">
        <f t="shared" si="14"/>
        <v>12</v>
      </c>
      <c r="AA23" s="5">
        <f t="shared" si="14"/>
        <v>12</v>
      </c>
      <c r="AB23" s="5">
        <f>+$AJ$13</f>
        <v>40</v>
      </c>
      <c r="AC23" s="5">
        <f t="shared" si="4"/>
        <v>360</v>
      </c>
    </row>
    <row r="24" spans="1:29" x14ac:dyDescent="0.15">
      <c r="B24" s="13"/>
      <c r="C24" s="3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9" ht="15" thickBot="1" x14ac:dyDescent="0.2">
      <c r="B25" s="14" t="s">
        <v>9</v>
      </c>
      <c r="C25" s="15"/>
      <c r="D25" s="5">
        <f>SUM(D13:D24)</f>
        <v>140</v>
      </c>
      <c r="E25" s="5">
        <f t="shared" ref="E25:AB25" si="18">SUM(E13:E24)</f>
        <v>140</v>
      </c>
      <c r="F25" s="5">
        <f t="shared" si="18"/>
        <v>196</v>
      </c>
      <c r="G25" s="5">
        <f t="shared" si="18"/>
        <v>196</v>
      </c>
      <c r="H25" s="5">
        <f t="shared" si="18"/>
        <v>204</v>
      </c>
      <c r="I25" s="5">
        <f t="shared" si="18"/>
        <v>204</v>
      </c>
      <c r="J25" s="5">
        <f t="shared" si="18"/>
        <v>204</v>
      </c>
      <c r="K25" s="5">
        <f t="shared" si="18"/>
        <v>204</v>
      </c>
      <c r="L25" s="5">
        <f t="shared" si="18"/>
        <v>300</v>
      </c>
      <c r="M25" s="5">
        <f t="shared" si="18"/>
        <v>300</v>
      </c>
      <c r="N25" s="5">
        <f t="shared" si="18"/>
        <v>300</v>
      </c>
      <c r="O25" s="5">
        <f t="shared" si="18"/>
        <v>300</v>
      </c>
      <c r="P25" s="5">
        <f t="shared" si="18"/>
        <v>300</v>
      </c>
      <c r="Q25" s="5">
        <f t="shared" si="18"/>
        <v>300</v>
      </c>
      <c r="R25" s="5">
        <f t="shared" si="18"/>
        <v>300</v>
      </c>
      <c r="S25" s="5">
        <f t="shared" si="18"/>
        <v>300</v>
      </c>
      <c r="T25" s="5">
        <f t="shared" si="18"/>
        <v>212</v>
      </c>
      <c r="U25" s="5">
        <f t="shared" si="18"/>
        <v>212</v>
      </c>
      <c r="V25" s="5">
        <f t="shared" si="18"/>
        <v>212</v>
      </c>
      <c r="W25" s="5">
        <f t="shared" si="18"/>
        <v>212</v>
      </c>
      <c r="X25" s="5">
        <f t="shared" si="18"/>
        <v>212</v>
      </c>
      <c r="Y25" s="5">
        <f t="shared" si="18"/>
        <v>212</v>
      </c>
      <c r="Z25" s="5">
        <f t="shared" si="18"/>
        <v>212</v>
      </c>
      <c r="AA25" s="5">
        <f t="shared" si="18"/>
        <v>212</v>
      </c>
      <c r="AB25" s="5">
        <f t="shared" si="18"/>
        <v>204</v>
      </c>
      <c r="AC25" s="5">
        <f>SUM(AC13:AC24)</f>
        <v>5788</v>
      </c>
    </row>
    <row r="27" spans="1:29" x14ac:dyDescent="0.15">
      <c r="AC27" s="2">
        <f>AC25/8</f>
        <v>723.5</v>
      </c>
    </row>
    <row r="28" spans="1:29" x14ac:dyDescent="0.15">
      <c r="B28" s="2" t="s">
        <v>10</v>
      </c>
      <c r="AC28" s="42">
        <f>AC27*20000</f>
        <v>14470000</v>
      </c>
    </row>
    <row r="29" spans="1:29" x14ac:dyDescent="0.15">
      <c r="A29" s="2" t="s">
        <v>11</v>
      </c>
      <c r="AC29" s="43">
        <f>AC28/85</f>
        <v>170235.29411764705</v>
      </c>
    </row>
    <row r="30" spans="1:29" x14ac:dyDescent="0.15">
      <c r="A30" s="2" t="s">
        <v>12</v>
      </c>
      <c r="C30" s="2" t="s">
        <v>252</v>
      </c>
      <c r="D30" s="2" t="s">
        <v>253</v>
      </c>
    </row>
    <row r="31" spans="1:29" x14ac:dyDescent="0.15">
      <c r="A31" s="2" t="s">
        <v>13</v>
      </c>
      <c r="B31" s="2" t="s">
        <v>246</v>
      </c>
      <c r="C31" s="2">
        <v>1</v>
      </c>
      <c r="D31" s="2">
        <v>1</v>
      </c>
      <c r="E31" s="2">
        <f t="shared" ref="E31:E36" si="19">D31*C31</f>
        <v>1</v>
      </c>
    </row>
    <row r="32" spans="1:29" x14ac:dyDescent="0.15">
      <c r="A32" s="2" t="s">
        <v>14</v>
      </c>
      <c r="B32" s="2" t="s">
        <v>247</v>
      </c>
      <c r="C32" s="2">
        <v>1</v>
      </c>
      <c r="D32" s="2">
        <v>1</v>
      </c>
      <c r="E32" s="2">
        <f t="shared" si="19"/>
        <v>1</v>
      </c>
    </row>
    <row r="33" spans="1:9" x14ac:dyDescent="0.15">
      <c r="A33" s="2" t="s">
        <v>15</v>
      </c>
      <c r="B33" s="2" t="s">
        <v>248</v>
      </c>
      <c r="C33" s="2">
        <v>1</v>
      </c>
      <c r="D33" s="2">
        <v>1</v>
      </c>
      <c r="E33" s="2">
        <f t="shared" si="19"/>
        <v>1</v>
      </c>
    </row>
    <row r="34" spans="1:9" x14ac:dyDescent="0.15">
      <c r="A34" s="2" t="s">
        <v>16</v>
      </c>
      <c r="B34" s="2" t="s">
        <v>249</v>
      </c>
      <c r="C34" s="2">
        <v>1</v>
      </c>
      <c r="D34" s="2">
        <v>0.25</v>
      </c>
      <c r="E34" s="2">
        <f t="shared" si="19"/>
        <v>0.25</v>
      </c>
    </row>
    <row r="35" spans="1:9" x14ac:dyDescent="0.15">
      <c r="A35" s="2" t="s">
        <v>17</v>
      </c>
      <c r="B35" s="2" t="s">
        <v>250</v>
      </c>
      <c r="C35" s="2">
        <v>1</v>
      </c>
      <c r="D35" s="2">
        <v>0.25</v>
      </c>
      <c r="E35" s="2">
        <f t="shared" si="19"/>
        <v>0.25</v>
      </c>
    </row>
    <row r="36" spans="1:9" x14ac:dyDescent="0.15">
      <c r="A36" s="2" t="s">
        <v>18</v>
      </c>
      <c r="B36" s="2" t="s">
        <v>251</v>
      </c>
      <c r="C36" s="2">
        <v>1</v>
      </c>
      <c r="D36" s="2">
        <v>0.5</v>
      </c>
      <c r="E36" s="2">
        <f t="shared" si="19"/>
        <v>0.5</v>
      </c>
    </row>
    <row r="37" spans="1:9" x14ac:dyDescent="0.15">
      <c r="A37" s="2" t="s">
        <v>19</v>
      </c>
      <c r="E37" s="2">
        <f>SUM(E31:E36)</f>
        <v>4</v>
      </c>
      <c r="F37" s="2">
        <f>E37*6</f>
        <v>24</v>
      </c>
      <c r="G37" s="2">
        <f>F37*20000*20</f>
        <v>9600000</v>
      </c>
    </row>
    <row r="46" spans="1:9" x14ac:dyDescent="0.15">
      <c r="I46" s="2">
        <v>45870</v>
      </c>
    </row>
    <row r="47" spans="1:9" x14ac:dyDescent="0.15">
      <c r="I47" s="2">
        <f>+I46+7</f>
        <v>45877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7466-DAA6-8A43-A151-B2F5FF759CF2}">
  <dimension ref="A1:AJ45"/>
  <sheetViews>
    <sheetView workbookViewId="0">
      <selection activeCell="D13" sqref="D13:AB15"/>
    </sheetView>
  </sheetViews>
  <sheetFormatPr baseColWidth="10" defaultColWidth="3.5" defaultRowHeight="14" x14ac:dyDescent="0.15"/>
  <cols>
    <col min="1" max="1" width="2.83203125" style="2" bestFit="1" customWidth="1"/>
    <col min="2" max="2" width="50.33203125" style="2" bestFit="1" customWidth="1"/>
    <col min="3" max="3" width="2.5" style="2" customWidth="1"/>
    <col min="4" max="4" width="4.6640625" style="2" customWidth="1"/>
    <col min="5" max="5" width="5.5" style="2" customWidth="1"/>
    <col min="6" max="6" width="4.83203125" style="2" customWidth="1"/>
    <col min="7" max="12" width="4.5" style="2" bestFit="1" customWidth="1"/>
    <col min="13" max="25" width="4.83203125" style="2" bestFit="1" customWidth="1"/>
    <col min="26" max="26" width="5.5" style="2" bestFit="1" customWidth="1"/>
    <col min="27" max="27" width="6.5" style="2" customWidth="1"/>
    <col min="28" max="28" width="5.33203125" style="2" customWidth="1"/>
    <col min="29" max="29" width="14.1640625" style="2" bestFit="1" customWidth="1"/>
    <col min="30" max="16384" width="3.5" style="2"/>
  </cols>
  <sheetData>
    <row r="1" spans="2:36" ht="18" x14ac:dyDescent="0.2">
      <c r="B1" s="1" t="s">
        <v>41</v>
      </c>
      <c r="C1" s="1"/>
    </row>
    <row r="2" spans="2:36" ht="49" customHeight="1" thickBot="1" x14ac:dyDescent="0.2">
      <c r="D2" s="16">
        <v>45866</v>
      </c>
      <c r="E2" s="16">
        <f t="shared" ref="E2:AB2" si="0">+D2+7</f>
        <v>45873</v>
      </c>
      <c r="F2" s="16">
        <f t="shared" si="0"/>
        <v>45880</v>
      </c>
      <c r="G2" s="16">
        <f t="shared" si="0"/>
        <v>45887</v>
      </c>
      <c r="H2" s="16">
        <f t="shared" si="0"/>
        <v>45894</v>
      </c>
      <c r="I2" s="16">
        <f t="shared" si="0"/>
        <v>45901</v>
      </c>
      <c r="J2" s="16">
        <f t="shared" si="0"/>
        <v>45908</v>
      </c>
      <c r="K2" s="16">
        <f t="shared" si="0"/>
        <v>45915</v>
      </c>
      <c r="L2" s="16">
        <f t="shared" si="0"/>
        <v>45922</v>
      </c>
      <c r="M2" s="16">
        <f t="shared" si="0"/>
        <v>45929</v>
      </c>
      <c r="N2" s="16">
        <f t="shared" si="0"/>
        <v>45936</v>
      </c>
      <c r="O2" s="16">
        <f t="shared" si="0"/>
        <v>45943</v>
      </c>
      <c r="P2" s="16">
        <f t="shared" si="0"/>
        <v>45950</v>
      </c>
      <c r="Q2" s="16">
        <f t="shared" si="0"/>
        <v>45957</v>
      </c>
      <c r="R2" s="16">
        <f t="shared" si="0"/>
        <v>45964</v>
      </c>
      <c r="S2" s="16">
        <f t="shared" si="0"/>
        <v>45971</v>
      </c>
      <c r="T2" s="16">
        <f t="shared" si="0"/>
        <v>45978</v>
      </c>
      <c r="U2" s="16">
        <f t="shared" si="0"/>
        <v>45985</v>
      </c>
      <c r="V2" s="16">
        <f t="shared" si="0"/>
        <v>45992</v>
      </c>
      <c r="W2" s="16">
        <f t="shared" si="0"/>
        <v>45999</v>
      </c>
      <c r="X2" s="16">
        <f t="shared" si="0"/>
        <v>46006</v>
      </c>
      <c r="Y2" s="16">
        <f t="shared" si="0"/>
        <v>46013</v>
      </c>
      <c r="Z2" s="16">
        <f t="shared" si="0"/>
        <v>46020</v>
      </c>
      <c r="AA2" s="16">
        <f t="shared" si="0"/>
        <v>46027</v>
      </c>
      <c r="AB2" s="16">
        <f t="shared" si="0"/>
        <v>46034</v>
      </c>
    </row>
    <row r="3" spans="2:36" ht="15" x14ac:dyDescent="0.15">
      <c r="B3" s="3" t="s">
        <v>0</v>
      </c>
      <c r="C3" s="4"/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18" t="s">
        <v>6</v>
      </c>
      <c r="J3" s="18" t="s">
        <v>24</v>
      </c>
      <c r="K3" s="18" t="s">
        <v>25</v>
      </c>
      <c r="L3" s="18" t="s">
        <v>26</v>
      </c>
      <c r="M3" s="18" t="s">
        <v>27</v>
      </c>
      <c r="N3" s="18" t="s">
        <v>28</v>
      </c>
      <c r="O3" s="18" t="s">
        <v>29</v>
      </c>
      <c r="P3" s="18" t="s">
        <v>30</v>
      </c>
      <c r="Q3" s="18" t="s">
        <v>31</v>
      </c>
      <c r="R3" s="18" t="s">
        <v>32</v>
      </c>
      <c r="S3" s="18" t="s">
        <v>33</v>
      </c>
      <c r="T3" s="18" t="s">
        <v>34</v>
      </c>
      <c r="U3" s="18" t="s">
        <v>35</v>
      </c>
      <c r="V3" s="18" t="s">
        <v>36</v>
      </c>
      <c r="W3" s="18" t="s">
        <v>37</v>
      </c>
      <c r="X3" s="18" t="s">
        <v>38</v>
      </c>
      <c r="Y3" s="28" t="s">
        <v>39</v>
      </c>
      <c r="Z3" s="39" t="s">
        <v>198</v>
      </c>
      <c r="AA3" s="39" t="s">
        <v>199</v>
      </c>
      <c r="AB3" s="39" t="s">
        <v>200</v>
      </c>
    </row>
    <row r="4" spans="2:36" x14ac:dyDescent="0.15">
      <c r="B4" s="5" t="s">
        <v>43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2:36" x14ac:dyDescent="0.15">
      <c r="B5" s="5" t="s">
        <v>62</v>
      </c>
      <c r="C5" s="5"/>
      <c r="D5" s="5"/>
      <c r="E5" s="5"/>
      <c r="F5" s="7"/>
      <c r="G5" s="7"/>
      <c r="H5" s="7"/>
      <c r="I5" s="7"/>
      <c r="J5" s="7"/>
      <c r="K5" s="7"/>
      <c r="L5" s="7"/>
      <c r="M5" s="7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2:36" x14ac:dyDescent="0.15">
      <c r="B6" s="5" t="s">
        <v>96</v>
      </c>
      <c r="C6" s="5"/>
      <c r="D6" s="5"/>
      <c r="E6" s="5"/>
      <c r="F6" s="5"/>
      <c r="G6" s="5"/>
      <c r="H6" s="5"/>
      <c r="I6" s="5"/>
      <c r="J6" s="5"/>
      <c r="K6" s="5"/>
      <c r="L6" s="8"/>
      <c r="M6" s="8"/>
      <c r="N6" s="8"/>
      <c r="O6" s="8"/>
      <c r="P6" s="8"/>
      <c r="Q6" s="8"/>
      <c r="R6" s="8"/>
      <c r="S6" s="8"/>
      <c r="T6" s="5"/>
      <c r="U6" s="5"/>
      <c r="V6" s="5"/>
      <c r="W6" s="5"/>
      <c r="X6" s="5"/>
      <c r="Y6" s="5"/>
      <c r="Z6" s="5"/>
      <c r="AA6" s="5"/>
      <c r="AB6" s="5"/>
    </row>
    <row r="7" spans="2:36" x14ac:dyDescent="0.15">
      <c r="B7" s="5" t="s">
        <v>151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9"/>
      <c r="U7" s="9"/>
      <c r="V7" s="9"/>
      <c r="W7" s="9"/>
      <c r="X7" s="9"/>
      <c r="Y7" s="9"/>
      <c r="Z7" s="9"/>
      <c r="AA7" s="9"/>
      <c r="AB7" s="5"/>
    </row>
    <row r="8" spans="2:36" x14ac:dyDescent="0.15">
      <c r="B8" s="5" t="s">
        <v>207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10"/>
    </row>
    <row r="9" spans="2:36" x14ac:dyDescent="0.15">
      <c r="B9" s="5" t="s">
        <v>242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1" spans="2:36" ht="15" thickBot="1" x14ac:dyDescent="0.2"/>
    <row r="12" spans="2:36" ht="16" thickBot="1" x14ac:dyDescent="0.2">
      <c r="B12" s="11" t="s">
        <v>7</v>
      </c>
      <c r="C12" s="5"/>
      <c r="D12" s="18" t="s">
        <v>1</v>
      </c>
      <c r="E12" s="18" t="s">
        <v>2</v>
      </c>
      <c r="F12" s="18" t="s">
        <v>3</v>
      </c>
      <c r="G12" s="18" t="s">
        <v>4</v>
      </c>
      <c r="H12" s="18" t="s">
        <v>5</v>
      </c>
      <c r="I12" s="18" t="s">
        <v>6</v>
      </c>
      <c r="J12" s="18" t="s">
        <v>24</v>
      </c>
      <c r="K12" s="18" t="s">
        <v>25</v>
      </c>
      <c r="L12" s="18" t="s">
        <v>26</v>
      </c>
      <c r="M12" s="18" t="s">
        <v>27</v>
      </c>
      <c r="N12" s="18" t="s">
        <v>28</v>
      </c>
      <c r="O12" s="18" t="s">
        <v>29</v>
      </c>
      <c r="P12" s="18" t="s">
        <v>30</v>
      </c>
      <c r="Q12" s="18" t="s">
        <v>31</v>
      </c>
      <c r="R12" s="18" t="s">
        <v>32</v>
      </c>
      <c r="S12" s="18" t="s">
        <v>33</v>
      </c>
      <c r="T12" s="18" t="s">
        <v>34</v>
      </c>
      <c r="U12" s="18" t="s">
        <v>35</v>
      </c>
      <c r="V12" s="18" t="s">
        <v>36</v>
      </c>
      <c r="W12" s="18" t="s">
        <v>37</v>
      </c>
      <c r="X12" s="18" t="s">
        <v>38</v>
      </c>
      <c r="Y12" s="18" t="s">
        <v>39</v>
      </c>
      <c r="Z12" s="18" t="s">
        <v>198</v>
      </c>
      <c r="AA12" s="18" t="s">
        <v>199</v>
      </c>
      <c r="AB12" s="18" t="s">
        <v>200</v>
      </c>
      <c r="AC12" s="5" t="s">
        <v>9</v>
      </c>
    </row>
    <row r="13" spans="2:36" x14ac:dyDescent="0.15">
      <c r="B13" s="12" t="s">
        <v>8</v>
      </c>
      <c r="C13" s="5"/>
      <c r="D13" s="5">
        <f t="shared" ref="D13:AB13" si="1">+$AJ$13</f>
        <v>40</v>
      </c>
      <c r="E13" s="5">
        <f t="shared" si="1"/>
        <v>40</v>
      </c>
      <c r="F13" s="5">
        <f t="shared" si="1"/>
        <v>40</v>
      </c>
      <c r="G13" s="5">
        <f t="shared" si="1"/>
        <v>40</v>
      </c>
      <c r="H13" s="5">
        <f t="shared" si="1"/>
        <v>40</v>
      </c>
      <c r="I13" s="5">
        <f t="shared" si="1"/>
        <v>40</v>
      </c>
      <c r="J13" s="5">
        <f t="shared" si="1"/>
        <v>40</v>
      </c>
      <c r="K13" s="5">
        <f t="shared" si="1"/>
        <v>40</v>
      </c>
      <c r="L13" s="5">
        <f t="shared" si="1"/>
        <v>40</v>
      </c>
      <c r="M13" s="5">
        <f t="shared" si="1"/>
        <v>40</v>
      </c>
      <c r="N13" s="5">
        <f t="shared" si="1"/>
        <v>40</v>
      </c>
      <c r="O13" s="5">
        <f t="shared" si="1"/>
        <v>40</v>
      </c>
      <c r="P13" s="5">
        <f t="shared" si="1"/>
        <v>40</v>
      </c>
      <c r="Q13" s="5">
        <f t="shared" si="1"/>
        <v>40</v>
      </c>
      <c r="R13" s="5">
        <f t="shared" si="1"/>
        <v>40</v>
      </c>
      <c r="S13" s="5">
        <f t="shared" si="1"/>
        <v>40</v>
      </c>
      <c r="T13" s="5">
        <f t="shared" si="1"/>
        <v>40</v>
      </c>
      <c r="U13" s="5">
        <f t="shared" si="1"/>
        <v>40</v>
      </c>
      <c r="V13" s="5">
        <f t="shared" si="1"/>
        <v>40</v>
      </c>
      <c r="W13" s="5">
        <f t="shared" si="1"/>
        <v>40</v>
      </c>
      <c r="X13" s="5">
        <f t="shared" si="1"/>
        <v>40</v>
      </c>
      <c r="Y13" s="5">
        <f t="shared" si="1"/>
        <v>40</v>
      </c>
      <c r="Z13" s="5">
        <f t="shared" si="1"/>
        <v>40</v>
      </c>
      <c r="AA13" s="5">
        <f t="shared" si="1"/>
        <v>40</v>
      </c>
      <c r="AB13" s="5">
        <f t="shared" si="1"/>
        <v>40</v>
      </c>
      <c r="AC13" s="5">
        <f>SUM(D13:AB13)</f>
        <v>1000</v>
      </c>
      <c r="AJ13" s="2">
        <v>40</v>
      </c>
    </row>
    <row r="14" spans="2:36" x14ac:dyDescent="0.15">
      <c r="B14" s="29" t="s">
        <v>243</v>
      </c>
      <c r="C14" s="5"/>
      <c r="D14" s="5">
        <v>4</v>
      </c>
      <c r="E14" s="5">
        <v>4</v>
      </c>
      <c r="F14" s="5">
        <v>8</v>
      </c>
      <c r="G14" s="5">
        <v>8</v>
      </c>
      <c r="H14" s="5">
        <v>16</v>
      </c>
      <c r="I14" s="5">
        <v>16</v>
      </c>
      <c r="J14" s="5">
        <v>16</v>
      </c>
      <c r="K14" s="5">
        <v>16</v>
      </c>
      <c r="L14" s="5">
        <v>8</v>
      </c>
      <c r="M14" s="5">
        <v>8</v>
      </c>
      <c r="N14" s="5">
        <v>8</v>
      </c>
      <c r="O14" s="5">
        <v>8</v>
      </c>
      <c r="P14" s="5">
        <v>8</v>
      </c>
      <c r="Q14" s="5">
        <v>8</v>
      </c>
      <c r="R14" s="5">
        <v>8</v>
      </c>
      <c r="S14" s="5">
        <v>8</v>
      </c>
      <c r="T14" s="5">
        <v>12</v>
      </c>
      <c r="U14" s="5">
        <v>12</v>
      </c>
      <c r="V14" s="5">
        <v>12</v>
      </c>
      <c r="W14" s="5">
        <v>12</v>
      </c>
      <c r="X14" s="5">
        <v>12</v>
      </c>
      <c r="Y14" s="5">
        <v>12</v>
      </c>
      <c r="Z14" s="5">
        <v>12</v>
      </c>
      <c r="AA14" s="5">
        <v>12</v>
      </c>
      <c r="AB14" s="5">
        <v>8</v>
      </c>
      <c r="AC14" s="5">
        <f>SUM(D14:AB14)</f>
        <v>256</v>
      </c>
    </row>
    <row r="15" spans="2:36" x14ac:dyDescent="0.15">
      <c r="B15" s="29" t="s">
        <v>42</v>
      </c>
      <c r="C15" s="5"/>
      <c r="D15" s="5">
        <f t="shared" ref="D15:S15" si="2">+$AJ$13</f>
        <v>40</v>
      </c>
      <c r="E15" s="5">
        <f t="shared" si="2"/>
        <v>40</v>
      </c>
      <c r="F15" s="5">
        <f t="shared" si="2"/>
        <v>40</v>
      </c>
      <c r="G15" s="5">
        <f t="shared" si="2"/>
        <v>40</v>
      </c>
      <c r="H15" s="5">
        <f t="shared" si="2"/>
        <v>40</v>
      </c>
      <c r="I15" s="5">
        <f t="shared" si="2"/>
        <v>40</v>
      </c>
      <c r="J15" s="5">
        <f t="shared" si="2"/>
        <v>40</v>
      </c>
      <c r="K15" s="5">
        <f t="shared" si="2"/>
        <v>40</v>
      </c>
      <c r="L15" s="5">
        <f t="shared" si="2"/>
        <v>40</v>
      </c>
      <c r="M15" s="5">
        <f t="shared" si="2"/>
        <v>40</v>
      </c>
      <c r="N15" s="5">
        <f t="shared" si="2"/>
        <v>40</v>
      </c>
      <c r="O15" s="5">
        <f t="shared" si="2"/>
        <v>40</v>
      </c>
      <c r="P15" s="5">
        <f t="shared" si="2"/>
        <v>40</v>
      </c>
      <c r="Q15" s="5">
        <f t="shared" si="2"/>
        <v>40</v>
      </c>
      <c r="R15" s="5">
        <f t="shared" si="2"/>
        <v>40</v>
      </c>
      <c r="S15" s="5">
        <f t="shared" si="2"/>
        <v>40</v>
      </c>
      <c r="T15" s="5">
        <f>+$AJ$13*0.5</f>
        <v>20</v>
      </c>
      <c r="U15" s="5">
        <f t="shared" ref="U15:AB20" si="3">+$AJ$13*0.5</f>
        <v>20</v>
      </c>
      <c r="V15" s="5">
        <f t="shared" si="3"/>
        <v>20</v>
      </c>
      <c r="W15" s="5">
        <f t="shared" si="3"/>
        <v>20</v>
      </c>
      <c r="X15" s="5">
        <f t="shared" si="3"/>
        <v>20</v>
      </c>
      <c r="Y15" s="5">
        <f t="shared" si="3"/>
        <v>20</v>
      </c>
      <c r="Z15" s="5">
        <f t="shared" si="3"/>
        <v>20</v>
      </c>
      <c r="AA15" s="5">
        <f t="shared" si="3"/>
        <v>20</v>
      </c>
      <c r="AB15" s="5">
        <f t="shared" si="3"/>
        <v>20</v>
      </c>
      <c r="AC15" s="5">
        <f t="shared" ref="AC15:AC21" si="4">SUM(D15:AB15)</f>
        <v>820</v>
      </c>
    </row>
    <row r="16" spans="2:36" s="45" customFormat="1" x14ac:dyDescent="0.15">
      <c r="B16" s="44" t="s">
        <v>118</v>
      </c>
      <c r="C16" s="10"/>
      <c r="D16" s="10">
        <f>+$AJ$13*0.5</f>
        <v>20</v>
      </c>
      <c r="E16" s="10">
        <f>+$AJ$13*0.5</f>
        <v>20</v>
      </c>
      <c r="F16" s="10">
        <f t="shared" ref="F16:K18" si="5">+$AJ$13*0.5</f>
        <v>20</v>
      </c>
      <c r="G16" s="10">
        <f t="shared" si="5"/>
        <v>20</v>
      </c>
      <c r="H16" s="10">
        <f t="shared" si="5"/>
        <v>20</v>
      </c>
      <c r="I16" s="10">
        <f t="shared" si="5"/>
        <v>20</v>
      </c>
      <c r="J16" s="10">
        <f t="shared" si="5"/>
        <v>20</v>
      </c>
      <c r="K16" s="10">
        <f t="shared" si="5"/>
        <v>20</v>
      </c>
      <c r="L16" s="10">
        <f>+$AJ$13*2</f>
        <v>80</v>
      </c>
      <c r="M16" s="10">
        <f t="shared" ref="M16:S16" si="6">+$AJ$13*2</f>
        <v>80</v>
      </c>
      <c r="N16" s="10">
        <f t="shared" si="6"/>
        <v>80</v>
      </c>
      <c r="O16" s="10">
        <f t="shared" si="6"/>
        <v>80</v>
      </c>
      <c r="P16" s="10">
        <f t="shared" si="6"/>
        <v>80</v>
      </c>
      <c r="Q16" s="10">
        <f t="shared" si="6"/>
        <v>80</v>
      </c>
      <c r="R16" s="10">
        <f t="shared" si="6"/>
        <v>80</v>
      </c>
      <c r="S16" s="10">
        <f t="shared" si="6"/>
        <v>80</v>
      </c>
      <c r="T16" s="10">
        <f t="shared" ref="T16:AB16" si="7">+$AJ$13</f>
        <v>40</v>
      </c>
      <c r="U16" s="10">
        <f t="shared" si="7"/>
        <v>40</v>
      </c>
      <c r="V16" s="10">
        <f t="shared" si="7"/>
        <v>40</v>
      </c>
      <c r="W16" s="10">
        <f t="shared" si="7"/>
        <v>40</v>
      </c>
      <c r="X16" s="10">
        <f t="shared" si="7"/>
        <v>40</v>
      </c>
      <c r="Y16" s="10">
        <f t="shared" si="7"/>
        <v>40</v>
      </c>
      <c r="Z16" s="10">
        <f t="shared" si="7"/>
        <v>40</v>
      </c>
      <c r="AA16" s="10">
        <f t="shared" si="7"/>
        <v>40</v>
      </c>
      <c r="AB16" s="10">
        <f t="shared" si="7"/>
        <v>40</v>
      </c>
      <c r="AC16" s="10">
        <f t="shared" si="4"/>
        <v>1160</v>
      </c>
    </row>
    <row r="17" spans="1:29" s="45" customFormat="1" x14ac:dyDescent="0.15">
      <c r="B17" s="44" t="s">
        <v>59</v>
      </c>
      <c r="C17" s="10"/>
      <c r="D17" s="10">
        <f>+$AJ$13*0.2</f>
        <v>8</v>
      </c>
      <c r="E17" s="10">
        <f>+$AJ$13*0.2</f>
        <v>8</v>
      </c>
      <c r="F17" s="10">
        <f t="shared" si="5"/>
        <v>20</v>
      </c>
      <c r="G17" s="10">
        <f t="shared" si="5"/>
        <v>20</v>
      </c>
      <c r="H17" s="10">
        <f t="shared" si="5"/>
        <v>20</v>
      </c>
      <c r="I17" s="10">
        <f t="shared" si="5"/>
        <v>20</v>
      </c>
      <c r="J17" s="10">
        <f t="shared" si="5"/>
        <v>20</v>
      </c>
      <c r="K17" s="10">
        <f t="shared" si="5"/>
        <v>20</v>
      </c>
      <c r="L17" s="10">
        <f t="shared" ref="L17:S18" si="8">+$AJ$13</f>
        <v>40</v>
      </c>
      <c r="M17" s="10">
        <f t="shared" si="8"/>
        <v>40</v>
      </c>
      <c r="N17" s="10">
        <f t="shared" si="8"/>
        <v>40</v>
      </c>
      <c r="O17" s="10">
        <f t="shared" si="8"/>
        <v>40</v>
      </c>
      <c r="P17" s="10">
        <f t="shared" si="8"/>
        <v>40</v>
      </c>
      <c r="Q17" s="10">
        <f t="shared" si="8"/>
        <v>40</v>
      </c>
      <c r="R17" s="10">
        <f t="shared" si="8"/>
        <v>40</v>
      </c>
      <c r="S17" s="10">
        <f t="shared" si="8"/>
        <v>40</v>
      </c>
      <c r="T17" s="10">
        <f>+$AJ$13*0.5</f>
        <v>20</v>
      </c>
      <c r="U17" s="10">
        <f t="shared" si="3"/>
        <v>20</v>
      </c>
      <c r="V17" s="10">
        <f t="shared" si="3"/>
        <v>20</v>
      </c>
      <c r="W17" s="10">
        <f t="shared" si="3"/>
        <v>20</v>
      </c>
      <c r="X17" s="10">
        <f t="shared" si="3"/>
        <v>20</v>
      </c>
      <c r="Y17" s="10">
        <f t="shared" si="3"/>
        <v>20</v>
      </c>
      <c r="Z17" s="10">
        <f t="shared" si="3"/>
        <v>20</v>
      </c>
      <c r="AA17" s="10">
        <f t="shared" si="3"/>
        <v>20</v>
      </c>
      <c r="AB17" s="10">
        <f t="shared" si="3"/>
        <v>20</v>
      </c>
      <c r="AC17" s="10">
        <f t="shared" si="4"/>
        <v>636</v>
      </c>
    </row>
    <row r="18" spans="1:29" s="45" customFormat="1" x14ac:dyDescent="0.15">
      <c r="B18" s="44" t="s">
        <v>239</v>
      </c>
      <c r="C18" s="10"/>
      <c r="D18" s="10">
        <v>0</v>
      </c>
      <c r="E18" s="10">
        <v>0</v>
      </c>
      <c r="F18" s="10">
        <f t="shared" si="5"/>
        <v>20</v>
      </c>
      <c r="G18" s="10">
        <f t="shared" si="5"/>
        <v>20</v>
      </c>
      <c r="H18" s="10">
        <f t="shared" si="5"/>
        <v>20</v>
      </c>
      <c r="I18" s="10">
        <f t="shared" si="5"/>
        <v>20</v>
      </c>
      <c r="J18" s="10">
        <f t="shared" si="5"/>
        <v>20</v>
      </c>
      <c r="K18" s="10">
        <f t="shared" si="5"/>
        <v>20</v>
      </c>
      <c r="L18" s="10">
        <f t="shared" si="8"/>
        <v>40</v>
      </c>
      <c r="M18" s="10">
        <f t="shared" si="8"/>
        <v>40</v>
      </c>
      <c r="N18" s="10">
        <f t="shared" si="8"/>
        <v>40</v>
      </c>
      <c r="O18" s="10">
        <f t="shared" si="8"/>
        <v>40</v>
      </c>
      <c r="P18" s="10">
        <f t="shared" si="8"/>
        <v>40</v>
      </c>
      <c r="Q18" s="10">
        <f t="shared" si="8"/>
        <v>40</v>
      </c>
      <c r="R18" s="10">
        <f t="shared" si="8"/>
        <v>40</v>
      </c>
      <c r="S18" s="10">
        <f t="shared" si="8"/>
        <v>40</v>
      </c>
      <c r="T18" s="10">
        <f t="shared" ref="T18:AB18" si="9">+$AJ$13*0.2</f>
        <v>8</v>
      </c>
      <c r="U18" s="10">
        <f t="shared" si="9"/>
        <v>8</v>
      </c>
      <c r="V18" s="10">
        <f t="shared" si="9"/>
        <v>8</v>
      </c>
      <c r="W18" s="10">
        <f t="shared" si="9"/>
        <v>8</v>
      </c>
      <c r="X18" s="10">
        <f t="shared" si="9"/>
        <v>8</v>
      </c>
      <c r="Y18" s="10">
        <f t="shared" si="9"/>
        <v>8</v>
      </c>
      <c r="Z18" s="10">
        <f t="shared" si="9"/>
        <v>8</v>
      </c>
      <c r="AA18" s="10">
        <f t="shared" si="9"/>
        <v>8</v>
      </c>
      <c r="AB18" s="10">
        <f t="shared" si="9"/>
        <v>8</v>
      </c>
      <c r="AC18" s="10">
        <f t="shared" si="4"/>
        <v>512</v>
      </c>
    </row>
    <row r="19" spans="1:29" s="45" customFormat="1" x14ac:dyDescent="0.15">
      <c r="B19" s="44" t="s">
        <v>240</v>
      </c>
      <c r="C19" s="10"/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f>+$AJ$13*0.5</f>
        <v>20</v>
      </c>
      <c r="M19" s="10">
        <f t="shared" ref="M19:S19" si="10">+$AJ$13*0.5</f>
        <v>20</v>
      </c>
      <c r="N19" s="10">
        <f t="shared" si="10"/>
        <v>20</v>
      </c>
      <c r="O19" s="10">
        <f t="shared" si="10"/>
        <v>20</v>
      </c>
      <c r="P19" s="10">
        <f t="shared" si="10"/>
        <v>20</v>
      </c>
      <c r="Q19" s="10">
        <f t="shared" si="10"/>
        <v>20</v>
      </c>
      <c r="R19" s="10">
        <f t="shared" si="10"/>
        <v>20</v>
      </c>
      <c r="S19" s="10">
        <f t="shared" si="10"/>
        <v>20</v>
      </c>
      <c r="T19" s="10">
        <f t="shared" ref="T19:AA19" si="11">+$AJ$13</f>
        <v>40</v>
      </c>
      <c r="U19" s="10">
        <f t="shared" si="11"/>
        <v>40</v>
      </c>
      <c r="V19" s="10">
        <f t="shared" si="11"/>
        <v>40</v>
      </c>
      <c r="W19" s="10">
        <f t="shared" si="11"/>
        <v>40</v>
      </c>
      <c r="X19" s="10">
        <f t="shared" si="11"/>
        <v>40</v>
      </c>
      <c r="Y19" s="10">
        <f t="shared" si="11"/>
        <v>40</v>
      </c>
      <c r="Z19" s="10">
        <f t="shared" si="11"/>
        <v>40</v>
      </c>
      <c r="AA19" s="10">
        <f t="shared" si="11"/>
        <v>40</v>
      </c>
      <c r="AB19" s="10">
        <f t="shared" si="3"/>
        <v>20</v>
      </c>
      <c r="AC19" s="10">
        <f t="shared" si="4"/>
        <v>500</v>
      </c>
    </row>
    <row r="20" spans="1:29" x14ac:dyDescent="0.15">
      <c r="B20" s="13" t="s">
        <v>241</v>
      </c>
      <c r="C20" s="5"/>
      <c r="D20" s="5">
        <f>+$AJ$13*0.5</f>
        <v>20</v>
      </c>
      <c r="E20" s="5">
        <f>+$AJ$13*0.5</f>
        <v>20</v>
      </c>
      <c r="F20" s="5">
        <f t="shared" ref="F20:K20" si="12">+$AJ$13</f>
        <v>40</v>
      </c>
      <c r="G20" s="5">
        <f t="shared" si="12"/>
        <v>40</v>
      </c>
      <c r="H20" s="5">
        <f t="shared" si="12"/>
        <v>40</v>
      </c>
      <c r="I20" s="5">
        <f t="shared" si="12"/>
        <v>40</v>
      </c>
      <c r="J20" s="5">
        <f t="shared" si="12"/>
        <v>40</v>
      </c>
      <c r="K20" s="5">
        <f t="shared" si="12"/>
        <v>40</v>
      </c>
      <c r="L20" s="5">
        <f>+$AJ$13*0.3</f>
        <v>12</v>
      </c>
      <c r="M20" s="5">
        <f t="shared" ref="M20:AA21" si="13">+$AJ$13*0.3</f>
        <v>12</v>
      </c>
      <c r="N20" s="5">
        <f t="shared" si="13"/>
        <v>12</v>
      </c>
      <c r="O20" s="5">
        <f t="shared" si="13"/>
        <v>12</v>
      </c>
      <c r="P20" s="5">
        <f t="shared" si="13"/>
        <v>12</v>
      </c>
      <c r="Q20" s="5">
        <f t="shared" si="13"/>
        <v>12</v>
      </c>
      <c r="R20" s="5">
        <f t="shared" si="13"/>
        <v>12</v>
      </c>
      <c r="S20" s="5">
        <f t="shared" si="13"/>
        <v>12</v>
      </c>
      <c r="T20" s="5">
        <f>+$AJ$13*0.5</f>
        <v>20</v>
      </c>
      <c r="U20" s="5">
        <f t="shared" si="3"/>
        <v>20</v>
      </c>
      <c r="V20" s="5">
        <f t="shared" si="3"/>
        <v>20</v>
      </c>
      <c r="W20" s="5">
        <f t="shared" si="3"/>
        <v>20</v>
      </c>
      <c r="X20" s="5">
        <f t="shared" si="3"/>
        <v>20</v>
      </c>
      <c r="Y20" s="5">
        <f t="shared" si="3"/>
        <v>20</v>
      </c>
      <c r="Z20" s="5">
        <f t="shared" si="3"/>
        <v>20</v>
      </c>
      <c r="AA20" s="5">
        <f t="shared" si="3"/>
        <v>20</v>
      </c>
      <c r="AB20" s="5">
        <f>+$AJ$13*0.2</f>
        <v>8</v>
      </c>
      <c r="AC20" s="5">
        <f t="shared" si="4"/>
        <v>544</v>
      </c>
    </row>
    <row r="21" spans="1:29" x14ac:dyDescent="0.15">
      <c r="B21" s="13" t="s">
        <v>115</v>
      </c>
      <c r="C21" s="5"/>
      <c r="D21" s="5">
        <f>+$AJ$13*0.2</f>
        <v>8</v>
      </c>
      <c r="E21" s="5">
        <f>+$AJ$13*0.2</f>
        <v>8</v>
      </c>
      <c r="F21" s="5">
        <f t="shared" ref="F21:K21" si="14">+$AJ$13*0.2</f>
        <v>8</v>
      </c>
      <c r="G21" s="5">
        <f t="shared" si="14"/>
        <v>8</v>
      </c>
      <c r="H21" s="5">
        <f t="shared" si="14"/>
        <v>8</v>
      </c>
      <c r="I21" s="5">
        <f t="shared" si="14"/>
        <v>8</v>
      </c>
      <c r="J21" s="5">
        <f t="shared" si="14"/>
        <v>8</v>
      </c>
      <c r="K21" s="5">
        <f t="shared" si="14"/>
        <v>8</v>
      </c>
      <c r="L21" s="5">
        <f t="shared" ref="L21:S21" si="15">+$AJ$13*0.5</f>
        <v>20</v>
      </c>
      <c r="M21" s="5">
        <f t="shared" si="15"/>
        <v>20</v>
      </c>
      <c r="N21" s="5">
        <f t="shared" si="15"/>
        <v>20</v>
      </c>
      <c r="O21" s="5">
        <f t="shared" si="15"/>
        <v>20</v>
      </c>
      <c r="P21" s="5">
        <f t="shared" si="15"/>
        <v>20</v>
      </c>
      <c r="Q21" s="5">
        <f t="shared" si="15"/>
        <v>20</v>
      </c>
      <c r="R21" s="5">
        <f t="shared" si="15"/>
        <v>20</v>
      </c>
      <c r="S21" s="5">
        <f t="shared" si="15"/>
        <v>20</v>
      </c>
      <c r="T21" s="5">
        <f t="shared" si="13"/>
        <v>12</v>
      </c>
      <c r="U21" s="5">
        <f t="shared" si="13"/>
        <v>12</v>
      </c>
      <c r="V21" s="5">
        <f t="shared" si="13"/>
        <v>12</v>
      </c>
      <c r="W21" s="5">
        <f t="shared" si="13"/>
        <v>12</v>
      </c>
      <c r="X21" s="5">
        <f t="shared" si="13"/>
        <v>12</v>
      </c>
      <c r="Y21" s="5">
        <f t="shared" si="13"/>
        <v>12</v>
      </c>
      <c r="Z21" s="5">
        <f t="shared" si="13"/>
        <v>12</v>
      </c>
      <c r="AA21" s="5">
        <f t="shared" si="13"/>
        <v>12</v>
      </c>
      <c r="AB21" s="5">
        <f>+$AJ$13</f>
        <v>40</v>
      </c>
      <c r="AC21" s="5">
        <f t="shared" si="4"/>
        <v>360</v>
      </c>
    </row>
    <row r="22" spans="1:29" x14ac:dyDescent="0.15">
      <c r="B22" s="13"/>
      <c r="C22" s="3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9" ht="15" thickBot="1" x14ac:dyDescent="0.2">
      <c r="B23" s="14" t="s">
        <v>9</v>
      </c>
      <c r="C23" s="15"/>
      <c r="D23" s="5">
        <f>SUM(D13:D22)</f>
        <v>140</v>
      </c>
      <c r="E23" s="5">
        <f t="shared" ref="E23:AB23" si="16">SUM(E13:E22)</f>
        <v>140</v>
      </c>
      <c r="F23" s="5">
        <f t="shared" si="16"/>
        <v>196</v>
      </c>
      <c r="G23" s="5">
        <f t="shared" si="16"/>
        <v>196</v>
      </c>
      <c r="H23" s="5">
        <f t="shared" si="16"/>
        <v>204</v>
      </c>
      <c r="I23" s="5">
        <f t="shared" si="16"/>
        <v>204</v>
      </c>
      <c r="J23" s="5">
        <f t="shared" si="16"/>
        <v>204</v>
      </c>
      <c r="K23" s="5">
        <f t="shared" si="16"/>
        <v>204</v>
      </c>
      <c r="L23" s="5">
        <f t="shared" si="16"/>
        <v>300</v>
      </c>
      <c r="M23" s="5">
        <f t="shared" si="16"/>
        <v>300</v>
      </c>
      <c r="N23" s="5">
        <f t="shared" si="16"/>
        <v>300</v>
      </c>
      <c r="O23" s="5">
        <f t="shared" si="16"/>
        <v>300</v>
      </c>
      <c r="P23" s="5">
        <f t="shared" si="16"/>
        <v>300</v>
      </c>
      <c r="Q23" s="5">
        <f t="shared" si="16"/>
        <v>300</v>
      </c>
      <c r="R23" s="5">
        <f t="shared" si="16"/>
        <v>300</v>
      </c>
      <c r="S23" s="5">
        <f t="shared" si="16"/>
        <v>300</v>
      </c>
      <c r="T23" s="5">
        <f t="shared" si="16"/>
        <v>212</v>
      </c>
      <c r="U23" s="5">
        <f t="shared" si="16"/>
        <v>212</v>
      </c>
      <c r="V23" s="5">
        <f t="shared" si="16"/>
        <v>212</v>
      </c>
      <c r="W23" s="5">
        <f t="shared" si="16"/>
        <v>212</v>
      </c>
      <c r="X23" s="5">
        <f t="shared" si="16"/>
        <v>212</v>
      </c>
      <c r="Y23" s="5">
        <f t="shared" si="16"/>
        <v>212</v>
      </c>
      <c r="Z23" s="5">
        <f t="shared" si="16"/>
        <v>212</v>
      </c>
      <c r="AA23" s="5">
        <f t="shared" si="16"/>
        <v>212</v>
      </c>
      <c r="AB23" s="5">
        <f t="shared" si="16"/>
        <v>204</v>
      </c>
      <c r="AC23" s="5">
        <f>SUM(AC13:AC22)</f>
        <v>5788</v>
      </c>
    </row>
    <row r="25" spans="1:29" x14ac:dyDescent="0.15">
      <c r="AC25" s="2">
        <f>AC23/8</f>
        <v>723.5</v>
      </c>
    </row>
    <row r="26" spans="1:29" x14ac:dyDescent="0.15">
      <c r="B26" s="2" t="s">
        <v>10</v>
      </c>
      <c r="AC26" s="42">
        <f>AC25*20000</f>
        <v>14470000</v>
      </c>
    </row>
    <row r="27" spans="1:29" x14ac:dyDescent="0.15">
      <c r="A27" s="2" t="s">
        <v>11</v>
      </c>
      <c r="AC27" s="43">
        <f>AC26/85</f>
        <v>170235.29411764705</v>
      </c>
    </row>
    <row r="28" spans="1:29" x14ac:dyDescent="0.15">
      <c r="A28" s="2" t="s">
        <v>12</v>
      </c>
    </row>
    <row r="29" spans="1:29" x14ac:dyDescent="0.15">
      <c r="A29" s="2" t="s">
        <v>13</v>
      </c>
    </row>
    <row r="30" spans="1:29" x14ac:dyDescent="0.15">
      <c r="A30" s="2" t="s">
        <v>14</v>
      </c>
    </row>
    <row r="31" spans="1:29" x14ac:dyDescent="0.15">
      <c r="A31" s="2" t="s">
        <v>15</v>
      </c>
    </row>
    <row r="32" spans="1:29" x14ac:dyDescent="0.15">
      <c r="A32" s="2" t="s">
        <v>16</v>
      </c>
    </row>
    <row r="33" spans="1:9" x14ac:dyDescent="0.15">
      <c r="A33" s="2" t="s">
        <v>17</v>
      </c>
    </row>
    <row r="34" spans="1:9" x14ac:dyDescent="0.15">
      <c r="A34" s="2" t="s">
        <v>18</v>
      </c>
    </row>
    <row r="35" spans="1:9" x14ac:dyDescent="0.15">
      <c r="A35" s="2" t="s">
        <v>19</v>
      </c>
    </row>
    <row r="44" spans="1:9" x14ac:dyDescent="0.15">
      <c r="I44" s="2">
        <v>45870</v>
      </c>
    </row>
    <row r="45" spans="1:9" x14ac:dyDescent="0.15">
      <c r="I45" s="2">
        <f>+I44+7</f>
        <v>45877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5FB1-8AA3-40A5-95D0-A5D342C642FF}">
  <dimension ref="A1:AL100"/>
  <sheetViews>
    <sheetView tabSelected="1" topLeftCell="D1" zoomScale="90" zoomScaleNormal="90" workbookViewId="0">
      <pane ySplit="3" topLeftCell="A66" activePane="bottomLeft" state="frozen"/>
      <selection pane="bottomLeft" activeCell="G80" sqref="G80:G85"/>
    </sheetView>
  </sheetViews>
  <sheetFormatPr baseColWidth="10" defaultColWidth="8.83203125" defaultRowHeight="15" x14ac:dyDescent="0.2"/>
  <cols>
    <col min="3" max="3" width="9.5" bestFit="1" customWidth="1"/>
    <col min="4" max="4" width="3" bestFit="1" customWidth="1"/>
    <col min="5" max="5" width="57.83203125" style="31" customWidth="1"/>
    <col min="6" max="6" width="17.33203125" style="31" bestFit="1" customWidth="1"/>
    <col min="7" max="7" width="17.33203125" style="31" customWidth="1"/>
    <col min="8" max="29" width="6.83203125" style="23" customWidth="1"/>
    <col min="30" max="30" width="6.83203125" customWidth="1"/>
  </cols>
  <sheetData>
    <row r="1" spans="1:38" ht="22" customHeight="1" x14ac:dyDescent="0.2">
      <c r="H1" s="53">
        <v>2025</v>
      </c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48">
        <v>2026</v>
      </c>
      <c r="AF1" s="48"/>
      <c r="AG1" s="48"/>
      <c r="AH1" s="48"/>
      <c r="AI1" s="48"/>
      <c r="AJ1" s="48"/>
      <c r="AK1" s="48"/>
      <c r="AL1" s="48"/>
    </row>
    <row r="2" spans="1:38" ht="51.5" customHeight="1" x14ac:dyDescent="0.2">
      <c r="D2" s="50" t="s">
        <v>20</v>
      </c>
      <c r="E2" s="51"/>
      <c r="F2" s="52"/>
      <c r="G2" s="41" t="s">
        <v>254</v>
      </c>
      <c r="H2" s="16">
        <v>45866</v>
      </c>
      <c r="I2" s="16">
        <f t="shared" ref="I2:AC2" si="0">+H2+7</f>
        <v>45873</v>
      </c>
      <c r="J2" s="16">
        <f t="shared" si="0"/>
        <v>45880</v>
      </c>
      <c r="K2" s="16">
        <f t="shared" si="0"/>
        <v>45887</v>
      </c>
      <c r="L2" s="16">
        <f t="shared" si="0"/>
        <v>45894</v>
      </c>
      <c r="M2" s="16">
        <f t="shared" si="0"/>
        <v>45901</v>
      </c>
      <c r="N2" s="16">
        <f t="shared" si="0"/>
        <v>45908</v>
      </c>
      <c r="O2" s="16">
        <f t="shared" si="0"/>
        <v>45915</v>
      </c>
      <c r="P2" s="16">
        <f t="shared" si="0"/>
        <v>45922</v>
      </c>
      <c r="Q2" s="16">
        <f t="shared" si="0"/>
        <v>45929</v>
      </c>
      <c r="R2" s="16">
        <f t="shared" si="0"/>
        <v>45936</v>
      </c>
      <c r="S2" s="16">
        <f t="shared" si="0"/>
        <v>45943</v>
      </c>
      <c r="T2" s="16">
        <f t="shared" si="0"/>
        <v>45950</v>
      </c>
      <c r="U2" s="16">
        <f t="shared" si="0"/>
        <v>45957</v>
      </c>
      <c r="V2" s="16">
        <f t="shared" si="0"/>
        <v>45964</v>
      </c>
      <c r="W2" s="16">
        <f t="shared" si="0"/>
        <v>45971</v>
      </c>
      <c r="X2" s="16">
        <f t="shared" si="0"/>
        <v>45978</v>
      </c>
      <c r="Y2" s="16">
        <f t="shared" si="0"/>
        <v>45985</v>
      </c>
      <c r="Z2" s="16">
        <f t="shared" si="0"/>
        <v>45992</v>
      </c>
      <c r="AA2" s="16">
        <f t="shared" si="0"/>
        <v>45999</v>
      </c>
      <c r="AB2" s="16">
        <f t="shared" si="0"/>
        <v>46006</v>
      </c>
      <c r="AC2" s="16">
        <f t="shared" si="0"/>
        <v>46013</v>
      </c>
      <c r="AD2" s="16">
        <f t="shared" ref="AD2:AL2" si="1">+AC2+7</f>
        <v>46020</v>
      </c>
      <c r="AE2" s="16">
        <f t="shared" si="1"/>
        <v>46027</v>
      </c>
      <c r="AF2" s="16">
        <f t="shared" si="1"/>
        <v>46034</v>
      </c>
      <c r="AG2" s="16">
        <f t="shared" si="1"/>
        <v>46041</v>
      </c>
      <c r="AH2" s="16">
        <f t="shared" si="1"/>
        <v>46048</v>
      </c>
      <c r="AI2" s="16">
        <f t="shared" si="1"/>
        <v>46055</v>
      </c>
      <c r="AJ2" s="16">
        <f t="shared" si="1"/>
        <v>46062</v>
      </c>
      <c r="AK2" s="16">
        <f t="shared" si="1"/>
        <v>46069</v>
      </c>
      <c r="AL2" s="16">
        <f t="shared" si="1"/>
        <v>46076</v>
      </c>
    </row>
    <row r="3" spans="1:38" ht="16" x14ac:dyDescent="0.2">
      <c r="A3" t="s">
        <v>75</v>
      </c>
      <c r="B3" t="s">
        <v>76</v>
      </c>
      <c r="C3" t="s">
        <v>77</v>
      </c>
      <c r="D3" s="17" t="s">
        <v>21</v>
      </c>
      <c r="E3" s="32" t="s">
        <v>22</v>
      </c>
      <c r="F3" s="32" t="s">
        <v>23</v>
      </c>
      <c r="G3" s="32"/>
      <c r="H3" s="18" t="s">
        <v>1</v>
      </c>
      <c r="I3" s="18" t="s">
        <v>2</v>
      </c>
      <c r="J3" s="18" t="s">
        <v>3</v>
      </c>
      <c r="K3" s="18" t="s">
        <v>4</v>
      </c>
      <c r="L3" s="18" t="s">
        <v>5</v>
      </c>
      <c r="M3" s="18" t="s">
        <v>6</v>
      </c>
      <c r="N3" s="18" t="s">
        <v>24</v>
      </c>
      <c r="O3" s="18" t="s">
        <v>25</v>
      </c>
      <c r="P3" s="18" t="s">
        <v>26</v>
      </c>
      <c r="Q3" s="18" t="s">
        <v>27</v>
      </c>
      <c r="R3" s="18" t="s">
        <v>28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34</v>
      </c>
      <c r="Y3" s="18" t="s">
        <v>35</v>
      </c>
      <c r="Z3" s="18" t="s">
        <v>36</v>
      </c>
      <c r="AA3" s="18" t="s">
        <v>37</v>
      </c>
      <c r="AB3" s="18" t="s">
        <v>38</v>
      </c>
      <c r="AC3" s="28" t="s">
        <v>39</v>
      </c>
      <c r="AD3" s="39" t="s">
        <v>198</v>
      </c>
      <c r="AE3" s="39" t="s">
        <v>199</v>
      </c>
      <c r="AF3" s="39" t="s">
        <v>200</v>
      </c>
      <c r="AG3" s="39" t="s">
        <v>201</v>
      </c>
      <c r="AH3" s="39" t="s">
        <v>202</v>
      </c>
      <c r="AI3" s="39" t="s">
        <v>203</v>
      </c>
      <c r="AJ3" s="39" t="s">
        <v>204</v>
      </c>
      <c r="AK3" s="39" t="s">
        <v>205</v>
      </c>
      <c r="AL3" s="39" t="s">
        <v>206</v>
      </c>
    </row>
    <row r="4" spans="1:38" x14ac:dyDescent="0.2">
      <c r="D4" s="49" t="s">
        <v>43</v>
      </c>
      <c r="E4" s="49"/>
      <c r="F4" s="35"/>
      <c r="G4" s="35"/>
      <c r="H4" s="19" t="s">
        <v>40</v>
      </c>
      <c r="I4" s="19" t="s">
        <v>40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1"/>
      <c r="AE4" s="21"/>
      <c r="AF4" s="21"/>
      <c r="AG4" s="21"/>
      <c r="AH4" s="21"/>
      <c r="AI4" s="21"/>
      <c r="AJ4" s="21"/>
      <c r="AK4" s="21"/>
      <c r="AL4" s="21"/>
    </row>
    <row r="5" spans="1:38" ht="32" x14ac:dyDescent="0.2">
      <c r="A5">
        <v>1</v>
      </c>
      <c r="B5">
        <v>1</v>
      </c>
      <c r="C5" t="s">
        <v>78</v>
      </c>
      <c r="D5" s="21"/>
      <c r="E5" s="38" t="s">
        <v>44</v>
      </c>
      <c r="F5" s="38" t="s">
        <v>54</v>
      </c>
      <c r="G5" s="46" t="s">
        <v>255</v>
      </c>
      <c r="H5" s="36" t="s">
        <v>40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1"/>
      <c r="AE5" s="21"/>
      <c r="AF5" s="21"/>
      <c r="AG5" s="21"/>
      <c r="AH5" s="21"/>
      <c r="AI5" s="21"/>
      <c r="AJ5" s="21"/>
      <c r="AK5" s="21"/>
      <c r="AL5" s="21"/>
    </row>
    <row r="6" spans="1:38" ht="32" x14ac:dyDescent="0.2">
      <c r="A6">
        <v>1</v>
      </c>
      <c r="B6">
        <v>1</v>
      </c>
      <c r="C6" t="s">
        <v>79</v>
      </c>
      <c r="D6" s="21"/>
      <c r="E6" s="38" t="s">
        <v>45</v>
      </c>
      <c r="F6" s="38" t="s">
        <v>55</v>
      </c>
      <c r="G6" s="46" t="s">
        <v>255</v>
      </c>
      <c r="H6" s="36" t="s">
        <v>40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1"/>
      <c r="AE6" s="21"/>
      <c r="AF6" s="21"/>
      <c r="AG6" s="21"/>
      <c r="AH6" s="21"/>
      <c r="AI6" s="21"/>
      <c r="AJ6" s="21"/>
      <c r="AK6" s="21"/>
      <c r="AL6" s="21"/>
    </row>
    <row r="7" spans="1:38" ht="16" x14ac:dyDescent="0.2">
      <c r="A7">
        <v>1</v>
      </c>
      <c r="B7">
        <v>1</v>
      </c>
      <c r="C7" t="s">
        <v>80</v>
      </c>
      <c r="D7" s="21"/>
      <c r="E7" s="38" t="s">
        <v>46</v>
      </c>
      <c r="F7" s="38" t="s">
        <v>56</v>
      </c>
      <c r="G7" s="46" t="s">
        <v>255</v>
      </c>
      <c r="H7" s="36" t="s">
        <v>40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1"/>
      <c r="AE7" s="21"/>
      <c r="AF7" s="21"/>
      <c r="AG7" s="21"/>
      <c r="AH7" s="21"/>
      <c r="AI7" s="21"/>
      <c r="AJ7" s="21"/>
      <c r="AK7" s="21"/>
      <c r="AL7" s="21"/>
    </row>
    <row r="8" spans="1:38" ht="32" x14ac:dyDescent="0.2">
      <c r="A8">
        <v>1</v>
      </c>
      <c r="B8">
        <v>1</v>
      </c>
      <c r="C8" t="s">
        <v>81</v>
      </c>
      <c r="D8" s="21"/>
      <c r="E8" s="38" t="s">
        <v>47</v>
      </c>
      <c r="F8" s="38" t="s">
        <v>57</v>
      </c>
      <c r="G8" s="46" t="s">
        <v>255</v>
      </c>
      <c r="H8" s="36" t="s">
        <v>40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1"/>
      <c r="AE8" s="21"/>
      <c r="AF8" s="21"/>
      <c r="AG8" s="21"/>
      <c r="AH8" s="21"/>
      <c r="AI8" s="21"/>
      <c r="AJ8" s="21"/>
      <c r="AK8" s="21"/>
      <c r="AL8" s="21"/>
    </row>
    <row r="9" spans="1:38" ht="16" x14ac:dyDescent="0.2">
      <c r="A9">
        <v>1</v>
      </c>
      <c r="B9">
        <v>1</v>
      </c>
      <c r="C9" t="s">
        <v>82</v>
      </c>
      <c r="D9" s="21"/>
      <c r="E9" s="38" t="s">
        <v>48</v>
      </c>
      <c r="F9" s="38" t="s">
        <v>42</v>
      </c>
      <c r="G9" s="46" t="s">
        <v>255</v>
      </c>
      <c r="H9" s="36" t="s">
        <v>40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1"/>
      <c r="AE9" s="21"/>
      <c r="AF9" s="21"/>
      <c r="AG9" s="21"/>
      <c r="AH9" s="21"/>
      <c r="AI9" s="21"/>
      <c r="AJ9" s="21"/>
      <c r="AK9" s="21"/>
      <c r="AL9" s="21"/>
    </row>
    <row r="10" spans="1:38" ht="32" x14ac:dyDescent="0.2">
      <c r="A10">
        <v>1</v>
      </c>
      <c r="B10">
        <v>2</v>
      </c>
      <c r="C10" t="s">
        <v>83</v>
      </c>
      <c r="D10" s="21"/>
      <c r="E10" s="38" t="s">
        <v>49</v>
      </c>
      <c r="F10" s="38" t="s">
        <v>58</v>
      </c>
      <c r="G10" s="46" t="s">
        <v>255</v>
      </c>
      <c r="H10" s="37"/>
      <c r="I10" s="22" t="s">
        <v>40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1"/>
      <c r="AE10" s="21"/>
      <c r="AF10" s="21"/>
      <c r="AG10" s="21"/>
      <c r="AH10" s="21"/>
      <c r="AI10" s="21"/>
      <c r="AJ10" s="21"/>
      <c r="AK10" s="21"/>
      <c r="AL10" s="21"/>
    </row>
    <row r="11" spans="1:38" ht="16" x14ac:dyDescent="0.2">
      <c r="A11">
        <v>1</v>
      </c>
      <c r="B11">
        <v>2</v>
      </c>
      <c r="C11" t="s">
        <v>84</v>
      </c>
      <c r="D11" s="21"/>
      <c r="E11" s="38" t="s">
        <v>50</v>
      </c>
      <c r="F11" s="38" t="s">
        <v>59</v>
      </c>
      <c r="G11" s="46" t="s">
        <v>255</v>
      </c>
      <c r="H11" s="37"/>
      <c r="I11" s="22" t="s">
        <v>40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1"/>
      <c r="AE11" s="21"/>
      <c r="AF11" s="21"/>
      <c r="AG11" s="21"/>
      <c r="AH11" s="21"/>
      <c r="AI11" s="21"/>
      <c r="AJ11" s="21"/>
      <c r="AK11" s="21"/>
      <c r="AL11" s="21"/>
    </row>
    <row r="12" spans="1:38" ht="16" x14ac:dyDescent="0.2">
      <c r="A12">
        <v>1</v>
      </c>
      <c r="B12">
        <v>2</v>
      </c>
      <c r="C12" t="s">
        <v>85</v>
      </c>
      <c r="D12" s="21"/>
      <c r="E12" s="38" t="s">
        <v>51</v>
      </c>
      <c r="F12" s="38" t="s">
        <v>59</v>
      </c>
      <c r="G12" s="46" t="s">
        <v>233</v>
      </c>
      <c r="I12" s="22" t="s">
        <v>40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1"/>
      <c r="AE12" s="21"/>
      <c r="AF12" s="21"/>
      <c r="AG12" s="21"/>
      <c r="AH12" s="21"/>
      <c r="AI12" s="21"/>
      <c r="AJ12" s="21"/>
      <c r="AK12" s="21"/>
      <c r="AL12" s="21"/>
    </row>
    <row r="13" spans="1:38" ht="32" x14ac:dyDescent="0.2">
      <c r="A13">
        <v>1</v>
      </c>
      <c r="B13">
        <v>2</v>
      </c>
      <c r="C13" t="s">
        <v>86</v>
      </c>
      <c r="D13" s="21"/>
      <c r="E13" s="38" t="s">
        <v>52</v>
      </c>
      <c r="F13" s="38" t="s">
        <v>60</v>
      </c>
      <c r="G13" s="46" t="s">
        <v>255</v>
      </c>
      <c r="I13" s="22" t="s">
        <v>40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1"/>
      <c r="AE13" s="21"/>
      <c r="AF13" s="21"/>
      <c r="AG13" s="21"/>
      <c r="AH13" s="21"/>
      <c r="AI13" s="21"/>
      <c r="AJ13" s="21"/>
      <c r="AK13" s="21"/>
      <c r="AL13" s="21"/>
    </row>
    <row r="14" spans="1:38" ht="32" x14ac:dyDescent="0.2">
      <c r="A14">
        <v>1</v>
      </c>
      <c r="B14">
        <v>2</v>
      </c>
      <c r="C14" t="s">
        <v>87</v>
      </c>
      <c r="D14" s="21"/>
      <c r="E14" s="38" t="s">
        <v>53</v>
      </c>
      <c r="F14" s="38" t="s">
        <v>61</v>
      </c>
      <c r="G14" s="46" t="s">
        <v>255</v>
      </c>
      <c r="I14" s="22" t="s">
        <v>40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1"/>
      <c r="AE14" s="21"/>
      <c r="AF14" s="21"/>
      <c r="AG14" s="21"/>
      <c r="AH14" s="21"/>
      <c r="AI14" s="21"/>
      <c r="AJ14" s="21"/>
      <c r="AK14" s="21"/>
      <c r="AL14" s="21"/>
    </row>
    <row r="15" spans="1:38" x14ac:dyDescent="0.2">
      <c r="D15" s="21"/>
      <c r="E15" s="33"/>
      <c r="F15" s="35"/>
      <c r="G15" s="47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1"/>
      <c r="AE15" s="21"/>
      <c r="AF15" s="21"/>
      <c r="AG15" s="21"/>
      <c r="AH15" s="21"/>
      <c r="AI15" s="21"/>
      <c r="AJ15" s="21"/>
      <c r="AK15" s="21"/>
      <c r="AL15" s="21"/>
    </row>
    <row r="16" spans="1:38" x14ac:dyDescent="0.2">
      <c r="D16" s="21"/>
      <c r="E16" s="33"/>
      <c r="F16" s="33"/>
      <c r="G16" s="33"/>
      <c r="H16" s="33"/>
      <c r="I16" s="33"/>
      <c r="J16" s="33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1"/>
      <c r="AE16" s="21"/>
      <c r="AF16" s="21"/>
      <c r="AG16" s="21"/>
      <c r="AH16" s="21"/>
      <c r="AI16" s="21"/>
      <c r="AJ16" s="21"/>
      <c r="AK16" s="21"/>
      <c r="AL16" s="21"/>
    </row>
    <row r="17" spans="1:38" x14ac:dyDescent="0.2">
      <c r="D17" s="21"/>
      <c r="E17" s="33"/>
      <c r="F17" s="33"/>
      <c r="G17" s="33"/>
      <c r="H17" s="33"/>
      <c r="I17" s="33"/>
      <c r="J17" s="33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1"/>
      <c r="AE17" s="21"/>
      <c r="AF17" s="21"/>
      <c r="AG17" s="21"/>
      <c r="AH17" s="21"/>
      <c r="AI17" s="21"/>
      <c r="AJ17" s="21"/>
      <c r="AK17" s="21"/>
      <c r="AL17" s="21"/>
    </row>
    <row r="18" spans="1:38" x14ac:dyDescent="0.2">
      <c r="D18" s="49" t="s">
        <v>62</v>
      </c>
      <c r="E18" s="49"/>
      <c r="F18" s="35"/>
      <c r="G18" s="35"/>
      <c r="H18" s="20"/>
      <c r="I18" s="20"/>
      <c r="J18" s="19" t="s">
        <v>40</v>
      </c>
      <c r="K18" s="19" t="s">
        <v>40</v>
      </c>
      <c r="L18" s="19" t="s">
        <v>40</v>
      </c>
      <c r="M18" s="19" t="s">
        <v>40</v>
      </c>
      <c r="N18" s="19" t="s">
        <v>40</v>
      </c>
      <c r="O18" s="19" t="s">
        <v>40</v>
      </c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1"/>
      <c r="AE18" s="21"/>
      <c r="AF18" s="21"/>
      <c r="AG18" s="21"/>
      <c r="AH18" s="21"/>
      <c r="AI18" s="21"/>
      <c r="AJ18" s="21"/>
      <c r="AK18" s="21"/>
      <c r="AL18" s="21"/>
    </row>
    <row r="19" spans="1:38" ht="32" x14ac:dyDescent="0.2">
      <c r="A19">
        <v>2</v>
      </c>
      <c r="B19">
        <v>3</v>
      </c>
      <c r="C19" t="s">
        <v>83</v>
      </c>
      <c r="D19" s="21"/>
      <c r="E19" s="21" t="s">
        <v>63</v>
      </c>
      <c r="F19" s="38" t="s">
        <v>125</v>
      </c>
      <c r="G19" s="38" t="s">
        <v>255</v>
      </c>
      <c r="H19" s="20"/>
      <c r="I19" s="20"/>
      <c r="J19" s="24" t="s">
        <v>40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1"/>
      <c r="AE19" s="21"/>
      <c r="AF19" s="21"/>
      <c r="AG19" s="21"/>
      <c r="AH19" s="21"/>
      <c r="AI19" s="21"/>
      <c r="AJ19" s="21"/>
      <c r="AK19" s="21"/>
      <c r="AL19" s="21"/>
    </row>
    <row r="20" spans="1:38" ht="16" x14ac:dyDescent="0.2">
      <c r="A20">
        <v>2</v>
      </c>
      <c r="B20">
        <v>3</v>
      </c>
      <c r="C20" t="s">
        <v>84</v>
      </c>
      <c r="D20" s="21"/>
      <c r="E20" s="21" t="s">
        <v>64</v>
      </c>
      <c r="F20" s="38" t="s">
        <v>126</v>
      </c>
      <c r="G20" s="38" t="s">
        <v>255</v>
      </c>
      <c r="H20" s="20"/>
      <c r="I20" s="20"/>
      <c r="J20" s="24" t="s">
        <v>40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1"/>
      <c r="AE20" s="21"/>
      <c r="AF20" s="21"/>
      <c r="AG20" s="21"/>
      <c r="AH20" s="21"/>
      <c r="AI20" s="21"/>
      <c r="AJ20" s="21"/>
      <c r="AK20" s="21"/>
      <c r="AL20" s="21"/>
    </row>
    <row r="21" spans="1:38" ht="32" x14ac:dyDescent="0.2">
      <c r="A21">
        <v>2</v>
      </c>
      <c r="B21">
        <v>4</v>
      </c>
      <c r="C21" t="s">
        <v>86</v>
      </c>
      <c r="D21" s="21"/>
      <c r="E21" s="21" t="s">
        <v>65</v>
      </c>
      <c r="F21" s="38" t="s">
        <v>127</v>
      </c>
      <c r="G21" s="38" t="s">
        <v>255</v>
      </c>
      <c r="H21" s="20"/>
      <c r="I21" s="20"/>
      <c r="J21" s="20"/>
      <c r="K21" s="24" t="s">
        <v>40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1"/>
      <c r="AE21" s="21"/>
      <c r="AF21" s="21"/>
      <c r="AG21" s="21"/>
      <c r="AH21" s="21"/>
      <c r="AI21" s="21"/>
      <c r="AJ21" s="21"/>
      <c r="AK21" s="21"/>
      <c r="AL21" s="21"/>
    </row>
    <row r="22" spans="1:38" ht="32" x14ac:dyDescent="0.2">
      <c r="A22">
        <v>2</v>
      </c>
      <c r="B22">
        <v>4</v>
      </c>
      <c r="C22" t="s">
        <v>87</v>
      </c>
      <c r="D22" s="21"/>
      <c r="E22" s="21" t="s">
        <v>66</v>
      </c>
      <c r="F22" s="38" t="s">
        <v>128</v>
      </c>
      <c r="G22" s="38" t="s">
        <v>255</v>
      </c>
      <c r="H22" s="20"/>
      <c r="I22" s="20"/>
      <c r="J22" s="20"/>
      <c r="K22" s="24" t="s">
        <v>40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1"/>
      <c r="AE22" s="21"/>
      <c r="AF22" s="21"/>
      <c r="AG22" s="21"/>
      <c r="AH22" s="21"/>
      <c r="AI22" s="21"/>
      <c r="AJ22" s="21"/>
      <c r="AK22" s="21"/>
      <c r="AL22" s="21"/>
    </row>
    <row r="23" spans="1:38" ht="16" x14ac:dyDescent="0.2">
      <c r="A23">
        <v>2</v>
      </c>
      <c r="B23">
        <v>5</v>
      </c>
      <c r="C23" t="s">
        <v>88</v>
      </c>
      <c r="D23" s="21"/>
      <c r="E23" s="21" t="s">
        <v>67</v>
      </c>
      <c r="F23" s="38" t="s">
        <v>129</v>
      </c>
      <c r="G23" s="38" t="s">
        <v>255</v>
      </c>
      <c r="H23" s="20"/>
      <c r="I23" s="20"/>
      <c r="J23" s="20"/>
      <c r="K23" s="20"/>
      <c r="L23" s="24" t="s">
        <v>40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1"/>
      <c r="AE23" s="21"/>
      <c r="AF23" s="21"/>
      <c r="AG23" s="21"/>
      <c r="AH23" s="21"/>
      <c r="AI23" s="21"/>
      <c r="AJ23" s="21"/>
      <c r="AK23" s="21"/>
      <c r="AL23" s="21"/>
    </row>
    <row r="24" spans="1:38" ht="32" x14ac:dyDescent="0.2">
      <c r="A24">
        <v>2</v>
      </c>
      <c r="B24">
        <v>5</v>
      </c>
      <c r="C24" t="s">
        <v>89</v>
      </c>
      <c r="D24" s="21"/>
      <c r="E24" s="21" t="s">
        <v>68</v>
      </c>
      <c r="F24" s="38" t="s">
        <v>130</v>
      </c>
      <c r="G24" s="38" t="s">
        <v>255</v>
      </c>
      <c r="H24" s="20"/>
      <c r="I24" s="20"/>
      <c r="J24" s="20"/>
      <c r="K24" s="20"/>
      <c r="L24" s="24" t="s">
        <v>40</v>
      </c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1"/>
      <c r="AE24" s="21"/>
      <c r="AF24" s="21"/>
      <c r="AG24" s="21"/>
      <c r="AH24" s="21"/>
      <c r="AI24" s="21"/>
      <c r="AJ24" s="21"/>
      <c r="AK24" s="21"/>
      <c r="AL24" s="21"/>
    </row>
    <row r="25" spans="1:38" ht="48" x14ac:dyDescent="0.2">
      <c r="A25">
        <v>2</v>
      </c>
      <c r="B25">
        <v>6</v>
      </c>
      <c r="C25" t="s">
        <v>90</v>
      </c>
      <c r="D25" s="21"/>
      <c r="E25" s="21" t="s">
        <v>69</v>
      </c>
      <c r="F25" s="38" t="s">
        <v>131</v>
      </c>
      <c r="G25" s="38" t="s">
        <v>255</v>
      </c>
      <c r="H25" s="20"/>
      <c r="I25" s="20"/>
      <c r="J25" s="20"/>
      <c r="K25" s="20"/>
      <c r="L25" s="20"/>
      <c r="M25" s="24" t="s">
        <v>40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1"/>
      <c r="AE25" s="21"/>
      <c r="AF25" s="21"/>
      <c r="AG25" s="21"/>
      <c r="AH25" s="21"/>
      <c r="AI25" s="21"/>
      <c r="AJ25" s="21"/>
      <c r="AK25" s="21"/>
      <c r="AL25" s="21"/>
    </row>
    <row r="26" spans="1:38" ht="48" x14ac:dyDescent="0.2">
      <c r="A26">
        <v>2</v>
      </c>
      <c r="B26">
        <v>6</v>
      </c>
      <c r="C26" t="s">
        <v>91</v>
      </c>
      <c r="D26" s="21"/>
      <c r="E26" s="21" t="s">
        <v>70</v>
      </c>
      <c r="F26" s="38" t="s">
        <v>132</v>
      </c>
      <c r="G26" s="38" t="s">
        <v>255</v>
      </c>
      <c r="H26" s="20"/>
      <c r="I26" s="20"/>
      <c r="J26" s="20"/>
      <c r="K26" s="20"/>
      <c r="L26" s="20"/>
      <c r="M26" s="24" t="s">
        <v>40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1"/>
      <c r="AE26" s="21"/>
      <c r="AF26" s="21"/>
      <c r="AG26" s="21"/>
      <c r="AH26" s="21"/>
      <c r="AI26" s="21"/>
      <c r="AJ26" s="21"/>
      <c r="AK26" s="21"/>
      <c r="AL26" s="21"/>
    </row>
    <row r="27" spans="1:38" ht="32" x14ac:dyDescent="0.2">
      <c r="A27">
        <v>2</v>
      </c>
      <c r="B27">
        <v>7</v>
      </c>
      <c r="C27" t="s">
        <v>92</v>
      </c>
      <c r="D27" s="21"/>
      <c r="E27" s="21" t="s">
        <v>71</v>
      </c>
      <c r="F27" s="38" t="s">
        <v>133</v>
      </c>
      <c r="G27" s="38" t="s">
        <v>255</v>
      </c>
      <c r="H27" s="20"/>
      <c r="I27" s="20"/>
      <c r="J27" s="20"/>
      <c r="K27" s="20"/>
      <c r="L27" s="20"/>
      <c r="M27" s="20"/>
      <c r="N27" s="24" t="s">
        <v>40</v>
      </c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1"/>
      <c r="AE27" s="21"/>
      <c r="AF27" s="21"/>
      <c r="AG27" s="21"/>
      <c r="AH27" s="21"/>
      <c r="AI27" s="21"/>
      <c r="AJ27" s="21"/>
      <c r="AK27" s="21"/>
      <c r="AL27" s="21"/>
    </row>
    <row r="28" spans="1:38" ht="32" x14ac:dyDescent="0.2">
      <c r="A28">
        <v>2</v>
      </c>
      <c r="B28">
        <v>7</v>
      </c>
      <c r="C28" t="s">
        <v>93</v>
      </c>
      <c r="D28" s="21"/>
      <c r="E28" s="21" t="s">
        <v>72</v>
      </c>
      <c r="F28" s="38" t="s">
        <v>58</v>
      </c>
      <c r="G28" s="38" t="s">
        <v>255</v>
      </c>
      <c r="H28" s="20"/>
      <c r="I28" s="20"/>
      <c r="J28" s="20"/>
      <c r="K28" s="20"/>
      <c r="L28" s="20"/>
      <c r="M28" s="20"/>
      <c r="N28" s="24" t="s">
        <v>40</v>
      </c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1"/>
      <c r="AE28" s="21"/>
      <c r="AF28" s="21"/>
      <c r="AG28" s="21"/>
      <c r="AH28" s="21"/>
      <c r="AI28" s="21"/>
      <c r="AJ28" s="21"/>
      <c r="AK28" s="21"/>
      <c r="AL28" s="21"/>
    </row>
    <row r="29" spans="1:38" ht="48" x14ac:dyDescent="0.2">
      <c r="A29">
        <v>2</v>
      </c>
      <c r="B29">
        <v>8</v>
      </c>
      <c r="C29" t="s">
        <v>94</v>
      </c>
      <c r="D29" s="21"/>
      <c r="E29" s="21" t="s">
        <v>73</v>
      </c>
      <c r="F29" s="38" t="s">
        <v>119</v>
      </c>
      <c r="G29" s="38" t="s">
        <v>255</v>
      </c>
      <c r="H29" s="20"/>
      <c r="I29" s="20"/>
      <c r="J29" s="20"/>
      <c r="K29" s="20"/>
      <c r="L29" s="20"/>
      <c r="M29" s="20"/>
      <c r="N29" s="20"/>
      <c r="O29" s="24" t="s">
        <v>40</v>
      </c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1"/>
      <c r="AE29" s="21"/>
      <c r="AF29" s="21"/>
      <c r="AG29" s="21"/>
      <c r="AH29" s="21"/>
      <c r="AI29" s="21"/>
      <c r="AJ29" s="21"/>
      <c r="AK29" s="21"/>
      <c r="AL29" s="21"/>
    </row>
    <row r="30" spans="1:38" ht="16" x14ac:dyDescent="0.2">
      <c r="A30">
        <v>2</v>
      </c>
      <c r="B30">
        <v>8</v>
      </c>
      <c r="C30" t="s">
        <v>95</v>
      </c>
      <c r="D30" s="21"/>
      <c r="E30" s="21" t="s">
        <v>74</v>
      </c>
      <c r="F30" s="38" t="s">
        <v>42</v>
      </c>
      <c r="G30" s="38"/>
      <c r="H30" s="20"/>
      <c r="I30" s="20"/>
      <c r="J30" s="20"/>
      <c r="K30" s="20"/>
      <c r="L30" s="20"/>
      <c r="M30" s="20"/>
      <c r="N30" s="20"/>
      <c r="O30" s="24" t="s">
        <v>40</v>
      </c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1"/>
      <c r="AE30" s="21"/>
      <c r="AF30" s="21"/>
      <c r="AG30" s="21"/>
      <c r="AH30" s="21"/>
      <c r="AI30" s="21"/>
      <c r="AJ30" s="21"/>
      <c r="AK30" s="21"/>
      <c r="AL30" s="21"/>
    </row>
    <row r="31" spans="1:38" x14ac:dyDescent="0.2">
      <c r="D31" s="21"/>
      <c r="E31" s="33"/>
      <c r="F31" s="35"/>
      <c r="G31" s="35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1"/>
      <c r="AF31" s="21"/>
      <c r="AG31" s="21"/>
      <c r="AH31" s="21"/>
      <c r="AI31" s="21"/>
      <c r="AJ31" s="21"/>
      <c r="AK31" s="21"/>
      <c r="AL31" s="21"/>
    </row>
    <row r="32" spans="1:38" x14ac:dyDescent="0.2">
      <c r="D32" s="49" t="s">
        <v>96</v>
      </c>
      <c r="E32" s="49"/>
      <c r="F32" s="35"/>
      <c r="G32" s="35"/>
      <c r="H32" s="20"/>
      <c r="I32" s="20"/>
      <c r="J32" s="20"/>
      <c r="K32" s="20"/>
      <c r="L32" s="20"/>
      <c r="M32" s="20"/>
      <c r="N32" s="20"/>
      <c r="O32" s="20"/>
      <c r="P32" s="19" t="s">
        <v>40</v>
      </c>
      <c r="Q32" s="19" t="s">
        <v>40</v>
      </c>
      <c r="R32" s="19" t="s">
        <v>40</v>
      </c>
      <c r="S32" s="19" t="s">
        <v>40</v>
      </c>
      <c r="T32" s="19" t="s">
        <v>40</v>
      </c>
      <c r="U32" s="19" t="s">
        <v>40</v>
      </c>
      <c r="V32" s="19" t="s">
        <v>40</v>
      </c>
      <c r="W32" s="19" t="s">
        <v>40</v>
      </c>
      <c r="X32" s="20"/>
      <c r="Y32" s="20"/>
      <c r="Z32" s="20"/>
      <c r="AA32" s="20"/>
      <c r="AB32" s="20"/>
      <c r="AC32" s="20"/>
      <c r="AD32" s="21"/>
      <c r="AE32" s="21"/>
      <c r="AF32" s="21"/>
      <c r="AG32" s="21"/>
      <c r="AH32" s="21"/>
      <c r="AI32" s="21"/>
      <c r="AJ32" s="21"/>
      <c r="AK32" s="21"/>
      <c r="AL32" s="21"/>
    </row>
    <row r="33" spans="1:38" ht="32" x14ac:dyDescent="0.2">
      <c r="A33">
        <v>3</v>
      </c>
      <c r="B33">
        <v>9</v>
      </c>
      <c r="C33" t="s">
        <v>134</v>
      </c>
      <c r="D33" s="21"/>
      <c r="E33" s="21" t="s">
        <v>97</v>
      </c>
      <c r="F33" s="38" t="s">
        <v>114</v>
      </c>
      <c r="G33" s="38" t="s">
        <v>255</v>
      </c>
      <c r="H33" s="20"/>
      <c r="I33" s="20"/>
      <c r="J33" s="20"/>
      <c r="K33" s="20"/>
      <c r="L33" s="20"/>
      <c r="M33" s="20"/>
      <c r="N33" s="20"/>
      <c r="O33" s="20"/>
      <c r="P33" s="25" t="s">
        <v>40</v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1"/>
      <c r="AE33" s="21"/>
      <c r="AF33" s="21"/>
      <c r="AG33" s="21"/>
      <c r="AH33" s="21"/>
      <c r="AI33" s="21"/>
      <c r="AJ33" s="21"/>
      <c r="AK33" s="21"/>
      <c r="AL33" s="21"/>
    </row>
    <row r="34" spans="1:38" ht="16" x14ac:dyDescent="0.2">
      <c r="A34">
        <v>3</v>
      </c>
      <c r="B34">
        <v>9</v>
      </c>
      <c r="C34" t="s">
        <v>135</v>
      </c>
      <c r="D34" s="21"/>
      <c r="E34" s="21" t="s">
        <v>98</v>
      </c>
      <c r="F34" s="38" t="s">
        <v>115</v>
      </c>
      <c r="G34" s="38" t="s">
        <v>255</v>
      </c>
      <c r="H34" s="20"/>
      <c r="I34" s="20"/>
      <c r="J34" s="20"/>
      <c r="K34" s="20"/>
      <c r="L34" s="20"/>
      <c r="M34" s="20"/>
      <c r="N34" s="20"/>
      <c r="O34" s="20"/>
      <c r="P34" s="25" t="s">
        <v>40</v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1"/>
      <c r="AE34" s="21"/>
      <c r="AF34" s="21"/>
      <c r="AG34" s="21"/>
      <c r="AH34" s="21"/>
      <c r="AI34" s="21"/>
      <c r="AJ34" s="21"/>
      <c r="AK34" s="21"/>
      <c r="AL34" s="21"/>
    </row>
    <row r="35" spans="1:38" ht="32" x14ac:dyDescent="0.2">
      <c r="A35">
        <v>3</v>
      </c>
      <c r="B35">
        <v>9</v>
      </c>
      <c r="C35" t="s">
        <v>136</v>
      </c>
      <c r="D35" s="21"/>
      <c r="E35" s="21" t="s">
        <v>99</v>
      </c>
      <c r="F35" s="38" t="s">
        <v>116</v>
      </c>
      <c r="G35" s="38" t="s">
        <v>255</v>
      </c>
      <c r="H35" s="20"/>
      <c r="I35" s="20"/>
      <c r="J35" s="20"/>
      <c r="K35" s="20"/>
      <c r="L35" s="20"/>
      <c r="M35" s="20"/>
      <c r="N35" s="20"/>
      <c r="O35" s="20"/>
      <c r="P35" s="25" t="s">
        <v>40</v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1"/>
      <c r="AE35" s="21"/>
      <c r="AF35" s="21"/>
      <c r="AG35" s="21"/>
      <c r="AH35" s="21"/>
      <c r="AI35" s="21"/>
      <c r="AJ35" s="21"/>
      <c r="AK35" s="21"/>
      <c r="AL35" s="21"/>
    </row>
    <row r="36" spans="1:38" ht="16" x14ac:dyDescent="0.2">
      <c r="A36">
        <v>3</v>
      </c>
      <c r="B36">
        <v>10</v>
      </c>
      <c r="C36" t="s">
        <v>137</v>
      </c>
      <c r="D36" s="21"/>
      <c r="E36" s="21" t="s">
        <v>100</v>
      </c>
      <c r="F36" s="38" t="s">
        <v>117</v>
      </c>
      <c r="G36" s="38" t="s">
        <v>255</v>
      </c>
      <c r="H36" s="20"/>
      <c r="I36" s="20"/>
      <c r="J36" s="20"/>
      <c r="K36" s="20"/>
      <c r="L36" s="20"/>
      <c r="M36" s="20"/>
      <c r="N36" s="20"/>
      <c r="O36" s="20"/>
      <c r="P36" s="20"/>
      <c r="Q36" s="25" t="s">
        <v>40</v>
      </c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1"/>
      <c r="AE36" s="21"/>
      <c r="AF36" s="21"/>
      <c r="AG36" s="21"/>
      <c r="AH36" s="21"/>
      <c r="AI36" s="21"/>
      <c r="AJ36" s="21"/>
      <c r="AK36" s="21"/>
      <c r="AL36" s="21"/>
    </row>
    <row r="37" spans="1:38" ht="16" x14ac:dyDescent="0.2">
      <c r="A37">
        <v>3</v>
      </c>
      <c r="B37">
        <v>10</v>
      </c>
      <c r="C37" t="s">
        <v>138</v>
      </c>
      <c r="D37" s="21"/>
      <c r="E37" s="21" t="s">
        <v>101</v>
      </c>
      <c r="F37" s="38" t="s">
        <v>118</v>
      </c>
      <c r="G37" s="38" t="s">
        <v>255</v>
      </c>
      <c r="H37" s="20"/>
      <c r="I37" s="20"/>
      <c r="J37" s="20"/>
      <c r="K37" s="20"/>
      <c r="L37" s="20"/>
      <c r="M37" s="20"/>
      <c r="N37" s="20"/>
      <c r="O37" s="20"/>
      <c r="P37" s="20"/>
      <c r="Q37" s="25" t="s">
        <v>40</v>
      </c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1"/>
      <c r="AE37" s="21"/>
      <c r="AF37" s="21"/>
      <c r="AG37" s="21"/>
      <c r="AH37" s="21"/>
      <c r="AI37" s="21"/>
      <c r="AJ37" s="21"/>
      <c r="AK37" s="21"/>
      <c r="AL37" s="21"/>
    </row>
    <row r="38" spans="1:38" ht="16" x14ac:dyDescent="0.2">
      <c r="A38">
        <v>3</v>
      </c>
      <c r="B38">
        <v>11</v>
      </c>
      <c r="C38" t="s">
        <v>139</v>
      </c>
      <c r="D38" s="21"/>
      <c r="E38" s="21" t="s">
        <v>102</v>
      </c>
      <c r="F38" s="38" t="s">
        <v>59</v>
      </c>
      <c r="G38" s="38" t="s">
        <v>255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5" t="s">
        <v>40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1"/>
      <c r="AE38" s="21"/>
      <c r="AF38" s="21"/>
      <c r="AG38" s="21"/>
      <c r="AH38" s="21"/>
      <c r="AI38" s="21"/>
      <c r="AJ38" s="21"/>
      <c r="AK38" s="21"/>
      <c r="AL38" s="21"/>
    </row>
    <row r="39" spans="1:38" ht="16" x14ac:dyDescent="0.2">
      <c r="A39">
        <v>3</v>
      </c>
      <c r="B39">
        <v>11</v>
      </c>
      <c r="C39" t="s">
        <v>140</v>
      </c>
      <c r="D39" s="21"/>
      <c r="E39" s="21" t="s">
        <v>103</v>
      </c>
      <c r="F39" s="38" t="s">
        <v>59</v>
      </c>
      <c r="G39" s="38" t="s">
        <v>255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5" t="s">
        <v>40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1"/>
      <c r="AE39" s="21"/>
      <c r="AF39" s="21"/>
      <c r="AG39" s="21"/>
      <c r="AH39" s="21"/>
      <c r="AI39" s="21"/>
      <c r="AJ39" s="21"/>
      <c r="AK39" s="21"/>
      <c r="AL39" s="21"/>
    </row>
    <row r="40" spans="1:38" ht="48" x14ac:dyDescent="0.2">
      <c r="A40">
        <v>3</v>
      </c>
      <c r="B40">
        <v>12</v>
      </c>
      <c r="C40" t="s">
        <v>141</v>
      </c>
      <c r="D40" s="21"/>
      <c r="E40" s="21" t="s">
        <v>104</v>
      </c>
      <c r="F40" s="38" t="s">
        <v>119</v>
      </c>
      <c r="G40" s="38" t="s">
        <v>255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5" t="s">
        <v>40</v>
      </c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1"/>
      <c r="AE40" s="21"/>
      <c r="AF40" s="21"/>
      <c r="AG40" s="21"/>
      <c r="AH40" s="21"/>
      <c r="AI40" s="21"/>
      <c r="AJ40" s="21"/>
      <c r="AK40" s="21"/>
      <c r="AL40" s="21"/>
    </row>
    <row r="41" spans="1:38" ht="16" x14ac:dyDescent="0.2">
      <c r="A41">
        <v>3</v>
      </c>
      <c r="B41">
        <v>12</v>
      </c>
      <c r="C41" t="s">
        <v>142</v>
      </c>
      <c r="D41" s="21"/>
      <c r="E41" s="21" t="s">
        <v>105</v>
      </c>
      <c r="F41" s="38" t="s">
        <v>59</v>
      </c>
      <c r="G41" s="38" t="s">
        <v>255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5" t="s">
        <v>40</v>
      </c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1"/>
      <c r="AE41" s="21"/>
      <c r="AF41" s="21"/>
      <c r="AG41" s="21"/>
      <c r="AH41" s="21"/>
      <c r="AI41" s="21"/>
      <c r="AJ41" s="21"/>
      <c r="AK41" s="21"/>
      <c r="AL41" s="21"/>
    </row>
    <row r="42" spans="1:38" ht="32" x14ac:dyDescent="0.2">
      <c r="A42">
        <v>3</v>
      </c>
      <c r="B42">
        <v>13</v>
      </c>
      <c r="C42" t="s">
        <v>143</v>
      </c>
      <c r="D42" s="21"/>
      <c r="E42" s="21" t="s">
        <v>106</v>
      </c>
      <c r="F42" s="38" t="s">
        <v>120</v>
      </c>
      <c r="G42" s="38" t="s">
        <v>255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5" t="s">
        <v>40</v>
      </c>
      <c r="U42" s="20"/>
      <c r="V42" s="20"/>
      <c r="W42" s="20"/>
      <c r="X42" s="20"/>
      <c r="Y42" s="20"/>
      <c r="Z42" s="20"/>
      <c r="AA42" s="20"/>
      <c r="AB42" s="20"/>
      <c r="AC42" s="20"/>
      <c r="AD42" s="21"/>
      <c r="AE42" s="21"/>
      <c r="AF42" s="21"/>
      <c r="AG42" s="21"/>
      <c r="AH42" s="21"/>
      <c r="AI42" s="21"/>
      <c r="AJ42" s="21"/>
      <c r="AK42" s="21"/>
      <c r="AL42" s="21"/>
    </row>
    <row r="43" spans="1:38" ht="16" x14ac:dyDescent="0.2">
      <c r="A43">
        <v>3</v>
      </c>
      <c r="B43">
        <v>13</v>
      </c>
      <c r="C43" t="s">
        <v>144</v>
      </c>
      <c r="D43" s="21"/>
      <c r="E43" s="21" t="s">
        <v>107</v>
      </c>
      <c r="F43" s="38" t="s">
        <v>121</v>
      </c>
      <c r="G43" s="38" t="s">
        <v>255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5" t="s">
        <v>40</v>
      </c>
      <c r="U43" s="20"/>
      <c r="V43" s="20"/>
      <c r="W43" s="20"/>
      <c r="X43" s="20"/>
      <c r="Y43" s="20"/>
      <c r="Z43" s="20"/>
      <c r="AA43" s="20"/>
      <c r="AB43" s="20"/>
      <c r="AC43" s="20"/>
      <c r="AD43" s="21"/>
      <c r="AE43" s="21"/>
      <c r="AF43" s="21"/>
      <c r="AG43" s="21"/>
      <c r="AH43" s="21"/>
      <c r="AI43" s="21"/>
      <c r="AJ43" s="21"/>
      <c r="AK43" s="21"/>
      <c r="AL43" s="21"/>
    </row>
    <row r="44" spans="1:38" ht="32" x14ac:dyDescent="0.2">
      <c r="A44">
        <v>3</v>
      </c>
      <c r="B44">
        <v>14</v>
      </c>
      <c r="C44" t="s">
        <v>145</v>
      </c>
      <c r="D44" s="21"/>
      <c r="E44" s="21" t="s">
        <v>108</v>
      </c>
      <c r="F44" s="38" t="s">
        <v>122</v>
      </c>
      <c r="G44" s="38" t="s">
        <v>255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5" t="s">
        <v>40</v>
      </c>
      <c r="V44" s="20"/>
      <c r="W44" s="20"/>
      <c r="X44" s="20"/>
      <c r="Y44" s="20"/>
      <c r="Z44" s="20"/>
      <c r="AA44" s="20"/>
      <c r="AB44" s="20"/>
      <c r="AC44" s="20"/>
      <c r="AD44" s="21"/>
      <c r="AE44" s="21"/>
      <c r="AF44" s="21"/>
      <c r="AG44" s="21"/>
      <c r="AH44" s="21"/>
      <c r="AI44" s="21"/>
      <c r="AJ44" s="21"/>
      <c r="AK44" s="21"/>
      <c r="AL44" s="21"/>
    </row>
    <row r="45" spans="1:38" ht="16" x14ac:dyDescent="0.2">
      <c r="A45">
        <v>3</v>
      </c>
      <c r="B45">
        <v>14</v>
      </c>
      <c r="C45" t="s">
        <v>146</v>
      </c>
      <c r="D45" s="21"/>
      <c r="E45" s="21" t="s">
        <v>109</v>
      </c>
      <c r="F45" s="38" t="s">
        <v>118</v>
      </c>
      <c r="G45" s="38" t="s">
        <v>255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5" t="s">
        <v>40</v>
      </c>
      <c r="V45" s="20"/>
      <c r="W45" s="20"/>
      <c r="X45" s="20"/>
      <c r="Y45" s="20"/>
      <c r="Z45" s="20"/>
      <c r="AA45" s="20"/>
      <c r="AB45" s="20"/>
      <c r="AC45" s="20"/>
      <c r="AD45" s="21"/>
      <c r="AE45" s="21"/>
      <c r="AF45" s="21"/>
      <c r="AG45" s="21"/>
      <c r="AH45" s="21"/>
      <c r="AI45" s="21"/>
      <c r="AJ45" s="21"/>
      <c r="AK45" s="21"/>
      <c r="AL45" s="21"/>
    </row>
    <row r="46" spans="1:38" ht="32" x14ac:dyDescent="0.2">
      <c r="A46">
        <v>3</v>
      </c>
      <c r="B46">
        <v>15</v>
      </c>
      <c r="C46" t="s">
        <v>147</v>
      </c>
      <c r="D46" s="21"/>
      <c r="E46" s="21" t="s">
        <v>110</v>
      </c>
      <c r="F46" s="38" t="s">
        <v>123</v>
      </c>
      <c r="G46" s="38" t="s">
        <v>256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5" t="s">
        <v>40</v>
      </c>
      <c r="W46" s="20"/>
      <c r="X46" s="20"/>
      <c r="Y46" s="20"/>
      <c r="Z46" s="20"/>
      <c r="AA46" s="20"/>
      <c r="AB46" s="20"/>
      <c r="AC46" s="20"/>
      <c r="AD46" s="21"/>
      <c r="AE46" s="21"/>
      <c r="AF46" s="21"/>
      <c r="AG46" s="21"/>
      <c r="AH46" s="21"/>
      <c r="AI46" s="21"/>
      <c r="AJ46" s="21"/>
      <c r="AK46" s="21"/>
      <c r="AL46" s="21"/>
    </row>
    <row r="47" spans="1:38" ht="32" x14ac:dyDescent="0.2">
      <c r="A47">
        <v>3</v>
      </c>
      <c r="B47">
        <v>15</v>
      </c>
      <c r="C47" t="s">
        <v>148</v>
      </c>
      <c r="D47" s="21"/>
      <c r="E47" s="21" t="s">
        <v>111</v>
      </c>
      <c r="F47" s="38" t="s">
        <v>124</v>
      </c>
      <c r="G47" s="38" t="s">
        <v>255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5" t="s">
        <v>40</v>
      </c>
      <c r="W47" s="20"/>
      <c r="X47" s="20"/>
      <c r="Y47" s="20"/>
      <c r="Z47" s="20"/>
      <c r="AA47" s="20"/>
      <c r="AB47" s="20"/>
      <c r="AC47" s="20"/>
      <c r="AD47" s="21"/>
      <c r="AE47" s="21"/>
      <c r="AF47" s="21"/>
      <c r="AG47" s="21"/>
      <c r="AH47" s="21"/>
      <c r="AI47" s="21"/>
      <c r="AJ47" s="21"/>
      <c r="AK47" s="21"/>
      <c r="AL47" s="21"/>
    </row>
    <row r="48" spans="1:38" ht="16" x14ac:dyDescent="0.2">
      <c r="A48">
        <v>3</v>
      </c>
      <c r="B48">
        <v>16</v>
      </c>
      <c r="C48" t="s">
        <v>149</v>
      </c>
      <c r="D48" s="21"/>
      <c r="E48" s="21" t="s">
        <v>112</v>
      </c>
      <c r="F48" s="38" t="s">
        <v>117</v>
      </c>
      <c r="G48" s="38" t="s">
        <v>255</v>
      </c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5" t="s">
        <v>40</v>
      </c>
      <c r="X48" s="20"/>
      <c r="Y48" s="20"/>
      <c r="Z48" s="20"/>
      <c r="AA48" s="20"/>
      <c r="AB48" s="20"/>
      <c r="AC48" s="20"/>
      <c r="AD48" s="21"/>
      <c r="AE48" s="21"/>
      <c r="AF48" s="21"/>
      <c r="AG48" s="21"/>
      <c r="AH48" s="21"/>
      <c r="AI48" s="21"/>
      <c r="AJ48" s="21"/>
      <c r="AK48" s="21"/>
      <c r="AL48" s="21"/>
    </row>
    <row r="49" spans="1:38" ht="32" x14ac:dyDescent="0.2">
      <c r="A49">
        <v>3</v>
      </c>
      <c r="B49">
        <v>16</v>
      </c>
      <c r="C49" t="s">
        <v>150</v>
      </c>
      <c r="D49" s="21"/>
      <c r="E49" s="21" t="s">
        <v>113</v>
      </c>
      <c r="F49" s="38" t="s">
        <v>120</v>
      </c>
      <c r="G49" s="38" t="s">
        <v>255</v>
      </c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5" t="s">
        <v>40</v>
      </c>
      <c r="X49" s="20"/>
      <c r="Y49" s="20"/>
      <c r="Z49" s="20"/>
      <c r="AA49" s="20"/>
      <c r="AB49" s="20"/>
      <c r="AC49" s="20"/>
      <c r="AD49" s="21"/>
      <c r="AE49" s="21"/>
      <c r="AF49" s="21"/>
      <c r="AG49" s="21"/>
      <c r="AH49" s="21"/>
      <c r="AI49" s="21"/>
      <c r="AJ49" s="21"/>
      <c r="AK49" s="21"/>
      <c r="AL49" s="21"/>
    </row>
    <row r="50" spans="1:38" x14ac:dyDescent="0.2">
      <c r="D50" s="21"/>
      <c r="E50" s="33"/>
      <c r="F50" s="35"/>
      <c r="G50" s="35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1:38" x14ac:dyDescent="0.2">
      <c r="D51" s="49" t="s">
        <v>151</v>
      </c>
      <c r="E51" s="49"/>
      <c r="F51" s="35"/>
      <c r="G51" s="35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19" t="s">
        <v>40</v>
      </c>
      <c r="Y51" s="19" t="s">
        <v>40</v>
      </c>
      <c r="Z51" s="19" t="s">
        <v>40</v>
      </c>
      <c r="AA51" s="19" t="s">
        <v>40</v>
      </c>
      <c r="AB51" s="19" t="s">
        <v>40</v>
      </c>
      <c r="AC51" s="19" t="s">
        <v>40</v>
      </c>
      <c r="AD51" s="19" t="s">
        <v>40</v>
      </c>
      <c r="AE51" s="19" t="s">
        <v>40</v>
      </c>
      <c r="AF51" s="21"/>
      <c r="AG51" s="21"/>
      <c r="AH51" s="21"/>
      <c r="AI51" s="21"/>
      <c r="AJ51" s="21"/>
      <c r="AK51" s="21"/>
      <c r="AL51" s="21"/>
    </row>
    <row r="52" spans="1:38" ht="32" x14ac:dyDescent="0.2">
      <c r="A52">
        <v>4</v>
      </c>
      <c r="B52">
        <v>17</v>
      </c>
      <c r="C52" t="s">
        <v>168</v>
      </c>
      <c r="D52" s="21"/>
      <c r="E52" s="21" t="s">
        <v>152</v>
      </c>
      <c r="F52" s="38" t="s">
        <v>184</v>
      </c>
      <c r="G52" s="38" t="s">
        <v>255</v>
      </c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6" t="s">
        <v>40</v>
      </c>
      <c r="Y52" s="20"/>
      <c r="Z52" s="20"/>
      <c r="AA52" s="20"/>
      <c r="AB52" s="20"/>
      <c r="AC52" s="20"/>
      <c r="AD52" s="21"/>
      <c r="AE52" s="21"/>
      <c r="AF52" s="21"/>
      <c r="AG52" s="21"/>
      <c r="AH52" s="21"/>
      <c r="AI52" s="21"/>
      <c r="AJ52" s="21"/>
      <c r="AK52" s="21"/>
      <c r="AL52" s="21"/>
    </row>
    <row r="53" spans="1:38" ht="32" x14ac:dyDescent="0.2">
      <c r="A53">
        <v>4</v>
      </c>
      <c r="B53">
        <v>17</v>
      </c>
      <c r="C53" t="s">
        <v>169</v>
      </c>
      <c r="D53" s="21"/>
      <c r="E53" s="21" t="s">
        <v>153</v>
      </c>
      <c r="F53" s="38" t="s">
        <v>185</v>
      </c>
      <c r="G53" s="38" t="s">
        <v>255</v>
      </c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6" t="s">
        <v>40</v>
      </c>
      <c r="Y53" s="20"/>
      <c r="Z53" s="20"/>
      <c r="AA53" s="20"/>
      <c r="AB53" s="20"/>
      <c r="AC53" s="20"/>
      <c r="AD53" s="21"/>
      <c r="AE53" s="21"/>
      <c r="AF53" s="21"/>
      <c r="AG53" s="21"/>
      <c r="AH53" s="21"/>
      <c r="AI53" s="21"/>
      <c r="AJ53" s="21"/>
      <c r="AK53" s="21"/>
      <c r="AL53" s="21"/>
    </row>
    <row r="54" spans="1:38" ht="32" x14ac:dyDescent="0.2">
      <c r="A54">
        <v>4</v>
      </c>
      <c r="B54">
        <v>18</v>
      </c>
      <c r="C54" t="s">
        <v>170</v>
      </c>
      <c r="D54" s="21"/>
      <c r="E54" s="21" t="s">
        <v>154</v>
      </c>
      <c r="F54" s="38" t="s">
        <v>186</v>
      </c>
      <c r="G54" s="38" t="s">
        <v>233</v>
      </c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6" t="s">
        <v>40</v>
      </c>
      <c r="Z54" s="20"/>
      <c r="AA54" s="20"/>
      <c r="AB54" s="20"/>
      <c r="AC54" s="20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1:38" ht="32" x14ac:dyDescent="0.2">
      <c r="A55">
        <v>4</v>
      </c>
      <c r="B55">
        <v>18</v>
      </c>
      <c r="C55" t="s">
        <v>171</v>
      </c>
      <c r="D55" s="21"/>
      <c r="E55" s="21" t="s">
        <v>155</v>
      </c>
      <c r="F55" s="38" t="s">
        <v>187</v>
      </c>
      <c r="G55" s="38" t="s">
        <v>233</v>
      </c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6" t="s">
        <v>40</v>
      </c>
      <c r="Z55" s="20"/>
      <c r="AA55" s="20"/>
      <c r="AB55" s="20"/>
      <c r="AC55" s="20"/>
      <c r="AD55" s="21"/>
      <c r="AE55" s="21"/>
      <c r="AF55" s="21"/>
      <c r="AG55" s="21"/>
      <c r="AH55" s="21"/>
      <c r="AI55" s="21"/>
      <c r="AJ55" s="21"/>
      <c r="AK55" s="21"/>
      <c r="AL55" s="21"/>
    </row>
    <row r="56" spans="1:38" ht="32" x14ac:dyDescent="0.2">
      <c r="A56">
        <v>4</v>
      </c>
      <c r="B56">
        <v>19</v>
      </c>
      <c r="C56" t="s">
        <v>172</v>
      </c>
      <c r="D56" s="21"/>
      <c r="E56" s="21" t="s">
        <v>156</v>
      </c>
      <c r="F56" s="38" t="s">
        <v>188</v>
      </c>
      <c r="G56" s="38" t="s">
        <v>233</v>
      </c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6" t="s">
        <v>40</v>
      </c>
      <c r="AA56" s="20"/>
      <c r="AB56" s="20"/>
      <c r="AC56" s="20"/>
      <c r="AD56" s="21"/>
      <c r="AE56" s="21"/>
      <c r="AF56" s="21"/>
      <c r="AG56" s="21"/>
      <c r="AH56" s="21"/>
      <c r="AI56" s="21"/>
      <c r="AJ56" s="21"/>
      <c r="AK56" s="21"/>
      <c r="AL56" s="21"/>
    </row>
    <row r="57" spans="1:38" ht="32" x14ac:dyDescent="0.2">
      <c r="A57">
        <v>4</v>
      </c>
      <c r="B57">
        <v>19</v>
      </c>
      <c r="C57" t="s">
        <v>173</v>
      </c>
      <c r="D57" s="21"/>
      <c r="E57" s="21" t="s">
        <v>157</v>
      </c>
      <c r="F57" s="38" t="s">
        <v>189</v>
      </c>
      <c r="G57" s="38" t="s">
        <v>233</v>
      </c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6" t="s">
        <v>40</v>
      </c>
      <c r="AA57" s="20"/>
      <c r="AB57" s="20"/>
      <c r="AC57" s="20"/>
      <c r="AD57" s="21"/>
      <c r="AE57" s="21"/>
      <c r="AF57" s="21"/>
      <c r="AG57" s="21"/>
      <c r="AH57" s="21"/>
      <c r="AI57" s="21"/>
      <c r="AJ57" s="21"/>
      <c r="AK57" s="21"/>
      <c r="AL57" s="21"/>
    </row>
    <row r="58" spans="1:38" ht="32" x14ac:dyDescent="0.2">
      <c r="A58">
        <v>4</v>
      </c>
      <c r="B58">
        <v>20</v>
      </c>
      <c r="C58" t="s">
        <v>174</v>
      </c>
      <c r="D58" s="21"/>
      <c r="E58" s="21" t="s">
        <v>158</v>
      </c>
      <c r="F58" s="38" t="s">
        <v>190</v>
      </c>
      <c r="G58" s="38" t="s">
        <v>233</v>
      </c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6" t="s">
        <v>40</v>
      </c>
      <c r="AB58" s="20"/>
      <c r="AC58" s="20"/>
      <c r="AD58" s="21"/>
      <c r="AE58" s="21"/>
      <c r="AF58" s="21"/>
      <c r="AG58" s="21"/>
      <c r="AH58" s="21"/>
      <c r="AI58" s="21"/>
      <c r="AJ58" s="21"/>
      <c r="AK58" s="21"/>
      <c r="AL58" s="21"/>
    </row>
    <row r="59" spans="1:38" ht="16" x14ac:dyDescent="0.2">
      <c r="A59">
        <v>4</v>
      </c>
      <c r="B59">
        <v>20</v>
      </c>
      <c r="C59" t="s">
        <v>175</v>
      </c>
      <c r="D59" s="21"/>
      <c r="E59" s="21" t="s">
        <v>159</v>
      </c>
      <c r="F59" s="38" t="s">
        <v>191</v>
      </c>
      <c r="G59" s="38" t="s">
        <v>233</v>
      </c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6" t="s">
        <v>40</v>
      </c>
      <c r="AB59" s="20"/>
      <c r="AC59" s="20"/>
      <c r="AD59" s="21"/>
      <c r="AE59" s="21"/>
      <c r="AF59" s="21"/>
      <c r="AG59" s="21"/>
      <c r="AH59" s="21"/>
      <c r="AI59" s="21"/>
      <c r="AJ59" s="21"/>
      <c r="AK59" s="21"/>
      <c r="AL59" s="21"/>
    </row>
    <row r="60" spans="1:38" ht="32" x14ac:dyDescent="0.2">
      <c r="A60">
        <v>4</v>
      </c>
      <c r="B60">
        <v>21</v>
      </c>
      <c r="C60" t="s">
        <v>176</v>
      </c>
      <c r="D60" s="21"/>
      <c r="E60" s="21" t="s">
        <v>160</v>
      </c>
      <c r="F60" s="38" t="s">
        <v>188</v>
      </c>
      <c r="G60" s="38" t="s">
        <v>233</v>
      </c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6" t="s">
        <v>40</v>
      </c>
      <c r="AC60" s="20"/>
      <c r="AD60" s="21"/>
      <c r="AE60" s="21"/>
      <c r="AF60" s="21"/>
      <c r="AG60" s="21"/>
      <c r="AH60" s="21"/>
      <c r="AI60" s="21"/>
      <c r="AJ60" s="21"/>
      <c r="AK60" s="21"/>
      <c r="AL60" s="21"/>
    </row>
    <row r="61" spans="1:38" ht="32" x14ac:dyDescent="0.2">
      <c r="A61">
        <v>4</v>
      </c>
      <c r="B61">
        <v>21</v>
      </c>
      <c r="C61" t="s">
        <v>177</v>
      </c>
      <c r="D61" s="21"/>
      <c r="E61" s="21" t="s">
        <v>161</v>
      </c>
      <c r="F61" s="38" t="s">
        <v>192</v>
      </c>
      <c r="G61" s="38" t="s">
        <v>233</v>
      </c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6" t="s">
        <v>40</v>
      </c>
      <c r="AC61" s="20"/>
      <c r="AD61" s="21"/>
      <c r="AE61" s="21"/>
      <c r="AF61" s="21"/>
      <c r="AG61" s="21"/>
      <c r="AH61" s="21"/>
      <c r="AI61" s="21"/>
      <c r="AJ61" s="21"/>
      <c r="AK61" s="21"/>
      <c r="AL61" s="21"/>
    </row>
    <row r="62" spans="1:38" ht="32" x14ac:dyDescent="0.2">
      <c r="A62">
        <v>4</v>
      </c>
      <c r="B62">
        <v>22</v>
      </c>
      <c r="C62" t="s">
        <v>178</v>
      </c>
      <c r="D62" s="21"/>
      <c r="E62" s="21" t="s">
        <v>162</v>
      </c>
      <c r="F62" s="38" t="s">
        <v>193</v>
      </c>
      <c r="G62" s="38" t="s">
        <v>233</v>
      </c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6" t="s">
        <v>40</v>
      </c>
      <c r="AD62" s="21"/>
      <c r="AE62" s="21"/>
      <c r="AF62" s="21"/>
      <c r="AG62" s="21"/>
      <c r="AH62" s="21"/>
      <c r="AI62" s="21"/>
      <c r="AJ62" s="21"/>
      <c r="AK62" s="21"/>
      <c r="AL62" s="21"/>
    </row>
    <row r="63" spans="1:38" ht="32" x14ac:dyDescent="0.2">
      <c r="A63">
        <v>4</v>
      </c>
      <c r="B63">
        <v>22</v>
      </c>
      <c r="C63" t="s">
        <v>179</v>
      </c>
      <c r="D63" s="21"/>
      <c r="E63" s="21" t="s">
        <v>163</v>
      </c>
      <c r="F63" s="38" t="s">
        <v>194</v>
      </c>
      <c r="G63" s="38" t="s">
        <v>233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6" t="s">
        <v>40</v>
      </c>
      <c r="AD63" s="21"/>
      <c r="AE63" s="21"/>
      <c r="AF63" s="21"/>
      <c r="AG63" s="21"/>
      <c r="AH63" s="21"/>
      <c r="AI63" s="21"/>
      <c r="AJ63" s="21"/>
      <c r="AK63" s="21"/>
      <c r="AL63" s="21"/>
    </row>
    <row r="64" spans="1:38" ht="32" x14ac:dyDescent="0.2">
      <c r="A64">
        <v>4</v>
      </c>
      <c r="B64">
        <v>23</v>
      </c>
      <c r="C64" t="s">
        <v>180</v>
      </c>
      <c r="D64" s="21"/>
      <c r="E64" s="21" t="s">
        <v>164</v>
      </c>
      <c r="F64" s="38" t="s">
        <v>195</v>
      </c>
      <c r="G64" s="38" t="s">
        <v>233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6" t="s">
        <v>40</v>
      </c>
      <c r="AE64" s="21"/>
      <c r="AF64" s="21"/>
      <c r="AG64" s="21"/>
      <c r="AH64" s="21"/>
      <c r="AI64" s="21"/>
      <c r="AJ64" s="21"/>
      <c r="AK64" s="21"/>
      <c r="AL64" s="21"/>
    </row>
    <row r="65" spans="1:38" ht="32" x14ac:dyDescent="0.2">
      <c r="A65">
        <v>4</v>
      </c>
      <c r="B65">
        <v>23</v>
      </c>
      <c r="C65" t="s">
        <v>181</v>
      </c>
      <c r="D65" s="21"/>
      <c r="E65" s="21" t="s">
        <v>165</v>
      </c>
      <c r="F65" s="38" t="s">
        <v>58</v>
      </c>
      <c r="G65" s="38" t="s">
        <v>233</v>
      </c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6" t="s">
        <v>40</v>
      </c>
      <c r="AE65" s="21"/>
      <c r="AF65" s="21"/>
      <c r="AG65" s="21"/>
      <c r="AH65" s="21"/>
      <c r="AI65" s="21"/>
      <c r="AJ65" s="21"/>
      <c r="AK65" s="21"/>
      <c r="AL65" s="21"/>
    </row>
    <row r="66" spans="1:38" ht="32" x14ac:dyDescent="0.2">
      <c r="A66">
        <v>4</v>
      </c>
      <c r="B66">
        <v>24</v>
      </c>
      <c r="C66" t="s">
        <v>182</v>
      </c>
      <c r="D66" s="21"/>
      <c r="E66" s="21" t="s">
        <v>166</v>
      </c>
      <c r="F66" s="38" t="s">
        <v>196</v>
      </c>
      <c r="G66" s="38" t="s">
        <v>233</v>
      </c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1"/>
      <c r="AE66" s="26" t="s">
        <v>40</v>
      </c>
      <c r="AF66" s="21"/>
      <c r="AG66" s="21"/>
      <c r="AH66" s="21"/>
      <c r="AI66" s="21"/>
      <c r="AJ66" s="21"/>
      <c r="AK66" s="21"/>
      <c r="AL66" s="21"/>
    </row>
    <row r="67" spans="1:38" ht="32" x14ac:dyDescent="0.2">
      <c r="A67">
        <v>4</v>
      </c>
      <c r="B67">
        <v>24</v>
      </c>
      <c r="C67" t="s">
        <v>183</v>
      </c>
      <c r="D67" s="21"/>
      <c r="E67" s="21" t="s">
        <v>167</v>
      </c>
      <c r="F67" s="38" t="s">
        <v>197</v>
      </c>
      <c r="G67" s="38" t="s">
        <v>233</v>
      </c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1"/>
      <c r="AE67" s="26" t="s">
        <v>40</v>
      </c>
      <c r="AF67" s="21"/>
      <c r="AG67" s="21"/>
      <c r="AH67" s="21"/>
      <c r="AI67" s="21"/>
      <c r="AJ67" s="21"/>
      <c r="AK67" s="21"/>
      <c r="AL67" s="21"/>
    </row>
    <row r="68" spans="1:38" x14ac:dyDescent="0.2">
      <c r="D68" s="21"/>
      <c r="E68" s="34"/>
      <c r="F68" s="35"/>
      <c r="G68" s="35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1"/>
      <c r="AF68" s="21"/>
      <c r="AG68" s="21"/>
      <c r="AH68" s="21"/>
      <c r="AI68" s="21"/>
      <c r="AJ68" s="21"/>
      <c r="AK68" s="21"/>
      <c r="AL68" s="21"/>
    </row>
    <row r="69" spans="1:38" x14ac:dyDescent="0.2">
      <c r="D69" s="21"/>
      <c r="E69" s="33"/>
      <c r="F69" s="35"/>
      <c r="G69" s="35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1"/>
      <c r="AF69" s="21"/>
      <c r="AG69" s="21"/>
      <c r="AH69" s="21"/>
      <c r="AI69" s="21"/>
      <c r="AJ69" s="21"/>
      <c r="AK69" s="21"/>
      <c r="AL69" s="21"/>
    </row>
    <row r="70" spans="1:38" x14ac:dyDescent="0.2">
      <c r="D70" s="49" t="s">
        <v>207</v>
      </c>
      <c r="E70" s="49"/>
      <c r="F70" s="35"/>
      <c r="G70" s="35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1"/>
      <c r="AF70" s="19" t="s">
        <v>40</v>
      </c>
      <c r="AG70" s="21"/>
      <c r="AH70" s="21"/>
      <c r="AI70" s="21"/>
      <c r="AJ70" s="21"/>
      <c r="AK70" s="21"/>
      <c r="AL70" s="21"/>
    </row>
    <row r="71" spans="1:38" ht="32" x14ac:dyDescent="0.2">
      <c r="A71">
        <v>5</v>
      </c>
      <c r="B71">
        <v>25</v>
      </c>
      <c r="C71" t="s">
        <v>213</v>
      </c>
      <c r="D71" s="21"/>
      <c r="E71" s="21" t="s">
        <v>208</v>
      </c>
      <c r="F71" s="38" t="s">
        <v>114</v>
      </c>
      <c r="G71" s="38" t="s">
        <v>256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1"/>
      <c r="AF71" s="27" t="s">
        <v>40</v>
      </c>
      <c r="AG71" s="21"/>
      <c r="AH71" s="21"/>
      <c r="AI71" s="21"/>
      <c r="AJ71" s="21"/>
      <c r="AK71" s="21"/>
      <c r="AL71" s="21"/>
    </row>
    <row r="72" spans="1:38" ht="32" x14ac:dyDescent="0.2">
      <c r="A72">
        <v>5</v>
      </c>
      <c r="B72">
        <v>25</v>
      </c>
      <c r="C72" t="s">
        <v>214</v>
      </c>
      <c r="D72" s="21"/>
      <c r="E72" s="21" t="s">
        <v>209</v>
      </c>
      <c r="F72" s="38" t="s">
        <v>61</v>
      </c>
      <c r="G72" s="38" t="s">
        <v>256</v>
      </c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1"/>
      <c r="AF72" s="27" t="s">
        <v>40</v>
      </c>
      <c r="AG72" s="21"/>
      <c r="AH72" s="21"/>
      <c r="AI72" s="21"/>
      <c r="AJ72" s="21"/>
      <c r="AK72" s="21"/>
      <c r="AL72" s="21"/>
    </row>
    <row r="73" spans="1:38" ht="32" x14ac:dyDescent="0.2">
      <c r="A73">
        <v>5</v>
      </c>
      <c r="B73">
        <v>25</v>
      </c>
      <c r="C73" t="s">
        <v>215</v>
      </c>
      <c r="D73" s="21"/>
      <c r="E73" s="21" t="s">
        <v>210</v>
      </c>
      <c r="F73" s="38" t="s">
        <v>218</v>
      </c>
      <c r="G73" s="38" t="s">
        <v>256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1"/>
      <c r="AF73" s="27" t="s">
        <v>40</v>
      </c>
      <c r="AG73" s="21"/>
      <c r="AH73" s="21"/>
      <c r="AI73" s="21"/>
      <c r="AJ73" s="21"/>
      <c r="AK73" s="21"/>
      <c r="AL73" s="21"/>
    </row>
    <row r="74" spans="1:38" ht="48" x14ac:dyDescent="0.2">
      <c r="A74">
        <v>5</v>
      </c>
      <c r="B74">
        <v>25</v>
      </c>
      <c r="C74" t="s">
        <v>216</v>
      </c>
      <c r="D74" s="21"/>
      <c r="E74" s="21" t="s">
        <v>211</v>
      </c>
      <c r="F74" s="38" t="s">
        <v>219</v>
      </c>
      <c r="G74" s="38" t="s">
        <v>256</v>
      </c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1"/>
      <c r="AF74" s="27" t="s">
        <v>40</v>
      </c>
      <c r="AG74" s="21"/>
      <c r="AH74" s="21"/>
      <c r="AI74" s="21"/>
      <c r="AJ74" s="21"/>
      <c r="AK74" s="21"/>
      <c r="AL74" s="21"/>
    </row>
    <row r="75" spans="1:38" ht="32" x14ac:dyDescent="0.2">
      <c r="A75">
        <v>5</v>
      </c>
      <c r="B75">
        <v>25</v>
      </c>
      <c r="C75" t="s">
        <v>217</v>
      </c>
      <c r="D75" s="21"/>
      <c r="E75" s="21" t="s">
        <v>212</v>
      </c>
      <c r="F75" s="38" t="s">
        <v>220</v>
      </c>
      <c r="G75" s="38" t="s">
        <v>256</v>
      </c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1"/>
      <c r="AE75" s="21"/>
      <c r="AF75" s="27" t="s">
        <v>40</v>
      </c>
      <c r="AG75" s="21"/>
      <c r="AH75" s="21"/>
      <c r="AI75" s="21"/>
      <c r="AJ75" s="21"/>
      <c r="AK75" s="21"/>
      <c r="AL75" s="21"/>
    </row>
    <row r="76" spans="1:38" x14ac:dyDescent="0.2">
      <c r="D76" s="21"/>
      <c r="E76" s="38"/>
      <c r="F76" s="38"/>
      <c r="G76" s="38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1"/>
      <c r="AE76" s="21"/>
      <c r="AF76" s="21"/>
      <c r="AG76" s="21"/>
      <c r="AH76" s="21"/>
      <c r="AI76" s="21"/>
      <c r="AJ76" s="21"/>
      <c r="AK76" s="21"/>
      <c r="AL76" s="21"/>
    </row>
    <row r="77" spans="1:38" x14ac:dyDescent="0.2">
      <c r="D77" s="21"/>
      <c r="E77" s="38"/>
      <c r="F77" s="38"/>
      <c r="G77" s="38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1"/>
      <c r="AE77" s="21"/>
      <c r="AF77" s="21"/>
      <c r="AG77" s="21"/>
      <c r="AH77" s="21"/>
      <c r="AI77" s="21"/>
      <c r="AJ77" s="21"/>
      <c r="AK77" s="21"/>
      <c r="AL77" s="21"/>
    </row>
    <row r="78" spans="1:38" x14ac:dyDescent="0.2">
      <c r="D78" s="21"/>
      <c r="E78" s="38"/>
      <c r="F78" s="38"/>
      <c r="G78" s="38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1"/>
      <c r="AE78" s="21"/>
      <c r="AF78" s="21"/>
      <c r="AG78" s="21"/>
      <c r="AH78" s="21"/>
      <c r="AI78" s="21"/>
      <c r="AJ78" s="21"/>
      <c r="AK78" s="21"/>
      <c r="AL78" s="21"/>
    </row>
    <row r="79" spans="1:38" x14ac:dyDescent="0.2">
      <c r="D79" s="49" t="s">
        <v>242</v>
      </c>
      <c r="E79" s="49"/>
      <c r="F79" s="35"/>
      <c r="G79" s="35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1"/>
      <c r="AF79" s="19" t="s">
        <v>40</v>
      </c>
      <c r="AG79" s="21"/>
      <c r="AH79" s="21"/>
      <c r="AI79" s="21"/>
      <c r="AJ79" s="21"/>
      <c r="AK79" s="21"/>
      <c r="AL79" s="21"/>
    </row>
    <row r="80" spans="1:38" ht="32" x14ac:dyDescent="0.2">
      <c r="A80">
        <v>6</v>
      </c>
      <c r="B80" t="s">
        <v>233</v>
      </c>
      <c r="C80" t="s">
        <v>227</v>
      </c>
      <c r="D80" s="21"/>
      <c r="E80" s="21" t="s">
        <v>221</v>
      </c>
      <c r="F80" s="38" t="s">
        <v>234</v>
      </c>
      <c r="G80" s="38" t="s">
        <v>256</v>
      </c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1"/>
      <c r="AE80" s="21"/>
      <c r="AF80" s="21"/>
      <c r="AG80" s="21"/>
      <c r="AH80" s="21"/>
      <c r="AI80" s="21"/>
      <c r="AJ80" s="21"/>
      <c r="AK80" s="21"/>
      <c r="AL80" s="21"/>
    </row>
    <row r="81" spans="1:38" ht="32" x14ac:dyDescent="0.2">
      <c r="A81">
        <v>6</v>
      </c>
      <c r="B81" t="s">
        <v>233</v>
      </c>
      <c r="C81" t="s">
        <v>228</v>
      </c>
      <c r="D81" s="21"/>
      <c r="E81" s="21" t="s">
        <v>222</v>
      </c>
      <c r="F81" s="38" t="s">
        <v>235</v>
      </c>
      <c r="G81" s="38" t="s">
        <v>256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1"/>
      <c r="AE81" s="21"/>
      <c r="AF81" s="21"/>
      <c r="AG81" s="21"/>
      <c r="AH81" s="21"/>
      <c r="AI81" s="21"/>
      <c r="AJ81" s="21"/>
      <c r="AK81" s="21"/>
      <c r="AL81" s="21"/>
    </row>
    <row r="82" spans="1:38" ht="32" x14ac:dyDescent="0.2">
      <c r="A82">
        <v>6</v>
      </c>
      <c r="B82" t="s">
        <v>233</v>
      </c>
      <c r="C82" t="s">
        <v>229</v>
      </c>
      <c r="D82" s="21"/>
      <c r="E82" s="21" t="s">
        <v>223</v>
      </c>
      <c r="F82" s="38" t="s">
        <v>236</v>
      </c>
      <c r="G82" s="38" t="s">
        <v>256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1"/>
      <c r="AE82" s="21"/>
      <c r="AF82" s="21"/>
      <c r="AG82" s="21"/>
      <c r="AH82" s="21"/>
      <c r="AI82" s="21"/>
      <c r="AJ82" s="21"/>
      <c r="AK82" s="21"/>
      <c r="AL82" s="21"/>
    </row>
    <row r="83" spans="1:38" ht="32" x14ac:dyDescent="0.2">
      <c r="A83">
        <v>6</v>
      </c>
      <c r="B83" t="s">
        <v>233</v>
      </c>
      <c r="C83" t="s">
        <v>230</v>
      </c>
      <c r="D83" s="21"/>
      <c r="E83" s="21" t="s">
        <v>224</v>
      </c>
      <c r="F83" s="38" t="s">
        <v>237</v>
      </c>
      <c r="G83" s="38" t="s">
        <v>256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1"/>
      <c r="AE83" s="21"/>
      <c r="AF83" s="21"/>
      <c r="AG83" s="21"/>
      <c r="AH83" s="21"/>
      <c r="AI83" s="21"/>
      <c r="AJ83" s="21"/>
      <c r="AK83" s="21"/>
      <c r="AL83" s="21"/>
    </row>
    <row r="84" spans="1:38" ht="32" x14ac:dyDescent="0.2">
      <c r="A84">
        <v>6</v>
      </c>
      <c r="B84" t="s">
        <v>233</v>
      </c>
      <c r="C84" t="s">
        <v>231</v>
      </c>
      <c r="D84" s="21"/>
      <c r="E84" s="21" t="s">
        <v>225</v>
      </c>
      <c r="F84" s="38" t="s">
        <v>238</v>
      </c>
      <c r="G84" s="38" t="s">
        <v>256</v>
      </c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1"/>
      <c r="AE84" s="21"/>
      <c r="AF84" s="21"/>
      <c r="AG84" s="21"/>
      <c r="AH84" s="21"/>
      <c r="AI84" s="21"/>
      <c r="AJ84" s="21"/>
      <c r="AK84" s="21"/>
      <c r="AL84" s="21"/>
    </row>
    <row r="85" spans="1:38" ht="32" x14ac:dyDescent="0.2">
      <c r="A85">
        <v>6</v>
      </c>
      <c r="B85" t="s">
        <v>233</v>
      </c>
      <c r="C85" t="s">
        <v>232</v>
      </c>
      <c r="D85" s="21"/>
      <c r="E85" s="21" t="s">
        <v>226</v>
      </c>
      <c r="F85" s="38" t="s">
        <v>58</v>
      </c>
      <c r="G85" s="38" t="s">
        <v>256</v>
      </c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1"/>
      <c r="AE85" s="21"/>
      <c r="AF85" s="21"/>
      <c r="AG85" s="21"/>
      <c r="AH85" s="21"/>
      <c r="AI85" s="21"/>
      <c r="AJ85" s="21"/>
      <c r="AK85" s="21"/>
      <c r="AL85" s="21"/>
    </row>
    <row r="86" spans="1:38" x14ac:dyDescent="0.2">
      <c r="D86" s="21"/>
      <c r="E86" s="38"/>
      <c r="F86" s="38"/>
      <c r="G86" s="38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1"/>
      <c r="AE86" s="21"/>
      <c r="AF86" s="21"/>
      <c r="AG86" s="21"/>
      <c r="AH86" s="21"/>
      <c r="AI86" s="21"/>
      <c r="AJ86" s="21"/>
      <c r="AK86" s="21"/>
      <c r="AL86" s="21"/>
    </row>
    <row r="87" spans="1:38" x14ac:dyDescent="0.2">
      <c r="D87" s="21"/>
      <c r="E87" s="38"/>
      <c r="F87" s="38"/>
      <c r="G87" s="38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1"/>
      <c r="AE87" s="21"/>
      <c r="AF87" s="21"/>
      <c r="AG87" s="21"/>
      <c r="AH87" s="21"/>
      <c r="AI87" s="21"/>
      <c r="AJ87" s="21"/>
      <c r="AK87" s="21"/>
      <c r="AL87" s="21"/>
    </row>
    <row r="88" spans="1:38" x14ac:dyDescent="0.2">
      <c r="D88" s="21"/>
      <c r="E88" s="38"/>
      <c r="F88" s="38"/>
      <c r="G88" s="38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1"/>
      <c r="AE88" s="21"/>
      <c r="AF88" s="21"/>
      <c r="AG88" s="21"/>
      <c r="AH88" s="21"/>
      <c r="AI88" s="21"/>
      <c r="AJ88" s="21"/>
      <c r="AK88" s="21"/>
      <c r="AL88" s="21"/>
    </row>
    <row r="89" spans="1:38" x14ac:dyDescent="0.2">
      <c r="D89" s="21"/>
      <c r="E89" s="38"/>
      <c r="F89" s="38"/>
      <c r="G89" s="38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1"/>
      <c r="AE89" s="21"/>
      <c r="AF89" s="21"/>
      <c r="AG89" s="21"/>
      <c r="AH89" s="21"/>
      <c r="AI89" s="21"/>
      <c r="AJ89" s="21"/>
      <c r="AK89" s="21"/>
      <c r="AL89" s="21"/>
    </row>
    <row r="90" spans="1:38" x14ac:dyDescent="0.2">
      <c r="D90" s="21"/>
      <c r="E90" s="38"/>
      <c r="F90" s="38"/>
      <c r="G90" s="38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1"/>
      <c r="AE90" s="21"/>
      <c r="AF90" s="21"/>
      <c r="AG90" s="21"/>
      <c r="AH90" s="21"/>
      <c r="AI90" s="21"/>
      <c r="AJ90" s="21"/>
      <c r="AK90" s="21"/>
      <c r="AL90" s="21"/>
    </row>
    <row r="91" spans="1:38" x14ac:dyDescent="0.2">
      <c r="D91" s="21"/>
      <c r="E91" s="38"/>
      <c r="F91" s="38"/>
      <c r="G91" s="38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1"/>
      <c r="AE91" s="21"/>
      <c r="AF91" s="21"/>
      <c r="AG91" s="21"/>
      <c r="AH91" s="21"/>
      <c r="AI91" s="21"/>
      <c r="AJ91" s="21"/>
      <c r="AK91" s="21"/>
      <c r="AL91" s="21"/>
    </row>
    <row r="92" spans="1:38" x14ac:dyDescent="0.2">
      <c r="D92" s="21"/>
      <c r="E92" s="38"/>
      <c r="F92" s="38"/>
      <c r="G92" s="38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1"/>
      <c r="AE92" s="21"/>
      <c r="AF92" s="21"/>
      <c r="AG92" s="21"/>
      <c r="AH92" s="21"/>
      <c r="AI92" s="21"/>
      <c r="AJ92" s="21"/>
      <c r="AK92" s="21"/>
      <c r="AL92" s="21"/>
    </row>
    <row r="93" spans="1:38" x14ac:dyDescent="0.2">
      <c r="D93" s="21"/>
      <c r="E93" s="38"/>
      <c r="F93" s="38"/>
      <c r="G93" s="38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1"/>
      <c r="AE93" s="21"/>
      <c r="AF93" s="21"/>
      <c r="AG93" s="21"/>
      <c r="AH93" s="21"/>
      <c r="AI93" s="21"/>
      <c r="AJ93" s="21"/>
      <c r="AK93" s="21"/>
      <c r="AL93" s="21"/>
    </row>
    <row r="94" spans="1:38" x14ac:dyDescent="0.2">
      <c r="D94" s="21"/>
      <c r="E94" s="38"/>
      <c r="F94" s="38"/>
      <c r="G94" s="38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1"/>
      <c r="AE94" s="21"/>
      <c r="AF94" s="21"/>
      <c r="AG94" s="21"/>
      <c r="AH94" s="21"/>
      <c r="AI94" s="21"/>
      <c r="AJ94" s="21"/>
      <c r="AK94" s="21"/>
      <c r="AL94" s="21"/>
    </row>
    <row r="95" spans="1:38" x14ac:dyDescent="0.2">
      <c r="D95" s="21"/>
      <c r="E95" s="38"/>
      <c r="F95" s="38"/>
      <c r="G95" s="38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1"/>
      <c r="AE95" s="21"/>
      <c r="AF95" s="21"/>
      <c r="AG95" s="21"/>
      <c r="AH95" s="21"/>
      <c r="AI95" s="21"/>
      <c r="AJ95" s="21"/>
      <c r="AK95" s="21"/>
      <c r="AL95" s="21"/>
    </row>
    <row r="96" spans="1:38" x14ac:dyDescent="0.2">
      <c r="D96" s="21"/>
      <c r="E96" s="38"/>
      <c r="F96" s="38"/>
      <c r="G96" s="38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1"/>
      <c r="AE96" s="21"/>
      <c r="AF96" s="21"/>
      <c r="AG96" s="21"/>
      <c r="AH96" s="21"/>
      <c r="AI96" s="21"/>
      <c r="AJ96" s="21"/>
      <c r="AK96" s="21"/>
      <c r="AL96" s="21"/>
    </row>
    <row r="97" spans="4:38" x14ac:dyDescent="0.2">
      <c r="D97" s="21"/>
      <c r="E97" s="38"/>
      <c r="F97" s="38"/>
      <c r="G97" s="38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1"/>
      <c r="AE97" s="21"/>
      <c r="AF97" s="21"/>
      <c r="AG97" s="21"/>
      <c r="AH97" s="21"/>
      <c r="AI97" s="21"/>
      <c r="AJ97" s="21"/>
      <c r="AK97" s="21"/>
      <c r="AL97" s="21"/>
    </row>
    <row r="98" spans="4:38" x14ac:dyDescent="0.2">
      <c r="D98" s="21"/>
      <c r="E98" s="38"/>
      <c r="F98" s="38"/>
      <c r="G98" s="38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1"/>
      <c r="AE98" s="21"/>
      <c r="AF98" s="21"/>
      <c r="AG98" s="21"/>
      <c r="AH98" s="21"/>
      <c r="AI98" s="21"/>
      <c r="AJ98" s="21"/>
      <c r="AK98" s="21"/>
      <c r="AL98" s="21"/>
    </row>
    <row r="99" spans="4:38" x14ac:dyDescent="0.2">
      <c r="D99" s="21"/>
      <c r="E99" s="38"/>
      <c r="F99" s="38"/>
      <c r="G99" s="38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1"/>
      <c r="AE99" s="21"/>
      <c r="AF99" s="21"/>
      <c r="AG99" s="21"/>
      <c r="AH99" s="21"/>
      <c r="AI99" s="21"/>
      <c r="AJ99" s="21"/>
      <c r="AK99" s="21"/>
      <c r="AL99" s="21"/>
    </row>
    <row r="100" spans="4:38" x14ac:dyDescent="0.2">
      <c r="D100" s="21"/>
      <c r="E100" s="38"/>
      <c r="F100" s="38"/>
      <c r="G100" s="38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1"/>
      <c r="AE100" s="21"/>
      <c r="AF100" s="21"/>
      <c r="AG100" s="21"/>
      <c r="AH100" s="21"/>
      <c r="AI100" s="21"/>
      <c r="AJ100" s="21"/>
      <c r="AK100" s="21"/>
      <c r="AL100" s="21"/>
    </row>
  </sheetData>
  <mergeCells count="9">
    <mergeCell ref="AE1:AL1"/>
    <mergeCell ref="D70:E70"/>
    <mergeCell ref="D79:E79"/>
    <mergeCell ref="D2:F2"/>
    <mergeCell ref="D4:E4"/>
    <mergeCell ref="D18:E18"/>
    <mergeCell ref="D32:E32"/>
    <mergeCell ref="D51:E51"/>
    <mergeCell ref="H1:AD1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Sheet1</vt:lpstr>
      <vt:lpstr>Detailed 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 Vetsa</dc:creator>
  <cp:lastModifiedBy>Kalpesh Chavda</cp:lastModifiedBy>
  <dcterms:created xsi:type="dcterms:W3CDTF">2015-06-05T18:17:20Z</dcterms:created>
  <dcterms:modified xsi:type="dcterms:W3CDTF">2026-02-03T07:26:43Z</dcterms:modified>
</cp:coreProperties>
</file>