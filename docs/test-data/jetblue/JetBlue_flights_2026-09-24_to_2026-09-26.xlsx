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dev\JetBlue\"/>
    </mc:Choice>
  </mc:AlternateContent>
  <xr:revisionPtr revIDLastSave="0" documentId="13_ncr:1_{B3C3B70A-D4EA-4555-917B-7D555C4BC845}" xr6:coauthVersionLast="47" xr6:coauthVersionMax="47" xr10:uidLastSave="{00000000-0000-0000-0000-000000000000}"/>
  <bookViews>
    <workbookView xWindow="-90" yWindow="-90" windowWidth="19380" windowHeight="11460" activeTab="1" xr2:uid="{00000000-000D-0000-FFFF-FFFF00000000}"/>
  </bookViews>
  <sheets>
    <sheet name="Sheet1" sheetId="5" r:id="rId1"/>
    <sheet name="Flights" sheetId="1" r:id="rId2"/>
    <sheet name="Summary" sheetId="2" r:id="rId3"/>
    <sheet name="Fleet" sheetId="3" r:id="rId4"/>
    <sheet name="Notes" sheetId="4" r:id="rId5"/>
  </sheets>
  <definedNames>
    <definedName name="_xlnm._FilterDatabase" localSheetId="1" hidden="1">Flights!$A$1:$O$2331</definedName>
  </definedNames>
  <calcPr calcId="191029"/>
  <pivotCaches>
    <pivotCache cacheId="4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9" i="3" l="1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D8" i="2"/>
  <c r="C8" i="2"/>
  <c r="B8" i="2"/>
  <c r="D7" i="2"/>
  <c r="C7" i="2"/>
  <c r="B7" i="2"/>
  <c r="D6" i="2"/>
  <c r="C6" i="2"/>
  <c r="B6" i="2"/>
  <c r="D5" i="2"/>
  <c r="C5" i="2"/>
  <c r="B5" i="2"/>
  <c r="E5" i="2" s="1"/>
  <c r="D4" i="2"/>
  <c r="D9" i="2" s="1"/>
  <c r="C4" i="2"/>
  <c r="C9" i="2" s="1"/>
  <c r="B4" i="2"/>
  <c r="J2331" i="1"/>
  <c r="J2330" i="1"/>
  <c r="J2329" i="1"/>
  <c r="J2328" i="1"/>
  <c r="J2327" i="1"/>
  <c r="J2326" i="1"/>
  <c r="J2325" i="1"/>
  <c r="J2324" i="1"/>
  <c r="J2323" i="1"/>
  <c r="J2322" i="1"/>
  <c r="J2321" i="1"/>
  <c r="J2320" i="1"/>
  <c r="J2319" i="1"/>
  <c r="J2318" i="1"/>
  <c r="J2317" i="1"/>
  <c r="J2316" i="1"/>
  <c r="J2315" i="1"/>
  <c r="J2314" i="1"/>
  <c r="J2313" i="1"/>
  <c r="J2312" i="1"/>
  <c r="J2311" i="1"/>
  <c r="J2310" i="1"/>
  <c r="J2309" i="1"/>
  <c r="J2308" i="1"/>
  <c r="J2307" i="1"/>
  <c r="J2306" i="1"/>
  <c r="J2305" i="1"/>
  <c r="J2304" i="1"/>
  <c r="J2303" i="1"/>
  <c r="J2302" i="1"/>
  <c r="J2301" i="1"/>
  <c r="J2300" i="1"/>
  <c r="J2299" i="1"/>
  <c r="J2298" i="1"/>
  <c r="J2297" i="1"/>
  <c r="J2296" i="1"/>
  <c r="J2295" i="1"/>
  <c r="J2294" i="1"/>
  <c r="J2293" i="1"/>
  <c r="J2292" i="1"/>
  <c r="J2291" i="1"/>
  <c r="J2290" i="1"/>
  <c r="J2289" i="1"/>
  <c r="J2288" i="1"/>
  <c r="J2287" i="1"/>
  <c r="J2286" i="1"/>
  <c r="J2285" i="1"/>
  <c r="J2284" i="1"/>
  <c r="J2283" i="1"/>
  <c r="J2282" i="1"/>
  <c r="J2281" i="1"/>
  <c r="J2280" i="1"/>
  <c r="J2279" i="1"/>
  <c r="J2278" i="1"/>
  <c r="J2277" i="1"/>
  <c r="J2276" i="1"/>
  <c r="J2275" i="1"/>
  <c r="J2274" i="1"/>
  <c r="J2273" i="1"/>
  <c r="J2272" i="1"/>
  <c r="J2271" i="1"/>
  <c r="J2270" i="1"/>
  <c r="J2269" i="1"/>
  <c r="J2268" i="1"/>
  <c r="J2267" i="1"/>
  <c r="J2266" i="1"/>
  <c r="J2265" i="1"/>
  <c r="J2264" i="1"/>
  <c r="J2263" i="1"/>
  <c r="J2262" i="1"/>
  <c r="J2261" i="1"/>
  <c r="J2260" i="1"/>
  <c r="J2259" i="1"/>
  <c r="J2258" i="1"/>
  <c r="J2257" i="1"/>
  <c r="J2256" i="1"/>
  <c r="J2255" i="1"/>
  <c r="J2254" i="1"/>
  <c r="J2253" i="1"/>
  <c r="J2252" i="1"/>
  <c r="J2251" i="1"/>
  <c r="J2250" i="1"/>
  <c r="J2249" i="1"/>
  <c r="J2248" i="1"/>
  <c r="J2247" i="1"/>
  <c r="J2246" i="1"/>
  <c r="J2245" i="1"/>
  <c r="J2244" i="1"/>
  <c r="J2243" i="1"/>
  <c r="J2242" i="1"/>
  <c r="J2241" i="1"/>
  <c r="J2240" i="1"/>
  <c r="J2239" i="1"/>
  <c r="J2238" i="1"/>
  <c r="J2237" i="1"/>
  <c r="J2236" i="1"/>
  <c r="J2235" i="1"/>
  <c r="J2234" i="1"/>
  <c r="J2233" i="1"/>
  <c r="J2232" i="1"/>
  <c r="J2231" i="1"/>
  <c r="J2230" i="1"/>
  <c r="J2229" i="1"/>
  <c r="J2228" i="1"/>
  <c r="J2227" i="1"/>
  <c r="J2226" i="1"/>
  <c r="J2225" i="1"/>
  <c r="J2224" i="1"/>
  <c r="J2223" i="1"/>
  <c r="J2222" i="1"/>
  <c r="J2221" i="1"/>
  <c r="J2220" i="1"/>
  <c r="J2219" i="1"/>
  <c r="J2218" i="1"/>
  <c r="J2217" i="1"/>
  <c r="J2216" i="1"/>
  <c r="J2215" i="1"/>
  <c r="J2214" i="1"/>
  <c r="J2213" i="1"/>
  <c r="J2212" i="1"/>
  <c r="J2211" i="1"/>
  <c r="J2210" i="1"/>
  <c r="J2209" i="1"/>
  <c r="J2208" i="1"/>
  <c r="J2207" i="1"/>
  <c r="J2206" i="1"/>
  <c r="J2205" i="1"/>
  <c r="J2204" i="1"/>
  <c r="J2203" i="1"/>
  <c r="J2202" i="1"/>
  <c r="J2201" i="1"/>
  <c r="J2200" i="1"/>
  <c r="J2199" i="1"/>
  <c r="J2198" i="1"/>
  <c r="J2197" i="1"/>
  <c r="J2196" i="1"/>
  <c r="J2195" i="1"/>
  <c r="J2194" i="1"/>
  <c r="J2193" i="1"/>
  <c r="J2192" i="1"/>
  <c r="J2191" i="1"/>
  <c r="J2190" i="1"/>
  <c r="J2189" i="1"/>
  <c r="J2188" i="1"/>
  <c r="J2187" i="1"/>
  <c r="J2186" i="1"/>
  <c r="J2185" i="1"/>
  <c r="J2184" i="1"/>
  <c r="J2183" i="1"/>
  <c r="J2182" i="1"/>
  <c r="J2181" i="1"/>
  <c r="J2180" i="1"/>
  <c r="J2179" i="1"/>
  <c r="J2178" i="1"/>
  <c r="J2177" i="1"/>
  <c r="J2176" i="1"/>
  <c r="J2175" i="1"/>
  <c r="J2174" i="1"/>
  <c r="J2173" i="1"/>
  <c r="J2172" i="1"/>
  <c r="J2171" i="1"/>
  <c r="J2170" i="1"/>
  <c r="J2169" i="1"/>
  <c r="J2168" i="1"/>
  <c r="J2167" i="1"/>
  <c r="J2166" i="1"/>
  <c r="J2165" i="1"/>
  <c r="J2164" i="1"/>
  <c r="J2163" i="1"/>
  <c r="J2162" i="1"/>
  <c r="J2161" i="1"/>
  <c r="J2160" i="1"/>
  <c r="J2159" i="1"/>
  <c r="J2158" i="1"/>
  <c r="J2157" i="1"/>
  <c r="J2156" i="1"/>
  <c r="J2155" i="1"/>
  <c r="J2154" i="1"/>
  <c r="J2153" i="1"/>
  <c r="J2152" i="1"/>
  <c r="J2151" i="1"/>
  <c r="J2150" i="1"/>
  <c r="J2149" i="1"/>
  <c r="J2148" i="1"/>
  <c r="J2147" i="1"/>
  <c r="J2146" i="1"/>
  <c r="J2145" i="1"/>
  <c r="J2144" i="1"/>
  <c r="J2143" i="1"/>
  <c r="J2142" i="1"/>
  <c r="J2141" i="1"/>
  <c r="J2140" i="1"/>
  <c r="J2139" i="1"/>
  <c r="J2138" i="1"/>
  <c r="J2137" i="1"/>
  <c r="J2136" i="1"/>
  <c r="J2135" i="1"/>
  <c r="J2134" i="1"/>
  <c r="J2133" i="1"/>
  <c r="J2132" i="1"/>
  <c r="J2131" i="1"/>
  <c r="J2130" i="1"/>
  <c r="J2129" i="1"/>
  <c r="J2128" i="1"/>
  <c r="J2127" i="1"/>
  <c r="J2126" i="1"/>
  <c r="J2125" i="1"/>
  <c r="J2124" i="1"/>
  <c r="J2123" i="1"/>
  <c r="J2122" i="1"/>
  <c r="J2121" i="1"/>
  <c r="J2120" i="1"/>
  <c r="J2119" i="1"/>
  <c r="J2118" i="1"/>
  <c r="J2117" i="1"/>
  <c r="J2116" i="1"/>
  <c r="J2115" i="1"/>
  <c r="J2114" i="1"/>
  <c r="J2113" i="1"/>
  <c r="J2112" i="1"/>
  <c r="J2111" i="1"/>
  <c r="J2110" i="1"/>
  <c r="J2109" i="1"/>
  <c r="J2108" i="1"/>
  <c r="J2107" i="1"/>
  <c r="J2106" i="1"/>
  <c r="J2105" i="1"/>
  <c r="J2104" i="1"/>
  <c r="J2103" i="1"/>
  <c r="J2102" i="1"/>
  <c r="J2101" i="1"/>
  <c r="J2100" i="1"/>
  <c r="J2099" i="1"/>
  <c r="J2098" i="1"/>
  <c r="J2097" i="1"/>
  <c r="J2096" i="1"/>
  <c r="J2095" i="1"/>
  <c r="J2094" i="1"/>
  <c r="J2093" i="1"/>
  <c r="J2092" i="1"/>
  <c r="J2091" i="1"/>
  <c r="J2090" i="1"/>
  <c r="J2089" i="1"/>
  <c r="J2088" i="1"/>
  <c r="J2087" i="1"/>
  <c r="J2086" i="1"/>
  <c r="J2085" i="1"/>
  <c r="J2084" i="1"/>
  <c r="J2083" i="1"/>
  <c r="J2082" i="1"/>
  <c r="J2081" i="1"/>
  <c r="J2080" i="1"/>
  <c r="J2079" i="1"/>
  <c r="J2078" i="1"/>
  <c r="J2077" i="1"/>
  <c r="J2076" i="1"/>
  <c r="J2075" i="1"/>
  <c r="J2074" i="1"/>
  <c r="J2073" i="1"/>
  <c r="J2072" i="1"/>
  <c r="J2071" i="1"/>
  <c r="J2070" i="1"/>
  <c r="J2069" i="1"/>
  <c r="J2068" i="1"/>
  <c r="J2067" i="1"/>
  <c r="J2066" i="1"/>
  <c r="J2065" i="1"/>
  <c r="J2064" i="1"/>
  <c r="J2063" i="1"/>
  <c r="J2062" i="1"/>
  <c r="J2061" i="1"/>
  <c r="J2060" i="1"/>
  <c r="J2059" i="1"/>
  <c r="J2058" i="1"/>
  <c r="J2057" i="1"/>
  <c r="J2056" i="1"/>
  <c r="J2055" i="1"/>
  <c r="J2054" i="1"/>
  <c r="J2053" i="1"/>
  <c r="J2052" i="1"/>
  <c r="J2051" i="1"/>
  <c r="J2050" i="1"/>
  <c r="J2049" i="1"/>
  <c r="J2048" i="1"/>
  <c r="J2047" i="1"/>
  <c r="J2046" i="1"/>
  <c r="J2045" i="1"/>
  <c r="J2044" i="1"/>
  <c r="J2043" i="1"/>
  <c r="J2042" i="1"/>
  <c r="J2041" i="1"/>
  <c r="J2040" i="1"/>
  <c r="J2039" i="1"/>
  <c r="J2038" i="1"/>
  <c r="J2037" i="1"/>
  <c r="J2036" i="1"/>
  <c r="J2035" i="1"/>
  <c r="J2034" i="1"/>
  <c r="J2033" i="1"/>
  <c r="J2032" i="1"/>
  <c r="J2031" i="1"/>
  <c r="J2030" i="1"/>
  <c r="J2029" i="1"/>
  <c r="J2028" i="1"/>
  <c r="J2027" i="1"/>
  <c r="J2026" i="1"/>
  <c r="J2025" i="1"/>
  <c r="J2024" i="1"/>
  <c r="J2023" i="1"/>
  <c r="J2022" i="1"/>
  <c r="J2021" i="1"/>
  <c r="J2020" i="1"/>
  <c r="J2019" i="1"/>
  <c r="J2018" i="1"/>
  <c r="J2017" i="1"/>
  <c r="J2016" i="1"/>
  <c r="J2015" i="1"/>
  <c r="J2014" i="1"/>
  <c r="J2013" i="1"/>
  <c r="J2012" i="1"/>
  <c r="J2011" i="1"/>
  <c r="J2010" i="1"/>
  <c r="J2009" i="1"/>
  <c r="J2008" i="1"/>
  <c r="J2007" i="1"/>
  <c r="J2006" i="1"/>
  <c r="J2005" i="1"/>
  <c r="J2004" i="1"/>
  <c r="J2003" i="1"/>
  <c r="J2002" i="1"/>
  <c r="J2001" i="1"/>
  <c r="J2000" i="1"/>
  <c r="J1999" i="1"/>
  <c r="J1998" i="1"/>
  <c r="J1997" i="1"/>
  <c r="J1996" i="1"/>
  <c r="J1995" i="1"/>
  <c r="J1994" i="1"/>
  <c r="J1993" i="1"/>
  <c r="J1992" i="1"/>
  <c r="J1991" i="1"/>
  <c r="J1990" i="1"/>
  <c r="J1989" i="1"/>
  <c r="J1988" i="1"/>
  <c r="J1987" i="1"/>
  <c r="J1986" i="1"/>
  <c r="J1985" i="1"/>
  <c r="J1984" i="1"/>
  <c r="J1983" i="1"/>
  <c r="J1982" i="1"/>
  <c r="J1981" i="1"/>
  <c r="J1980" i="1"/>
  <c r="J1979" i="1"/>
  <c r="J1978" i="1"/>
  <c r="J1977" i="1"/>
  <c r="J1976" i="1"/>
  <c r="J1975" i="1"/>
  <c r="J1974" i="1"/>
  <c r="J1973" i="1"/>
  <c r="J1972" i="1"/>
  <c r="J1971" i="1"/>
  <c r="J1970" i="1"/>
  <c r="J1969" i="1"/>
  <c r="J1968" i="1"/>
  <c r="J1967" i="1"/>
  <c r="J1966" i="1"/>
  <c r="J1965" i="1"/>
  <c r="J1964" i="1"/>
  <c r="J1963" i="1"/>
  <c r="J1962" i="1"/>
  <c r="J1961" i="1"/>
  <c r="J1960" i="1"/>
  <c r="J1959" i="1"/>
  <c r="J1958" i="1"/>
  <c r="J1957" i="1"/>
  <c r="J1956" i="1"/>
  <c r="J1955" i="1"/>
  <c r="J1954" i="1"/>
  <c r="J1953" i="1"/>
  <c r="J1952" i="1"/>
  <c r="J1951" i="1"/>
  <c r="J1950" i="1"/>
  <c r="J1949" i="1"/>
  <c r="J1948" i="1"/>
  <c r="J1947" i="1"/>
  <c r="J1946" i="1"/>
  <c r="J1945" i="1"/>
  <c r="J1944" i="1"/>
  <c r="J1943" i="1"/>
  <c r="J1942" i="1"/>
  <c r="J1941" i="1"/>
  <c r="J1940" i="1"/>
  <c r="J1939" i="1"/>
  <c r="J1938" i="1"/>
  <c r="J1937" i="1"/>
  <c r="J1936" i="1"/>
  <c r="J1935" i="1"/>
  <c r="J1934" i="1"/>
  <c r="J1933" i="1"/>
  <c r="J1932" i="1"/>
  <c r="J1931" i="1"/>
  <c r="J1930" i="1"/>
  <c r="J1929" i="1"/>
  <c r="J1928" i="1"/>
  <c r="J1927" i="1"/>
  <c r="J1926" i="1"/>
  <c r="J1925" i="1"/>
  <c r="J1924" i="1"/>
  <c r="J1923" i="1"/>
  <c r="J1922" i="1"/>
  <c r="J1921" i="1"/>
  <c r="J1920" i="1"/>
  <c r="J1919" i="1"/>
  <c r="J1918" i="1"/>
  <c r="J1917" i="1"/>
  <c r="J1916" i="1"/>
  <c r="J1915" i="1"/>
  <c r="J1914" i="1"/>
  <c r="J1913" i="1"/>
  <c r="J1912" i="1"/>
  <c r="J1911" i="1"/>
  <c r="J1910" i="1"/>
  <c r="J1909" i="1"/>
  <c r="J1908" i="1"/>
  <c r="J1907" i="1"/>
  <c r="J1906" i="1"/>
  <c r="J1905" i="1"/>
  <c r="J1904" i="1"/>
  <c r="J1903" i="1"/>
  <c r="J1902" i="1"/>
  <c r="J1901" i="1"/>
  <c r="J1900" i="1"/>
  <c r="J1899" i="1"/>
  <c r="J1898" i="1"/>
  <c r="J1897" i="1"/>
  <c r="J1896" i="1"/>
  <c r="J1895" i="1"/>
  <c r="J1894" i="1"/>
  <c r="J1893" i="1"/>
  <c r="J1892" i="1"/>
  <c r="J1891" i="1"/>
  <c r="J1890" i="1"/>
  <c r="J1889" i="1"/>
  <c r="J1888" i="1"/>
  <c r="J1887" i="1"/>
  <c r="J1886" i="1"/>
  <c r="J1885" i="1"/>
  <c r="J1884" i="1"/>
  <c r="J1883" i="1"/>
  <c r="J1882" i="1"/>
  <c r="J1881" i="1"/>
  <c r="J1880" i="1"/>
  <c r="J1879" i="1"/>
  <c r="J1878" i="1"/>
  <c r="J1877" i="1"/>
  <c r="J1876" i="1"/>
  <c r="J1875" i="1"/>
  <c r="J1874" i="1"/>
  <c r="J1873" i="1"/>
  <c r="J1872" i="1"/>
  <c r="J1871" i="1"/>
  <c r="J1870" i="1"/>
  <c r="J1869" i="1"/>
  <c r="J1868" i="1"/>
  <c r="J1867" i="1"/>
  <c r="J1866" i="1"/>
  <c r="J1865" i="1"/>
  <c r="J1864" i="1"/>
  <c r="J1863" i="1"/>
  <c r="J1862" i="1"/>
  <c r="J1861" i="1"/>
  <c r="J1860" i="1"/>
  <c r="J1859" i="1"/>
  <c r="J1858" i="1"/>
  <c r="J1857" i="1"/>
  <c r="J1856" i="1"/>
  <c r="J1855" i="1"/>
  <c r="J1854" i="1"/>
  <c r="J1853" i="1"/>
  <c r="J1852" i="1"/>
  <c r="J1851" i="1"/>
  <c r="J1850" i="1"/>
  <c r="J1849" i="1"/>
  <c r="J1848" i="1"/>
  <c r="J1847" i="1"/>
  <c r="J1846" i="1"/>
  <c r="J1845" i="1"/>
  <c r="J1844" i="1"/>
  <c r="J1843" i="1"/>
  <c r="J1842" i="1"/>
  <c r="J1841" i="1"/>
  <c r="J1840" i="1"/>
  <c r="J1839" i="1"/>
  <c r="J1838" i="1"/>
  <c r="J1837" i="1"/>
  <c r="J1836" i="1"/>
  <c r="J1835" i="1"/>
  <c r="J1834" i="1"/>
  <c r="J1833" i="1"/>
  <c r="J1832" i="1"/>
  <c r="J1831" i="1"/>
  <c r="J1830" i="1"/>
  <c r="J1829" i="1"/>
  <c r="J1828" i="1"/>
  <c r="J1827" i="1"/>
  <c r="J1826" i="1"/>
  <c r="J1825" i="1"/>
  <c r="J1824" i="1"/>
  <c r="J1823" i="1"/>
  <c r="J1822" i="1"/>
  <c r="J1821" i="1"/>
  <c r="J1820" i="1"/>
  <c r="J1819" i="1"/>
  <c r="J1818" i="1"/>
  <c r="J1817" i="1"/>
  <c r="J1816" i="1"/>
  <c r="J1815" i="1"/>
  <c r="J1814" i="1"/>
  <c r="J1813" i="1"/>
  <c r="J1812" i="1"/>
  <c r="J1811" i="1"/>
  <c r="J1810" i="1"/>
  <c r="J1809" i="1"/>
  <c r="J1808" i="1"/>
  <c r="J1807" i="1"/>
  <c r="J1806" i="1"/>
  <c r="J1805" i="1"/>
  <c r="J1804" i="1"/>
  <c r="J1803" i="1"/>
  <c r="J1802" i="1"/>
  <c r="J1801" i="1"/>
  <c r="J1800" i="1"/>
  <c r="J1799" i="1"/>
  <c r="J1798" i="1"/>
  <c r="J1797" i="1"/>
  <c r="J1796" i="1"/>
  <c r="J1795" i="1"/>
  <c r="J1794" i="1"/>
  <c r="J1793" i="1"/>
  <c r="J1792" i="1"/>
  <c r="J1791" i="1"/>
  <c r="J1790" i="1"/>
  <c r="J1789" i="1"/>
  <c r="J1788" i="1"/>
  <c r="J1787" i="1"/>
  <c r="J1786" i="1"/>
  <c r="J1785" i="1"/>
  <c r="J1784" i="1"/>
  <c r="J1783" i="1"/>
  <c r="J1782" i="1"/>
  <c r="J1781" i="1"/>
  <c r="J1780" i="1"/>
  <c r="J1779" i="1"/>
  <c r="J1778" i="1"/>
  <c r="J1777" i="1"/>
  <c r="J1776" i="1"/>
  <c r="J1775" i="1"/>
  <c r="J1774" i="1"/>
  <c r="J1773" i="1"/>
  <c r="J1772" i="1"/>
  <c r="J1771" i="1"/>
  <c r="J1770" i="1"/>
  <c r="J1769" i="1"/>
  <c r="J1768" i="1"/>
  <c r="J1767" i="1"/>
  <c r="J1766" i="1"/>
  <c r="J1765" i="1"/>
  <c r="J1764" i="1"/>
  <c r="J1763" i="1"/>
  <c r="J1762" i="1"/>
  <c r="J1761" i="1"/>
  <c r="J1760" i="1"/>
  <c r="J1759" i="1"/>
  <c r="J1758" i="1"/>
  <c r="J1757" i="1"/>
  <c r="J1756" i="1"/>
  <c r="J1755" i="1"/>
  <c r="J1754" i="1"/>
  <c r="J1753" i="1"/>
  <c r="J1752" i="1"/>
  <c r="J1751" i="1"/>
  <c r="J1750" i="1"/>
  <c r="J1749" i="1"/>
  <c r="J1748" i="1"/>
  <c r="J1747" i="1"/>
  <c r="J1746" i="1"/>
  <c r="J1745" i="1"/>
  <c r="J1744" i="1"/>
  <c r="J1743" i="1"/>
  <c r="J1742" i="1"/>
  <c r="J1741" i="1"/>
  <c r="J1740" i="1"/>
  <c r="J1739" i="1"/>
  <c r="J1738" i="1"/>
  <c r="J1737" i="1"/>
  <c r="J1736" i="1"/>
  <c r="J1735" i="1"/>
  <c r="J1734" i="1"/>
  <c r="J1733" i="1"/>
  <c r="J1732" i="1"/>
  <c r="J1731" i="1"/>
  <c r="J1730" i="1"/>
  <c r="J1729" i="1"/>
  <c r="J1728" i="1"/>
  <c r="J1727" i="1"/>
  <c r="J1726" i="1"/>
  <c r="J1725" i="1"/>
  <c r="J1724" i="1"/>
  <c r="J1723" i="1"/>
  <c r="J1722" i="1"/>
  <c r="J1721" i="1"/>
  <c r="J1720" i="1"/>
  <c r="J1719" i="1"/>
  <c r="J1718" i="1"/>
  <c r="J1717" i="1"/>
  <c r="J1716" i="1"/>
  <c r="J1715" i="1"/>
  <c r="J1714" i="1"/>
  <c r="J1713" i="1"/>
  <c r="J1712" i="1"/>
  <c r="J1711" i="1"/>
  <c r="J1710" i="1"/>
  <c r="J1709" i="1"/>
  <c r="J1708" i="1"/>
  <c r="J1707" i="1"/>
  <c r="J1706" i="1"/>
  <c r="J1705" i="1"/>
  <c r="J1704" i="1"/>
  <c r="J1703" i="1"/>
  <c r="J1702" i="1"/>
  <c r="J1701" i="1"/>
  <c r="J1700" i="1"/>
  <c r="J1699" i="1"/>
  <c r="J1698" i="1"/>
  <c r="J1697" i="1"/>
  <c r="J1696" i="1"/>
  <c r="J1695" i="1"/>
  <c r="J1694" i="1"/>
  <c r="J1693" i="1"/>
  <c r="J1692" i="1"/>
  <c r="J1691" i="1"/>
  <c r="J1690" i="1"/>
  <c r="J1689" i="1"/>
  <c r="J1688" i="1"/>
  <c r="J1687" i="1"/>
  <c r="J1686" i="1"/>
  <c r="J1685" i="1"/>
  <c r="J1684" i="1"/>
  <c r="J1683" i="1"/>
  <c r="J1682" i="1"/>
  <c r="J1681" i="1"/>
  <c r="J1680" i="1"/>
  <c r="J1679" i="1"/>
  <c r="J1678" i="1"/>
  <c r="J1677" i="1"/>
  <c r="J1676" i="1"/>
  <c r="J1675" i="1"/>
  <c r="J1674" i="1"/>
  <c r="J1673" i="1"/>
  <c r="J1672" i="1"/>
  <c r="J1671" i="1"/>
  <c r="J1670" i="1"/>
  <c r="J1669" i="1"/>
  <c r="J1668" i="1"/>
  <c r="J1667" i="1"/>
  <c r="J1666" i="1"/>
  <c r="J1665" i="1"/>
  <c r="J1664" i="1"/>
  <c r="J1663" i="1"/>
  <c r="J1662" i="1"/>
  <c r="J1661" i="1"/>
  <c r="J1660" i="1"/>
  <c r="J1659" i="1"/>
  <c r="J1658" i="1"/>
  <c r="J1657" i="1"/>
  <c r="J1656" i="1"/>
  <c r="J1655" i="1"/>
  <c r="J1654" i="1"/>
  <c r="J1653" i="1"/>
  <c r="J1652" i="1"/>
  <c r="J1651" i="1"/>
  <c r="J1650" i="1"/>
  <c r="J1649" i="1"/>
  <c r="J1648" i="1"/>
  <c r="J1647" i="1"/>
  <c r="J1646" i="1"/>
  <c r="J1645" i="1"/>
  <c r="J1644" i="1"/>
  <c r="J1643" i="1"/>
  <c r="J1642" i="1"/>
  <c r="J1641" i="1"/>
  <c r="J1640" i="1"/>
  <c r="J1639" i="1"/>
  <c r="J1638" i="1"/>
  <c r="J1637" i="1"/>
  <c r="J1636" i="1"/>
  <c r="J1635" i="1"/>
  <c r="J1634" i="1"/>
  <c r="J1633" i="1"/>
  <c r="J1632" i="1"/>
  <c r="J1631" i="1"/>
  <c r="J1630" i="1"/>
  <c r="J1629" i="1"/>
  <c r="J1628" i="1"/>
  <c r="J1627" i="1"/>
  <c r="J1626" i="1"/>
  <c r="J1625" i="1"/>
  <c r="J1624" i="1"/>
  <c r="J1623" i="1"/>
  <c r="J1622" i="1"/>
  <c r="J1621" i="1"/>
  <c r="J1620" i="1"/>
  <c r="J1619" i="1"/>
  <c r="J1618" i="1"/>
  <c r="J1617" i="1"/>
  <c r="J1616" i="1"/>
  <c r="J1615" i="1"/>
  <c r="J1614" i="1"/>
  <c r="J1613" i="1"/>
  <c r="J1612" i="1"/>
  <c r="J1611" i="1"/>
  <c r="J1610" i="1"/>
  <c r="J1609" i="1"/>
  <c r="J1608" i="1"/>
  <c r="J1607" i="1"/>
  <c r="J1606" i="1"/>
  <c r="J1605" i="1"/>
  <c r="J1604" i="1"/>
  <c r="J1603" i="1"/>
  <c r="J1602" i="1"/>
  <c r="J1601" i="1"/>
  <c r="J1600" i="1"/>
  <c r="J1599" i="1"/>
  <c r="J1598" i="1"/>
  <c r="J1597" i="1"/>
  <c r="J1596" i="1"/>
  <c r="J1595" i="1"/>
  <c r="J1594" i="1"/>
  <c r="J1593" i="1"/>
  <c r="J1592" i="1"/>
  <c r="J1591" i="1"/>
  <c r="J1590" i="1"/>
  <c r="J1589" i="1"/>
  <c r="J1588" i="1"/>
  <c r="J1587" i="1"/>
  <c r="J1586" i="1"/>
  <c r="J1585" i="1"/>
  <c r="J1584" i="1"/>
  <c r="J1583" i="1"/>
  <c r="J1582" i="1"/>
  <c r="J1581" i="1"/>
  <c r="J1580" i="1"/>
  <c r="J1579" i="1"/>
  <c r="J1578" i="1"/>
  <c r="J1577" i="1"/>
  <c r="J1576" i="1"/>
  <c r="J1575" i="1"/>
  <c r="J1574" i="1"/>
  <c r="J1573" i="1"/>
  <c r="J1572" i="1"/>
  <c r="J1571" i="1"/>
  <c r="J1570" i="1"/>
  <c r="J1569" i="1"/>
  <c r="J1568" i="1"/>
  <c r="J1567" i="1"/>
  <c r="J1566" i="1"/>
  <c r="J1565" i="1"/>
  <c r="J1564" i="1"/>
  <c r="J1563" i="1"/>
  <c r="J1562" i="1"/>
  <c r="J1561" i="1"/>
  <c r="J1560" i="1"/>
  <c r="J1559" i="1"/>
  <c r="J1558" i="1"/>
  <c r="J1557" i="1"/>
  <c r="J1556" i="1"/>
  <c r="J1555" i="1"/>
  <c r="J1554" i="1"/>
  <c r="J1553" i="1"/>
  <c r="J1552" i="1"/>
  <c r="J1551" i="1"/>
  <c r="J1550" i="1"/>
  <c r="J1549" i="1"/>
  <c r="J1548" i="1"/>
  <c r="J1547" i="1"/>
  <c r="J1546" i="1"/>
  <c r="J1545" i="1"/>
  <c r="J1544" i="1"/>
  <c r="J1543" i="1"/>
  <c r="J1542" i="1"/>
  <c r="J1541" i="1"/>
  <c r="J1540" i="1"/>
  <c r="J1539" i="1"/>
  <c r="J1538" i="1"/>
  <c r="J1537" i="1"/>
  <c r="J1536" i="1"/>
  <c r="J1535" i="1"/>
  <c r="J1534" i="1"/>
  <c r="J1533" i="1"/>
  <c r="J1532" i="1"/>
  <c r="J1531" i="1"/>
  <c r="J1530" i="1"/>
  <c r="J1529" i="1"/>
  <c r="J1528" i="1"/>
  <c r="J1527" i="1"/>
  <c r="J1526" i="1"/>
  <c r="J1525" i="1"/>
  <c r="J1524" i="1"/>
  <c r="J1523" i="1"/>
  <c r="J1522" i="1"/>
  <c r="J1521" i="1"/>
  <c r="J1520" i="1"/>
  <c r="J1519" i="1"/>
  <c r="J1518" i="1"/>
  <c r="J1517" i="1"/>
  <c r="J1516" i="1"/>
  <c r="J1515" i="1"/>
  <c r="J1514" i="1"/>
  <c r="J1513" i="1"/>
  <c r="J1512" i="1"/>
  <c r="J1511" i="1"/>
  <c r="J1510" i="1"/>
  <c r="J1509" i="1"/>
  <c r="J1508" i="1"/>
  <c r="J1507" i="1"/>
  <c r="J1506" i="1"/>
  <c r="J1505" i="1"/>
  <c r="J1504" i="1"/>
  <c r="J1503" i="1"/>
  <c r="J1502" i="1"/>
  <c r="J1501" i="1"/>
  <c r="J1500" i="1"/>
  <c r="J1499" i="1"/>
  <c r="J1498" i="1"/>
  <c r="J1497" i="1"/>
  <c r="J1496" i="1"/>
  <c r="J1495" i="1"/>
  <c r="J1494" i="1"/>
  <c r="J1493" i="1"/>
  <c r="J1492" i="1"/>
  <c r="J1491" i="1"/>
  <c r="J1490" i="1"/>
  <c r="J1489" i="1"/>
  <c r="J1488" i="1"/>
  <c r="J1487" i="1"/>
  <c r="J1486" i="1"/>
  <c r="J1485" i="1"/>
  <c r="J1484" i="1"/>
  <c r="J1483" i="1"/>
  <c r="J1482" i="1"/>
  <c r="J1481" i="1"/>
  <c r="J1480" i="1"/>
  <c r="J1479" i="1"/>
  <c r="J1478" i="1"/>
  <c r="J1477" i="1"/>
  <c r="J1476" i="1"/>
  <c r="J1475" i="1"/>
  <c r="J1474" i="1"/>
  <c r="J1473" i="1"/>
  <c r="J1472" i="1"/>
  <c r="J1471" i="1"/>
  <c r="J1470" i="1"/>
  <c r="J1469" i="1"/>
  <c r="J1468" i="1"/>
  <c r="J1467" i="1"/>
  <c r="J1466" i="1"/>
  <c r="J1465" i="1"/>
  <c r="J1464" i="1"/>
  <c r="J1463" i="1"/>
  <c r="J1462" i="1"/>
  <c r="J1461" i="1"/>
  <c r="J1460" i="1"/>
  <c r="J1459" i="1"/>
  <c r="J1458" i="1"/>
  <c r="J1457" i="1"/>
  <c r="J1456" i="1"/>
  <c r="J1455" i="1"/>
  <c r="J1454" i="1"/>
  <c r="J1453" i="1"/>
  <c r="J1452" i="1"/>
  <c r="J1451" i="1"/>
  <c r="J1450" i="1"/>
  <c r="J1449" i="1"/>
  <c r="J1448" i="1"/>
  <c r="J1447" i="1"/>
  <c r="J1446" i="1"/>
  <c r="J1445" i="1"/>
  <c r="J1444" i="1"/>
  <c r="J1443" i="1"/>
  <c r="J1442" i="1"/>
  <c r="J1441" i="1"/>
  <c r="J1440" i="1"/>
  <c r="J1439" i="1"/>
  <c r="J1438" i="1"/>
  <c r="J1437" i="1"/>
  <c r="J1436" i="1"/>
  <c r="J1435" i="1"/>
  <c r="J1434" i="1"/>
  <c r="J1433" i="1"/>
  <c r="J1432" i="1"/>
  <c r="J1431" i="1"/>
  <c r="J1430" i="1"/>
  <c r="J1429" i="1"/>
  <c r="J1428" i="1"/>
  <c r="J1427" i="1"/>
  <c r="J1426" i="1"/>
  <c r="J1425" i="1"/>
  <c r="J1424" i="1"/>
  <c r="J1423" i="1"/>
  <c r="J1422" i="1"/>
  <c r="J1421" i="1"/>
  <c r="J1420" i="1"/>
  <c r="J1419" i="1"/>
  <c r="J1418" i="1"/>
  <c r="J1417" i="1"/>
  <c r="J1416" i="1"/>
  <c r="J1415" i="1"/>
  <c r="J1414" i="1"/>
  <c r="J1413" i="1"/>
  <c r="J1412" i="1"/>
  <c r="J1411" i="1"/>
  <c r="J1410" i="1"/>
  <c r="J1409" i="1"/>
  <c r="J1408" i="1"/>
  <c r="J1407" i="1"/>
  <c r="J1406" i="1"/>
  <c r="J1405" i="1"/>
  <c r="J1404" i="1"/>
  <c r="J1403" i="1"/>
  <c r="J1402" i="1"/>
  <c r="J1401" i="1"/>
  <c r="J1400" i="1"/>
  <c r="J1399" i="1"/>
  <c r="J1398" i="1"/>
  <c r="J1397" i="1"/>
  <c r="J1396" i="1"/>
  <c r="J1395" i="1"/>
  <c r="J1394" i="1"/>
  <c r="J1393" i="1"/>
  <c r="J1392" i="1"/>
  <c r="J1391" i="1"/>
  <c r="J1390" i="1"/>
  <c r="J1389" i="1"/>
  <c r="J1388" i="1"/>
  <c r="J1387" i="1"/>
  <c r="J1386" i="1"/>
  <c r="J1385" i="1"/>
  <c r="J1384" i="1"/>
  <c r="J1383" i="1"/>
  <c r="J1382" i="1"/>
  <c r="J1381" i="1"/>
  <c r="J1380" i="1"/>
  <c r="J1379" i="1"/>
  <c r="J1378" i="1"/>
  <c r="J1377" i="1"/>
  <c r="J1376" i="1"/>
  <c r="J1375" i="1"/>
  <c r="J1374" i="1"/>
  <c r="J1373" i="1"/>
  <c r="J1372" i="1"/>
  <c r="J1371" i="1"/>
  <c r="J1370" i="1"/>
  <c r="J1369" i="1"/>
  <c r="J1368" i="1"/>
  <c r="J1367" i="1"/>
  <c r="J1366" i="1"/>
  <c r="J1365" i="1"/>
  <c r="J1364" i="1"/>
  <c r="J1363" i="1"/>
  <c r="J1362" i="1"/>
  <c r="J1361" i="1"/>
  <c r="J1360" i="1"/>
  <c r="J1359" i="1"/>
  <c r="J1358" i="1"/>
  <c r="J1357" i="1"/>
  <c r="J1356" i="1"/>
  <c r="J1355" i="1"/>
  <c r="J1354" i="1"/>
  <c r="J1353" i="1"/>
  <c r="J1352" i="1"/>
  <c r="J1351" i="1"/>
  <c r="J1350" i="1"/>
  <c r="J1349" i="1"/>
  <c r="J1348" i="1"/>
  <c r="J1347" i="1"/>
  <c r="J1346" i="1"/>
  <c r="J1345" i="1"/>
  <c r="J1344" i="1"/>
  <c r="J1343" i="1"/>
  <c r="J1342" i="1"/>
  <c r="J1341" i="1"/>
  <c r="J1340" i="1"/>
  <c r="J1339" i="1"/>
  <c r="J1338" i="1"/>
  <c r="J1337" i="1"/>
  <c r="J1336" i="1"/>
  <c r="J1335" i="1"/>
  <c r="J1334" i="1"/>
  <c r="J1333" i="1"/>
  <c r="J1332" i="1"/>
  <c r="J1331" i="1"/>
  <c r="J1330" i="1"/>
  <c r="J1329" i="1"/>
  <c r="J1328" i="1"/>
  <c r="J1327" i="1"/>
  <c r="J1326" i="1"/>
  <c r="J1325" i="1"/>
  <c r="J1324" i="1"/>
  <c r="J1323" i="1"/>
  <c r="J1322" i="1"/>
  <c r="J1321" i="1"/>
  <c r="J1320" i="1"/>
  <c r="J1319" i="1"/>
  <c r="J1318" i="1"/>
  <c r="J1317" i="1"/>
  <c r="J1316" i="1"/>
  <c r="J1315" i="1"/>
  <c r="J1314" i="1"/>
  <c r="J1313" i="1"/>
  <c r="J1312" i="1"/>
  <c r="J1311" i="1"/>
  <c r="J1310" i="1"/>
  <c r="J1309" i="1"/>
  <c r="J1308" i="1"/>
  <c r="J1307" i="1"/>
  <c r="J1306" i="1"/>
  <c r="J1305" i="1"/>
  <c r="J1304" i="1"/>
  <c r="J1303" i="1"/>
  <c r="J1302" i="1"/>
  <c r="J1301" i="1"/>
  <c r="J1300" i="1"/>
  <c r="J1299" i="1"/>
  <c r="J1298" i="1"/>
  <c r="J1297" i="1"/>
  <c r="J1296" i="1"/>
  <c r="J1295" i="1"/>
  <c r="J1294" i="1"/>
  <c r="J1293" i="1"/>
  <c r="J1292" i="1"/>
  <c r="J1291" i="1"/>
  <c r="J1290" i="1"/>
  <c r="J1289" i="1"/>
  <c r="J1288" i="1"/>
  <c r="J1287" i="1"/>
  <c r="J1286" i="1"/>
  <c r="J1285" i="1"/>
  <c r="J1284" i="1"/>
  <c r="J1283" i="1"/>
  <c r="J1282" i="1"/>
  <c r="J1281" i="1"/>
  <c r="J1280" i="1"/>
  <c r="J1279" i="1"/>
  <c r="J1278" i="1"/>
  <c r="J1277" i="1"/>
  <c r="J1276" i="1"/>
  <c r="J1275" i="1"/>
  <c r="J1274" i="1"/>
  <c r="J1273" i="1"/>
  <c r="J1272" i="1"/>
  <c r="J1271" i="1"/>
  <c r="J1270" i="1"/>
  <c r="J1269" i="1"/>
  <c r="J1268" i="1"/>
  <c r="J1267" i="1"/>
  <c r="J1266" i="1"/>
  <c r="J1265" i="1"/>
  <c r="J1264" i="1"/>
  <c r="J1263" i="1"/>
  <c r="J1262" i="1"/>
  <c r="J1261" i="1"/>
  <c r="J1260" i="1"/>
  <c r="J1259" i="1"/>
  <c r="J1258" i="1"/>
  <c r="J1257" i="1"/>
  <c r="J1256" i="1"/>
  <c r="J1255" i="1"/>
  <c r="J1254" i="1"/>
  <c r="J1253" i="1"/>
  <c r="J1252" i="1"/>
  <c r="J1251" i="1"/>
  <c r="J1250" i="1"/>
  <c r="J1249" i="1"/>
  <c r="J1248" i="1"/>
  <c r="J1247" i="1"/>
  <c r="J1246" i="1"/>
  <c r="J1245" i="1"/>
  <c r="J1244" i="1"/>
  <c r="J1243" i="1"/>
  <c r="J1242" i="1"/>
  <c r="J1241" i="1"/>
  <c r="J1240" i="1"/>
  <c r="J1239" i="1"/>
  <c r="J1238" i="1"/>
  <c r="J1237" i="1"/>
  <c r="J1236" i="1"/>
  <c r="J1235" i="1"/>
  <c r="J1234" i="1"/>
  <c r="J1233" i="1"/>
  <c r="J1232" i="1"/>
  <c r="J1231" i="1"/>
  <c r="J1230" i="1"/>
  <c r="J1229" i="1"/>
  <c r="J1228" i="1"/>
  <c r="J1227" i="1"/>
  <c r="J1226" i="1"/>
  <c r="J1225" i="1"/>
  <c r="J1224" i="1"/>
  <c r="J1223" i="1"/>
  <c r="J1222" i="1"/>
  <c r="J1221" i="1"/>
  <c r="J1220" i="1"/>
  <c r="J1219" i="1"/>
  <c r="J1218" i="1"/>
  <c r="J1217" i="1"/>
  <c r="J1216" i="1"/>
  <c r="J1215" i="1"/>
  <c r="J1214" i="1"/>
  <c r="J1213" i="1"/>
  <c r="J1212" i="1"/>
  <c r="J1211" i="1"/>
  <c r="J1210" i="1"/>
  <c r="J1209" i="1"/>
  <c r="J1208" i="1"/>
  <c r="J1207" i="1"/>
  <c r="J1206" i="1"/>
  <c r="J1205" i="1"/>
  <c r="J1204" i="1"/>
  <c r="J1203" i="1"/>
  <c r="J1202" i="1"/>
  <c r="J1201" i="1"/>
  <c r="J1200" i="1"/>
  <c r="J1199" i="1"/>
  <c r="J1198" i="1"/>
  <c r="J1197" i="1"/>
  <c r="J1196" i="1"/>
  <c r="J1195" i="1"/>
  <c r="J1194" i="1"/>
  <c r="J1193" i="1"/>
  <c r="J1192" i="1"/>
  <c r="J1191" i="1"/>
  <c r="J1190" i="1"/>
  <c r="J1189" i="1"/>
  <c r="J1188" i="1"/>
  <c r="J1187" i="1"/>
  <c r="J1186" i="1"/>
  <c r="J1185" i="1"/>
  <c r="J1184" i="1"/>
  <c r="J1183" i="1"/>
  <c r="J1182" i="1"/>
  <c r="J1181" i="1"/>
  <c r="J1180" i="1"/>
  <c r="J1179" i="1"/>
  <c r="J1178" i="1"/>
  <c r="J1177" i="1"/>
  <c r="J1176" i="1"/>
  <c r="J1175" i="1"/>
  <c r="J1174" i="1"/>
  <c r="J1173" i="1"/>
  <c r="J1172" i="1"/>
  <c r="J1171" i="1"/>
  <c r="J1170" i="1"/>
  <c r="J1169" i="1"/>
  <c r="J1168" i="1"/>
  <c r="J1167" i="1"/>
  <c r="J1166" i="1"/>
  <c r="J1165" i="1"/>
  <c r="J1164" i="1"/>
  <c r="J1163" i="1"/>
  <c r="J1162" i="1"/>
  <c r="J1161" i="1"/>
  <c r="J1160" i="1"/>
  <c r="J1159" i="1"/>
  <c r="J1158" i="1"/>
  <c r="J1157" i="1"/>
  <c r="J1156" i="1"/>
  <c r="J1155" i="1"/>
  <c r="J1154" i="1"/>
  <c r="J1153" i="1"/>
  <c r="J1152" i="1"/>
  <c r="J1151" i="1"/>
  <c r="J1150" i="1"/>
  <c r="J1149" i="1"/>
  <c r="J1148" i="1"/>
  <c r="J1147" i="1"/>
  <c r="J1146" i="1"/>
  <c r="J1145" i="1"/>
  <c r="J1144" i="1"/>
  <c r="J1143" i="1"/>
  <c r="J1142" i="1"/>
  <c r="J1141" i="1"/>
  <c r="J1140" i="1"/>
  <c r="J1139" i="1"/>
  <c r="J1138" i="1"/>
  <c r="J1137" i="1"/>
  <c r="J1136" i="1"/>
  <c r="J1135" i="1"/>
  <c r="J1134" i="1"/>
  <c r="J1133" i="1"/>
  <c r="J1132" i="1"/>
  <c r="J1131" i="1"/>
  <c r="J1130" i="1"/>
  <c r="J1129" i="1"/>
  <c r="J1128" i="1"/>
  <c r="J1127" i="1"/>
  <c r="J1126" i="1"/>
  <c r="J1125" i="1"/>
  <c r="J1124" i="1"/>
  <c r="J1123" i="1"/>
  <c r="J1122" i="1"/>
  <c r="J1121" i="1"/>
  <c r="J1120" i="1"/>
  <c r="J1119" i="1"/>
  <c r="J1118" i="1"/>
  <c r="J1117" i="1"/>
  <c r="J1116" i="1"/>
  <c r="J1115" i="1"/>
  <c r="J1114" i="1"/>
  <c r="J1113" i="1"/>
  <c r="J1112" i="1"/>
  <c r="J1111" i="1"/>
  <c r="J1110" i="1"/>
  <c r="J1109" i="1"/>
  <c r="J1108" i="1"/>
  <c r="J1107" i="1"/>
  <c r="J1106" i="1"/>
  <c r="J1105" i="1"/>
  <c r="J1104" i="1"/>
  <c r="J1103" i="1"/>
  <c r="J1102" i="1"/>
  <c r="J1101" i="1"/>
  <c r="J1100" i="1"/>
  <c r="J1099" i="1"/>
  <c r="J1098" i="1"/>
  <c r="J1097" i="1"/>
  <c r="J1096" i="1"/>
  <c r="J1095" i="1"/>
  <c r="J1094" i="1"/>
  <c r="J1093" i="1"/>
  <c r="J1092" i="1"/>
  <c r="J1091" i="1"/>
  <c r="J1090" i="1"/>
  <c r="J1089" i="1"/>
  <c r="J1088" i="1"/>
  <c r="J1087" i="1"/>
  <c r="J1086" i="1"/>
  <c r="J1085" i="1"/>
  <c r="J1084" i="1"/>
  <c r="J1083" i="1"/>
  <c r="J1082" i="1"/>
  <c r="J1081" i="1"/>
  <c r="J1080" i="1"/>
  <c r="J1079" i="1"/>
  <c r="J1078" i="1"/>
  <c r="J1077" i="1"/>
  <c r="J1076" i="1"/>
  <c r="J1075" i="1"/>
  <c r="J1074" i="1"/>
  <c r="J1073" i="1"/>
  <c r="J1072" i="1"/>
  <c r="J1071" i="1"/>
  <c r="J1070" i="1"/>
  <c r="J1069" i="1"/>
  <c r="J1068" i="1"/>
  <c r="J1067" i="1"/>
  <c r="J1066" i="1"/>
  <c r="J1065" i="1"/>
  <c r="J1064" i="1"/>
  <c r="J1063" i="1"/>
  <c r="J1062" i="1"/>
  <c r="J1061" i="1"/>
  <c r="J1060" i="1"/>
  <c r="J1059" i="1"/>
  <c r="J1058" i="1"/>
  <c r="J1057" i="1"/>
  <c r="J1056" i="1"/>
  <c r="J1055" i="1"/>
  <c r="J1054" i="1"/>
  <c r="J1053" i="1"/>
  <c r="J1052" i="1"/>
  <c r="J1051" i="1"/>
  <c r="J1050" i="1"/>
  <c r="J1049" i="1"/>
  <c r="J1048" i="1"/>
  <c r="J1047" i="1"/>
  <c r="J1046" i="1"/>
  <c r="J1045" i="1"/>
  <c r="J1044" i="1"/>
  <c r="J1043" i="1"/>
  <c r="J1042" i="1"/>
  <c r="J1041" i="1"/>
  <c r="J1040" i="1"/>
  <c r="J1039" i="1"/>
  <c r="J1038" i="1"/>
  <c r="J1037" i="1"/>
  <c r="J1036" i="1"/>
  <c r="J1035" i="1"/>
  <c r="J1034" i="1"/>
  <c r="J1033" i="1"/>
  <c r="J1032" i="1"/>
  <c r="J1031" i="1"/>
  <c r="J1030" i="1"/>
  <c r="J1029" i="1"/>
  <c r="J1028" i="1"/>
  <c r="J1027" i="1"/>
  <c r="J1026" i="1"/>
  <c r="J1025" i="1"/>
  <c r="J1024" i="1"/>
  <c r="J1023" i="1"/>
  <c r="J1022" i="1"/>
  <c r="J1021" i="1"/>
  <c r="J1020" i="1"/>
  <c r="J1019" i="1"/>
  <c r="J1018" i="1"/>
  <c r="J1017" i="1"/>
  <c r="J1016" i="1"/>
  <c r="J1015" i="1"/>
  <c r="J1014" i="1"/>
  <c r="J1013" i="1"/>
  <c r="J1012" i="1"/>
  <c r="J1011" i="1"/>
  <c r="J1010" i="1"/>
  <c r="J1009" i="1"/>
  <c r="J1008" i="1"/>
  <c r="J1007" i="1"/>
  <c r="J1006" i="1"/>
  <c r="J1005" i="1"/>
  <c r="J1004" i="1"/>
  <c r="J1003" i="1"/>
  <c r="J1002" i="1"/>
  <c r="J1001" i="1"/>
  <c r="J1000" i="1"/>
  <c r="J999" i="1"/>
  <c r="J998" i="1"/>
  <c r="J997" i="1"/>
  <c r="J996" i="1"/>
  <c r="J995" i="1"/>
  <c r="J994" i="1"/>
  <c r="J993" i="1"/>
  <c r="J992" i="1"/>
  <c r="J991" i="1"/>
  <c r="J990" i="1"/>
  <c r="J989" i="1"/>
  <c r="J988" i="1"/>
  <c r="J987" i="1"/>
  <c r="J986" i="1"/>
  <c r="J985" i="1"/>
  <c r="J984" i="1"/>
  <c r="J983" i="1"/>
  <c r="J982" i="1"/>
  <c r="J981" i="1"/>
  <c r="J980" i="1"/>
  <c r="J979" i="1"/>
  <c r="J978" i="1"/>
  <c r="J977" i="1"/>
  <c r="J976" i="1"/>
  <c r="J975" i="1"/>
  <c r="J974" i="1"/>
  <c r="J973" i="1"/>
  <c r="J972" i="1"/>
  <c r="J971" i="1"/>
  <c r="J970" i="1"/>
  <c r="J969" i="1"/>
  <c r="J968" i="1"/>
  <c r="J967" i="1"/>
  <c r="J966" i="1"/>
  <c r="J965" i="1"/>
  <c r="J964" i="1"/>
  <c r="J963" i="1"/>
  <c r="J962" i="1"/>
  <c r="J961" i="1"/>
  <c r="J960" i="1"/>
  <c r="J959" i="1"/>
  <c r="J958" i="1"/>
  <c r="J957" i="1"/>
  <c r="J956" i="1"/>
  <c r="J955" i="1"/>
  <c r="J954" i="1"/>
  <c r="J953" i="1"/>
  <c r="J952" i="1"/>
  <c r="J951" i="1"/>
  <c r="J950" i="1"/>
  <c r="J949" i="1"/>
  <c r="J948" i="1"/>
  <c r="J947" i="1"/>
  <c r="J946" i="1"/>
  <c r="J945" i="1"/>
  <c r="J944" i="1"/>
  <c r="J943" i="1"/>
  <c r="J942" i="1"/>
  <c r="J941" i="1"/>
  <c r="J940" i="1"/>
  <c r="J939" i="1"/>
  <c r="J938" i="1"/>
  <c r="J937" i="1"/>
  <c r="J936" i="1"/>
  <c r="J935" i="1"/>
  <c r="J934" i="1"/>
  <c r="J933" i="1"/>
  <c r="J932" i="1"/>
  <c r="J931" i="1"/>
  <c r="J930" i="1"/>
  <c r="J929" i="1"/>
  <c r="J928" i="1"/>
  <c r="J927" i="1"/>
  <c r="J926" i="1"/>
  <c r="J925" i="1"/>
  <c r="J924" i="1"/>
  <c r="J923" i="1"/>
  <c r="J922" i="1"/>
  <c r="J921" i="1"/>
  <c r="J920" i="1"/>
  <c r="J919" i="1"/>
  <c r="J918" i="1"/>
  <c r="J917" i="1"/>
  <c r="J916" i="1"/>
  <c r="J915" i="1"/>
  <c r="J914" i="1"/>
  <c r="J913" i="1"/>
  <c r="J912" i="1"/>
  <c r="J911" i="1"/>
  <c r="J910" i="1"/>
  <c r="J909" i="1"/>
  <c r="J908" i="1"/>
  <c r="J907" i="1"/>
  <c r="J906" i="1"/>
  <c r="J905" i="1"/>
  <c r="J904" i="1"/>
  <c r="J903" i="1"/>
  <c r="J902" i="1"/>
  <c r="J901" i="1"/>
  <c r="J900" i="1"/>
  <c r="J899" i="1"/>
  <c r="J898" i="1"/>
  <c r="J897" i="1"/>
  <c r="J896" i="1"/>
  <c r="J895" i="1"/>
  <c r="J894" i="1"/>
  <c r="J893" i="1"/>
  <c r="J892" i="1"/>
  <c r="J891" i="1"/>
  <c r="J890" i="1"/>
  <c r="J889" i="1"/>
  <c r="J888" i="1"/>
  <c r="J887" i="1"/>
  <c r="J886" i="1"/>
  <c r="J885" i="1"/>
  <c r="J884" i="1"/>
  <c r="J883" i="1"/>
  <c r="J882" i="1"/>
  <c r="J881" i="1"/>
  <c r="J880" i="1"/>
  <c r="J879" i="1"/>
  <c r="J878" i="1"/>
  <c r="J877" i="1"/>
  <c r="J876" i="1"/>
  <c r="J875" i="1"/>
  <c r="J874" i="1"/>
  <c r="J873" i="1"/>
  <c r="J872" i="1"/>
  <c r="J871" i="1"/>
  <c r="J870" i="1"/>
  <c r="J869" i="1"/>
  <c r="J868" i="1"/>
  <c r="J867" i="1"/>
  <c r="J866" i="1"/>
  <c r="J865" i="1"/>
  <c r="J864" i="1"/>
  <c r="J863" i="1"/>
  <c r="J862" i="1"/>
  <c r="J861" i="1"/>
  <c r="J860" i="1"/>
  <c r="J859" i="1"/>
  <c r="J858" i="1"/>
  <c r="J857" i="1"/>
  <c r="J856" i="1"/>
  <c r="J855" i="1"/>
  <c r="J854" i="1"/>
  <c r="J853" i="1"/>
  <c r="J852" i="1"/>
  <c r="J851" i="1"/>
  <c r="J850" i="1"/>
  <c r="J849" i="1"/>
  <c r="J848" i="1"/>
  <c r="J847" i="1"/>
  <c r="J846" i="1"/>
  <c r="J845" i="1"/>
  <c r="J844" i="1"/>
  <c r="J843" i="1"/>
  <c r="J842" i="1"/>
  <c r="J841" i="1"/>
  <c r="J840" i="1"/>
  <c r="J839" i="1"/>
  <c r="J838" i="1"/>
  <c r="J837" i="1"/>
  <c r="J836" i="1"/>
  <c r="J835" i="1"/>
  <c r="J834" i="1"/>
  <c r="J833" i="1"/>
  <c r="J832" i="1"/>
  <c r="J831" i="1"/>
  <c r="J830" i="1"/>
  <c r="J829" i="1"/>
  <c r="J828" i="1"/>
  <c r="J827" i="1"/>
  <c r="J826" i="1"/>
  <c r="J825" i="1"/>
  <c r="J824" i="1"/>
  <c r="J823" i="1"/>
  <c r="J822" i="1"/>
  <c r="J821" i="1"/>
  <c r="J820" i="1"/>
  <c r="J819" i="1"/>
  <c r="J818" i="1"/>
  <c r="J817" i="1"/>
  <c r="J816" i="1"/>
  <c r="J815" i="1"/>
  <c r="J814" i="1"/>
  <c r="J813" i="1"/>
  <c r="J812" i="1"/>
  <c r="J811" i="1"/>
  <c r="J810" i="1"/>
  <c r="J809" i="1"/>
  <c r="J808" i="1"/>
  <c r="J807" i="1"/>
  <c r="J806" i="1"/>
  <c r="J805" i="1"/>
  <c r="J804" i="1"/>
  <c r="J803" i="1"/>
  <c r="J802" i="1"/>
  <c r="J801" i="1"/>
  <c r="J800" i="1"/>
  <c r="J799" i="1"/>
  <c r="J798" i="1"/>
  <c r="J797" i="1"/>
  <c r="J796" i="1"/>
  <c r="J795" i="1"/>
  <c r="J794" i="1"/>
  <c r="J793" i="1"/>
  <c r="J792" i="1"/>
  <c r="J791" i="1"/>
  <c r="J790" i="1"/>
  <c r="J789" i="1"/>
  <c r="J788" i="1"/>
  <c r="J787" i="1"/>
  <c r="J786" i="1"/>
  <c r="J785" i="1"/>
  <c r="J784" i="1"/>
  <c r="J783" i="1"/>
  <c r="J782" i="1"/>
  <c r="J781" i="1"/>
  <c r="J780" i="1"/>
  <c r="J779" i="1"/>
  <c r="J778" i="1"/>
  <c r="J777" i="1"/>
  <c r="J776" i="1"/>
  <c r="J775" i="1"/>
  <c r="J774" i="1"/>
  <c r="J773" i="1"/>
  <c r="J772" i="1"/>
  <c r="J771" i="1"/>
  <c r="J770" i="1"/>
  <c r="J769" i="1"/>
  <c r="J768" i="1"/>
  <c r="J767" i="1"/>
  <c r="J766" i="1"/>
  <c r="J765" i="1"/>
  <c r="J764" i="1"/>
  <c r="J763" i="1"/>
  <c r="J762" i="1"/>
  <c r="J761" i="1"/>
  <c r="J760" i="1"/>
  <c r="J759" i="1"/>
  <c r="J758" i="1"/>
  <c r="J757" i="1"/>
  <c r="J756" i="1"/>
  <c r="J755" i="1"/>
  <c r="J754" i="1"/>
  <c r="J753" i="1"/>
  <c r="J752" i="1"/>
  <c r="J751" i="1"/>
  <c r="J750" i="1"/>
  <c r="J749" i="1"/>
  <c r="J748" i="1"/>
  <c r="J747" i="1"/>
  <c r="J746" i="1"/>
  <c r="J745" i="1"/>
  <c r="J744" i="1"/>
  <c r="J743" i="1"/>
  <c r="J742" i="1"/>
  <c r="J741" i="1"/>
  <c r="J740" i="1"/>
  <c r="J739" i="1"/>
  <c r="J738" i="1"/>
  <c r="J737" i="1"/>
  <c r="J736" i="1"/>
  <c r="J735" i="1"/>
  <c r="J734" i="1"/>
  <c r="J733" i="1"/>
  <c r="J732" i="1"/>
  <c r="J731" i="1"/>
  <c r="J730" i="1"/>
  <c r="J729" i="1"/>
  <c r="J728" i="1"/>
  <c r="J727" i="1"/>
  <c r="J726" i="1"/>
  <c r="J725" i="1"/>
  <c r="J724" i="1"/>
  <c r="J723" i="1"/>
  <c r="J722" i="1"/>
  <c r="J721" i="1"/>
  <c r="J720" i="1"/>
  <c r="J719" i="1"/>
  <c r="J718" i="1"/>
  <c r="J717" i="1"/>
  <c r="J716" i="1"/>
  <c r="J715" i="1"/>
  <c r="J714" i="1"/>
  <c r="J713" i="1"/>
  <c r="J712" i="1"/>
  <c r="J711" i="1"/>
  <c r="J710" i="1"/>
  <c r="J709" i="1"/>
  <c r="J708" i="1"/>
  <c r="J707" i="1"/>
  <c r="J706" i="1"/>
  <c r="J705" i="1"/>
  <c r="J704" i="1"/>
  <c r="J703" i="1"/>
  <c r="J702" i="1"/>
  <c r="J701" i="1"/>
  <c r="J700" i="1"/>
  <c r="J699" i="1"/>
  <c r="J698" i="1"/>
  <c r="J697" i="1"/>
  <c r="J696" i="1"/>
  <c r="J695" i="1"/>
  <c r="J694" i="1"/>
  <c r="J693" i="1"/>
  <c r="J692" i="1"/>
  <c r="J691" i="1"/>
  <c r="J690" i="1"/>
  <c r="J689" i="1"/>
  <c r="J688" i="1"/>
  <c r="J687" i="1"/>
  <c r="J686" i="1"/>
  <c r="J685" i="1"/>
  <c r="J684" i="1"/>
  <c r="J683" i="1"/>
  <c r="J682" i="1"/>
  <c r="J681" i="1"/>
  <c r="J680" i="1"/>
  <c r="J679" i="1"/>
  <c r="J678" i="1"/>
  <c r="J677" i="1"/>
  <c r="J676" i="1"/>
  <c r="J675" i="1"/>
  <c r="J674" i="1"/>
  <c r="J673" i="1"/>
  <c r="J672" i="1"/>
  <c r="J671" i="1"/>
  <c r="J670" i="1"/>
  <c r="J669" i="1"/>
  <c r="J668" i="1"/>
  <c r="J667" i="1"/>
  <c r="J666" i="1"/>
  <c r="J665" i="1"/>
  <c r="J664" i="1"/>
  <c r="J663" i="1"/>
  <c r="J662" i="1"/>
  <c r="J661" i="1"/>
  <c r="J660" i="1"/>
  <c r="J659" i="1"/>
  <c r="J658" i="1"/>
  <c r="J657" i="1"/>
  <c r="J656" i="1"/>
  <c r="J655" i="1"/>
  <c r="J654" i="1"/>
  <c r="J653" i="1"/>
  <c r="J652" i="1"/>
  <c r="J651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J624" i="1"/>
  <c r="J623" i="1"/>
  <c r="J622" i="1"/>
  <c r="J621" i="1"/>
  <c r="J620" i="1"/>
  <c r="J619" i="1"/>
  <c r="J618" i="1"/>
  <c r="J617" i="1"/>
  <c r="J616" i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E7" i="2" l="1"/>
  <c r="B9" i="2"/>
  <c r="E6" i="2"/>
  <c r="E8" i="2"/>
  <c r="E4" i="2"/>
  <c r="E9" i="2" l="1"/>
</calcChain>
</file>

<file path=xl/sharedStrings.xml><?xml version="1.0" encoding="utf-8"?>
<sst xmlns="http://schemas.openxmlformats.org/spreadsheetml/2006/main" count="25444" uniqueCount="2453">
  <si>
    <t>Date (UTC)</t>
  </si>
  <si>
    <t>Flight No</t>
  </si>
  <si>
    <t>Callsign</t>
  </si>
  <si>
    <t>Origin</t>
  </si>
  <si>
    <t>Origin ICAO</t>
  </si>
  <si>
    <t>Destination</t>
  </si>
  <si>
    <t>Dest ICAO</t>
  </si>
  <si>
    <t>Departure (UTC)</t>
  </si>
  <si>
    <t>Arrival (UTC)</t>
  </si>
  <si>
    <t>Duration (min)</t>
  </si>
  <si>
    <t>Tail Number</t>
  </si>
  <si>
    <t>Aircraft Type</t>
  </si>
  <si>
    <t>ICAO Type</t>
  </si>
  <si>
    <t>Status</t>
  </si>
  <si>
    <t>ICAO24 Hex</t>
  </si>
  <si>
    <t>B6 2725</t>
  </si>
  <si>
    <t>JBU2725</t>
  </si>
  <si>
    <t>JFK</t>
  </si>
  <si>
    <t>KJFK</t>
  </si>
  <si>
    <t>TPA</t>
  </si>
  <si>
    <t>KTPA</t>
  </si>
  <si>
    <t>N965JT</t>
  </si>
  <si>
    <t>A321</t>
  </si>
  <si>
    <t>Complete</t>
  </si>
  <si>
    <t>ad6f93</t>
  </si>
  <si>
    <t>B6 397</t>
  </si>
  <si>
    <t>JBU397</t>
  </si>
  <si>
    <t>BOS</t>
  </si>
  <si>
    <t>KBOS</t>
  </si>
  <si>
    <t>SEA</t>
  </si>
  <si>
    <t>KSEA</t>
  </si>
  <si>
    <t>N971JT</t>
  </si>
  <si>
    <t>ad8836</t>
  </si>
  <si>
    <t>B6 882</t>
  </si>
  <si>
    <t>JBU882</t>
  </si>
  <si>
    <t>N656JB</t>
  </si>
  <si>
    <t>A320</t>
  </si>
  <si>
    <t>a8a3ce</t>
  </si>
  <si>
    <t>B6 1407</t>
  </si>
  <si>
    <t>JBU1407</t>
  </si>
  <si>
    <t>CDG</t>
  </si>
  <si>
    <t>LFPG</t>
  </si>
  <si>
    <t>N4073J</t>
  </si>
  <si>
    <t>A321neo</t>
  </si>
  <si>
    <t>A21N</t>
  </si>
  <si>
    <t>Landing inferred</t>
  </si>
  <si>
    <t>a4c96c</t>
  </si>
  <si>
    <t>B6 1860</t>
  </si>
  <si>
    <t>JBU1860</t>
  </si>
  <si>
    <t>PHL</t>
  </si>
  <si>
    <t>KPHL</t>
  </si>
  <si>
    <t>N3289J</t>
  </si>
  <si>
    <t>Unknown</t>
  </si>
  <si>
    <t>a38fa4</t>
  </si>
  <si>
    <t>B6 706</t>
  </si>
  <si>
    <t>JBU706</t>
  </si>
  <si>
    <t>FLL</t>
  </si>
  <si>
    <t>KFLL</t>
  </si>
  <si>
    <t>EWR</t>
  </si>
  <si>
    <t>KEWR</t>
  </si>
  <si>
    <t>N645JB</t>
  </si>
  <si>
    <t>a87898</t>
  </si>
  <si>
    <t>B6 2018</t>
  </si>
  <si>
    <t>JBU2018</t>
  </si>
  <si>
    <t>N2038J</t>
  </si>
  <si>
    <t>a1a0a1</t>
  </si>
  <si>
    <t>B6 2144</t>
  </si>
  <si>
    <t>JBU2144</t>
  </si>
  <si>
    <t>DJT</t>
  </si>
  <si>
    <t>KPBI</t>
  </si>
  <si>
    <t>N535JB</t>
  </si>
  <si>
    <t>a6c3ca</t>
  </si>
  <si>
    <t>B6 2994</t>
  </si>
  <si>
    <t>JBU2994</t>
  </si>
  <si>
    <t>BWI</t>
  </si>
  <si>
    <t>KBWI</t>
  </si>
  <si>
    <t>N3145J</t>
  </si>
  <si>
    <t>A220-300</t>
  </si>
  <si>
    <t>BCS3</t>
  </si>
  <si>
    <t>a358bd</t>
  </si>
  <si>
    <t>B6 1694</t>
  </si>
  <si>
    <t>JBU1694</t>
  </si>
  <si>
    <t>MCO</t>
  </si>
  <si>
    <t>KMCO</t>
  </si>
  <si>
    <t>HPN</t>
  </si>
  <si>
    <t>KHPN</t>
  </si>
  <si>
    <t>N627JB</t>
  </si>
  <si>
    <t>a83108</t>
  </si>
  <si>
    <t>B6 560</t>
  </si>
  <si>
    <t>JBU560</t>
  </si>
  <si>
    <t>N3194J</t>
  </si>
  <si>
    <t>a36b2d</t>
  </si>
  <si>
    <t>B6 1486</t>
  </si>
  <si>
    <t>JBU1486</t>
  </si>
  <si>
    <t>RDU</t>
  </si>
  <si>
    <t>KRDU</t>
  </si>
  <si>
    <t>N3267J</t>
  </si>
  <si>
    <t>a387f0</t>
  </si>
  <si>
    <t>B6 810</t>
  </si>
  <si>
    <t>JBU810</t>
  </si>
  <si>
    <t>JAX</t>
  </si>
  <si>
    <t>KJAX</t>
  </si>
  <si>
    <t>N623JB</t>
  </si>
  <si>
    <t>a8222c</t>
  </si>
  <si>
    <t>B6 2581</t>
  </si>
  <si>
    <t>JBU2581</t>
  </si>
  <si>
    <t>BNA</t>
  </si>
  <si>
    <t>KBNA</t>
  </si>
  <si>
    <t>N651JB</t>
  </si>
  <si>
    <t>a8913b</t>
  </si>
  <si>
    <t>B6 2626</t>
  </si>
  <si>
    <t>JBU2626</t>
  </si>
  <si>
    <t>N766JB</t>
  </si>
  <si>
    <t>aa589c</t>
  </si>
  <si>
    <t>B6 8457</t>
  </si>
  <si>
    <t>JBU8457</t>
  </si>
  <si>
    <t>ISP</t>
  </si>
  <si>
    <t>KISP</t>
  </si>
  <si>
    <t>N585JB</t>
  </si>
  <si>
    <t>a78945</t>
  </si>
  <si>
    <t>B6 277</t>
  </si>
  <si>
    <t>JBU277</t>
  </si>
  <si>
    <t>SFO</t>
  </si>
  <si>
    <t>KSFO</t>
  </si>
  <si>
    <t>N968JT</t>
  </si>
  <si>
    <t>ad7ab8</t>
  </si>
  <si>
    <t>B6 2279</t>
  </si>
  <si>
    <t>JBU2279</t>
  </si>
  <si>
    <t>DFW</t>
  </si>
  <si>
    <t>KDFW</t>
  </si>
  <si>
    <t>N527JL</t>
  </si>
  <si>
    <t>a6a3c2</t>
  </si>
  <si>
    <t>B6 2134</t>
  </si>
  <si>
    <t>JBU2134</t>
  </si>
  <si>
    <t>N523JB</t>
  </si>
  <si>
    <t>a694dd</t>
  </si>
  <si>
    <t>B6 2322</t>
  </si>
  <si>
    <t>JBU2322</t>
  </si>
  <si>
    <t>N605JB</t>
  </si>
  <si>
    <t>a7da9c</t>
  </si>
  <si>
    <t>B6 2271</t>
  </si>
  <si>
    <t>JBU2271</t>
  </si>
  <si>
    <t>AUS</t>
  </si>
  <si>
    <t>KAUS</t>
  </si>
  <si>
    <t>N597JB</t>
  </si>
  <si>
    <t>a7b832</t>
  </si>
  <si>
    <t>B6 1136</t>
  </si>
  <si>
    <t>JBU1136</t>
  </si>
  <si>
    <t>DTW</t>
  </si>
  <si>
    <t>KDTW</t>
  </si>
  <si>
    <t>N703JB</t>
  </si>
  <si>
    <t>a9607d</t>
  </si>
  <si>
    <t>B6 2290</t>
  </si>
  <si>
    <t>JBU2290</t>
  </si>
  <si>
    <t>N568JB</t>
  </si>
  <si>
    <t>a7456c</t>
  </si>
  <si>
    <t>B6 2754</t>
  </si>
  <si>
    <t>JBU2754</t>
  </si>
  <si>
    <t>DCA</t>
  </si>
  <si>
    <t>KDCA</t>
  </si>
  <si>
    <t>N3115J</t>
  </si>
  <si>
    <t>a34d98</t>
  </si>
  <si>
    <t>B6 514</t>
  </si>
  <si>
    <t>JBU514</t>
  </si>
  <si>
    <t>N554JB</t>
  </si>
  <si>
    <t>a70f11</t>
  </si>
  <si>
    <t>B6 1948</t>
  </si>
  <si>
    <t>JBU1948</t>
  </si>
  <si>
    <t>N625JB</t>
  </si>
  <si>
    <t>a8299a</t>
  </si>
  <si>
    <t>B6 1196</t>
  </si>
  <si>
    <t>JBU1196</t>
  </si>
  <si>
    <t>PVD</t>
  </si>
  <si>
    <t>KPVD</t>
  </si>
  <si>
    <t>N516JB</t>
  </si>
  <si>
    <t>a67883</t>
  </si>
  <si>
    <t>B6 528</t>
  </si>
  <si>
    <t>JBU528</t>
  </si>
  <si>
    <t>N2048J</t>
  </si>
  <si>
    <t>a1a458</t>
  </si>
  <si>
    <t>B6 719</t>
  </si>
  <si>
    <t>JBU719</t>
  </si>
  <si>
    <t>ATL</t>
  </si>
  <si>
    <t>KATL</t>
  </si>
  <si>
    <t>N3244J</t>
  </si>
  <si>
    <t>a38019</t>
  </si>
  <si>
    <t>B6 251</t>
  </si>
  <si>
    <t>JBU251</t>
  </si>
  <si>
    <t>N957JB</t>
  </si>
  <si>
    <t>ad4f72</t>
  </si>
  <si>
    <t>B6 1905</t>
  </si>
  <si>
    <t>JBU1905</t>
  </si>
  <si>
    <t>N821JB</t>
  </si>
  <si>
    <t>ab355c</t>
  </si>
  <si>
    <t>B6 1146</t>
  </si>
  <si>
    <t>JBU1146</t>
  </si>
  <si>
    <t>RIC</t>
  </si>
  <si>
    <t>KRIC</t>
  </si>
  <si>
    <t>N663JB</t>
  </si>
  <si>
    <t>a8c028</t>
  </si>
  <si>
    <t>B6 31</t>
  </si>
  <si>
    <t>JBU31</t>
  </si>
  <si>
    <t>AMS</t>
  </si>
  <si>
    <t>EHAM</t>
  </si>
  <si>
    <t>N4064J</t>
  </si>
  <si>
    <t>a4c5d8</t>
  </si>
  <si>
    <t>B6 572</t>
  </si>
  <si>
    <t>JBU572</t>
  </si>
  <si>
    <t>LGA</t>
  </si>
  <si>
    <t>KLGA</t>
  </si>
  <si>
    <t>N584JB</t>
  </si>
  <si>
    <t>a7858e</t>
  </si>
  <si>
    <t>B6 1952</t>
  </si>
  <si>
    <t>JBU1952</t>
  </si>
  <si>
    <t>N3293J</t>
  </si>
  <si>
    <t>a39289</t>
  </si>
  <si>
    <t>B6 1590</t>
  </si>
  <si>
    <t>JBU1590</t>
  </si>
  <si>
    <t>CLE</t>
  </si>
  <si>
    <t>KCLE</t>
  </si>
  <si>
    <t>N3280J</t>
  </si>
  <si>
    <t>a38e69</t>
  </si>
  <si>
    <t>B6 2768</t>
  </si>
  <si>
    <t>JBU2768</t>
  </si>
  <si>
    <t>N3269J</t>
  </si>
  <si>
    <t>a38836</t>
  </si>
  <si>
    <t>B6 2186</t>
  </si>
  <si>
    <t>JBU2186</t>
  </si>
  <si>
    <t>PIT</t>
  </si>
  <si>
    <t>KPIT</t>
  </si>
  <si>
    <t>N3085J</t>
  </si>
  <si>
    <t>a3401a</t>
  </si>
  <si>
    <t>B6 845</t>
  </si>
  <si>
    <t>JBU845</t>
  </si>
  <si>
    <t>SYR</t>
  </si>
  <si>
    <t>KSYR</t>
  </si>
  <si>
    <t>N3121J</t>
  </si>
  <si>
    <t>a350c3</t>
  </si>
  <si>
    <t>B6 1798</t>
  </si>
  <si>
    <t>JBU1798</t>
  </si>
  <si>
    <t>N3310J</t>
  </si>
  <si>
    <t>a39be7</t>
  </si>
  <si>
    <t>B6 460</t>
  </si>
  <si>
    <t>JBU460</t>
  </si>
  <si>
    <t>BDL</t>
  </si>
  <si>
    <t>KBDL</t>
  </si>
  <si>
    <t>N784JB</t>
  </si>
  <si>
    <t>aaa02c</t>
  </si>
  <si>
    <t>FXE</t>
  </si>
  <si>
    <t>KFXE</t>
  </si>
  <si>
    <t>B6 70</t>
  </si>
  <si>
    <t>JBU70</t>
  </si>
  <si>
    <t>N637JB</t>
  </si>
  <si>
    <t>a85887</t>
  </si>
  <si>
    <t>B6 376</t>
  </si>
  <si>
    <t>JBU376</t>
  </si>
  <si>
    <t>N636JB</t>
  </si>
  <si>
    <t>a854d0</t>
  </si>
  <si>
    <t>B6 159</t>
  </si>
  <si>
    <t>JBU159</t>
  </si>
  <si>
    <t>N3322J</t>
  </si>
  <si>
    <t>a39fe4</t>
  </si>
  <si>
    <t>B6 607</t>
  </si>
  <si>
    <t>JBU607</t>
  </si>
  <si>
    <t>LAS</t>
  </si>
  <si>
    <t>KLAS</t>
  </si>
  <si>
    <t>N976JT</t>
  </si>
  <si>
    <t>ad9ac9</t>
  </si>
  <si>
    <t>B6 2779</t>
  </si>
  <si>
    <t>JBU2779</t>
  </si>
  <si>
    <t>IAH</t>
  </si>
  <si>
    <t>KIAH</t>
  </si>
  <si>
    <t>N705JB</t>
  </si>
  <si>
    <t>a967eb</t>
  </si>
  <si>
    <t>B6 515</t>
  </si>
  <si>
    <t>JBU515</t>
  </si>
  <si>
    <t>N937JB</t>
  </si>
  <si>
    <t>ad0074</t>
  </si>
  <si>
    <t>B6 400</t>
  </si>
  <si>
    <t>JBU400</t>
  </si>
  <si>
    <t>MSY</t>
  </si>
  <si>
    <t>KMSY</t>
  </si>
  <si>
    <t>N521JB</t>
  </si>
  <si>
    <t>a68d6f</t>
  </si>
  <si>
    <t>B6 345</t>
  </si>
  <si>
    <t>JBU345</t>
  </si>
  <si>
    <t>BCN</t>
  </si>
  <si>
    <t>LEBL</t>
  </si>
  <si>
    <t>N4083J</t>
  </si>
  <si>
    <t>a4cd23</t>
  </si>
  <si>
    <t>B6 571</t>
  </si>
  <si>
    <t>JBU571</t>
  </si>
  <si>
    <t>N828JB</t>
  </si>
  <si>
    <t>ab4f5d</t>
  </si>
  <si>
    <t>B6 1337</t>
  </si>
  <si>
    <t>JBU1337</t>
  </si>
  <si>
    <t>N3162J</t>
  </si>
  <si>
    <t>a35fc2</t>
  </si>
  <si>
    <t>B6 2080</t>
  </si>
  <si>
    <t>JBU2080</t>
  </si>
  <si>
    <t>N3149J</t>
  </si>
  <si>
    <t>a35949</t>
  </si>
  <si>
    <t>B6 2501</t>
  </si>
  <si>
    <t>JBU2501</t>
  </si>
  <si>
    <t>LAX</t>
  </si>
  <si>
    <t>KLAX</t>
  </si>
  <si>
    <t>N961JT</t>
  </si>
  <si>
    <t>ad60b7</t>
  </si>
  <si>
    <t>B6 18</t>
  </si>
  <si>
    <t>JBU18</t>
  </si>
  <si>
    <t>N566JB</t>
  </si>
  <si>
    <t>a73dfe</t>
  </si>
  <si>
    <t>B6 462</t>
  </si>
  <si>
    <t>JBU462</t>
  </si>
  <si>
    <t>N588JB</t>
  </si>
  <si>
    <t>a7946a</t>
  </si>
  <si>
    <t>NIP</t>
  </si>
  <si>
    <t>KNIP</t>
  </si>
  <si>
    <t>B6 2149</t>
  </si>
  <si>
    <t>JBU2149</t>
  </si>
  <si>
    <t>CLT</t>
  </si>
  <si>
    <t>KCLT</t>
  </si>
  <si>
    <t>N706JB</t>
  </si>
  <si>
    <t>a96ba2</t>
  </si>
  <si>
    <t>B6 1223</t>
  </si>
  <si>
    <t>JBU1223</t>
  </si>
  <si>
    <t>N982JB</t>
  </si>
  <si>
    <t>adb35c</t>
  </si>
  <si>
    <t>B6 1966</t>
  </si>
  <si>
    <t>JBU1966</t>
  </si>
  <si>
    <t>N2047J</t>
  </si>
  <si>
    <t>a1a435</t>
  </si>
  <si>
    <t>B6 863</t>
  </si>
  <si>
    <t>JBU863</t>
  </si>
  <si>
    <t>ORD</t>
  </si>
  <si>
    <t>KORD</t>
  </si>
  <si>
    <t>N583JB</t>
  </si>
  <si>
    <t>a781d7</t>
  </si>
  <si>
    <t>B6 33</t>
  </si>
  <si>
    <t>JBU33</t>
  </si>
  <si>
    <t>N4076J</t>
  </si>
  <si>
    <t>a4c9d5</t>
  </si>
  <si>
    <t>B6 7</t>
  </si>
  <si>
    <t>JBU7</t>
  </si>
  <si>
    <t>LHR</t>
  </si>
  <si>
    <t>EGLL</t>
  </si>
  <si>
    <t>N4058J</t>
  </si>
  <si>
    <t>a4c2ad</t>
  </si>
  <si>
    <t>B6 841</t>
  </si>
  <si>
    <t>JBU841</t>
  </si>
  <si>
    <t>DUB</t>
  </si>
  <si>
    <t>EIDW</t>
  </si>
  <si>
    <t>N4074J</t>
  </si>
  <si>
    <t>a4c98f</t>
  </si>
  <si>
    <t>B6 1012</t>
  </si>
  <si>
    <t>JBU1012</t>
  </si>
  <si>
    <t>N3241J</t>
  </si>
  <si>
    <t>a37fb0</t>
  </si>
  <si>
    <t>B6 73</t>
  </si>
  <si>
    <t>JBU73</t>
  </si>
  <si>
    <t>EDI</t>
  </si>
  <si>
    <t>EGPH</t>
  </si>
  <si>
    <t>N2199J</t>
  </si>
  <si>
    <t>a1de8d</t>
  </si>
  <si>
    <t>B6 206</t>
  </si>
  <si>
    <t>JBU206</t>
  </si>
  <si>
    <t>PQI</t>
  </si>
  <si>
    <t>KPQI</t>
  </si>
  <si>
    <t>N3077J</t>
  </si>
  <si>
    <t>a33ca9</t>
  </si>
  <si>
    <t>B6 1854</t>
  </si>
  <si>
    <t>JBU1854</t>
  </si>
  <si>
    <t>N3260J</t>
  </si>
  <si>
    <t>a386fb</t>
  </si>
  <si>
    <t>B6 2823</t>
  </si>
  <si>
    <t>JBU2823</t>
  </si>
  <si>
    <t>N615JB</t>
  </si>
  <si>
    <t>a8021b</t>
  </si>
  <si>
    <t>B6 820</t>
  </si>
  <si>
    <t>JBU820</t>
  </si>
  <si>
    <t>N520JB</t>
  </si>
  <si>
    <t>a689b8</t>
  </si>
  <si>
    <t>B6 195</t>
  </si>
  <si>
    <t>JBU195</t>
  </si>
  <si>
    <t>N608JB</t>
  </si>
  <si>
    <t>a7e5c1</t>
  </si>
  <si>
    <t>B6 923</t>
  </si>
  <si>
    <t>JBU923</t>
  </si>
  <si>
    <t>N991JT</t>
  </si>
  <si>
    <t>add734</t>
  </si>
  <si>
    <t>B6 1902</t>
  </si>
  <si>
    <t>JBU1902</t>
  </si>
  <si>
    <t>N995JL</t>
  </si>
  <si>
    <t>ade609</t>
  </si>
  <si>
    <t>B6 1195</t>
  </si>
  <si>
    <t>JBU1195</t>
  </si>
  <si>
    <t>N3139J</t>
  </si>
  <si>
    <t>a35592</t>
  </si>
  <si>
    <t>B6 1186</t>
  </si>
  <si>
    <t>JBU1186</t>
  </si>
  <si>
    <t>ROC</t>
  </si>
  <si>
    <t>KROC</t>
  </si>
  <si>
    <t>N571JB</t>
  </si>
  <si>
    <t>a752ea</t>
  </si>
  <si>
    <t>B6 591</t>
  </si>
  <si>
    <t>JBU591</t>
  </si>
  <si>
    <t>N564JB</t>
  </si>
  <si>
    <t>a73690</t>
  </si>
  <si>
    <t>B6 2261</t>
  </si>
  <si>
    <t>JBU2261</t>
  </si>
  <si>
    <t>MAD</t>
  </si>
  <si>
    <t>LEMD</t>
  </si>
  <si>
    <t>N4048J</t>
  </si>
  <si>
    <t>a4bef6</t>
  </si>
  <si>
    <t>B6 308</t>
  </si>
  <si>
    <t>JBU308</t>
  </si>
  <si>
    <t>PWM</t>
  </si>
  <si>
    <t>KPWM</t>
  </si>
  <si>
    <t>N834JB</t>
  </si>
  <si>
    <t>ab6800</t>
  </si>
  <si>
    <t>B6 1516</t>
  </si>
  <si>
    <t>JBU1516</t>
  </si>
  <si>
    <t>N3138J</t>
  </si>
  <si>
    <t>a3556f</t>
  </si>
  <si>
    <t>B6 413</t>
  </si>
  <si>
    <t>JBU413</t>
  </si>
  <si>
    <t>N943JT</t>
  </si>
  <si>
    <t>ad1927</t>
  </si>
  <si>
    <t>B6 675</t>
  </si>
  <si>
    <t>JBU675</t>
  </si>
  <si>
    <t>N561JB</t>
  </si>
  <si>
    <t>a72b6b</t>
  </si>
  <si>
    <t>B6 1318</t>
  </si>
  <si>
    <t>JBU1318</t>
  </si>
  <si>
    <t>N729JB</t>
  </si>
  <si>
    <t>a9c5c5</t>
  </si>
  <si>
    <t>B6 470</t>
  </si>
  <si>
    <t>JBU470</t>
  </si>
  <si>
    <t>N658JB</t>
  </si>
  <si>
    <t>a8ab3c</t>
  </si>
  <si>
    <t>B6 1323</t>
  </si>
  <si>
    <t>JBU1323</t>
  </si>
  <si>
    <t>N630JB</t>
  </si>
  <si>
    <t>Signal lost</t>
  </si>
  <si>
    <t>a83e86</t>
  </si>
  <si>
    <t>B6 331</t>
  </si>
  <si>
    <t>JBU331</t>
  </si>
  <si>
    <t>MXP</t>
  </si>
  <si>
    <t>LIMC</t>
  </si>
  <si>
    <t>N4062J</t>
  </si>
  <si>
    <t>a4c592</t>
  </si>
  <si>
    <t>B6 955</t>
  </si>
  <si>
    <t>JBU955</t>
  </si>
  <si>
    <t>B6 1079</t>
  </si>
  <si>
    <t>JBU1079</t>
  </si>
  <si>
    <t>N2188J</t>
  </si>
  <si>
    <t>a1dab3</t>
  </si>
  <si>
    <t>B6 2120</t>
  </si>
  <si>
    <t>JBU2120</t>
  </si>
  <si>
    <t>SAN</t>
  </si>
  <si>
    <t>KSAN</t>
  </si>
  <si>
    <t>N986JB</t>
  </si>
  <si>
    <t>adc238</t>
  </si>
  <si>
    <t>B6 1620</t>
  </si>
  <si>
    <t>JBU1620</t>
  </si>
  <si>
    <t>N4080J</t>
  </si>
  <si>
    <t>a4ccba</t>
  </si>
  <si>
    <t>B6 16</t>
  </si>
  <si>
    <t>JBU16</t>
  </si>
  <si>
    <t>N962JT</t>
  </si>
  <si>
    <t>ad646e</t>
  </si>
  <si>
    <t>B6 188</t>
  </si>
  <si>
    <t>JBU188</t>
  </si>
  <si>
    <t>N2156J</t>
  </si>
  <si>
    <t>a1cf48</t>
  </si>
  <si>
    <t>B6 1897</t>
  </si>
  <si>
    <t>JBU1897</t>
  </si>
  <si>
    <t>N3221J</t>
  </si>
  <si>
    <t>a37842</t>
  </si>
  <si>
    <t>B6 1574</t>
  </si>
  <si>
    <t>JBU1574</t>
  </si>
  <si>
    <t>N946JL</t>
  </si>
  <si>
    <t>ad2445</t>
  </si>
  <si>
    <t>B6 1536</t>
  </si>
  <si>
    <t>JBU1536</t>
  </si>
  <si>
    <t>N827JB</t>
  </si>
  <si>
    <t>ab4ba6</t>
  </si>
  <si>
    <t>B6 193</t>
  </si>
  <si>
    <t>JBU193</t>
  </si>
  <si>
    <t>N655JB</t>
  </si>
  <si>
    <t>a8a017</t>
  </si>
  <si>
    <t>B6 1128</t>
  </si>
  <si>
    <t>JBU1128</t>
  </si>
  <si>
    <t>N633JB</t>
  </si>
  <si>
    <t>a849ab</t>
  </si>
  <si>
    <t>B6 1190</t>
  </si>
  <si>
    <t>JBU1190</t>
  </si>
  <si>
    <t>N984JB</t>
  </si>
  <si>
    <t>adbaca</t>
  </si>
  <si>
    <t>B6 2008</t>
  </si>
  <si>
    <t>JBU2008</t>
  </si>
  <si>
    <t>N3258J</t>
  </si>
  <si>
    <t>a3845c</t>
  </si>
  <si>
    <t>B6 1524</t>
  </si>
  <si>
    <t>JBU1524</t>
  </si>
  <si>
    <t>N2142J</t>
  </si>
  <si>
    <t>a1cb05</t>
  </si>
  <si>
    <t>B6 134</t>
  </si>
  <si>
    <t>JBU134</t>
  </si>
  <si>
    <t>N989JT</t>
  </si>
  <si>
    <t>adcd6d</t>
  </si>
  <si>
    <t>B6 66</t>
  </si>
  <si>
    <t>JBU66</t>
  </si>
  <si>
    <t>ABQ</t>
  </si>
  <si>
    <t>KABQ</t>
  </si>
  <si>
    <t>N715JB</t>
  </si>
  <si>
    <t>a98f6a</t>
  </si>
  <si>
    <t>B6 1400</t>
  </si>
  <si>
    <t>JBU1400</t>
  </si>
  <si>
    <t>N942JB</t>
  </si>
  <si>
    <t>ad1560</t>
  </si>
  <si>
    <t>B6 608</t>
  </si>
  <si>
    <t>JBU608</t>
  </si>
  <si>
    <t>N964JT</t>
  </si>
  <si>
    <t>ad6bdc</t>
  </si>
  <si>
    <t>B6 454</t>
  </si>
  <si>
    <t>JBU454</t>
  </si>
  <si>
    <t>ONT</t>
  </si>
  <si>
    <t>KONT</t>
  </si>
  <si>
    <t>N3255J</t>
  </si>
  <si>
    <t>a383f3</t>
  </si>
  <si>
    <t>B6 1488</t>
  </si>
  <si>
    <t>JBU1488</t>
  </si>
  <si>
    <t>N2205J</t>
  </si>
  <si>
    <t>a1e411</t>
  </si>
  <si>
    <t>B6 264</t>
  </si>
  <si>
    <t>JBU264</t>
  </si>
  <si>
    <t>N618JB</t>
  </si>
  <si>
    <t>a80d40</t>
  </si>
  <si>
    <t>B6 372</t>
  </si>
  <si>
    <t>JBU372</t>
  </si>
  <si>
    <t>SLC</t>
  </si>
  <si>
    <t>KSLC</t>
  </si>
  <si>
    <t>N3169J</t>
  </si>
  <si>
    <t>a360b7</t>
  </si>
  <si>
    <t>B6 278</t>
  </si>
  <si>
    <t>JBU278</t>
  </si>
  <si>
    <t>N985JT</t>
  </si>
  <si>
    <t>adbe91</t>
  </si>
  <si>
    <t>B6 359</t>
  </si>
  <si>
    <t>JBU359</t>
  </si>
  <si>
    <t>BUR</t>
  </si>
  <si>
    <t>KBUR</t>
  </si>
  <si>
    <t>N3189J</t>
  </si>
  <si>
    <t>a36825</t>
  </si>
  <si>
    <t>B6 948</t>
  </si>
  <si>
    <t>JBU948</t>
  </si>
  <si>
    <t>N979JT</t>
  </si>
  <si>
    <t>ada5ee</t>
  </si>
  <si>
    <t>B6 1024</t>
  </si>
  <si>
    <t>JBU1024</t>
  </si>
  <si>
    <t>N2169J</t>
  </si>
  <si>
    <t>a1d368</t>
  </si>
  <si>
    <t>B6 604</t>
  </si>
  <si>
    <t>JBU604</t>
  </si>
  <si>
    <t>YVR</t>
  </si>
  <si>
    <t>CYVR</t>
  </si>
  <si>
    <t>N981JT</t>
  </si>
  <si>
    <t>adafb5</t>
  </si>
  <si>
    <t>B6 162</t>
  </si>
  <si>
    <t>JBU162</t>
  </si>
  <si>
    <t>SMF</t>
  </si>
  <si>
    <t>KSMF</t>
  </si>
  <si>
    <t>N970JB</t>
  </si>
  <si>
    <t>ad846f</t>
  </si>
  <si>
    <t>B6 178</t>
  </si>
  <si>
    <t>JBU178</t>
  </si>
  <si>
    <t>B6 398</t>
  </si>
  <si>
    <t>JBU398</t>
  </si>
  <si>
    <t>B6 616</t>
  </si>
  <si>
    <t>JBU616</t>
  </si>
  <si>
    <t>N987JT</t>
  </si>
  <si>
    <t>adc5ff</t>
  </si>
  <si>
    <t>B6 2220</t>
  </si>
  <si>
    <t>JBU2220</t>
  </si>
  <si>
    <t>N4077J</t>
  </si>
  <si>
    <t>a4c9f8</t>
  </si>
  <si>
    <t>B6 1224</t>
  </si>
  <si>
    <t>JBU1224</t>
  </si>
  <si>
    <t>B6 1621</t>
  </si>
  <si>
    <t>JBU1621</t>
  </si>
  <si>
    <t>B6 332</t>
  </si>
  <si>
    <t>JBU332</t>
  </si>
  <si>
    <t>B6 768</t>
  </si>
  <si>
    <t>JBU768</t>
  </si>
  <si>
    <t>N956JT</t>
  </si>
  <si>
    <t>ad4bcb</t>
  </si>
  <si>
    <t>B6 717</t>
  </si>
  <si>
    <t>JBU717</t>
  </si>
  <si>
    <t>B6 34</t>
  </si>
  <si>
    <t>JBU34</t>
  </si>
  <si>
    <t>B6 32</t>
  </si>
  <si>
    <t>JBU32</t>
  </si>
  <si>
    <t>B6 505</t>
  </si>
  <si>
    <t>JBU505</t>
  </si>
  <si>
    <t>B6 884</t>
  </si>
  <si>
    <t>JBU884</t>
  </si>
  <si>
    <t>N952JB</t>
  </si>
  <si>
    <t>ad3cdf</t>
  </si>
  <si>
    <t>B6 207</t>
  </si>
  <si>
    <t>JBU207</t>
  </si>
  <si>
    <t>B6 1198</t>
  </si>
  <si>
    <t>JBU1198</t>
  </si>
  <si>
    <t>B6 234</t>
  </si>
  <si>
    <t>JBU234</t>
  </si>
  <si>
    <t>SJU</t>
  </si>
  <si>
    <t>TJSJ</t>
  </si>
  <si>
    <t>N598JB</t>
  </si>
  <si>
    <t>a7bbe9</t>
  </si>
  <si>
    <t>B6 1515</t>
  </si>
  <si>
    <t>JBU1515</t>
  </si>
  <si>
    <t>B6 455</t>
  </si>
  <si>
    <t>JBU455</t>
  </si>
  <si>
    <t>N3284J</t>
  </si>
  <si>
    <t>a38ef5</t>
  </si>
  <si>
    <t>B6 302</t>
  </si>
  <si>
    <t>JBU302</t>
  </si>
  <si>
    <t>B6 1484</t>
  </si>
  <si>
    <t>JBU1484</t>
  </si>
  <si>
    <t>N3251J</t>
  </si>
  <si>
    <t>a38367</t>
  </si>
  <si>
    <t>B6 1896</t>
  </si>
  <si>
    <t>JBU1896</t>
  </si>
  <si>
    <t>B6 307</t>
  </si>
  <si>
    <t>JBU307</t>
  </si>
  <si>
    <t>B6 2904</t>
  </si>
  <si>
    <t>JBU2904</t>
  </si>
  <si>
    <t>N950JT</t>
  </si>
  <si>
    <t>ad3581</t>
  </si>
  <si>
    <t>B6 379</t>
  </si>
  <si>
    <t>JBU379</t>
  </si>
  <si>
    <t>N552JB</t>
  </si>
  <si>
    <t>a707a3</t>
  </si>
  <si>
    <t>B6 1368</t>
  </si>
  <si>
    <t>JBU1368</t>
  </si>
  <si>
    <t>N809JB</t>
  </si>
  <si>
    <t>ab0416</t>
  </si>
  <si>
    <t>B6 115</t>
  </si>
  <si>
    <t>JBU115</t>
  </si>
  <si>
    <t>N988JT</t>
  </si>
  <si>
    <t>adc9b6</t>
  </si>
  <si>
    <t>B6 287</t>
  </si>
  <si>
    <t>JBU287</t>
  </si>
  <si>
    <t>N947JB</t>
  </si>
  <si>
    <t>ad27f3</t>
  </si>
  <si>
    <t>B6 577</t>
  </si>
  <si>
    <t>JBU577</t>
  </si>
  <si>
    <t>N935JB</t>
  </si>
  <si>
    <t>acf906</t>
  </si>
  <si>
    <t>B6 123</t>
  </si>
  <si>
    <t>JBU123</t>
  </si>
  <si>
    <t>N945JT</t>
  </si>
  <si>
    <t>ad2095</t>
  </si>
  <si>
    <t>B6 730</t>
  </si>
  <si>
    <t>JBU730</t>
  </si>
  <si>
    <t>N712JB</t>
  </si>
  <si>
    <t>a98445</t>
  </si>
  <si>
    <t>B6 160</t>
  </si>
  <si>
    <t>JBU160</t>
  </si>
  <si>
    <t>B6 1471</t>
  </si>
  <si>
    <t>JBU1471</t>
  </si>
  <si>
    <t>B6 690</t>
  </si>
  <si>
    <t>JBU690</t>
  </si>
  <si>
    <t>N559JB</t>
  </si>
  <si>
    <t>a721a4</t>
  </si>
  <si>
    <t>B6 189</t>
  </si>
  <si>
    <t>JBU189</t>
  </si>
  <si>
    <t>N967JT</t>
  </si>
  <si>
    <t>ad7701</t>
  </si>
  <si>
    <t>B6 1419</t>
  </si>
  <si>
    <t>JBU1419</t>
  </si>
  <si>
    <t>B6 1059</t>
  </si>
  <si>
    <t>JBU1059</t>
  </si>
  <si>
    <t>KIN</t>
  </si>
  <si>
    <t>MKJP</t>
  </si>
  <si>
    <t>B6 676</t>
  </si>
  <si>
    <t>JBU676</t>
  </si>
  <si>
    <t>B6 2769</t>
  </si>
  <si>
    <t>JBU2769</t>
  </si>
  <si>
    <t>B6 1537</t>
  </si>
  <si>
    <t>JBU1537</t>
  </si>
  <si>
    <t>N972JT</t>
  </si>
  <si>
    <t>ad8bed</t>
  </si>
  <si>
    <t>B6 351</t>
  </si>
  <si>
    <t>JBU351</t>
  </si>
  <si>
    <t>B6 1807</t>
  </si>
  <si>
    <t>JBU1807</t>
  </si>
  <si>
    <t>N3125J</t>
  </si>
  <si>
    <t>a3514f</t>
  </si>
  <si>
    <t>B6 254</t>
  </si>
  <si>
    <t>JBU254</t>
  </si>
  <si>
    <t>B6 172</t>
  </si>
  <si>
    <t>JBU172</t>
  </si>
  <si>
    <t>N807JB</t>
  </si>
  <si>
    <t>aafca8</t>
  </si>
  <si>
    <t>B6 1408</t>
  </si>
  <si>
    <t>JBU1408</t>
  </si>
  <si>
    <t>B6 842</t>
  </si>
  <si>
    <t>JBU842</t>
  </si>
  <si>
    <t>B6 1197</t>
  </si>
  <si>
    <t>JBU1197</t>
  </si>
  <si>
    <t>B6 1447</t>
  </si>
  <si>
    <t>JBU1447</t>
  </si>
  <si>
    <t>B6 753</t>
  </si>
  <si>
    <t>JBU753</t>
  </si>
  <si>
    <t>N580JB</t>
  </si>
  <si>
    <t>a776b2</t>
  </si>
  <si>
    <t>B6 165</t>
  </si>
  <si>
    <t>JBU165</t>
  </si>
  <si>
    <t>RSW</t>
  </si>
  <si>
    <t>KRSW</t>
  </si>
  <si>
    <t>N949JT</t>
  </si>
  <si>
    <t>ad2f71</t>
  </si>
  <si>
    <t>B6 2266</t>
  </si>
  <si>
    <t>JBU2266</t>
  </si>
  <si>
    <t>B6 1505</t>
  </si>
  <si>
    <t>JBU1505</t>
  </si>
  <si>
    <t>B6 1129</t>
  </si>
  <si>
    <t>JBU1129</t>
  </si>
  <si>
    <t>B6 1080</t>
  </si>
  <si>
    <t>JBU1080</t>
  </si>
  <si>
    <t>B6 569</t>
  </si>
  <si>
    <t>JBU569</t>
  </si>
  <si>
    <t>B6 1585</t>
  </si>
  <si>
    <t>JBU1585</t>
  </si>
  <si>
    <t>B6 1602</t>
  </si>
  <si>
    <t>JBU1602</t>
  </si>
  <si>
    <t>BUF</t>
  </si>
  <si>
    <t>KBUF</t>
  </si>
  <si>
    <t>N3232J</t>
  </si>
  <si>
    <t>a37c1c</t>
  </si>
  <si>
    <t>B6 2718</t>
  </si>
  <si>
    <t>JBU2718</t>
  </si>
  <si>
    <t>N3242J</t>
  </si>
  <si>
    <t>a37fd3</t>
  </si>
  <si>
    <t>B6 169</t>
  </si>
  <si>
    <t>JBU169</t>
  </si>
  <si>
    <t>N994JL</t>
  </si>
  <si>
    <t>ade252</t>
  </si>
  <si>
    <t>B6 691</t>
  </si>
  <si>
    <t>JBU691</t>
  </si>
  <si>
    <t>B6 209</t>
  </si>
  <si>
    <t>JBU209</t>
  </si>
  <si>
    <t>B6 953</t>
  </si>
  <si>
    <t>JBU953</t>
  </si>
  <si>
    <t>N2039J</t>
  </si>
  <si>
    <t>a1a0c4</t>
  </si>
  <si>
    <t>B6 2625</t>
  </si>
  <si>
    <t>JBU2625</t>
  </si>
  <si>
    <t>B6 1192</t>
  </si>
  <si>
    <t>JBU1192</t>
  </si>
  <si>
    <t>B6 2289</t>
  </si>
  <si>
    <t>JBU2289</t>
  </si>
  <si>
    <t>B6 1</t>
  </si>
  <si>
    <t>JBU1</t>
  </si>
  <si>
    <t>N2044J</t>
  </si>
  <si>
    <t>a1a3cc</t>
  </si>
  <si>
    <t>B6 523</t>
  </si>
  <si>
    <t>JBU523</t>
  </si>
  <si>
    <t>N2165J</t>
  </si>
  <si>
    <t>a1d2dc</t>
  </si>
  <si>
    <t>B6 2005</t>
  </si>
  <si>
    <t>JBU2005</t>
  </si>
  <si>
    <t>B6 959</t>
  </si>
  <si>
    <t>JBU959</t>
  </si>
  <si>
    <t>N519JB</t>
  </si>
  <si>
    <t>a683a8</t>
  </si>
  <si>
    <t>B6 513</t>
  </si>
  <si>
    <t>JBU513</t>
  </si>
  <si>
    <t>B6 20</t>
  </si>
  <si>
    <t>JBU20</t>
  </si>
  <si>
    <t>B6 477</t>
  </si>
  <si>
    <t>JBU477</t>
  </si>
  <si>
    <t>N3276J</t>
  </si>
  <si>
    <t>a38b84</t>
  </si>
  <si>
    <t>B6 1573</t>
  </si>
  <si>
    <t>JBU1573</t>
  </si>
  <si>
    <t>B6 1048</t>
  </si>
  <si>
    <t>JBU1048</t>
  </si>
  <si>
    <t>N708JB</t>
  </si>
  <si>
    <t>a97310</t>
  </si>
  <si>
    <t>B6 111</t>
  </si>
  <si>
    <t>JBU111</t>
  </si>
  <si>
    <t>N3229J</t>
  </si>
  <si>
    <t>a3795a</t>
  </si>
  <si>
    <t>B6 375</t>
  </si>
  <si>
    <t>JBU375</t>
  </si>
  <si>
    <t>B6 2489</t>
  </si>
  <si>
    <t>JBU2489</t>
  </si>
  <si>
    <t>B6 75</t>
  </si>
  <si>
    <t>JBU75</t>
  </si>
  <si>
    <t>N3023J</t>
  </si>
  <si>
    <t>a3298a</t>
  </si>
  <si>
    <t>B6 917</t>
  </si>
  <si>
    <t>JBU917</t>
  </si>
  <si>
    <t>B6 852</t>
  </si>
  <si>
    <t>JBU852</t>
  </si>
  <si>
    <t>N3113J</t>
  </si>
  <si>
    <t>a34d52</t>
  </si>
  <si>
    <t>B6 2282</t>
  </si>
  <si>
    <t>JBU2282</t>
  </si>
  <si>
    <t>B6 2423</t>
  </si>
  <si>
    <t>JBU2423</t>
  </si>
  <si>
    <t>N590JB</t>
  </si>
  <si>
    <t>a79e31</t>
  </si>
  <si>
    <t>B6 1577</t>
  </si>
  <si>
    <t>JBU1577</t>
  </si>
  <si>
    <t>B6 1551</t>
  </si>
  <si>
    <t>JBU1551</t>
  </si>
  <si>
    <t>N804JB</t>
  </si>
  <si>
    <t>aaf183</t>
  </si>
  <si>
    <t>B6 1285</t>
  </si>
  <si>
    <t>JBU1285</t>
  </si>
  <si>
    <t>B6 2995</t>
  </si>
  <si>
    <t>JBU2995</t>
  </si>
  <si>
    <t>B6 246</t>
  </si>
  <si>
    <t>JBU246</t>
  </si>
  <si>
    <t>B6 1301</t>
  </si>
  <si>
    <t>JBU1301</t>
  </si>
  <si>
    <t>B6 85</t>
  </si>
  <si>
    <t>JBU85</t>
  </si>
  <si>
    <t>N3272J</t>
  </si>
  <si>
    <t>a38af8</t>
  </si>
  <si>
    <t>B6 2272</t>
  </si>
  <si>
    <t>JBU2272</t>
  </si>
  <si>
    <t>B6 2380</t>
  </si>
  <si>
    <t>JBU2380</t>
  </si>
  <si>
    <t>B6 17</t>
  </si>
  <si>
    <t>JBU17</t>
  </si>
  <si>
    <t>B6 15</t>
  </si>
  <si>
    <t>JBU15</t>
  </si>
  <si>
    <t>N929JB</t>
  </si>
  <si>
    <t>ace063</t>
  </si>
  <si>
    <t>B6 72</t>
  </si>
  <si>
    <t>JBU72</t>
  </si>
  <si>
    <t>B6 1461</t>
  </si>
  <si>
    <t>JBU1461</t>
  </si>
  <si>
    <t>N3196J</t>
  </si>
  <si>
    <t>a36b73</t>
  </si>
  <si>
    <t>B6 226</t>
  </si>
  <si>
    <t>JBU226</t>
  </si>
  <si>
    <t>B6 664</t>
  </si>
  <si>
    <t>JBU664</t>
  </si>
  <si>
    <t>B6 1145</t>
  </si>
  <si>
    <t>JBU1145</t>
  </si>
  <si>
    <t>B6 411</t>
  </si>
  <si>
    <t>JBU411</t>
  </si>
  <si>
    <t>B6 1480</t>
  </si>
  <si>
    <t>JBU1480</t>
  </si>
  <si>
    <t>N649JB</t>
  </si>
  <si>
    <t>a88774</t>
  </si>
  <si>
    <t>B6 707</t>
  </si>
  <si>
    <t>JBU707</t>
  </si>
  <si>
    <t>B6 927</t>
  </si>
  <si>
    <t>JBU927</t>
  </si>
  <si>
    <t>B6 599</t>
  </si>
  <si>
    <t>JBU599</t>
  </si>
  <si>
    <t>N665JB</t>
  </si>
  <si>
    <t>a8c796</t>
  </si>
  <si>
    <t>B6 2260</t>
  </si>
  <si>
    <t>JBU2260</t>
  </si>
  <si>
    <t>B6 2024</t>
  </si>
  <si>
    <t>JBU2024</t>
  </si>
  <si>
    <t>N653JB</t>
  </si>
  <si>
    <t>a898a9</t>
  </si>
  <si>
    <t>B6 883</t>
  </si>
  <si>
    <t>JBU883</t>
  </si>
  <si>
    <t>N907JB</t>
  </si>
  <si>
    <t>ac89f7</t>
  </si>
  <si>
    <t>B6 346</t>
  </si>
  <si>
    <t>JBU346</t>
  </si>
  <si>
    <t>B6 57</t>
  </si>
  <si>
    <t>JBU57</t>
  </si>
  <si>
    <t>N974JT</t>
  </si>
  <si>
    <t>ad935b</t>
  </si>
  <si>
    <t>B6 280</t>
  </si>
  <si>
    <t>JBU280</t>
  </si>
  <si>
    <t>N775JB</t>
  </si>
  <si>
    <t>aa7c64</t>
  </si>
  <si>
    <t>B6 1062</t>
  </si>
  <si>
    <t>JBU1062</t>
  </si>
  <si>
    <t>N3142J</t>
  </si>
  <si>
    <t>a35854</t>
  </si>
  <si>
    <t>B6 1236</t>
  </si>
  <si>
    <t>JBU1236</t>
  </si>
  <si>
    <t>B6 1799</t>
  </si>
  <si>
    <t>JBU1799</t>
  </si>
  <si>
    <t>ORF</t>
  </si>
  <si>
    <t>KORF</t>
  </si>
  <si>
    <t>N629JB</t>
  </si>
  <si>
    <t>a83876</t>
  </si>
  <si>
    <t>B6 579</t>
  </si>
  <si>
    <t>JBU579</t>
  </si>
  <si>
    <t>B6 861</t>
  </si>
  <si>
    <t>JBU861</t>
  </si>
  <si>
    <t>B6 1067</t>
  </si>
  <si>
    <t>JBU1067</t>
  </si>
  <si>
    <t>N796JB</t>
  </si>
  <si>
    <t>aacf19</t>
  </si>
  <si>
    <t>B6 1626</t>
  </si>
  <si>
    <t>JBU1626</t>
  </si>
  <si>
    <t>N661JB</t>
  </si>
  <si>
    <t>a8b8ba</t>
  </si>
  <si>
    <t>B6 1797</t>
  </si>
  <si>
    <t>JBU1797</t>
  </si>
  <si>
    <t>B6 2083</t>
  </si>
  <si>
    <t>JBU2083</t>
  </si>
  <si>
    <t>B6 1822</t>
  </si>
  <si>
    <t>JBU1822</t>
  </si>
  <si>
    <t>B6 273</t>
  </si>
  <si>
    <t>JBU273</t>
  </si>
  <si>
    <t>B6 1159</t>
  </si>
  <si>
    <t>JBU1159</t>
  </si>
  <si>
    <t>N3298J</t>
  </si>
  <si>
    <t>a39338</t>
  </si>
  <si>
    <t>B6 594</t>
  </si>
  <si>
    <t>JBU594</t>
  </si>
  <si>
    <t>B6 109</t>
  </si>
  <si>
    <t>JBU109</t>
  </si>
  <si>
    <t>B6 1381</t>
  </si>
  <si>
    <t>JBU1381</t>
  </si>
  <si>
    <t>N3291J</t>
  </si>
  <si>
    <t>a39243</t>
  </si>
  <si>
    <t>B6 686</t>
  </si>
  <si>
    <t>JBU686</t>
  </si>
  <si>
    <t>N646JB</t>
  </si>
  <si>
    <t>a87c4f</t>
  </si>
  <si>
    <t>B6 1055</t>
  </si>
  <si>
    <t>JBU1055</t>
  </si>
  <si>
    <t>N3065J</t>
  </si>
  <si>
    <t>a338ac</t>
  </si>
  <si>
    <t>B6 633</t>
  </si>
  <si>
    <t>JBU633</t>
  </si>
  <si>
    <t>N2157J</t>
  </si>
  <si>
    <t>a1cf6b</t>
  </si>
  <si>
    <t>B6 21</t>
  </si>
  <si>
    <t>JBU21</t>
  </si>
  <si>
    <t>N998JE</t>
  </si>
  <si>
    <t>adf128</t>
  </si>
  <si>
    <t>B6 1347</t>
  </si>
  <si>
    <t>JBU1347</t>
  </si>
  <si>
    <t>N763JB</t>
  </si>
  <si>
    <t>aa4d77</t>
  </si>
  <si>
    <t>B6 905</t>
  </si>
  <si>
    <t>JBU905</t>
  </si>
  <si>
    <t>N3112J</t>
  </si>
  <si>
    <t>a34d2f</t>
  </si>
  <si>
    <t>B6 2033</t>
  </si>
  <si>
    <t>JBU2033</t>
  </si>
  <si>
    <t>B6 2179</t>
  </si>
  <si>
    <t>JBU2179</t>
  </si>
  <si>
    <t>N638JB</t>
  </si>
  <si>
    <t>a85c3e</t>
  </si>
  <si>
    <t>B6 8418</t>
  </si>
  <si>
    <t>JBU8418</t>
  </si>
  <si>
    <t>N978JB</t>
  </si>
  <si>
    <t>ada227</t>
  </si>
  <si>
    <t>B6 271</t>
  </si>
  <si>
    <t>JBU271</t>
  </si>
  <si>
    <t>N643JB</t>
  </si>
  <si>
    <t>a8712a</t>
  </si>
  <si>
    <t>B6 1263</t>
  </si>
  <si>
    <t>JBU1263</t>
  </si>
  <si>
    <t>TVC</t>
  </si>
  <si>
    <t>KTVC</t>
  </si>
  <si>
    <t>B6 1273</t>
  </si>
  <si>
    <t>JBU1273</t>
  </si>
  <si>
    <t>CHS</t>
  </si>
  <si>
    <t>KCHS</t>
  </si>
  <si>
    <t>B6 2695</t>
  </si>
  <si>
    <t>JBU2695</t>
  </si>
  <si>
    <t>N524JB</t>
  </si>
  <si>
    <t>a69894</t>
  </si>
  <si>
    <t>B6 276</t>
  </si>
  <si>
    <t>JBU276</t>
  </si>
  <si>
    <t>N632JB</t>
  </si>
  <si>
    <t>a845f4</t>
  </si>
  <si>
    <t>B6 2482</t>
  </si>
  <si>
    <t>JBU2482</t>
  </si>
  <si>
    <t>B6 1241</t>
  </si>
  <si>
    <t>JBU1241</t>
  </si>
  <si>
    <t>B6 1134</t>
  </si>
  <si>
    <t>JBU1134</t>
  </si>
  <si>
    <t>N794JB</t>
  </si>
  <si>
    <t>aac7ab</t>
  </si>
  <si>
    <t>B6 687</t>
  </si>
  <si>
    <t>JBU687</t>
  </si>
  <si>
    <t>B6 69</t>
  </si>
  <si>
    <t>JBU69</t>
  </si>
  <si>
    <t>N529JB</t>
  </si>
  <si>
    <t>a6ab27</t>
  </si>
  <si>
    <t>B6 1906</t>
  </si>
  <si>
    <t>JBU1906</t>
  </si>
  <si>
    <t>B6 2229</t>
  </si>
  <si>
    <t>JBU2229</t>
  </si>
  <si>
    <t>MKE</t>
  </si>
  <si>
    <t>KMKE</t>
  </si>
  <si>
    <t>B6 105</t>
  </si>
  <si>
    <t>JBU105</t>
  </si>
  <si>
    <t>N760JB</t>
  </si>
  <si>
    <t>aa4252</t>
  </si>
  <si>
    <t>B6 1231</t>
  </si>
  <si>
    <t>JBU1231</t>
  </si>
  <si>
    <t>VRB</t>
  </si>
  <si>
    <t>KVRB</t>
  </si>
  <si>
    <t>N3271J</t>
  </si>
  <si>
    <t>a38ad5</t>
  </si>
  <si>
    <t>B6 837</t>
  </si>
  <si>
    <t>JBU837</t>
  </si>
  <si>
    <t>B6 848</t>
  </si>
  <si>
    <t>JBU848</t>
  </si>
  <si>
    <t>B6 2041</t>
  </si>
  <si>
    <t>JBU2041</t>
  </si>
  <si>
    <t>N3296J</t>
  </si>
  <si>
    <t>a392f2</t>
  </si>
  <si>
    <t>B6 323</t>
  </si>
  <si>
    <t>JBU323</t>
  </si>
  <si>
    <t>B6 724</t>
  </si>
  <si>
    <t>JBU724</t>
  </si>
  <si>
    <t>B6 203</t>
  </si>
  <si>
    <t>JBU203</t>
  </si>
  <si>
    <t>BDA</t>
  </si>
  <si>
    <t>TXKF</t>
  </si>
  <si>
    <t>N3307J</t>
  </si>
  <si>
    <t>a39925</t>
  </si>
  <si>
    <t>B6 2121</t>
  </si>
  <si>
    <t>JBU2121</t>
  </si>
  <si>
    <t>N3195J</t>
  </si>
  <si>
    <t>a36b50</t>
  </si>
  <si>
    <t>B6 1107</t>
  </si>
  <si>
    <t>JBU1107</t>
  </si>
  <si>
    <t>N4022J</t>
  </si>
  <si>
    <t>a4b6b6</t>
  </si>
  <si>
    <t>B6 2547</t>
  </si>
  <si>
    <t>JBU2547</t>
  </si>
  <si>
    <t>N531JL</t>
  </si>
  <si>
    <t>a6b4f7</t>
  </si>
  <si>
    <t>B6 1002</t>
  </si>
  <si>
    <t>JBU1002</t>
  </si>
  <si>
    <t>N958JB</t>
  </si>
  <si>
    <t>ad5329</t>
  </si>
  <si>
    <t>B6 554</t>
  </si>
  <si>
    <t>JBU554</t>
  </si>
  <si>
    <t>B6 2348</t>
  </si>
  <si>
    <t>JBU2348</t>
  </si>
  <si>
    <t>N993JE</t>
  </si>
  <si>
    <t>adde95</t>
  </si>
  <si>
    <t>B6 2074</t>
  </si>
  <si>
    <t>JBU2074</t>
  </si>
  <si>
    <t>B6 716</t>
  </si>
  <si>
    <t>JBU716</t>
  </si>
  <si>
    <t>B6 297</t>
  </si>
  <si>
    <t>JBU297</t>
  </si>
  <si>
    <t>B6 116</t>
  </si>
  <si>
    <t>JBU116</t>
  </si>
  <si>
    <t>B6 567</t>
  </si>
  <si>
    <t>JBU567</t>
  </si>
  <si>
    <t>B6 2154</t>
  </si>
  <si>
    <t>JBU2154</t>
  </si>
  <si>
    <t>N612JB</t>
  </si>
  <si>
    <t>a7f6f6</t>
  </si>
  <si>
    <t>B6 1111</t>
  </si>
  <si>
    <t>JBU1111</t>
  </si>
  <si>
    <t>B6 1215</t>
  </si>
  <si>
    <t>JBU1215</t>
  </si>
  <si>
    <t>B6 1281</t>
  </si>
  <si>
    <t>JBU1281</t>
  </si>
  <si>
    <t>N595JB</t>
  </si>
  <si>
    <t>a7b0c4</t>
  </si>
  <si>
    <t>B6 1286</t>
  </si>
  <si>
    <t>JBU1286</t>
  </si>
  <si>
    <t>B6 94</t>
  </si>
  <si>
    <t>JBU94</t>
  </si>
  <si>
    <t>B6 117</t>
  </si>
  <si>
    <t>JBU117</t>
  </si>
  <si>
    <t>POS</t>
  </si>
  <si>
    <t>TTPP</t>
  </si>
  <si>
    <t>B6 979</t>
  </si>
  <si>
    <t>JBU979</t>
  </si>
  <si>
    <t>N599JB</t>
  </si>
  <si>
    <t>a7bfa0</t>
  </si>
  <si>
    <t>B6 662</t>
  </si>
  <si>
    <t>JBU662</t>
  </si>
  <si>
    <t>N2084J</t>
  </si>
  <si>
    <t>a1b2a8</t>
  </si>
  <si>
    <t>B6 350</t>
  </si>
  <si>
    <t>JBU350</t>
  </si>
  <si>
    <t>B6 374</t>
  </si>
  <si>
    <t>JBU374</t>
  </si>
  <si>
    <t>B6 2091</t>
  </si>
  <si>
    <t>JBU2091</t>
  </si>
  <si>
    <t>ACK</t>
  </si>
  <si>
    <t>KACK</t>
  </si>
  <si>
    <t>B6 1077</t>
  </si>
  <si>
    <t>JBU1077</t>
  </si>
  <si>
    <t>N657JB</t>
  </si>
  <si>
    <t>a8a785</t>
  </si>
  <si>
    <t>B6 310</t>
  </si>
  <si>
    <t>JBU310</t>
  </si>
  <si>
    <t>N954JB</t>
  </si>
  <si>
    <t>ad444d</t>
  </si>
  <si>
    <t>B6 393</t>
  </si>
  <si>
    <t>JBU393</t>
  </si>
  <si>
    <t>DEN</t>
  </si>
  <si>
    <t>KDEN</t>
  </si>
  <si>
    <t>N3157J</t>
  </si>
  <si>
    <t>a35cba</t>
  </si>
  <si>
    <t>B6 1188</t>
  </si>
  <si>
    <t>JBU1188</t>
  </si>
  <si>
    <t>N2043J</t>
  </si>
  <si>
    <t>a1a3a9</t>
  </si>
  <si>
    <t>B6 1097</t>
  </si>
  <si>
    <t>JBU1097</t>
  </si>
  <si>
    <t>B6 1042</t>
  </si>
  <si>
    <t>JBU1042</t>
  </si>
  <si>
    <t>N505JB</t>
  </si>
  <si>
    <t>a64d4d</t>
  </si>
  <si>
    <t>B6 452</t>
  </si>
  <si>
    <t>JBU452</t>
  </si>
  <si>
    <t>N999JQ</t>
  </si>
  <si>
    <t>adf4e9</t>
  </si>
  <si>
    <t>B6 223</t>
  </si>
  <si>
    <t>JBU223</t>
  </si>
  <si>
    <t>B6 215</t>
  </si>
  <si>
    <t>JBU215</t>
  </si>
  <si>
    <t>B6 255</t>
  </si>
  <si>
    <t>JBU255</t>
  </si>
  <si>
    <t>B6 2801</t>
  </si>
  <si>
    <t>JBU2801</t>
  </si>
  <si>
    <t>B6 1018</t>
  </si>
  <si>
    <t>JBU1018</t>
  </si>
  <si>
    <t>B6 503</t>
  </si>
  <si>
    <t>JBU503</t>
  </si>
  <si>
    <t>N975JT</t>
  </si>
  <si>
    <t>ad9712</t>
  </si>
  <si>
    <t>B6 2821</t>
  </si>
  <si>
    <t>JBU2821</t>
  </si>
  <si>
    <t>N934JB</t>
  </si>
  <si>
    <t>acf54f</t>
  </si>
  <si>
    <t>B6 384</t>
  </si>
  <si>
    <t>JBU384</t>
  </si>
  <si>
    <t>B6 1520</t>
  </si>
  <si>
    <t>JBU1520</t>
  </si>
  <si>
    <t>B6 1869</t>
  </si>
  <si>
    <t>JBU1869</t>
  </si>
  <si>
    <t>B6 872</t>
  </si>
  <si>
    <t>JBU872</t>
  </si>
  <si>
    <t>N592JB</t>
  </si>
  <si>
    <t>a7a59f</t>
  </si>
  <si>
    <t>B6 1340</t>
  </si>
  <si>
    <t>JBU1340</t>
  </si>
  <si>
    <t>N3152J</t>
  </si>
  <si>
    <t>a35c0b</t>
  </si>
  <si>
    <t>B6 1851</t>
  </si>
  <si>
    <t>JBU1851</t>
  </si>
  <si>
    <t>N997JL</t>
  </si>
  <si>
    <t>aded77</t>
  </si>
  <si>
    <t>B6 813</t>
  </si>
  <si>
    <t>JBU813</t>
  </si>
  <si>
    <t>B6 219</t>
  </si>
  <si>
    <t>JBU219</t>
  </si>
  <si>
    <t>B6 1742</t>
  </si>
  <si>
    <t>JBU1742</t>
  </si>
  <si>
    <t>B6 2355</t>
  </si>
  <si>
    <t>JBU2355</t>
  </si>
  <si>
    <t>B6 1017</t>
  </si>
  <si>
    <t>JBU1017</t>
  </si>
  <si>
    <t>N3104J</t>
  </si>
  <si>
    <t>a349be</t>
  </si>
  <si>
    <t>B6 658</t>
  </si>
  <si>
    <t>JBU658</t>
  </si>
  <si>
    <t>N983JT</t>
  </si>
  <si>
    <t>adb723</t>
  </si>
  <si>
    <t>B6 737</t>
  </si>
  <si>
    <t>JBU737</t>
  </si>
  <si>
    <t>N565JB</t>
  </si>
  <si>
    <t>a73a47</t>
  </si>
  <si>
    <t>B6 2371</t>
  </si>
  <si>
    <t>JBU2371</t>
  </si>
  <si>
    <t>B6 1889</t>
  </si>
  <si>
    <t>JBU1889</t>
  </si>
  <si>
    <t>N652JB</t>
  </si>
  <si>
    <t>a894f2</t>
  </si>
  <si>
    <t>B6 135</t>
  </si>
  <si>
    <t>JBU135</t>
  </si>
  <si>
    <t>PHX</t>
  </si>
  <si>
    <t>KPHX</t>
  </si>
  <si>
    <t>B6 833</t>
  </si>
  <si>
    <t>JBU833</t>
  </si>
  <si>
    <t>N980JT</t>
  </si>
  <si>
    <t>adabfe</t>
  </si>
  <si>
    <t>B6 124</t>
  </si>
  <si>
    <t>JBU124</t>
  </si>
  <si>
    <t>N992JB</t>
  </si>
  <si>
    <t>addadb</t>
  </si>
  <si>
    <t>B6 588</t>
  </si>
  <si>
    <t>JBU588</t>
  </si>
  <si>
    <t>ORH</t>
  </si>
  <si>
    <t>KORH</t>
  </si>
  <si>
    <t>B6 1033</t>
  </si>
  <si>
    <t>JBU1033</t>
  </si>
  <si>
    <t>N613JB</t>
  </si>
  <si>
    <t>a7faad</t>
  </si>
  <si>
    <t>B6 1737</t>
  </si>
  <si>
    <t>JBU1737</t>
  </si>
  <si>
    <t>N973JT</t>
  </si>
  <si>
    <t>ad8fa4</t>
  </si>
  <si>
    <t>B6 1439</t>
  </si>
  <si>
    <t>JBU1439</t>
  </si>
  <si>
    <t>B6 1601</t>
  </si>
  <si>
    <t>JBU1601</t>
  </si>
  <si>
    <t>N589JB</t>
  </si>
  <si>
    <t>a79821</t>
  </si>
  <si>
    <t>B6 2276</t>
  </si>
  <si>
    <t>JBU2276</t>
  </si>
  <si>
    <t>B6 1806</t>
  </si>
  <si>
    <t>JBU1806</t>
  </si>
  <si>
    <t>B6 627</t>
  </si>
  <si>
    <t>JBU627</t>
  </si>
  <si>
    <t>N3058J</t>
  </si>
  <si>
    <t>a3355e</t>
  </si>
  <si>
    <t>B6 552</t>
  </si>
  <si>
    <t>JBU552</t>
  </si>
  <si>
    <t>N903JB</t>
  </si>
  <si>
    <t>ac7b1b</t>
  </si>
  <si>
    <t>B6 511</t>
  </si>
  <si>
    <t>JBU511</t>
  </si>
  <si>
    <t>N966JT</t>
  </si>
  <si>
    <t>ad734a</t>
  </si>
  <si>
    <t>B6 401</t>
  </si>
  <si>
    <t>JBU401</t>
  </si>
  <si>
    <t>B6 183</t>
  </si>
  <si>
    <t>JBU183</t>
  </si>
  <si>
    <t>B6 288</t>
  </si>
  <si>
    <t>JBU288</t>
  </si>
  <si>
    <t>B6 270</t>
  </si>
  <si>
    <t>JBU270</t>
  </si>
  <si>
    <t>N905JB</t>
  </si>
  <si>
    <t>ac8289</t>
  </si>
  <si>
    <t>B6 1009</t>
  </si>
  <si>
    <t>JBU1009</t>
  </si>
  <si>
    <t>B6 438</t>
  </si>
  <si>
    <t>JBU438</t>
  </si>
  <si>
    <t>B6 1375</t>
  </si>
  <si>
    <t>JBU1375</t>
  </si>
  <si>
    <t>B6 1177</t>
  </si>
  <si>
    <t>JBU1177</t>
  </si>
  <si>
    <t>N977JE</t>
  </si>
  <si>
    <t>ad9e73</t>
  </si>
  <si>
    <t>B6 2285</t>
  </si>
  <si>
    <t>JBU2285</t>
  </si>
  <si>
    <t>N3118J</t>
  </si>
  <si>
    <t>a34e01</t>
  </si>
  <si>
    <t>B6 2352</t>
  </si>
  <si>
    <t>JBU2352</t>
  </si>
  <si>
    <t>B6 478</t>
  </si>
  <si>
    <t>JBU478</t>
  </si>
  <si>
    <t>B6 341</t>
  </si>
  <si>
    <t>JBU341</t>
  </si>
  <si>
    <t>SAV</t>
  </si>
  <si>
    <t>KSAV</t>
  </si>
  <si>
    <t>N591JB</t>
  </si>
  <si>
    <t>a7a1e8</t>
  </si>
  <si>
    <t>B6 2548</t>
  </si>
  <si>
    <t>JBU2548</t>
  </si>
  <si>
    <t>B6 279</t>
  </si>
  <si>
    <t>JBU279</t>
  </si>
  <si>
    <t>B6 1698</t>
  </si>
  <si>
    <t>JBU1698</t>
  </si>
  <si>
    <t>B6 651</t>
  </si>
  <si>
    <t>JBU651</t>
  </si>
  <si>
    <t>N913JB</t>
  </si>
  <si>
    <t>aca29a</t>
  </si>
  <si>
    <t>B6 2493</t>
  </si>
  <si>
    <t>JBU2493</t>
  </si>
  <si>
    <t>B6 854</t>
  </si>
  <si>
    <t>JBU854</t>
  </si>
  <si>
    <t>B6 2334</t>
  </si>
  <si>
    <t>JBU2334</t>
  </si>
  <si>
    <t>B6 1365</t>
  </si>
  <si>
    <t>JBU1365</t>
  </si>
  <si>
    <t>B6 385</t>
  </si>
  <si>
    <t>JBU385</t>
  </si>
  <si>
    <t>N3304J</t>
  </si>
  <si>
    <t>a398bc</t>
  </si>
  <si>
    <t>B6 2433</t>
  </si>
  <si>
    <t>JBU2433</t>
  </si>
  <si>
    <t>B6 112</t>
  </si>
  <si>
    <t>JBU112</t>
  </si>
  <si>
    <t>B6 524</t>
  </si>
  <si>
    <t>JBU524</t>
  </si>
  <si>
    <t>N969JT</t>
  </si>
  <si>
    <t>ad7e6f</t>
  </si>
  <si>
    <t>B6 1160</t>
  </si>
  <si>
    <t>JBU1160</t>
  </si>
  <si>
    <t>B6 1167</t>
  </si>
  <si>
    <t>JBU1167</t>
  </si>
  <si>
    <t>N806JB</t>
  </si>
  <si>
    <t>aaf8f1</t>
  </si>
  <si>
    <t>B6 2049</t>
  </si>
  <si>
    <t>JBU2049</t>
  </si>
  <si>
    <t>B6 1552</t>
  </si>
  <si>
    <t>JBU1552</t>
  </si>
  <si>
    <t>B6 423</t>
  </si>
  <si>
    <t>JBU423</t>
  </si>
  <si>
    <t>B6 225</t>
  </si>
  <si>
    <t>JBU225</t>
  </si>
  <si>
    <t>N556JB</t>
  </si>
  <si>
    <t>a7167f</t>
  </si>
  <si>
    <t>B6 316</t>
  </si>
  <si>
    <t>JBU316</t>
  </si>
  <si>
    <t>B6 521</t>
  </si>
  <si>
    <t>JBU521</t>
  </si>
  <si>
    <t>B6 2448</t>
  </si>
  <si>
    <t>JBU2448</t>
  </si>
  <si>
    <t>B6 1060</t>
  </si>
  <si>
    <t>JBU1060</t>
  </si>
  <si>
    <t>B6 1784</t>
  </si>
  <si>
    <t>JBU1784</t>
  </si>
  <si>
    <t>B6 791</t>
  </si>
  <si>
    <t>JBU791</t>
  </si>
  <si>
    <t>B6 119</t>
  </si>
  <si>
    <t>JBU119</t>
  </si>
  <si>
    <t>B6 1117</t>
  </si>
  <si>
    <t>JBU1117</t>
  </si>
  <si>
    <t>B6 1457</t>
  </si>
  <si>
    <t>JBU1457</t>
  </si>
  <si>
    <t>B6 729</t>
  </si>
  <si>
    <t>JBU729</t>
  </si>
  <si>
    <t>B6 2454</t>
  </si>
  <si>
    <t>JBU2454</t>
  </si>
  <si>
    <t>B6 2028</t>
  </si>
  <si>
    <t>JBU2028</t>
  </si>
  <si>
    <t>N508JL</t>
  </si>
  <si>
    <t>a6587b</t>
  </si>
  <si>
    <t>B6 2474</t>
  </si>
  <si>
    <t>JBU2474</t>
  </si>
  <si>
    <t>B6 1553</t>
  </si>
  <si>
    <t>JBU1553</t>
  </si>
  <si>
    <t>B6 92</t>
  </si>
  <si>
    <t>JBU92</t>
  </si>
  <si>
    <t>B6 1611</t>
  </si>
  <si>
    <t>JBU1611</t>
  </si>
  <si>
    <t>B6 39</t>
  </si>
  <si>
    <t>JBU39</t>
  </si>
  <si>
    <t>SJO</t>
  </si>
  <si>
    <t>MROC</t>
  </si>
  <si>
    <t>B6 1078</t>
  </si>
  <si>
    <t>JBU1078</t>
  </si>
  <si>
    <t>N662JB</t>
  </si>
  <si>
    <t>a8bc71</t>
  </si>
  <si>
    <t>B6 663</t>
  </si>
  <si>
    <t>JBU663</t>
  </si>
  <si>
    <t>N805JB</t>
  </si>
  <si>
    <t>aaf53a</t>
  </si>
  <si>
    <t>B6 9100</t>
  </si>
  <si>
    <t>JBU9100</t>
  </si>
  <si>
    <t>BED</t>
  </si>
  <si>
    <t>KBED</t>
  </si>
  <si>
    <t>N526JL</t>
  </si>
  <si>
    <t>a6a00b</t>
  </si>
  <si>
    <t>B6 1366</t>
  </si>
  <si>
    <t>JBU1366</t>
  </si>
  <si>
    <t>B6 1293</t>
  </si>
  <si>
    <t>JBU1293</t>
  </si>
  <si>
    <t>ILM</t>
  </si>
  <si>
    <t>KILM</t>
  </si>
  <si>
    <t>B6 1383</t>
  </si>
  <si>
    <t>JBU1383</t>
  </si>
  <si>
    <t>B6 176</t>
  </si>
  <si>
    <t>JBU176</t>
  </si>
  <si>
    <t>B6 2760</t>
  </si>
  <si>
    <t>JBU2760</t>
  </si>
  <si>
    <t>B6 274</t>
  </si>
  <si>
    <t>JBU274</t>
  </si>
  <si>
    <t>B6 2102</t>
  </si>
  <si>
    <t>JBU2102</t>
  </si>
  <si>
    <t>B6 121</t>
  </si>
  <si>
    <t>JBU121</t>
  </si>
  <si>
    <t>N709JB</t>
  </si>
  <si>
    <t>a976c7</t>
  </si>
  <si>
    <t>B6 380</t>
  </si>
  <si>
    <t>JBU380</t>
  </si>
  <si>
    <t>B6 544</t>
  </si>
  <si>
    <t>JBU544</t>
  </si>
  <si>
    <t>B6 2040</t>
  </si>
  <si>
    <t>JBU2040</t>
  </si>
  <si>
    <t>B6 2201</t>
  </si>
  <si>
    <t>JBU2201</t>
  </si>
  <si>
    <t>N2017J</t>
  </si>
  <si>
    <t>a19910</t>
  </si>
  <si>
    <t>B6 194</t>
  </si>
  <si>
    <t>JBU194</t>
  </si>
  <si>
    <t>B6 1450</t>
  </si>
  <si>
    <t>JBU1450</t>
  </si>
  <si>
    <t>B6 2829</t>
  </si>
  <si>
    <t>JBU2829</t>
  </si>
  <si>
    <t>B6 1282</t>
  </si>
  <si>
    <t>JBU1282</t>
  </si>
  <si>
    <t>B6 2283</t>
  </si>
  <si>
    <t>JBU2283</t>
  </si>
  <si>
    <t>B6 267</t>
  </si>
  <si>
    <t>JBU267</t>
  </si>
  <si>
    <t>B6 2071</t>
  </si>
  <si>
    <t>JBU2071</t>
  </si>
  <si>
    <t>B6 2084</t>
  </si>
  <si>
    <t>JBU2084</t>
  </si>
  <si>
    <t>B6 1005</t>
  </si>
  <si>
    <t>JBU1005</t>
  </si>
  <si>
    <t>B6 790</t>
  </si>
  <si>
    <t>JBU790</t>
  </si>
  <si>
    <t>B6 1047</t>
  </si>
  <si>
    <t>JBU1047</t>
  </si>
  <si>
    <t>B6 204</t>
  </si>
  <si>
    <t>JBU204</t>
  </si>
  <si>
    <t>B6 2922</t>
  </si>
  <si>
    <t>JBU2922</t>
  </si>
  <si>
    <t>B6 1473</t>
  </si>
  <si>
    <t>JBU1473</t>
  </si>
  <si>
    <t>B6 1336</t>
  </si>
  <si>
    <t>JBU1336</t>
  </si>
  <si>
    <t>B6 1006</t>
  </si>
  <si>
    <t>JBU1006</t>
  </si>
  <si>
    <t>B6 2129</t>
  </si>
  <si>
    <t>JBU2129</t>
  </si>
  <si>
    <t>B6 692</t>
  </si>
  <si>
    <t>JBU692</t>
  </si>
  <si>
    <t>B6 1575</t>
  </si>
  <si>
    <t>JBU1575</t>
  </si>
  <si>
    <t>B6 1255</t>
  </si>
  <si>
    <t>JBU1255</t>
  </si>
  <si>
    <t>N2029J</t>
  </si>
  <si>
    <t>a19d0d</t>
  </si>
  <si>
    <t>B6 749</t>
  </si>
  <si>
    <t>JBU749</t>
  </si>
  <si>
    <t>B6 41</t>
  </si>
  <si>
    <t>JBU41</t>
  </si>
  <si>
    <t>B6 1923</t>
  </si>
  <si>
    <t>JBU1923</t>
  </si>
  <si>
    <t>B6 266</t>
  </si>
  <si>
    <t>JBU266</t>
  </si>
  <si>
    <t>B6 681</t>
  </si>
  <si>
    <t>JBU681</t>
  </si>
  <si>
    <t>B6 434</t>
  </si>
  <si>
    <t>JBU434</t>
  </si>
  <si>
    <t>B6 1497</t>
  </si>
  <si>
    <t>JBU1497</t>
  </si>
  <si>
    <t>B6 211</t>
  </si>
  <si>
    <t>JBU211</t>
  </si>
  <si>
    <t>B6 2020</t>
  </si>
  <si>
    <t>JBU2020</t>
  </si>
  <si>
    <t>B6 598</t>
  </si>
  <si>
    <t>JBU598</t>
  </si>
  <si>
    <t>B6 249</t>
  </si>
  <si>
    <t>JBU249</t>
  </si>
  <si>
    <t>B6 1052</t>
  </si>
  <si>
    <t>JBU1052</t>
  </si>
  <si>
    <t>B6 2087</t>
  </si>
  <si>
    <t>JBU2087</t>
  </si>
  <si>
    <t>N563JB</t>
  </si>
  <si>
    <t>a732d9</t>
  </si>
  <si>
    <t>B6 831</t>
  </si>
  <si>
    <t>JBU831</t>
  </si>
  <si>
    <t>B6 272</t>
  </si>
  <si>
    <t>JBU272</t>
  </si>
  <si>
    <t>B6 1264</t>
  </si>
  <si>
    <t>JBU1264</t>
  </si>
  <si>
    <t>B6 133</t>
  </si>
  <si>
    <t>JBU133</t>
  </si>
  <si>
    <t>B6 1603</t>
  </si>
  <si>
    <t>JBU1603</t>
  </si>
  <si>
    <t>B6 915</t>
  </si>
  <si>
    <t>JBU915</t>
  </si>
  <si>
    <t>B6 1680</t>
  </si>
  <si>
    <t>JBU1680</t>
  </si>
  <si>
    <t>B6 1133</t>
  </si>
  <si>
    <t>JBU1133</t>
  </si>
  <si>
    <t>B6 468</t>
  </si>
  <si>
    <t>JBU468</t>
  </si>
  <si>
    <t>B6 1487</t>
  </si>
  <si>
    <t>JBU1487</t>
  </si>
  <si>
    <t>B6 83</t>
  </si>
  <si>
    <t>JBU83</t>
  </si>
  <si>
    <t>B6 2432</t>
  </si>
  <si>
    <t>JBU2432</t>
  </si>
  <si>
    <t>B6 2230</t>
  </si>
  <si>
    <t>JBU2230</t>
  </si>
  <si>
    <t>B6 2094</t>
  </si>
  <si>
    <t>JBU2094</t>
  </si>
  <si>
    <t>B6 2537</t>
  </si>
  <si>
    <t>JBU2537</t>
  </si>
  <si>
    <t>N3102J</t>
  </si>
  <si>
    <t>a34978</t>
  </si>
  <si>
    <t>B6 590</t>
  </si>
  <si>
    <t>JBU590</t>
  </si>
  <si>
    <t>N793JB</t>
  </si>
  <si>
    <t>aac3f4</t>
  </si>
  <si>
    <t>B6 1310</t>
  </si>
  <si>
    <t>JBU1310</t>
  </si>
  <si>
    <t>B6 932</t>
  </si>
  <si>
    <t>JBU932</t>
  </si>
  <si>
    <t>B6 1251</t>
  </si>
  <si>
    <t>JBU1251</t>
  </si>
  <si>
    <t>B6 2656</t>
  </si>
  <si>
    <t>JBU2656</t>
  </si>
  <si>
    <t>B6 1901</t>
  </si>
  <si>
    <t>JBU1901</t>
  </si>
  <si>
    <t>N3308J</t>
  </si>
  <si>
    <t>a39948</t>
  </si>
  <si>
    <t>B6 1382</t>
  </si>
  <si>
    <t>JBU1382</t>
  </si>
  <si>
    <t>B6 2925</t>
  </si>
  <si>
    <t>JBU2925</t>
  </si>
  <si>
    <t>B6 509</t>
  </si>
  <si>
    <t>JBU509</t>
  </si>
  <si>
    <t>B6 1043</t>
  </si>
  <si>
    <t>JBU1043</t>
  </si>
  <si>
    <t>B6 546</t>
  </si>
  <si>
    <t>JBU546</t>
  </si>
  <si>
    <t>B6 2118</t>
  </si>
  <si>
    <t>JBU2118</t>
  </si>
  <si>
    <t>B6 424</t>
  </si>
  <si>
    <t>JBU424</t>
  </si>
  <si>
    <t>B6 482</t>
  </si>
  <si>
    <t>JBU482</t>
  </si>
  <si>
    <t>B6 904</t>
  </si>
  <si>
    <t>JBU904</t>
  </si>
  <si>
    <t>N2016J</t>
  </si>
  <si>
    <t>a198ed</t>
  </si>
  <si>
    <t>B6 2097</t>
  </si>
  <si>
    <t>JBU2097</t>
  </si>
  <si>
    <t>B6 936</t>
  </si>
  <si>
    <t>JBU936</t>
  </si>
  <si>
    <t>CPX</t>
  </si>
  <si>
    <t>TJCP</t>
  </si>
  <si>
    <t>B6 2786</t>
  </si>
  <si>
    <t>JBU2786</t>
  </si>
  <si>
    <t>B6 1859</t>
  </si>
  <si>
    <t>JBU1859</t>
  </si>
  <si>
    <t>B6 190</t>
  </si>
  <si>
    <t>JBU190</t>
  </si>
  <si>
    <t>B6 568</t>
  </si>
  <si>
    <t>JBU568</t>
  </si>
  <si>
    <t>B6 1397</t>
  </si>
  <si>
    <t>JBU1397</t>
  </si>
  <si>
    <t>B6 281</t>
  </si>
  <si>
    <t>JBU281</t>
  </si>
  <si>
    <t>B6 1453</t>
  </si>
  <si>
    <t>JBU1453</t>
  </si>
  <si>
    <t>B6 855</t>
  </si>
  <si>
    <t>JBU855</t>
  </si>
  <si>
    <t>B6 127</t>
  </si>
  <si>
    <t>JBU127</t>
  </si>
  <si>
    <t>B6 2324</t>
  </si>
  <si>
    <t>JBU2324</t>
  </si>
  <si>
    <t>B6 499</t>
  </si>
  <si>
    <t>JBU499</t>
  </si>
  <si>
    <t>B6 8620</t>
  </si>
  <si>
    <t>JBU8620</t>
  </si>
  <si>
    <t>BHM</t>
  </si>
  <si>
    <t>KBHM</t>
  </si>
  <si>
    <t>N606JB</t>
  </si>
  <si>
    <t>a7de53</t>
  </si>
  <si>
    <t>B6 1751</t>
  </si>
  <si>
    <t>JBU1751</t>
  </si>
  <si>
    <t>B6 407</t>
  </si>
  <si>
    <t>JBU407</t>
  </si>
  <si>
    <t>B6 436</t>
  </si>
  <si>
    <t>JBU436</t>
  </si>
  <si>
    <t>B6 22</t>
  </si>
  <si>
    <t>JBU22</t>
  </si>
  <si>
    <t>B6 987</t>
  </si>
  <si>
    <t>JBU987</t>
  </si>
  <si>
    <t>B6 1334</t>
  </si>
  <si>
    <t>JBU1334</t>
  </si>
  <si>
    <t>B6 2117</t>
  </si>
  <si>
    <t>JBU2117</t>
  </si>
  <si>
    <t>B6 2182</t>
  </si>
  <si>
    <t>JBU2182</t>
  </si>
  <si>
    <t>B6 2780</t>
  </si>
  <si>
    <t>JBU2780</t>
  </si>
  <si>
    <t>B6 342</t>
  </si>
  <si>
    <t>JBU342</t>
  </si>
  <si>
    <t>B6 2275</t>
  </si>
  <si>
    <t>JBU2275</t>
  </si>
  <si>
    <t>B6 1496</t>
  </si>
  <si>
    <t>JBU1496</t>
  </si>
  <si>
    <t>B6 670</t>
  </si>
  <si>
    <t>JBU670</t>
  </si>
  <si>
    <t>B6 1475</t>
  </si>
  <si>
    <t>JBU1475</t>
  </si>
  <si>
    <t>B6 2076</t>
  </si>
  <si>
    <t>JBU2076</t>
  </si>
  <si>
    <t>B6 896</t>
  </si>
  <si>
    <t>JBU896</t>
  </si>
  <si>
    <t>B6 781</t>
  </si>
  <si>
    <t>JBU781</t>
  </si>
  <si>
    <t>B6 1538</t>
  </si>
  <si>
    <t>JBU1538</t>
  </si>
  <si>
    <t>B6 2251</t>
  </si>
  <si>
    <t>JBU2251</t>
  </si>
  <si>
    <t>B6 437</t>
  </si>
  <si>
    <t>JBU437</t>
  </si>
  <si>
    <t>B6 578</t>
  </si>
  <si>
    <t>JBU578</t>
  </si>
  <si>
    <t>B6 8575</t>
  </si>
  <si>
    <t>JBU8575</t>
  </si>
  <si>
    <t>N537JT</t>
  </si>
  <si>
    <t>a6cb48</t>
  </si>
  <si>
    <t>B6 1448</t>
  </si>
  <si>
    <t>JBU1448</t>
  </si>
  <si>
    <t>B6 754</t>
  </si>
  <si>
    <t>JBU754</t>
  </si>
  <si>
    <t>B6 8700</t>
  </si>
  <si>
    <t>JBU8700</t>
  </si>
  <si>
    <t>B6 1700</t>
  </si>
  <si>
    <t>JBU1700</t>
  </si>
  <si>
    <t>B6 9</t>
  </si>
  <si>
    <t>JBU9</t>
  </si>
  <si>
    <t>B6 1874</t>
  </si>
  <si>
    <t>JBU1874</t>
  </si>
  <si>
    <t>B6 168</t>
  </si>
  <si>
    <t>JBU168</t>
  </si>
  <si>
    <t>B6 24</t>
  </si>
  <si>
    <t>JBU24</t>
  </si>
  <si>
    <t>B6 1084</t>
  </si>
  <si>
    <t>JBU1084</t>
  </si>
  <si>
    <t>B6 2902</t>
  </si>
  <si>
    <t>JBU2902</t>
  </si>
  <si>
    <t>B6 698</t>
  </si>
  <si>
    <t>JBU698</t>
  </si>
  <si>
    <t>B6 2383</t>
  </si>
  <si>
    <t>JBU2383</t>
  </si>
  <si>
    <t>B6 224</t>
  </si>
  <si>
    <t>JBU224</t>
  </si>
  <si>
    <t>B6 120</t>
  </si>
  <si>
    <t>JBU120</t>
  </si>
  <si>
    <t>B6 708</t>
  </si>
  <si>
    <t>JBU708</t>
  </si>
  <si>
    <t>B6 40</t>
  </si>
  <si>
    <t>JBU40</t>
  </si>
  <si>
    <t>N746JB</t>
  </si>
  <si>
    <t>aa099e</t>
  </si>
  <si>
    <t>B6 2722</t>
  </si>
  <si>
    <t>JBU2722</t>
  </si>
  <si>
    <t>B6 920</t>
  </si>
  <si>
    <t>JBU920</t>
  </si>
  <si>
    <t>B6 368</t>
  </si>
  <si>
    <t>JBU368</t>
  </si>
  <si>
    <t>B6 1576</t>
  </si>
  <si>
    <t>JBU1576</t>
  </si>
  <si>
    <t>B6 399</t>
  </si>
  <si>
    <t>JBU399</t>
  </si>
  <si>
    <t>B6 8562</t>
  </si>
  <si>
    <t>JBU8562</t>
  </si>
  <si>
    <t>B6 269</t>
  </si>
  <si>
    <t>JBU269</t>
  </si>
  <si>
    <t>B6 1734</t>
  </si>
  <si>
    <t>JBU1734</t>
  </si>
  <si>
    <t>B6 367</t>
  </si>
  <si>
    <t>JBU367</t>
  </si>
  <si>
    <t>B6 1950</t>
  </si>
  <si>
    <t>JBU1950</t>
  </si>
  <si>
    <t>B6 934</t>
  </si>
  <si>
    <t>JBU934</t>
  </si>
  <si>
    <t>B6 2110</t>
  </si>
  <si>
    <t>JBU2110</t>
  </si>
  <si>
    <t>B6 1990</t>
  </si>
  <si>
    <t>JBU1990</t>
  </si>
  <si>
    <t>B6 483</t>
  </si>
  <si>
    <t>JBU483</t>
  </si>
  <si>
    <t>B6 435</t>
  </si>
  <si>
    <t>JBU435</t>
  </si>
  <si>
    <t>B6 53</t>
  </si>
  <si>
    <t>JBU53</t>
  </si>
  <si>
    <t>N959JB</t>
  </si>
  <si>
    <t>ad56e0</t>
  </si>
  <si>
    <t>B6 507</t>
  </si>
  <si>
    <t>JBU507</t>
  </si>
  <si>
    <t>N944JT</t>
  </si>
  <si>
    <t>ad1cde</t>
  </si>
  <si>
    <t>B6 755</t>
  </si>
  <si>
    <t>JBU755</t>
  </si>
  <si>
    <t>B6 1578</t>
  </si>
  <si>
    <t>JBU1578</t>
  </si>
  <si>
    <t>B6 1232</t>
  </si>
  <si>
    <t>JBU1232</t>
  </si>
  <si>
    <t>B6 1148</t>
  </si>
  <si>
    <t>JBU1148</t>
  </si>
  <si>
    <t>B6 2379</t>
  </si>
  <si>
    <t>JBU2379</t>
  </si>
  <si>
    <t>B6 2143</t>
  </si>
  <si>
    <t>JBU2143</t>
  </si>
  <si>
    <t>B6 1454</t>
  </si>
  <si>
    <t>JBU1454</t>
  </si>
  <si>
    <t>B6 386</t>
  </si>
  <si>
    <t>JBU386</t>
  </si>
  <si>
    <t>B6 216</t>
  </si>
  <si>
    <t>JBU216</t>
  </si>
  <si>
    <t>B6 1254</t>
  </si>
  <si>
    <t>JBU1254</t>
  </si>
  <si>
    <t>B6 595</t>
  </si>
  <si>
    <t>JBU595</t>
  </si>
  <si>
    <t>B6 1594</t>
  </si>
  <si>
    <t>JBU1594</t>
  </si>
  <si>
    <t>N659JB</t>
  </si>
  <si>
    <t>a8aef3</t>
  </si>
  <si>
    <t>B6 1743</t>
  </si>
  <si>
    <t>JBU1743</t>
  </si>
  <si>
    <t>B6 1118</t>
  </si>
  <si>
    <t>JBU1118</t>
  </si>
  <si>
    <t>B6 1823</t>
  </si>
  <si>
    <t>JBU1823</t>
  </si>
  <si>
    <t>N603JB</t>
  </si>
  <si>
    <t>a7d32e</t>
  </si>
  <si>
    <t>B6 2321</t>
  </si>
  <si>
    <t>JBU2321</t>
  </si>
  <si>
    <t>B6 2726</t>
  </si>
  <si>
    <t>JBU2726</t>
  </si>
  <si>
    <t>B6 1873</t>
  </si>
  <si>
    <t>JBU1873</t>
  </si>
  <si>
    <t>B6 2582</t>
  </si>
  <si>
    <t>JBU2582</t>
  </si>
  <si>
    <t>B6 1075</t>
  </si>
  <si>
    <t>JBU1075</t>
  </si>
  <si>
    <t>N3044J</t>
  </si>
  <si>
    <t>a3311b</t>
  </si>
  <si>
    <t>B6 789</t>
  </si>
  <si>
    <t>JBU789</t>
  </si>
  <si>
    <t>B6 545</t>
  </si>
  <si>
    <t>JBU545</t>
  </si>
  <si>
    <t>B6 1523</t>
  </si>
  <si>
    <t>JBU1523</t>
  </si>
  <si>
    <t>B6 685</t>
  </si>
  <si>
    <t>JBU685</t>
  </si>
  <si>
    <t>B6 677</t>
  </si>
  <si>
    <t>JBU677</t>
  </si>
  <si>
    <t>B6 1785</t>
  </si>
  <si>
    <t>JBU1785</t>
  </si>
  <si>
    <t>B6 1158</t>
  </si>
  <si>
    <t>JBU1158</t>
  </si>
  <si>
    <t>N607JB</t>
  </si>
  <si>
    <t>a7e20a</t>
  </si>
  <si>
    <t>B6 324</t>
  </si>
  <si>
    <t>JBU324</t>
  </si>
  <si>
    <t>B6 605</t>
  </si>
  <si>
    <t>JBU605</t>
  </si>
  <si>
    <t>B6 803</t>
  </si>
  <si>
    <t>JBU803</t>
  </si>
  <si>
    <t>B6 1004</t>
  </si>
  <si>
    <t>JBU1004</t>
  </si>
  <si>
    <t>N948JB</t>
  </si>
  <si>
    <t>ad2baa</t>
  </si>
  <si>
    <t>B6 163</t>
  </si>
  <si>
    <t>JBU163</t>
  </si>
  <si>
    <t>SRQ</t>
  </si>
  <si>
    <t>KSRQ</t>
  </si>
  <si>
    <t>B6 101</t>
  </si>
  <si>
    <t>JBU101</t>
  </si>
  <si>
    <t>B6 2595</t>
  </si>
  <si>
    <t>JBU2595</t>
  </si>
  <si>
    <t>B6 1539</t>
  </si>
  <si>
    <t>JBU1539</t>
  </si>
  <si>
    <t>B6 1376</t>
  </si>
  <si>
    <t>JBU1376</t>
  </si>
  <si>
    <t>B6 1256</t>
  </si>
  <si>
    <t>JBU1256</t>
  </si>
  <si>
    <t>B6 1852</t>
  </si>
  <si>
    <t>JBU1852</t>
  </si>
  <si>
    <t>B6 864</t>
  </si>
  <si>
    <t>JBU864</t>
  </si>
  <si>
    <t>B6 415</t>
  </si>
  <si>
    <t>JBU415</t>
  </si>
  <si>
    <t>B6 38</t>
  </si>
  <si>
    <t>JBU38</t>
  </si>
  <si>
    <t>B6 1187</t>
  </si>
  <si>
    <t>JBU1187</t>
  </si>
  <si>
    <t>B6 1211</t>
  </si>
  <si>
    <t>JBU1211</t>
  </si>
  <si>
    <t>B6 1290</t>
  </si>
  <si>
    <t>JBU1290</t>
  </si>
  <si>
    <t>B6 1567</t>
  </si>
  <si>
    <t>JBU1567</t>
  </si>
  <si>
    <t>B6 1355</t>
  </si>
  <si>
    <t>JBU1355</t>
  </si>
  <si>
    <t>B6 916</t>
  </si>
  <si>
    <t>JBU916</t>
  </si>
  <si>
    <t>B6 419</t>
  </si>
  <si>
    <t>JBU419</t>
  </si>
  <si>
    <t>B6 2459</t>
  </si>
  <si>
    <t>JBU2459</t>
  </si>
  <si>
    <t>B6 618</t>
  </si>
  <si>
    <t>JBU618</t>
  </si>
  <si>
    <t>B6 68</t>
  </si>
  <si>
    <t>JBU68</t>
  </si>
  <si>
    <t>B6 2494</t>
  </si>
  <si>
    <t>JBU2494</t>
  </si>
  <si>
    <t>B6 156</t>
  </si>
  <si>
    <t>JBU156</t>
  </si>
  <si>
    <t>B6 1485</t>
  </si>
  <si>
    <t>JBU1485</t>
  </si>
  <si>
    <t>B6 154</t>
  </si>
  <si>
    <t>JBU154</t>
  </si>
  <si>
    <t>B6 2901</t>
  </si>
  <si>
    <t>JBU2901</t>
  </si>
  <si>
    <t>B6 1738</t>
  </si>
  <si>
    <t>JBU1738</t>
  </si>
  <si>
    <t>B6 1813</t>
  </si>
  <si>
    <t>JBU1813</t>
  </si>
  <si>
    <t>B6 2132</t>
  </si>
  <si>
    <t>JBU2132</t>
  </si>
  <si>
    <t>B6 2655</t>
  </si>
  <si>
    <t>JBU2655</t>
  </si>
  <si>
    <t>B6 547</t>
  </si>
  <si>
    <t>JBU547</t>
  </si>
  <si>
    <t>B6 1579</t>
  </si>
  <si>
    <t>JBU1579</t>
  </si>
  <si>
    <t>B6 319</t>
  </si>
  <si>
    <t>JBU319</t>
  </si>
  <si>
    <t>B6 623</t>
  </si>
  <si>
    <t>JBU623</t>
  </si>
  <si>
    <t>N2180J</t>
  </si>
  <si>
    <t>a1d99b</t>
  </si>
  <si>
    <t>B6 606</t>
  </si>
  <si>
    <t>JBU606</t>
  </si>
  <si>
    <t>B6 1530</t>
  </si>
  <si>
    <t>JBU1530</t>
  </si>
  <si>
    <t>B6 1130</t>
  </si>
  <si>
    <t>JBU1130</t>
  </si>
  <si>
    <t>B6 1761</t>
  </si>
  <si>
    <t>JBU1761</t>
  </si>
  <si>
    <t>B6 988</t>
  </si>
  <si>
    <t>JBU988</t>
  </si>
  <si>
    <t>B6 1200</t>
  </si>
  <si>
    <t>JBU1200</t>
  </si>
  <si>
    <t>B6 641</t>
  </si>
  <si>
    <t>JBU641</t>
  </si>
  <si>
    <t>B6 394</t>
  </si>
  <si>
    <t>JBU394</t>
  </si>
  <si>
    <t>B6 58</t>
  </si>
  <si>
    <t>JBU58</t>
  </si>
  <si>
    <t>B6 1252</t>
  </si>
  <si>
    <t>JBU1252</t>
  </si>
  <si>
    <t>B6 8614</t>
  </si>
  <si>
    <t>JBU8614</t>
  </si>
  <si>
    <t>B6 969</t>
  </si>
  <si>
    <t>JBU969</t>
  </si>
  <si>
    <t>B6 1014</t>
  </si>
  <si>
    <t>JBU1014</t>
  </si>
  <si>
    <t>B6 624</t>
  </si>
  <si>
    <t>JBU624</t>
  </si>
  <si>
    <t>B6 2637</t>
  </si>
  <si>
    <t>JBU2637</t>
  </si>
  <si>
    <t>B6 136</t>
  </si>
  <si>
    <t>JBU136</t>
  </si>
  <si>
    <t>B6 1354</t>
  </si>
  <si>
    <t>JBU1354</t>
  </si>
  <si>
    <t>B6 1201</t>
  </si>
  <si>
    <t>JBU1201</t>
  </si>
  <si>
    <t>B6 2919</t>
  </si>
  <si>
    <t>JBU2919</t>
  </si>
  <si>
    <t>ALB</t>
  </si>
  <si>
    <t>KALB</t>
  </si>
  <si>
    <t>N579JB</t>
  </si>
  <si>
    <t>a770a2</t>
  </si>
  <si>
    <t>B6 2098</t>
  </si>
  <si>
    <t>JBU2098</t>
  </si>
  <si>
    <t>B6 1168</t>
  </si>
  <si>
    <t>JBU1168</t>
  </si>
  <si>
    <t>B6 1173</t>
  </si>
  <si>
    <t>JBU1173</t>
  </si>
  <si>
    <t>N635JB</t>
  </si>
  <si>
    <t>a85119</t>
  </si>
  <si>
    <t>B6 1034</t>
  </si>
  <si>
    <t>JBU1034</t>
  </si>
  <si>
    <t>B6 811</t>
  </si>
  <si>
    <t>JBU811</t>
  </si>
  <si>
    <t>B6 2984</t>
  </si>
  <si>
    <t>JBU2984</t>
  </si>
  <si>
    <t>B6 1972</t>
  </si>
  <si>
    <t>JBU1972</t>
  </si>
  <si>
    <t>B6 2602</t>
  </si>
  <si>
    <t>JBU2602</t>
  </si>
  <si>
    <t>B6 472</t>
  </si>
  <si>
    <t>JBU472</t>
  </si>
  <si>
    <t>B6 1238</t>
  </si>
  <si>
    <t>JBU1238</t>
  </si>
  <si>
    <t>B6 2184</t>
  </si>
  <si>
    <t>JBU2184</t>
  </si>
  <si>
    <t>B6 1474</t>
  </si>
  <si>
    <t>JBU1474</t>
  </si>
  <si>
    <t>B6 1237</t>
  </si>
  <si>
    <t>JBU1237</t>
  </si>
  <si>
    <t>B6 819</t>
  </si>
  <si>
    <t>JBU819</t>
  </si>
  <si>
    <t>B6 1098</t>
  </si>
  <si>
    <t>JBU1098</t>
  </si>
  <si>
    <t>B6 733</t>
  </si>
  <si>
    <t>JBU733</t>
  </si>
  <si>
    <t>B6 358</t>
  </si>
  <si>
    <t>JBU358</t>
  </si>
  <si>
    <t>N3123J</t>
  </si>
  <si>
    <t>a35109</t>
  </si>
  <si>
    <t>B6 2119</t>
  </si>
  <si>
    <t>JBU2119</t>
  </si>
  <si>
    <t>B6 2052</t>
  </si>
  <si>
    <t>JBU2052</t>
  </si>
  <si>
    <t>B6 1528</t>
  </si>
  <si>
    <t>JBU1528</t>
  </si>
  <si>
    <t>B6 1612</t>
  </si>
  <si>
    <t>JBU1612</t>
  </si>
  <si>
    <t>B6 1333</t>
  </si>
  <si>
    <t>JBU1333</t>
  </si>
  <si>
    <t>B6 1736</t>
  </si>
  <si>
    <t>JBU1736</t>
  </si>
  <si>
    <t>B6 2832</t>
  </si>
  <si>
    <t>JBU2832</t>
  </si>
  <si>
    <t>B6 263</t>
  </si>
  <si>
    <t>JBU263</t>
  </si>
  <si>
    <t>B6 1151</t>
  </si>
  <si>
    <t>JBU1151</t>
  </si>
  <si>
    <t>B6 2088</t>
  </si>
  <si>
    <t>JBU2088</t>
  </si>
  <si>
    <t>B6 8358</t>
  </si>
  <si>
    <t>JBU8358</t>
  </si>
  <si>
    <t>B6 1586</t>
  </si>
  <si>
    <t>JBU1586</t>
  </si>
  <si>
    <t>B6 1882</t>
  </si>
  <si>
    <t>JBU1882</t>
  </si>
  <si>
    <t>B6 317</t>
  </si>
  <si>
    <t>JBU317</t>
  </si>
  <si>
    <t>B6 1371</t>
  </si>
  <si>
    <t>JBU1371</t>
  </si>
  <si>
    <t>B6 416</t>
  </si>
  <si>
    <t>JBU416</t>
  </si>
  <si>
    <t>B6 1112</t>
  </si>
  <si>
    <t>JBU1112</t>
  </si>
  <si>
    <t>B6 592</t>
  </si>
  <si>
    <t>JBU592</t>
  </si>
  <si>
    <t>B6 1955</t>
  </si>
  <si>
    <t>JBU1955</t>
  </si>
  <si>
    <t>B6 348</t>
  </si>
  <si>
    <t>JBU348</t>
  </si>
  <si>
    <t>B6 2068</t>
  </si>
  <si>
    <t>JBU2068</t>
  </si>
  <si>
    <t>B6 2072</t>
  </si>
  <si>
    <t>JBU2072</t>
  </si>
  <si>
    <t>B6 1348</t>
  </si>
  <si>
    <t>JBU1348</t>
  </si>
  <si>
    <t>B6 1947</t>
  </si>
  <si>
    <t>JBU1947</t>
  </si>
  <si>
    <t>B6 1189</t>
  </si>
  <si>
    <t>JBU1189</t>
  </si>
  <si>
    <t>B6 2185</t>
  </si>
  <si>
    <t>JBU2185</t>
  </si>
  <si>
    <t>B6 2065</t>
  </si>
  <si>
    <t>JBU2065</t>
  </si>
  <si>
    <t>B6 161</t>
  </si>
  <si>
    <t>JBU161</t>
  </si>
  <si>
    <t>B6 2510</t>
  </si>
  <si>
    <t>JBU2510</t>
  </si>
  <si>
    <t>B6 220</t>
  </si>
  <si>
    <t>JBU220</t>
  </si>
  <si>
    <t>B6 138</t>
  </si>
  <si>
    <t>JBU138</t>
  </si>
  <si>
    <t>B6 387</t>
  </si>
  <si>
    <t>JBU387</t>
  </si>
  <si>
    <t>B6 177</t>
  </si>
  <si>
    <t>JBU177</t>
  </si>
  <si>
    <t>B6 282</t>
  </si>
  <si>
    <t>JBU282</t>
  </si>
  <si>
    <t>B6 1341</t>
  </si>
  <si>
    <t>JBU1341</t>
  </si>
  <si>
    <t>B6 1202</t>
  </si>
  <si>
    <t>JBU1202</t>
  </si>
  <si>
    <t>B6 1178</t>
  </si>
  <si>
    <t>JBU1178</t>
  </si>
  <si>
    <t>B6 8621</t>
  </si>
  <si>
    <t>JBU8621</t>
  </si>
  <si>
    <t>N593JB</t>
  </si>
  <si>
    <t>a7a956</t>
  </si>
  <si>
    <t>B6 369</t>
  </si>
  <si>
    <t>JBU369</t>
  </si>
  <si>
    <t>B6 1498</t>
  </si>
  <si>
    <t>JBU1498</t>
  </si>
  <si>
    <t>B6 355</t>
  </si>
  <si>
    <t>JBU355</t>
  </si>
  <si>
    <t>N3275J</t>
  </si>
  <si>
    <t>a38b61</t>
  </si>
  <si>
    <t>B6 2180</t>
  </si>
  <si>
    <t>JBU2180</t>
  </si>
  <si>
    <t>B6 2122</t>
  </si>
  <si>
    <t>JBU2122</t>
  </si>
  <si>
    <t>B6 1023</t>
  </si>
  <si>
    <t>JBU1023</t>
  </si>
  <si>
    <t>B6 615</t>
  </si>
  <si>
    <t>JBU615</t>
  </si>
  <si>
    <t>B6 715</t>
  </si>
  <si>
    <t>JBU715</t>
  </si>
  <si>
    <t>B6 1801</t>
  </si>
  <si>
    <t>JBU1801</t>
  </si>
  <si>
    <t>B6 150</t>
  </si>
  <si>
    <t>JBU150</t>
  </si>
  <si>
    <t>B6 2384</t>
  </si>
  <si>
    <t>JBU2384</t>
  </si>
  <si>
    <t>B6 467</t>
  </si>
  <si>
    <t>JBU467</t>
  </si>
  <si>
    <t>B6 2255</t>
  </si>
  <si>
    <t>JBU2255</t>
  </si>
  <si>
    <t>B6 1142</t>
  </si>
  <si>
    <t>JBU1142</t>
  </si>
  <si>
    <t>B6 2702</t>
  </si>
  <si>
    <t>JBU2702</t>
  </si>
  <si>
    <t>B6 23</t>
  </si>
  <si>
    <t>JBU23</t>
  </si>
  <si>
    <t>B6 782</t>
  </si>
  <si>
    <t>JBU782</t>
  </si>
  <si>
    <t>B6 2523</t>
  </si>
  <si>
    <t>JBU2523</t>
  </si>
  <si>
    <t>B6 1965</t>
  </si>
  <si>
    <t>JBU1965</t>
  </si>
  <si>
    <t>B6 1300</t>
  </si>
  <si>
    <t>JBU1300</t>
  </si>
  <si>
    <t>B6 371</t>
  </si>
  <si>
    <t>JBU371</t>
  </si>
  <si>
    <t>B6 248</t>
  </si>
  <si>
    <t>JBU248</t>
  </si>
  <si>
    <t>B6 1962</t>
  </si>
  <si>
    <t>JBU1962</t>
  </si>
  <si>
    <t>B6 672</t>
  </si>
  <si>
    <t>JBU672</t>
  </si>
  <si>
    <t>B6 1054</t>
  </si>
  <si>
    <t>JBU1054</t>
  </si>
  <si>
    <t>B6 603</t>
  </si>
  <si>
    <t>JBU603</t>
  </si>
  <si>
    <t>B6 539</t>
  </si>
  <si>
    <t>JBU539</t>
  </si>
  <si>
    <t>B6 1728</t>
  </si>
  <si>
    <t>JBU1728</t>
  </si>
  <si>
    <t>B6 1880</t>
  </si>
  <si>
    <t>JBU1880</t>
  </si>
  <si>
    <t>B6 433</t>
  </si>
  <si>
    <t>JBU433</t>
  </si>
  <si>
    <t>B6 914</t>
  </si>
  <si>
    <t>JBU914</t>
  </si>
  <si>
    <t>B6 678</t>
  </si>
  <si>
    <t>JBU678</t>
  </si>
  <si>
    <t>B6 817</t>
  </si>
  <si>
    <t>JBU817</t>
  </si>
  <si>
    <t>B6 1184</t>
  </si>
  <si>
    <t>JBU1184</t>
  </si>
  <si>
    <t>B6 1234</t>
  </si>
  <si>
    <t>JBU1234</t>
  </si>
  <si>
    <t>B6 330</t>
  </si>
  <si>
    <t>JBU330</t>
  </si>
  <si>
    <t>B6 1396</t>
  </si>
  <si>
    <t>JBU1396</t>
  </si>
  <si>
    <t>B6 933</t>
  </si>
  <si>
    <t>JBU933</t>
  </si>
  <si>
    <t>B6 520</t>
  </si>
  <si>
    <t>JBU520</t>
  </si>
  <si>
    <t>B6 798</t>
  </si>
  <si>
    <t>JBU798</t>
  </si>
  <si>
    <t>B6 1131</t>
  </si>
  <si>
    <t>JBU1131</t>
  </si>
  <si>
    <t>B6 907</t>
  </si>
  <si>
    <t>JBU907</t>
  </si>
  <si>
    <t>B6 164</t>
  </si>
  <si>
    <t>JBU164</t>
  </si>
  <si>
    <t>B6 451</t>
  </si>
  <si>
    <t>JBU451</t>
  </si>
  <si>
    <t>B6 924</t>
  </si>
  <si>
    <t>JBU924</t>
  </si>
  <si>
    <t>B6 516</t>
  </si>
  <si>
    <t>JBU516</t>
  </si>
  <si>
    <t>B6 106</t>
  </si>
  <si>
    <t>JBU106</t>
  </si>
  <si>
    <t>B6 2424</t>
  </si>
  <si>
    <t>JBU2424</t>
  </si>
  <si>
    <t>B6 65</t>
  </si>
  <si>
    <t>JBU65</t>
  </si>
  <si>
    <t>B6 1979</t>
  </si>
  <si>
    <t>JBU1979</t>
  </si>
  <si>
    <t>B6 1152</t>
  </si>
  <si>
    <t>JBU1152</t>
  </si>
  <si>
    <t>B6 548</t>
  </si>
  <si>
    <t>JBU548</t>
  </si>
  <si>
    <t>B6 388</t>
  </si>
  <si>
    <t>JBU388</t>
  </si>
  <si>
    <t>B6 406</t>
  </si>
  <si>
    <t>JBU406</t>
  </si>
  <si>
    <t>B6 1697</t>
  </si>
  <si>
    <t>JBU1697</t>
  </si>
  <si>
    <t>B6 2954</t>
  </si>
  <si>
    <t>JBU2954</t>
  </si>
  <si>
    <t>B6 1786</t>
  </si>
  <si>
    <t>JBU1786</t>
  </si>
  <si>
    <t>B6 1827</t>
  </si>
  <si>
    <t>JBU1827</t>
  </si>
  <si>
    <t>B6 201</t>
  </si>
  <si>
    <t>JBU201</t>
  </si>
  <si>
    <t>B6 1739</t>
  </si>
  <si>
    <t>JBU1739</t>
  </si>
  <si>
    <t>B6 640</t>
  </si>
  <si>
    <t>JBU640</t>
  </si>
  <si>
    <t>B6 88</t>
  </si>
  <si>
    <t>JBU88</t>
  </si>
  <si>
    <t>B6 1468</t>
  </si>
  <si>
    <t>JBU1468</t>
  </si>
  <si>
    <t>B6 1174</t>
  </si>
  <si>
    <t>JBU1174</t>
  </si>
  <si>
    <t>B6 818</t>
  </si>
  <si>
    <t>JBU818</t>
  </si>
  <si>
    <t>B6 561</t>
  </si>
  <si>
    <t>JBU561</t>
  </si>
  <si>
    <t>N547JB</t>
  </si>
  <si>
    <t>a6f2b7</t>
  </si>
  <si>
    <t>N996JL</t>
  </si>
  <si>
    <t>ade9c0</t>
  </si>
  <si>
    <t>B6 1800</t>
  </si>
  <si>
    <t>JBU1800</t>
  </si>
  <si>
    <t>B6 2918</t>
  </si>
  <si>
    <t>JBU2918</t>
  </si>
  <si>
    <t>B6 71</t>
  </si>
  <si>
    <t>JBU71</t>
  </si>
  <si>
    <t>B6 613</t>
  </si>
  <si>
    <t>JBU613</t>
  </si>
  <si>
    <t>B6 2128</t>
  </si>
  <si>
    <t>JBU2128</t>
  </si>
  <si>
    <t>B6 2783</t>
  </si>
  <si>
    <t>JBU2783</t>
  </si>
  <si>
    <t>B6 283</t>
  </si>
  <si>
    <t>JBU283</t>
  </si>
  <si>
    <t>B6 381</t>
  </si>
  <si>
    <t>JBU381</t>
  </si>
  <si>
    <t>B6 405</t>
  </si>
  <si>
    <t>JBU405</t>
  </si>
  <si>
    <t>N3203J</t>
  </si>
  <si>
    <t>a3711a</t>
  </si>
  <si>
    <t>B6 2073</t>
  </si>
  <si>
    <t>JBU2073</t>
  </si>
  <si>
    <t>B6 699</t>
  </si>
  <si>
    <t>JBU699</t>
  </si>
  <si>
    <t>B6 353</t>
  </si>
  <si>
    <t>JBU353</t>
  </si>
  <si>
    <t>B6 777</t>
  </si>
  <si>
    <t>JBU777</t>
  </si>
  <si>
    <t>B6 185</t>
  </si>
  <si>
    <t>JBU185</t>
  </si>
  <si>
    <t>B6 2066</t>
  </si>
  <si>
    <t>JBU2066</t>
  </si>
  <si>
    <t>N2151J</t>
  </si>
  <si>
    <t>a1ce99</t>
  </si>
  <si>
    <t>B6 1411</t>
  </si>
  <si>
    <t>JBU1411</t>
  </si>
  <si>
    <t>B6 102</t>
  </si>
  <si>
    <t>JBU102</t>
  </si>
  <si>
    <t>B6 8701</t>
  </si>
  <si>
    <t>JBU8701</t>
  </si>
  <si>
    <t>B6 2876</t>
  </si>
  <si>
    <t>JBU2876</t>
  </si>
  <si>
    <t>N594JB</t>
  </si>
  <si>
    <t>a7ad0d</t>
  </si>
  <si>
    <t>B6 778</t>
  </si>
  <si>
    <t>JBU778</t>
  </si>
  <si>
    <t>B6 562</t>
  </si>
  <si>
    <t>JBU562</t>
  </si>
  <si>
    <t>B6 354</t>
  </si>
  <si>
    <t>JBU354</t>
  </si>
  <si>
    <t>B6 2001</t>
  </si>
  <si>
    <t>JBU2001</t>
  </si>
  <si>
    <t>B6 382</t>
  </si>
  <si>
    <t>JBU382</t>
  </si>
  <si>
    <t>B6 2265</t>
  </si>
  <si>
    <t>JBU2265</t>
  </si>
  <si>
    <t>N2086J</t>
  </si>
  <si>
    <t>a1b2ee</t>
  </si>
  <si>
    <t>N3261J</t>
  </si>
  <si>
    <t>a3871e</t>
  </si>
  <si>
    <t>B6 814</t>
  </si>
  <si>
    <t>JBU814</t>
  </si>
  <si>
    <t>B6 806</t>
  </si>
  <si>
    <t>JBU806</t>
  </si>
  <si>
    <t>N3215J</t>
  </si>
  <si>
    <t>a37517</t>
  </si>
  <si>
    <t>B6 286</t>
  </si>
  <si>
    <t>JBU286</t>
  </si>
  <si>
    <t>B6 9011</t>
  </si>
  <si>
    <t>JBU9011</t>
  </si>
  <si>
    <t>LAN</t>
  </si>
  <si>
    <t>KLAN</t>
  </si>
  <si>
    <t>B6 2601</t>
  </si>
  <si>
    <t>JBU2601</t>
  </si>
  <si>
    <t>B6 538</t>
  </si>
  <si>
    <t>JBU538</t>
  </si>
  <si>
    <t>B6 87</t>
  </si>
  <si>
    <t>JBU87</t>
  </si>
  <si>
    <t>B6 906</t>
  </si>
  <si>
    <t>JBU906</t>
  </si>
  <si>
    <t>N955JB</t>
  </si>
  <si>
    <t>ad4804</t>
  </si>
  <si>
    <t>B6 8378</t>
  </si>
  <si>
    <t>JBU8378</t>
  </si>
  <si>
    <t>B6 2920</t>
  </si>
  <si>
    <t>JBU2920</t>
  </si>
  <si>
    <t>N640JB</t>
  </si>
  <si>
    <t>a86605</t>
  </si>
  <si>
    <t>B6 9004</t>
  </si>
  <si>
    <t>JBU9004</t>
  </si>
  <si>
    <t>GSO</t>
  </si>
  <si>
    <t>KGSO</t>
  </si>
  <si>
    <t>B6 8359</t>
  </si>
  <si>
    <t>JBU8359</t>
  </si>
  <si>
    <t>VQQ</t>
  </si>
  <si>
    <t>KVQQ</t>
  </si>
  <si>
    <t>B6 2909</t>
  </si>
  <si>
    <t>JBU2909</t>
  </si>
  <si>
    <t>B6 9010</t>
  </si>
  <si>
    <t>JBU9010</t>
  </si>
  <si>
    <t>MEM</t>
  </si>
  <si>
    <t>KMEM</t>
  </si>
  <si>
    <t>N570JB</t>
  </si>
  <si>
    <t>a74f33</t>
  </si>
  <si>
    <t>B6 9013</t>
  </si>
  <si>
    <t>JBU9013</t>
  </si>
  <si>
    <t>GSP</t>
  </si>
  <si>
    <t>KGSP</t>
  </si>
  <si>
    <t>B6 9001</t>
  </si>
  <si>
    <t>JBU9001</t>
  </si>
  <si>
    <t>N2193J</t>
  </si>
  <si>
    <t>a1ddbb</t>
  </si>
  <si>
    <t>B6 8604</t>
  </si>
  <si>
    <t>JBU8604</t>
  </si>
  <si>
    <t>B6 373</t>
  </si>
  <si>
    <t>JBU373</t>
  </si>
  <si>
    <t>B6 1157</t>
  </si>
  <si>
    <t>JBU1157</t>
  </si>
  <si>
    <t>B6 522</t>
  </si>
  <si>
    <t>JBU522</t>
  </si>
  <si>
    <t>B6 1783</t>
  </si>
  <si>
    <t>JBU1783</t>
  </si>
  <si>
    <t>B6 8803</t>
  </si>
  <si>
    <t>JBU8803</t>
  </si>
  <si>
    <t>B6 2089</t>
  </si>
  <si>
    <t>JBU2089</t>
  </si>
  <si>
    <t>B6 2549</t>
  </si>
  <si>
    <t>JBU2549</t>
  </si>
  <si>
    <t>B6 2761</t>
  </si>
  <si>
    <t>JBU2761</t>
  </si>
  <si>
    <t>B6 1449</t>
  </si>
  <si>
    <t>JBU1449</t>
  </si>
  <si>
    <t>B6 8384</t>
  </si>
  <si>
    <t>JBU8384</t>
  </si>
  <si>
    <t>N3240J</t>
  </si>
  <si>
    <t>a37f8d</t>
  </si>
  <si>
    <t>B6 1414</t>
  </si>
  <si>
    <t>JBU1414</t>
  </si>
  <si>
    <t>B6 9007</t>
  </si>
  <si>
    <t>JBU9007</t>
  </si>
  <si>
    <t>COU</t>
  </si>
  <si>
    <t>KCOU</t>
  </si>
  <si>
    <t>B6 589</t>
  </si>
  <si>
    <t>JBU589</t>
  </si>
  <si>
    <t>N768JB</t>
  </si>
  <si>
    <t>aa600a</t>
  </si>
  <si>
    <t>B6 1013</t>
  </si>
  <si>
    <t>JBU1013</t>
  </si>
  <si>
    <t>B6 9006</t>
  </si>
  <si>
    <t>JBU9006</t>
  </si>
  <si>
    <t>B6 8801</t>
  </si>
  <si>
    <t>JBU8801</t>
  </si>
  <si>
    <t>B6 8703</t>
  </si>
  <si>
    <t>JBU8703</t>
  </si>
  <si>
    <t>IAD</t>
  </si>
  <si>
    <t>KIAD</t>
  </si>
  <si>
    <t>B6 8777</t>
  </si>
  <si>
    <t>JBU8777</t>
  </si>
  <si>
    <t>SDF</t>
  </si>
  <si>
    <t>KSDF</t>
  </si>
  <si>
    <t>N779JB</t>
  </si>
  <si>
    <t>aa8b40</t>
  </si>
  <si>
    <t>B6 8806</t>
  </si>
  <si>
    <t>JBU8806</t>
  </si>
  <si>
    <t>SWF</t>
  </si>
  <si>
    <t>KSWF</t>
  </si>
  <si>
    <t>B6 8704</t>
  </si>
  <si>
    <t>JBU8704</t>
  </si>
  <si>
    <t>MDW</t>
  </si>
  <si>
    <t>KMDW</t>
  </si>
  <si>
    <t>B6 8443</t>
  </si>
  <si>
    <t>JBU8443</t>
  </si>
  <si>
    <t>B6 2031</t>
  </si>
  <si>
    <t>JBU2031</t>
  </si>
  <si>
    <t>N3062J</t>
  </si>
  <si>
    <t>a33843</t>
  </si>
  <si>
    <t>B6 8581</t>
  </si>
  <si>
    <t>JBU8581</t>
  </si>
  <si>
    <t>N624JB</t>
  </si>
  <si>
    <t>a825e3</t>
  </si>
  <si>
    <t>B6 471</t>
  </si>
  <si>
    <t>JBU471</t>
  </si>
  <si>
    <t>B6 9002</t>
  </si>
  <si>
    <t>JBU9002</t>
  </si>
  <si>
    <t>N3185J</t>
  </si>
  <si>
    <t>a36799</t>
  </si>
  <si>
    <t>B6 8779</t>
  </si>
  <si>
    <t>JBU8779</t>
  </si>
  <si>
    <t>B6 8781</t>
  </si>
  <si>
    <t>JBU8781</t>
  </si>
  <si>
    <t>B6 1607</t>
  </si>
  <si>
    <t>JBU1607</t>
  </si>
  <si>
    <t>CUN</t>
  </si>
  <si>
    <t>MMUN</t>
  </si>
  <si>
    <t>N3132J</t>
  </si>
  <si>
    <t>a3549d</t>
  </si>
  <si>
    <t>B6 1814</t>
  </si>
  <si>
    <t>JBU1814</t>
  </si>
  <si>
    <t>B6 474</t>
  </si>
  <si>
    <t>JBU474</t>
  </si>
  <si>
    <t>B6 9008</t>
  </si>
  <si>
    <t>JBU9008</t>
  </si>
  <si>
    <t>B6 158</t>
  </si>
  <si>
    <t>JBU158</t>
  </si>
  <si>
    <t>B6 866</t>
  </si>
  <si>
    <t>JBU866</t>
  </si>
  <si>
    <t>B6 8379</t>
  </si>
  <si>
    <t>JBU8379</t>
  </si>
  <si>
    <t>B6 8437</t>
  </si>
  <si>
    <t>JBU8437</t>
  </si>
  <si>
    <t>N536JB</t>
  </si>
  <si>
    <t>a6c781</t>
  </si>
  <si>
    <t>B6 1413</t>
  </si>
  <si>
    <t>JBU1413</t>
  </si>
  <si>
    <t>B6 8501</t>
  </si>
  <si>
    <t>JBU8501</t>
  </si>
  <si>
    <t>B6 8708</t>
  </si>
  <si>
    <t>JBU8708</t>
  </si>
  <si>
    <t>B6 8400</t>
  </si>
  <si>
    <t>JBU8400</t>
  </si>
  <si>
    <t>B6 2916</t>
  </si>
  <si>
    <t>JBU2916</t>
  </si>
  <si>
    <t>B6 865</t>
  </si>
  <si>
    <t>JBU865</t>
  </si>
  <si>
    <t>B6 1057</t>
  </si>
  <si>
    <t>JBU1057</t>
  </si>
  <si>
    <t>B6 1088</t>
  </si>
  <si>
    <t>JBU1088</t>
  </si>
  <si>
    <t>B6 1193</t>
  </si>
  <si>
    <t>JBU1193</t>
  </si>
  <si>
    <t>B6 1179</t>
  </si>
  <si>
    <t>JBU1179</t>
  </si>
  <si>
    <t>B6 2173</t>
  </si>
  <si>
    <t>JBU2173</t>
  </si>
  <si>
    <t>B6 1073</t>
  </si>
  <si>
    <t>JBU1073</t>
  </si>
  <si>
    <t>B6 361</t>
  </si>
  <si>
    <t>JBU361</t>
  </si>
  <si>
    <t>Airborne at end of data</t>
  </si>
  <si>
    <t>B6 149</t>
  </si>
  <si>
    <t>JBU149</t>
  </si>
  <si>
    <t>B6 9012</t>
  </si>
  <si>
    <t>JBU9012</t>
  </si>
  <si>
    <t>B6 1793</t>
  </si>
  <si>
    <t>JBU1793</t>
  </si>
  <si>
    <t>B6 771</t>
  </si>
  <si>
    <t>JBU771</t>
  </si>
  <si>
    <t>B6 1681</t>
  </si>
  <si>
    <t>JBU1681</t>
  </si>
  <si>
    <t>B6 635</t>
  </si>
  <si>
    <t>JBU635</t>
  </si>
  <si>
    <t>B6 772</t>
  </si>
  <si>
    <t>JBU772</t>
  </si>
  <si>
    <t>B6 1380</t>
  </si>
  <si>
    <t>JBU1380</t>
  </si>
  <si>
    <t>B6 2896</t>
  </si>
  <si>
    <t>JBU2896</t>
  </si>
  <si>
    <t>B6 1051</t>
  </si>
  <si>
    <t>JBU1051</t>
  </si>
  <si>
    <t>PHF</t>
  </si>
  <si>
    <t>KPHF</t>
  </si>
  <si>
    <t>SBY</t>
  </si>
  <si>
    <t>KSBY</t>
  </si>
  <si>
    <t>B6 634</t>
  </si>
  <si>
    <t>JBU634</t>
  </si>
  <si>
    <t>BVY</t>
  </si>
  <si>
    <t>KBVY</t>
  </si>
  <si>
    <t>OWD</t>
  </si>
  <si>
    <t>KOWD</t>
  </si>
  <si>
    <t>B6 8589</t>
  </si>
  <si>
    <t>JBU8589</t>
  </si>
  <si>
    <t>WRB</t>
  </si>
  <si>
    <t>KWRB</t>
  </si>
  <si>
    <t>N621JB</t>
  </si>
  <si>
    <t>a81abe</t>
  </si>
  <si>
    <t>B6 1844</t>
  </si>
  <si>
    <t>JBU1844</t>
  </si>
  <si>
    <t>LWM</t>
  </si>
  <si>
    <t>KLWM</t>
  </si>
  <si>
    <t>EEN</t>
  </si>
  <si>
    <t>KEEN</t>
  </si>
  <si>
    <t>B6 774</t>
  </si>
  <si>
    <t>JBU774</t>
  </si>
  <si>
    <t>B6 1794</t>
  </si>
  <si>
    <t>JBU1794</t>
  </si>
  <si>
    <t>B6 1058</t>
  </si>
  <si>
    <t>JBU1058</t>
  </si>
  <si>
    <t>BKL</t>
  </si>
  <si>
    <t>KBKL</t>
  </si>
  <si>
    <t>B6 574</t>
  </si>
  <si>
    <t>JBU574</t>
  </si>
  <si>
    <t>B6 1633</t>
  </si>
  <si>
    <t>JBU1633</t>
  </si>
  <si>
    <t>B6 8778</t>
  </si>
  <si>
    <t>JBU8778</t>
  </si>
  <si>
    <t>B6 8807</t>
  </si>
  <si>
    <t>JBU8807</t>
  </si>
  <si>
    <t>B6 9003</t>
  </si>
  <si>
    <t>JBU9003</t>
  </si>
  <si>
    <t>JFN</t>
  </si>
  <si>
    <t>KHZY</t>
  </si>
  <si>
    <t>JetBlue (B6) flights 2026-09-24 to 2026-09-26 (UTC departure date)</t>
  </si>
  <si>
    <t>2026-09-24</t>
  </si>
  <si>
    <t>2026-09-25</t>
  </si>
  <si>
    <t>2026-09-26</t>
  </si>
  <si>
    <t>Total</t>
  </si>
  <si>
    <t>Unique Tails</t>
  </si>
  <si>
    <t>Unique Tails = distinct registrations seen (computed by script).</t>
  </si>
  <si>
    <t>Flights</t>
  </si>
  <si>
    <t>Sources</t>
  </si>
  <si>
    <t>ADS-B traces: adsb.lol globe_history daily archives (ODbL), github.com/adsblol</t>
  </si>
  <si>
    <t>Tail number and ICAO type: from adsb.lol aircraft database embedded in traces.</t>
  </si>
  <si>
    <t>Airports: OurAirports - nearest large/medium airport within 15 km of takeoff/landing.</t>
  </si>
  <si>
    <t>Caveats</t>
  </si>
  <si>
    <t>All times UTC. Departure = wheels-off, Arrival = touchdown (not gate times).</t>
  </si>
  <si>
    <t>Status: Complete = takeoff and landing seen; Landing inferred = signal lost low near airport;</t>
  </si>
  <si>
    <t xml:space="preserve">  Signal lost = coverage gap at altitude (destination may be blank);</t>
  </si>
  <si>
    <t xml:space="preserve">  Airborne at end of data = still flying when the last day's archive ended.</t>
  </si>
  <si>
    <t>Flights are included when the callsign starts with JBU (or no callsign on a JetBlue-owned aircraft).</t>
  </si>
  <si>
    <t>Generated 2026-09-27 18:13 local time.</t>
  </si>
  <si>
    <t>Row Labels</t>
  </si>
  <si>
    <t>Grand Total</t>
  </si>
  <si>
    <t>Column Labels</t>
  </si>
  <si>
    <t>Count of ICAO24 Hex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</si>
</sst>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6" formatCode="yyyy\-mm\-dd\ hh:mm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3"/>
      <name val="Arial"/>
    </font>
    <font>
      <b/>
      <sz val="11"/>
      <name val="Arial"/>
    </font>
    <font>
      <i/>
      <sz val="9"/>
      <name val="Arial"/>
    </font>
    <font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3876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2" fillId="0" borderId="0" xfId="0" applyNumberFormat="1" applyFont="1"/>
    <xf numFmtId="0" fontId="2" fillId="0" borderId="0" xfId="0" applyFont="1"/>
    <xf numFmtId="166" fontId="2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/>
    <xf numFmtId="164" fontId="2" fillId="3" borderId="0" xfId="0" applyNumberFormat="1" applyFont="1" applyFill="1"/>
    <xf numFmtId="0" fontId="2" fillId="3" borderId="0" xfId="0" applyFont="1" applyFill="1"/>
    <xf numFmtId="166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jesh Rajan" refreshedDate="46292.759895949072" createdVersion="8" refreshedVersion="8" minRefreshableVersion="3" recordCount="2330" xr:uid="{2BAB4049-9B15-426F-AB4F-762375BFDA6E}">
  <cacheSource type="worksheet">
    <worksheetSource ref="A1:O2331" sheet="Flights"/>
  </cacheSource>
  <cacheFields count="15">
    <cacheField name="Date (UTC)" numFmtId="164">
      <sharedItems containsSemiMixedTypes="0" containsNonDate="0" containsDate="1" containsString="0" minDate="2026-09-24T00:00:00" maxDate="2026-09-27T00:00:00" count="3">
        <d v="2026-09-24T00:00:00"/>
        <d v="2026-09-25T00:00:00"/>
        <d v="2026-09-26T00:00:00"/>
      </sharedItems>
    </cacheField>
    <cacheField name="Flight No" numFmtId="0">
      <sharedItems/>
    </cacheField>
    <cacheField name="Callsign" numFmtId="0">
      <sharedItems/>
    </cacheField>
    <cacheField name="Origin" numFmtId="0">
      <sharedItems containsBlank="1"/>
    </cacheField>
    <cacheField name="Origin ICAO" numFmtId="0">
      <sharedItems containsBlank="1"/>
    </cacheField>
    <cacheField name="Destination" numFmtId="0">
      <sharedItems containsBlank="1"/>
    </cacheField>
    <cacheField name="Dest ICAO" numFmtId="0">
      <sharedItems containsBlank="1"/>
    </cacheField>
    <cacheField name="Departure (UTC)" numFmtId="166">
      <sharedItems containsSemiMixedTypes="0" containsNonDate="0" containsDate="1" containsString="0" minDate="2026-09-24T00:00:07" maxDate="2026-09-26T23:59:14"/>
    </cacheField>
    <cacheField name="Arrival (UTC)" numFmtId="166">
      <sharedItems containsSemiMixedTypes="0" containsNonDate="0" containsDate="1" containsString="0" minDate="2026-09-24T00:58:02" maxDate="2026-09-28T00:00:00"/>
    </cacheField>
    <cacheField name="Duration (min)" numFmtId="0">
      <sharedItems containsSemiMixedTypes="0" containsString="0" containsNumber="1" containsInteger="1" minValue="0" maxValue="2307"/>
    </cacheField>
    <cacheField name="Tail Number" numFmtId="0">
      <sharedItems count="268">
        <s v="N965JT"/>
        <s v="N971JT"/>
        <s v="N656JB"/>
        <s v="N4073J"/>
        <s v="N3289J"/>
        <s v="N645JB"/>
        <s v="N2038J"/>
        <s v="N535JB"/>
        <s v="N3145J"/>
        <s v="N627JB"/>
        <s v="N3194J"/>
        <s v="N3267J"/>
        <s v="N623JB"/>
        <s v="N651JB"/>
        <s v="N766JB"/>
        <s v="N585JB"/>
        <s v="N968JT"/>
        <s v="N527JL"/>
        <s v="N523JB"/>
        <s v="N605JB"/>
        <s v="N597JB"/>
        <s v="N703JB"/>
        <s v="N568JB"/>
        <s v="N3115J"/>
        <s v="N554JB"/>
        <s v="N625JB"/>
        <s v="N516JB"/>
        <s v="N2048J"/>
        <s v="N3244J"/>
        <s v="N957JB"/>
        <s v="N821JB"/>
        <s v="N663JB"/>
        <s v="N4064J"/>
        <s v="N584JB"/>
        <s v="N3293J"/>
        <s v="N3280J"/>
        <s v="N3269J"/>
        <s v="N3085J"/>
        <s v="N3121J"/>
        <s v="N3310J"/>
        <s v="N784JB"/>
        <s v="N637JB"/>
        <s v="N636JB"/>
        <s v="N3322J"/>
        <s v="N976JT"/>
        <s v="N705JB"/>
        <s v="N937JB"/>
        <s v="N521JB"/>
        <s v="N4083J"/>
        <s v="N828JB"/>
        <s v="N3162J"/>
        <s v="N3149J"/>
        <s v="N961JT"/>
        <s v="N566JB"/>
        <s v="N588JB"/>
        <s v="N706JB"/>
        <s v="N982JB"/>
        <s v="N2047J"/>
        <s v="N583JB"/>
        <s v="N4076J"/>
        <s v="N4058J"/>
        <s v="N4074J"/>
        <s v="N3241J"/>
        <s v="N2199J"/>
        <s v="N3077J"/>
        <s v="N3260J"/>
        <s v="N615JB"/>
        <s v="N520JB"/>
        <s v="N608JB"/>
        <s v="N991JT"/>
        <s v="N995JL"/>
        <s v="N3139J"/>
        <s v="N571JB"/>
        <s v="N564JB"/>
        <s v="N4048J"/>
        <s v="N834JB"/>
        <s v="N3138J"/>
        <s v="N943JT"/>
        <s v="N561JB"/>
        <s v="N729JB"/>
        <s v="N658JB"/>
        <s v="N630JB"/>
        <s v="N4062J"/>
        <s v="N2188J"/>
        <s v="N986JB"/>
        <s v="N4080J"/>
        <s v="N962JT"/>
        <s v="N2156J"/>
        <s v="N3221J"/>
        <s v="N946JL"/>
        <s v="N827JB"/>
        <s v="N655JB"/>
        <s v="N633JB"/>
        <s v="N984JB"/>
        <s v="N3258J"/>
        <s v="N2142J"/>
        <s v="N989JT"/>
        <s v="N715JB"/>
        <s v="N942JB"/>
        <s v="N964JT"/>
        <s v="N3255J"/>
        <s v="N2205J"/>
        <s v="N618JB"/>
        <s v="N3169J"/>
        <s v="N985JT"/>
        <s v="N3189J"/>
        <s v="N979JT"/>
        <s v="N2169J"/>
        <s v="N981JT"/>
        <s v="N970JB"/>
        <s v="N987JT"/>
        <s v="N4077J"/>
        <s v="N956JT"/>
        <s v="N952JB"/>
        <s v="N598JB"/>
        <s v="N3284J"/>
        <s v="N3251J"/>
        <s v="N950JT"/>
        <s v="N552JB"/>
        <s v="N809JB"/>
        <s v="N988JT"/>
        <s v="N947JB"/>
        <s v="N935JB"/>
        <s v="N945JT"/>
        <s v="N712JB"/>
        <s v="N559JB"/>
        <s v="N967JT"/>
        <s v="N972JT"/>
        <s v="N3125J"/>
        <s v="N807JB"/>
        <s v="N580JB"/>
        <s v="N949JT"/>
        <s v="N3232J"/>
        <s v="N3242J"/>
        <s v="N994JL"/>
        <s v="N2039J"/>
        <s v="N2044J"/>
        <s v="N2165J"/>
        <s v="N519JB"/>
        <s v="N3276J"/>
        <s v="N708JB"/>
        <s v="N3229J"/>
        <s v="N3023J"/>
        <s v="N3113J"/>
        <s v="N590JB"/>
        <s v="N804JB"/>
        <s v="N3272J"/>
        <s v="N929JB"/>
        <s v="N3196J"/>
        <s v="N649JB"/>
        <s v="N665JB"/>
        <s v="N653JB"/>
        <s v="N907JB"/>
        <s v="N974JT"/>
        <s v="N775JB"/>
        <s v="N3142J"/>
        <s v="N629JB"/>
        <s v="N796JB"/>
        <s v="N661JB"/>
        <s v="N3298J"/>
        <s v="N3291J"/>
        <s v="N646JB"/>
        <s v="N3065J"/>
        <s v="N2157J"/>
        <s v="N998JE"/>
        <s v="N763JB"/>
        <s v="N3112J"/>
        <s v="N638JB"/>
        <s v="N978JB"/>
        <s v="N643JB"/>
        <s v="N524JB"/>
        <s v="N632JB"/>
        <s v="N794JB"/>
        <s v="N529JB"/>
        <s v="N760JB"/>
        <s v="N3271J"/>
        <s v="N3296J"/>
        <s v="N3307J"/>
        <s v="N3195J"/>
        <s v="N4022J"/>
        <s v="N531JL"/>
        <s v="N958JB"/>
        <s v="N993JE"/>
        <s v="N612JB"/>
        <s v="N595JB"/>
        <s v="N599JB"/>
        <s v="N2084J"/>
        <s v="N657JB"/>
        <s v="N954JB"/>
        <s v="N3157J"/>
        <s v="N2043J"/>
        <s v="N505JB"/>
        <s v="N999JQ"/>
        <s v="N975JT"/>
        <s v="N934JB"/>
        <s v="N592JB"/>
        <s v="N3152J"/>
        <s v="N997JL"/>
        <s v="N3104J"/>
        <s v="N983JT"/>
        <s v="N565JB"/>
        <s v="N652JB"/>
        <s v="N980JT"/>
        <s v="N992JB"/>
        <s v="N613JB"/>
        <s v="N973JT"/>
        <s v="N589JB"/>
        <s v="N3058J"/>
        <s v="N903JB"/>
        <s v="N966JT"/>
        <s v="N905JB"/>
        <s v="N977JE"/>
        <s v="N3118J"/>
        <s v="N591JB"/>
        <s v="N913JB"/>
        <s v="N3304J"/>
        <s v="N969JT"/>
        <s v="N806JB"/>
        <s v="N556JB"/>
        <s v="N508JL"/>
        <s v="N662JB"/>
        <s v="N805JB"/>
        <s v="N526JL"/>
        <s v="N709JB"/>
        <s v="N2017J"/>
        <s v="N2029J"/>
        <s v="N563JB"/>
        <s v="N3102J"/>
        <s v="N793JB"/>
        <s v="N3308J"/>
        <s v="N2016J"/>
        <s v="N606JB"/>
        <s v="N537JT"/>
        <s v="N746JB"/>
        <s v="N959JB"/>
        <s v="N944JT"/>
        <s v="N659JB"/>
        <s v="N603JB"/>
        <s v="N3044J"/>
        <s v="N607JB"/>
        <s v="N948JB"/>
        <s v="N2180J"/>
        <s v="N579JB"/>
        <s v="N635JB"/>
        <s v="N3123J"/>
        <s v="N593JB"/>
        <s v="N3275J"/>
        <s v="N547JB"/>
        <s v="N996JL"/>
        <s v="N3203J"/>
        <s v="N2151J"/>
        <s v="N594JB"/>
        <s v="N2086J"/>
        <s v="N3261J"/>
        <s v="N3215J"/>
        <s v="N955JB"/>
        <s v="N640JB"/>
        <s v="N570JB"/>
        <s v="N2193J"/>
        <s v="N3240J"/>
        <s v="N768JB"/>
        <s v="N779JB"/>
        <s v="N3062J"/>
        <s v="N624JB"/>
        <s v="N3185J"/>
        <s v="N3132J"/>
        <s v="N536JB"/>
        <s v="N621JB"/>
      </sharedItems>
    </cacheField>
    <cacheField name="Aircraft Type" numFmtId="0">
      <sharedItems/>
    </cacheField>
    <cacheField name="ICAO Type" numFmtId="0">
      <sharedItems containsBlank="1"/>
    </cacheField>
    <cacheField name="Status" numFmtId="0">
      <sharedItems/>
    </cacheField>
    <cacheField name="ICAO24 Hex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30">
  <r>
    <x v="0"/>
    <s v="B6 2725"/>
    <s v="JBU2725"/>
    <s v="JFK"/>
    <s v="KJFK"/>
    <s v="TPA"/>
    <s v="KTPA"/>
    <d v="2026-09-24T00:00:07"/>
    <d v="2026-09-24T02:22:58"/>
    <n v="143"/>
    <x v="0"/>
    <s v="A321"/>
    <s v="A321"/>
    <s v="Complete"/>
    <s v="ad6f93"/>
  </r>
  <r>
    <x v="0"/>
    <s v="B6 397"/>
    <s v="JBU397"/>
    <s v="BOS"/>
    <s v="KBOS"/>
    <s v="SEA"/>
    <s v="KSEA"/>
    <d v="2026-09-24T00:00:42"/>
    <d v="2026-09-24T05:38:33"/>
    <n v="338"/>
    <x v="1"/>
    <s v="A321"/>
    <s v="A321"/>
    <s v="Complete"/>
    <s v="ad8836"/>
  </r>
  <r>
    <x v="0"/>
    <s v="B6 882"/>
    <s v="JBU882"/>
    <m/>
    <m/>
    <s v="JFK"/>
    <s v="KJFK"/>
    <d v="2026-09-24T00:07:33"/>
    <d v="2026-09-24T00:58:02"/>
    <n v="50"/>
    <x v="2"/>
    <s v="A320"/>
    <s v="A320"/>
    <s v="Complete"/>
    <s v="a8a3ce"/>
  </r>
  <r>
    <x v="0"/>
    <s v="B6 1407"/>
    <s v="JBU1407"/>
    <s v="JFK"/>
    <s v="KJFK"/>
    <s v="CDG"/>
    <s v="LFPG"/>
    <d v="2026-09-24T00:10:06"/>
    <d v="2026-09-24T06:49:16"/>
    <n v="399"/>
    <x v="3"/>
    <s v="A321neo"/>
    <s v="A21N"/>
    <s v="Landing inferred"/>
    <s v="a4c96c"/>
  </r>
  <r>
    <x v="0"/>
    <s v="B6 1860"/>
    <s v="JBU1860"/>
    <s v="PHL"/>
    <s v="KPHL"/>
    <s v="BOS"/>
    <s v="KBOS"/>
    <d v="2026-09-24T00:10:55"/>
    <d v="2026-09-24T01:03:19"/>
    <n v="52"/>
    <x v="4"/>
    <s v="Unknown"/>
    <m/>
    <s v="Complete"/>
    <s v="a38fa4"/>
  </r>
  <r>
    <x v="0"/>
    <s v="B6 706"/>
    <s v="JBU706"/>
    <s v="FLL"/>
    <s v="KFLL"/>
    <s v="EWR"/>
    <s v="KEWR"/>
    <d v="2026-09-24T00:17:34"/>
    <d v="2026-09-24T02:37:59"/>
    <n v="140"/>
    <x v="5"/>
    <s v="A320"/>
    <s v="A320"/>
    <s v="Complete"/>
    <s v="a87898"/>
  </r>
  <r>
    <x v="0"/>
    <s v="B6 2018"/>
    <s v="JBU2018"/>
    <m/>
    <m/>
    <s v="JFK"/>
    <s v="KJFK"/>
    <d v="2026-09-24T00:18:24"/>
    <d v="2026-09-24T01:12:53"/>
    <n v="54"/>
    <x v="6"/>
    <s v="A321neo"/>
    <s v="A21N"/>
    <s v="Complete"/>
    <s v="a1a0a1"/>
  </r>
  <r>
    <x v="0"/>
    <s v="B6 2144"/>
    <s v="JBU2144"/>
    <s v="DJT"/>
    <s v="KPBI"/>
    <s v="EWR"/>
    <s v="KEWR"/>
    <d v="2026-09-24T00:19:54"/>
    <d v="2026-09-24T02:35:03"/>
    <n v="135"/>
    <x v="7"/>
    <s v="A320"/>
    <s v="A320"/>
    <s v="Complete"/>
    <s v="a6c3ca"/>
  </r>
  <r>
    <x v="0"/>
    <s v="B6 2994"/>
    <s v="JBU2994"/>
    <s v="FLL"/>
    <s v="KFLL"/>
    <s v="BWI"/>
    <s v="KBWI"/>
    <d v="2026-09-24T00:20:03"/>
    <d v="2026-09-24T02:23:18"/>
    <n v="123"/>
    <x v="8"/>
    <s v="A220-300"/>
    <s v="BCS3"/>
    <s v="Complete"/>
    <s v="a358bd"/>
  </r>
  <r>
    <x v="0"/>
    <s v="B6 1694"/>
    <s v="JBU1694"/>
    <s v="MCO"/>
    <s v="KMCO"/>
    <s v="HPN"/>
    <s v="KHPN"/>
    <d v="2026-09-24T00:20:29"/>
    <d v="2026-09-24T02:21:16"/>
    <n v="121"/>
    <x v="9"/>
    <s v="A320"/>
    <s v="A320"/>
    <s v="Landing inferred"/>
    <s v="a83108"/>
  </r>
  <r>
    <x v="0"/>
    <s v="B6 560"/>
    <s v="JBU560"/>
    <s v="PHL"/>
    <s v="KPHL"/>
    <s v="BOS"/>
    <s v="KBOS"/>
    <d v="2026-09-24T00:25:37"/>
    <d v="2026-09-24T01:21:16"/>
    <n v="56"/>
    <x v="10"/>
    <s v="A220-300"/>
    <s v="BCS3"/>
    <s v="Complete"/>
    <s v="a36b2d"/>
  </r>
  <r>
    <x v="0"/>
    <s v="B6 1486"/>
    <s v="JBU1486"/>
    <s v="RDU"/>
    <s v="KRDU"/>
    <s v="JFK"/>
    <s v="KJFK"/>
    <d v="2026-09-24T00:31:49"/>
    <d v="2026-09-24T01:41:00"/>
    <n v="69"/>
    <x v="11"/>
    <s v="A220-300"/>
    <s v="BCS3"/>
    <s v="Complete"/>
    <s v="a387f0"/>
  </r>
  <r>
    <x v="0"/>
    <s v="B6 810"/>
    <s v="JBU810"/>
    <s v="JAX"/>
    <s v="KJAX"/>
    <s v="BOS"/>
    <s v="KBOS"/>
    <d v="2026-09-24T00:33:29"/>
    <d v="2026-09-24T02:36:19"/>
    <n v="123"/>
    <x v="12"/>
    <s v="A320"/>
    <s v="A320"/>
    <s v="Complete"/>
    <s v="a8222c"/>
  </r>
  <r>
    <x v="0"/>
    <s v="B6 2581"/>
    <s v="JBU2581"/>
    <s v="FLL"/>
    <s v="KFLL"/>
    <s v="BNA"/>
    <s v="KBNA"/>
    <d v="2026-09-24T00:33:45"/>
    <d v="2026-09-24T02:29:17"/>
    <n v="116"/>
    <x v="13"/>
    <s v="A320"/>
    <s v="A320"/>
    <s v="Complete"/>
    <s v="a8913b"/>
  </r>
  <r>
    <x v="0"/>
    <s v="B6 2626"/>
    <s v="JBU2626"/>
    <s v="FLL"/>
    <s v="KFLL"/>
    <s v="RDU"/>
    <s v="KRDU"/>
    <d v="2026-09-24T00:35:18"/>
    <d v="2026-09-24T02:11:08"/>
    <n v="96"/>
    <x v="14"/>
    <s v="A320"/>
    <s v="A320"/>
    <s v="Complete"/>
    <s v="aa589c"/>
  </r>
  <r>
    <x v="0"/>
    <s v="B6 8457"/>
    <s v="JBU8457"/>
    <s v="ISP"/>
    <s v="KISP"/>
    <s v="JFK"/>
    <s v="KJFK"/>
    <d v="2026-09-24T00:35:34"/>
    <d v="2026-09-24T01:00:39"/>
    <n v="25"/>
    <x v="15"/>
    <s v="A320"/>
    <s v="A320"/>
    <s v="Complete"/>
    <s v="a78945"/>
  </r>
  <r>
    <x v="0"/>
    <s v="B6 277"/>
    <s v="JBU277"/>
    <s v="FLL"/>
    <s v="KFLL"/>
    <s v="SFO"/>
    <s v="KSFO"/>
    <d v="2026-09-24T00:36:55"/>
    <d v="2026-09-24T06:10:53"/>
    <n v="334"/>
    <x v="16"/>
    <s v="A321"/>
    <s v="A321"/>
    <s v="Complete"/>
    <s v="ad7ab8"/>
  </r>
  <r>
    <x v="0"/>
    <s v="B6 2279"/>
    <s v="JBU2279"/>
    <s v="FLL"/>
    <s v="KFLL"/>
    <s v="DFW"/>
    <s v="KDFW"/>
    <d v="2026-09-24T00:38:13"/>
    <d v="2026-09-24T03:19:05"/>
    <n v="161"/>
    <x v="17"/>
    <s v="A320"/>
    <s v="A320"/>
    <s v="Complete"/>
    <s v="a6a3c2"/>
  </r>
  <r>
    <x v="0"/>
    <s v="B6 2134"/>
    <s v="JBU2134"/>
    <m/>
    <m/>
    <s v="MCO"/>
    <s v="KMCO"/>
    <d v="2026-09-24T00:38:14"/>
    <d v="2026-09-24T01:23:14"/>
    <n v="45"/>
    <x v="18"/>
    <s v="A320"/>
    <s v="A320"/>
    <s v="Complete"/>
    <s v="a694dd"/>
  </r>
  <r>
    <x v="0"/>
    <s v="B6 2322"/>
    <s v="JBU2322"/>
    <s v="DJT"/>
    <s v="KPBI"/>
    <s v="BOS"/>
    <s v="KBOS"/>
    <d v="2026-09-24T00:40:33"/>
    <d v="2026-09-24T03:09:37"/>
    <n v="149"/>
    <x v="19"/>
    <s v="A320"/>
    <s v="A320"/>
    <s v="Complete"/>
    <s v="a7da9c"/>
  </r>
  <r>
    <x v="0"/>
    <s v="B6 2271"/>
    <s v="JBU2271"/>
    <s v="FLL"/>
    <s v="KFLL"/>
    <s v="AUS"/>
    <s v="KAUS"/>
    <d v="2026-09-24T00:40:56"/>
    <d v="2026-09-24T03:15:49"/>
    <n v="155"/>
    <x v="20"/>
    <s v="A320"/>
    <s v="A320"/>
    <s v="Complete"/>
    <s v="a7b832"/>
  </r>
  <r>
    <x v="0"/>
    <s v="B6 1136"/>
    <s v="JBU1136"/>
    <s v="DTW"/>
    <s v="KDTW"/>
    <s v="BOS"/>
    <s v="KBOS"/>
    <d v="2026-09-24T00:41:35"/>
    <d v="2026-09-24T02:18:20"/>
    <n v="97"/>
    <x v="21"/>
    <s v="A320"/>
    <s v="A320"/>
    <s v="Complete"/>
    <s v="a9607d"/>
  </r>
  <r>
    <x v="0"/>
    <s v="B6 2290"/>
    <s v="JBU2290"/>
    <s v="FLL"/>
    <s v="KFLL"/>
    <s v="DTW"/>
    <s v="KDTW"/>
    <d v="2026-09-24T00:42:17"/>
    <d v="2026-09-24T03:03:06"/>
    <n v="141"/>
    <x v="22"/>
    <s v="A320"/>
    <s v="A320"/>
    <s v="Complete"/>
    <s v="a7456c"/>
  </r>
  <r>
    <x v="0"/>
    <s v="B6 2754"/>
    <s v="JBU2754"/>
    <s v="DCA"/>
    <s v="KDCA"/>
    <s v="BOS"/>
    <s v="KBOS"/>
    <d v="2026-09-24T00:43:00"/>
    <d v="2026-09-24T01:45:52"/>
    <n v="63"/>
    <x v="23"/>
    <s v="A220-300"/>
    <s v="BCS3"/>
    <s v="Complete"/>
    <s v="a34d98"/>
  </r>
  <r>
    <x v="0"/>
    <s v="B6 514"/>
    <s v="JBU514"/>
    <s v="FLL"/>
    <s v="KFLL"/>
    <s v="ISP"/>
    <s v="KISP"/>
    <d v="2026-09-24T00:43:40"/>
    <d v="2026-09-24T03:00:36"/>
    <n v="137"/>
    <x v="24"/>
    <s v="A320"/>
    <s v="A320"/>
    <s v="Landing inferred"/>
    <s v="a70f11"/>
  </r>
  <r>
    <x v="0"/>
    <s v="B6 1948"/>
    <s v="JBU1948"/>
    <s v="FLL"/>
    <s v="KFLL"/>
    <s v="MCO"/>
    <s v="KMCO"/>
    <d v="2026-09-24T00:45:24"/>
    <d v="2026-09-24T01:18:26"/>
    <n v="33"/>
    <x v="25"/>
    <s v="A320"/>
    <s v="A320"/>
    <s v="Complete"/>
    <s v="a8299a"/>
  </r>
  <r>
    <x v="0"/>
    <s v="B6 1196"/>
    <s v="JBU1196"/>
    <s v="FLL"/>
    <s v="KFLL"/>
    <s v="PVD"/>
    <s v="KPVD"/>
    <d v="2026-09-24T00:46:57"/>
    <d v="2026-09-24T03:13:04"/>
    <n v="146"/>
    <x v="26"/>
    <s v="A320"/>
    <s v="A320"/>
    <s v="Complete"/>
    <s v="a67883"/>
  </r>
  <r>
    <x v="0"/>
    <s v="B6 528"/>
    <s v="JBU528"/>
    <m/>
    <m/>
    <s v="JFK"/>
    <s v="KJFK"/>
    <d v="2026-09-24T00:47:02"/>
    <d v="2026-09-24T04:12:32"/>
    <n v="205"/>
    <x v="27"/>
    <s v="A321neo"/>
    <s v="A21N"/>
    <s v="Complete"/>
    <s v="a1a458"/>
  </r>
  <r>
    <x v="0"/>
    <s v="B6 719"/>
    <s v="JBU719"/>
    <s v="JFK"/>
    <s v="KJFK"/>
    <s v="ATL"/>
    <s v="KATL"/>
    <d v="2026-09-24T00:49:06"/>
    <d v="2026-09-24T02:38:30"/>
    <n v="109"/>
    <x v="28"/>
    <s v="A220-300"/>
    <s v="BCS3"/>
    <s v="Complete"/>
    <s v="a38019"/>
  </r>
  <r>
    <x v="0"/>
    <s v="B6 251"/>
    <s v="JBU251"/>
    <s v="BOS"/>
    <s v="KBOS"/>
    <s v="MCO"/>
    <s v="KMCO"/>
    <d v="2026-09-24T00:51:06"/>
    <d v="2026-09-24T03:36:15"/>
    <n v="165"/>
    <x v="29"/>
    <s v="A321"/>
    <s v="A321"/>
    <s v="Complete"/>
    <s v="ad4f72"/>
  </r>
  <r>
    <x v="0"/>
    <s v="B6 1905"/>
    <s v="JBU1905"/>
    <s v="FLL"/>
    <s v="KFLL"/>
    <s v="TPA"/>
    <s v="KTPA"/>
    <d v="2026-09-24T00:51:32"/>
    <d v="2026-09-24T01:29:30"/>
    <n v="38"/>
    <x v="30"/>
    <s v="A320"/>
    <s v="A320"/>
    <s v="Complete"/>
    <s v="ab355c"/>
  </r>
  <r>
    <x v="0"/>
    <s v="B6 1146"/>
    <s v="JBU1146"/>
    <s v="FLL"/>
    <s v="KFLL"/>
    <s v="RIC"/>
    <s v="KRIC"/>
    <d v="2026-09-24T00:52:58"/>
    <d v="2026-09-24T02:39:53"/>
    <n v="107"/>
    <x v="31"/>
    <s v="A320"/>
    <s v="A320"/>
    <s v="Landing inferred"/>
    <s v="a8c028"/>
  </r>
  <r>
    <x v="0"/>
    <s v="B6 31"/>
    <s v="JBU31"/>
    <s v="BOS"/>
    <s v="KBOS"/>
    <s v="AMS"/>
    <s v="EHAM"/>
    <d v="2026-09-24T00:54:23"/>
    <d v="2026-09-24T07:08:54"/>
    <n v="375"/>
    <x v="32"/>
    <s v="A321neo"/>
    <s v="A21N"/>
    <s v="Complete"/>
    <s v="a4c5d8"/>
  </r>
  <r>
    <x v="0"/>
    <s v="B6 572"/>
    <s v="JBU572"/>
    <s v="FLL"/>
    <s v="KFLL"/>
    <s v="LGA"/>
    <s v="KLGA"/>
    <d v="2026-09-24T00:54:28"/>
    <d v="2026-09-24T03:17:37"/>
    <n v="143"/>
    <x v="33"/>
    <s v="A320"/>
    <s v="A320"/>
    <s v="Complete"/>
    <s v="a7858e"/>
  </r>
  <r>
    <x v="0"/>
    <s v="B6 1952"/>
    <s v="JBU1952"/>
    <s v="MCO"/>
    <s v="KMCO"/>
    <s v="BOS"/>
    <s v="KBOS"/>
    <d v="2026-09-24T00:56:03"/>
    <d v="2026-09-24T03:15:56"/>
    <n v="140"/>
    <x v="34"/>
    <s v="A220-300"/>
    <s v="BCS3"/>
    <s v="Complete"/>
    <s v="a39289"/>
  </r>
  <r>
    <x v="0"/>
    <s v="B6 1590"/>
    <s v="JBU1590"/>
    <s v="FLL"/>
    <s v="KFLL"/>
    <s v="CLE"/>
    <s v="KCLE"/>
    <d v="2026-09-24T00:56:07"/>
    <d v="2026-09-24T03:13:10"/>
    <n v="137"/>
    <x v="35"/>
    <s v="A220-300"/>
    <s v="BCS3"/>
    <s v="Complete"/>
    <s v="a38e69"/>
  </r>
  <r>
    <x v="0"/>
    <s v="B6 2768"/>
    <s v="JBU2768"/>
    <s v="JFK"/>
    <s v="KJFK"/>
    <s v="CLE"/>
    <s v="KCLE"/>
    <d v="2026-09-24T00:57:24"/>
    <d v="2026-09-24T02:10:02"/>
    <n v="73"/>
    <x v="36"/>
    <s v="A220-300"/>
    <s v="BCS3"/>
    <s v="Complete"/>
    <s v="a38836"/>
  </r>
  <r>
    <x v="0"/>
    <s v="B6 2186"/>
    <s v="JBU2186"/>
    <s v="PIT"/>
    <s v="KPIT"/>
    <s v="BOS"/>
    <s v="KBOS"/>
    <d v="2026-09-24T00:57:33"/>
    <d v="2026-09-24T12:08:26"/>
    <n v="671"/>
    <x v="37"/>
    <s v="A220-300"/>
    <s v="BCS3"/>
    <s v="Complete"/>
    <s v="a3401a"/>
  </r>
  <r>
    <x v="0"/>
    <s v="B6 845"/>
    <s v="JBU845"/>
    <s v="BOS"/>
    <s v="KBOS"/>
    <s v="SYR"/>
    <s v="KSYR"/>
    <d v="2026-09-24T00:57:59"/>
    <d v="2026-09-24T01:47:50"/>
    <n v="50"/>
    <x v="38"/>
    <s v="A220-300"/>
    <s v="BCS3"/>
    <s v="Complete"/>
    <s v="a350c3"/>
  </r>
  <r>
    <x v="0"/>
    <s v="B6 1798"/>
    <s v="JBU1798"/>
    <s v="FLL"/>
    <s v="KFLL"/>
    <s v="FLL"/>
    <s v="KFLL"/>
    <d v="2026-09-24T00:59:27"/>
    <d v="2026-09-24T01:02:09"/>
    <n v="3"/>
    <x v="39"/>
    <s v="Unknown"/>
    <m/>
    <s v="Complete"/>
    <s v="a39be7"/>
  </r>
  <r>
    <x v="0"/>
    <s v="B6 460"/>
    <s v="JBU460"/>
    <s v="FLL"/>
    <s v="KFLL"/>
    <s v="BDL"/>
    <s v="KBDL"/>
    <d v="2026-09-24T01:00:51"/>
    <d v="2026-09-24T03:26:11"/>
    <n v="145"/>
    <x v="40"/>
    <s v="A320"/>
    <s v="A320"/>
    <s v="Landing inferred"/>
    <s v="aaa02c"/>
  </r>
  <r>
    <x v="0"/>
    <s v="B6 1798"/>
    <s v="JBU1798"/>
    <s v="FLL"/>
    <s v="KFLL"/>
    <s v="FXE"/>
    <s v="KFXE"/>
    <d v="2026-09-24T01:02:09"/>
    <d v="2026-09-24T01:04:29"/>
    <n v="2"/>
    <x v="39"/>
    <s v="Unknown"/>
    <m/>
    <s v="Complete"/>
    <s v="a39be7"/>
  </r>
  <r>
    <x v="0"/>
    <s v="B6 70"/>
    <s v="JBU70"/>
    <s v="FLL"/>
    <s v="KFLL"/>
    <s v="BOS"/>
    <s v="KBOS"/>
    <d v="2026-09-24T01:02:21"/>
    <d v="2026-09-24T03:44:39"/>
    <n v="162"/>
    <x v="41"/>
    <s v="A320"/>
    <s v="A320"/>
    <s v="Complete"/>
    <s v="a85887"/>
  </r>
  <r>
    <x v="0"/>
    <s v="B6 376"/>
    <s v="JBU376"/>
    <s v="FLL"/>
    <s v="KFLL"/>
    <s v="PHL"/>
    <s v="KPHL"/>
    <d v="2026-09-24T01:03:43"/>
    <d v="2026-09-24T03:18:48"/>
    <n v="135"/>
    <x v="42"/>
    <s v="A320"/>
    <s v="A320"/>
    <s v="Landing inferred"/>
    <s v="a854d0"/>
  </r>
  <r>
    <x v="0"/>
    <s v="B6 1798"/>
    <s v="JBU1798"/>
    <s v="FXE"/>
    <s v="KFXE"/>
    <m/>
    <m/>
    <d v="2026-09-24T01:04:29"/>
    <d v="2026-09-24T01:07:24"/>
    <n v="3"/>
    <x v="39"/>
    <s v="Unknown"/>
    <m/>
    <s v="Complete"/>
    <s v="a39be7"/>
  </r>
  <r>
    <x v="0"/>
    <s v="B6 159"/>
    <s v="JBU159"/>
    <s v="BOS"/>
    <s v="KBOS"/>
    <s v="PHL"/>
    <s v="KPHL"/>
    <d v="2026-09-24T01:05:09"/>
    <d v="2026-09-24T02:05:08"/>
    <n v="60"/>
    <x v="43"/>
    <s v="Unknown"/>
    <m/>
    <s v="Complete"/>
    <s v="a39fe4"/>
  </r>
  <r>
    <x v="0"/>
    <s v="B6 607"/>
    <s v="JBU607"/>
    <s v="FLL"/>
    <s v="KFLL"/>
    <s v="LAS"/>
    <s v="KLAS"/>
    <d v="2026-09-24T01:05:13"/>
    <d v="2026-09-24T05:38:13"/>
    <n v="273"/>
    <x v="44"/>
    <s v="A321"/>
    <s v="A321"/>
    <s v="Complete"/>
    <s v="ad9ac9"/>
  </r>
  <r>
    <x v="0"/>
    <s v="B6 2779"/>
    <s v="JBU2779"/>
    <s v="FLL"/>
    <s v="KFLL"/>
    <s v="IAH"/>
    <s v="KIAH"/>
    <d v="2026-09-24T01:07:04"/>
    <d v="2026-09-24T03:24:32"/>
    <n v="137"/>
    <x v="45"/>
    <s v="A320"/>
    <s v="A320"/>
    <s v="Landing inferred"/>
    <s v="a967eb"/>
  </r>
  <r>
    <x v="0"/>
    <s v="B6 1798"/>
    <s v="JBU1798"/>
    <m/>
    <m/>
    <m/>
    <m/>
    <d v="2026-09-24T01:07:25"/>
    <d v="2026-09-24T01:09:04"/>
    <n v="2"/>
    <x v="39"/>
    <s v="Unknown"/>
    <m/>
    <s v="Complete"/>
    <s v="a39be7"/>
  </r>
  <r>
    <x v="0"/>
    <s v="B6 515"/>
    <s v="JBU515"/>
    <s v="JFK"/>
    <s v="KJFK"/>
    <s v="SFO"/>
    <s v="KSFO"/>
    <d v="2026-09-24T01:08:55"/>
    <d v="2026-09-24T07:02:06"/>
    <n v="353"/>
    <x v="46"/>
    <s v="A321"/>
    <s v="A321"/>
    <s v="Complete"/>
    <s v="ad0074"/>
  </r>
  <r>
    <x v="0"/>
    <s v="B6 1798"/>
    <s v="JBU1798"/>
    <m/>
    <m/>
    <m/>
    <m/>
    <d v="2026-09-24T01:09:04"/>
    <d v="2026-09-24T01:09:08"/>
    <n v="0"/>
    <x v="39"/>
    <s v="Unknown"/>
    <m/>
    <s v="Complete"/>
    <s v="a39be7"/>
  </r>
  <r>
    <x v="0"/>
    <s v="B6 1798"/>
    <s v="JBU1798"/>
    <m/>
    <m/>
    <m/>
    <m/>
    <d v="2026-09-24T01:09:09"/>
    <d v="2026-09-24T01:09:54"/>
    <n v="1"/>
    <x v="39"/>
    <s v="Unknown"/>
    <m/>
    <s v="Complete"/>
    <s v="a39be7"/>
  </r>
  <r>
    <x v="0"/>
    <s v="B6 1798"/>
    <s v="JBU1798"/>
    <m/>
    <m/>
    <m/>
    <m/>
    <d v="2026-09-24T01:09:54"/>
    <d v="2026-09-24T01:10:09"/>
    <n v="0"/>
    <x v="39"/>
    <s v="Unknown"/>
    <m/>
    <s v="Complete"/>
    <s v="a39be7"/>
  </r>
  <r>
    <x v="0"/>
    <s v="B6 1798"/>
    <s v="JBU1798"/>
    <m/>
    <m/>
    <m/>
    <m/>
    <d v="2026-09-24T01:10:09"/>
    <d v="2026-09-24T01:16:03"/>
    <n v="6"/>
    <x v="39"/>
    <s v="Unknown"/>
    <m/>
    <s v="Complete"/>
    <s v="a39be7"/>
  </r>
  <r>
    <x v="0"/>
    <s v="B6 400"/>
    <s v="JBU400"/>
    <s v="MSY"/>
    <s v="KMSY"/>
    <s v="BOS"/>
    <s v="KBOS"/>
    <d v="2026-09-24T01:10:43"/>
    <d v="2026-09-24T04:32:51"/>
    <n v="202"/>
    <x v="47"/>
    <s v="A320"/>
    <s v="A320"/>
    <s v="Complete"/>
    <s v="a68d6f"/>
  </r>
  <r>
    <x v="0"/>
    <s v="B6 345"/>
    <s v="JBU345"/>
    <s v="BOS"/>
    <s v="KBOS"/>
    <s v="BCN"/>
    <s v="LEBL"/>
    <d v="2026-09-24T01:11:01"/>
    <d v="2026-09-24T07:51:49"/>
    <n v="401"/>
    <x v="48"/>
    <s v="A321neo"/>
    <s v="A21N"/>
    <s v="Complete"/>
    <s v="a4cd23"/>
  </r>
  <r>
    <x v="0"/>
    <s v="B6 1798"/>
    <s v="JBU1798"/>
    <m/>
    <m/>
    <m/>
    <m/>
    <d v="2026-09-24T01:16:04"/>
    <d v="2026-09-24T01:17:28"/>
    <n v="1"/>
    <x v="39"/>
    <s v="Unknown"/>
    <m/>
    <s v="Complete"/>
    <s v="a39be7"/>
  </r>
  <r>
    <x v="0"/>
    <s v="B6 1798"/>
    <s v="JBU1798"/>
    <m/>
    <m/>
    <m/>
    <m/>
    <d v="2026-09-24T01:17:29"/>
    <d v="2026-09-24T01:19:50"/>
    <n v="2"/>
    <x v="39"/>
    <s v="Unknown"/>
    <m/>
    <s v="Complete"/>
    <s v="a39be7"/>
  </r>
  <r>
    <x v="0"/>
    <s v="B6 571"/>
    <s v="JBU571"/>
    <s v="LGA"/>
    <s v="KLGA"/>
    <s v="FLL"/>
    <s v="KFLL"/>
    <d v="2026-09-24T01:18:15"/>
    <d v="2026-09-24T03:58:09"/>
    <n v="160"/>
    <x v="49"/>
    <s v="A320"/>
    <s v="A320"/>
    <s v="Complete"/>
    <s v="ab4f5d"/>
  </r>
  <r>
    <x v="0"/>
    <s v="B6 1798"/>
    <s v="JBU1798"/>
    <m/>
    <m/>
    <m/>
    <m/>
    <d v="2026-09-24T01:19:50"/>
    <d v="2026-09-24T01:20:19"/>
    <n v="0"/>
    <x v="39"/>
    <s v="Unknown"/>
    <m/>
    <s v="Complete"/>
    <s v="a39be7"/>
  </r>
  <r>
    <x v="0"/>
    <s v="B6 1798"/>
    <s v="JBU1798"/>
    <m/>
    <m/>
    <m/>
    <m/>
    <d v="2026-09-24T01:20:20"/>
    <d v="2026-09-24T01:20:49"/>
    <n v="0"/>
    <x v="39"/>
    <s v="Unknown"/>
    <m/>
    <s v="Complete"/>
    <s v="a39be7"/>
  </r>
  <r>
    <x v="0"/>
    <s v="B6 1798"/>
    <s v="JBU1798"/>
    <m/>
    <m/>
    <m/>
    <m/>
    <d v="2026-09-24T01:20:49"/>
    <d v="2026-09-24T01:21:09"/>
    <n v="0"/>
    <x v="39"/>
    <s v="Unknown"/>
    <m/>
    <s v="Complete"/>
    <s v="a39be7"/>
  </r>
  <r>
    <x v="0"/>
    <s v="B6 1798"/>
    <s v="JBU1798"/>
    <m/>
    <m/>
    <m/>
    <m/>
    <d v="2026-09-24T01:21:10"/>
    <d v="2026-09-24T01:24:00"/>
    <n v="3"/>
    <x v="39"/>
    <s v="Unknown"/>
    <m/>
    <s v="Complete"/>
    <s v="a39be7"/>
  </r>
  <r>
    <x v="0"/>
    <s v="B6 1337"/>
    <s v="JBU1337"/>
    <s v="BOS"/>
    <s v="KBOS"/>
    <s v="DTW"/>
    <s v="KDTW"/>
    <d v="2026-09-24T01:22:05"/>
    <d v="2026-09-24T02:54:33"/>
    <n v="92"/>
    <x v="50"/>
    <s v="A220-300"/>
    <s v="BCS3"/>
    <s v="Complete"/>
    <s v="a35fc2"/>
  </r>
  <r>
    <x v="0"/>
    <s v="B6 2080"/>
    <s v="JBU2080"/>
    <s v="FLL"/>
    <s v="KFLL"/>
    <s v="DCA"/>
    <s v="KDCA"/>
    <d v="2026-09-24T01:23:24"/>
    <d v="2026-09-24T03:24:47"/>
    <n v="121"/>
    <x v="51"/>
    <s v="A220-300"/>
    <s v="BCS3"/>
    <s v="Complete"/>
    <s v="a35949"/>
  </r>
  <r>
    <x v="0"/>
    <s v="B6 1798"/>
    <s v="JBU1798"/>
    <m/>
    <m/>
    <m/>
    <m/>
    <d v="2026-09-24T01:24:00"/>
    <d v="2026-09-24T01:24:25"/>
    <n v="0"/>
    <x v="39"/>
    <s v="Unknown"/>
    <m/>
    <s v="Complete"/>
    <s v="a39be7"/>
  </r>
  <r>
    <x v="0"/>
    <s v="B6 1798"/>
    <s v="JBU1798"/>
    <m/>
    <m/>
    <m/>
    <m/>
    <d v="2026-09-24T01:24:25"/>
    <d v="2026-09-24T01:24:55"/>
    <n v="0"/>
    <x v="39"/>
    <s v="Unknown"/>
    <m/>
    <s v="Complete"/>
    <s v="a39be7"/>
  </r>
  <r>
    <x v="0"/>
    <s v="B6 1798"/>
    <s v="JBU1798"/>
    <m/>
    <m/>
    <s v="MCO"/>
    <s v="KMCO"/>
    <d v="2026-09-24T01:24:56"/>
    <d v="2026-09-24T01:25:46"/>
    <n v="1"/>
    <x v="39"/>
    <s v="Unknown"/>
    <m/>
    <s v="Complete"/>
    <s v="a39be7"/>
  </r>
  <r>
    <x v="0"/>
    <s v="B6 1798"/>
    <s v="JBU1798"/>
    <s v="MCO"/>
    <s v="KMCO"/>
    <s v="MCO"/>
    <s v="KMCO"/>
    <d v="2026-09-24T01:25:47"/>
    <d v="2026-09-24T01:26:11"/>
    <n v="0"/>
    <x v="39"/>
    <s v="Unknown"/>
    <m/>
    <s v="Complete"/>
    <s v="a39be7"/>
  </r>
  <r>
    <x v="0"/>
    <s v="B6 2501"/>
    <s v="JBU2501"/>
    <s v="FLL"/>
    <s v="KFLL"/>
    <s v="LAX"/>
    <s v="KLAX"/>
    <d v="2026-09-24T01:25:53"/>
    <d v="2026-09-24T06:11:07"/>
    <n v="285"/>
    <x v="52"/>
    <s v="A321"/>
    <s v="A321"/>
    <s v="Complete"/>
    <s v="ad60b7"/>
  </r>
  <r>
    <x v="0"/>
    <s v="B6 1798"/>
    <s v="JBU1798"/>
    <s v="MCO"/>
    <s v="KMCO"/>
    <m/>
    <m/>
    <d v="2026-09-24T01:26:11"/>
    <d v="2026-09-24T01:28:06"/>
    <n v="2"/>
    <x v="39"/>
    <s v="Unknown"/>
    <m/>
    <s v="Complete"/>
    <s v="a39be7"/>
  </r>
  <r>
    <x v="0"/>
    <s v="B6 1798"/>
    <s v="JBU1798"/>
    <m/>
    <m/>
    <m/>
    <m/>
    <d v="2026-09-24T01:28:06"/>
    <d v="2026-09-24T01:35:43"/>
    <n v="8"/>
    <x v="39"/>
    <s v="Unknown"/>
    <m/>
    <s v="Complete"/>
    <s v="a39be7"/>
  </r>
  <r>
    <x v="0"/>
    <s v="B6 18"/>
    <s v="JBU18"/>
    <s v="FLL"/>
    <s v="KFLL"/>
    <s v="JAX"/>
    <s v="KJAX"/>
    <d v="2026-09-24T01:28:29"/>
    <d v="2026-09-24T02:15:01"/>
    <n v="47"/>
    <x v="53"/>
    <s v="A320"/>
    <s v="A320"/>
    <s v="Landing inferred"/>
    <s v="a73dfe"/>
  </r>
  <r>
    <x v="0"/>
    <s v="B6 462"/>
    <s v="JBU462"/>
    <m/>
    <m/>
    <s v="BOS"/>
    <s v="KBOS"/>
    <d v="2026-09-24T01:34:45"/>
    <d v="2026-09-24T02:29:38"/>
    <n v="55"/>
    <x v="54"/>
    <s v="A320"/>
    <s v="A320"/>
    <s v="Complete"/>
    <s v="a7946a"/>
  </r>
  <r>
    <x v="0"/>
    <s v="B6 1798"/>
    <s v="JBU1798"/>
    <m/>
    <m/>
    <m/>
    <m/>
    <d v="2026-09-24T01:35:43"/>
    <d v="2026-09-24T01:37:03"/>
    <n v="1"/>
    <x v="39"/>
    <s v="Unknown"/>
    <m/>
    <s v="Complete"/>
    <s v="a39be7"/>
  </r>
  <r>
    <x v="0"/>
    <s v="B6 1798"/>
    <s v="JBU1798"/>
    <m/>
    <m/>
    <m/>
    <m/>
    <d v="2026-09-24T01:37:03"/>
    <d v="2026-09-24T01:38:33"/>
    <n v="2"/>
    <x v="39"/>
    <s v="Unknown"/>
    <m/>
    <s v="Complete"/>
    <s v="a39be7"/>
  </r>
  <r>
    <x v="0"/>
    <s v="B6 1798"/>
    <s v="JBU1798"/>
    <m/>
    <m/>
    <s v="NIP"/>
    <s v="KNIP"/>
    <d v="2026-09-24T01:38:33"/>
    <d v="2026-09-24T01:41:01"/>
    <n v="2"/>
    <x v="39"/>
    <s v="Unknown"/>
    <m/>
    <s v="Complete"/>
    <s v="a39be7"/>
  </r>
  <r>
    <x v="0"/>
    <s v="B6 2149"/>
    <s v="JBU2149"/>
    <s v="FLL"/>
    <s v="KFLL"/>
    <s v="CLT"/>
    <s v="KCLT"/>
    <d v="2026-09-24T01:38:48"/>
    <d v="2026-09-24T03:12:37"/>
    <n v="94"/>
    <x v="55"/>
    <s v="A320"/>
    <s v="A320"/>
    <s v="Complete"/>
    <s v="a96ba2"/>
  </r>
  <r>
    <x v="0"/>
    <s v="B6 1223"/>
    <s v="JBU1223"/>
    <s v="JFK"/>
    <s v="KJFK"/>
    <s v="LAX"/>
    <s v="KLAX"/>
    <d v="2026-09-24T01:39:09"/>
    <d v="2026-09-24T07:16:49"/>
    <n v="338"/>
    <x v="56"/>
    <s v="A321"/>
    <s v="A321"/>
    <s v="Complete"/>
    <s v="adb35c"/>
  </r>
  <r>
    <x v="0"/>
    <s v="B6 1966"/>
    <s v="JBU1966"/>
    <m/>
    <m/>
    <s v="JFK"/>
    <s v="KJFK"/>
    <d v="2026-09-24T01:39:24"/>
    <d v="2026-09-24T10:39:18"/>
    <n v="540"/>
    <x v="57"/>
    <s v="A321neo"/>
    <s v="A21N"/>
    <s v="Complete"/>
    <s v="a1a435"/>
  </r>
  <r>
    <x v="0"/>
    <s v="B6 1798"/>
    <s v="JBU1798"/>
    <s v="NIP"/>
    <s v="KNIP"/>
    <m/>
    <m/>
    <d v="2026-09-24T01:41:01"/>
    <d v="2026-09-24T01:49:01"/>
    <n v="8"/>
    <x v="39"/>
    <s v="Unknown"/>
    <m/>
    <s v="Complete"/>
    <s v="a39be7"/>
  </r>
  <r>
    <x v="0"/>
    <s v="B6 863"/>
    <s v="JBU863"/>
    <s v="FLL"/>
    <s v="KFLL"/>
    <s v="ORD"/>
    <s v="KORD"/>
    <d v="2026-09-24T01:44:32"/>
    <d v="2026-09-24T04:35:45"/>
    <n v="171"/>
    <x v="58"/>
    <s v="A320"/>
    <s v="A320"/>
    <s v="Complete"/>
    <s v="a781d7"/>
  </r>
  <r>
    <x v="0"/>
    <s v="B6 33"/>
    <s v="JBU33"/>
    <s v="BOS"/>
    <s v="KBOS"/>
    <s v="CDG"/>
    <s v="LFPG"/>
    <d v="2026-09-24T01:48:23"/>
    <d v="2026-09-24T07:58:58"/>
    <n v="371"/>
    <x v="59"/>
    <s v="A321neo"/>
    <s v="A21N"/>
    <s v="Landing inferred"/>
    <s v="a4c9d5"/>
  </r>
  <r>
    <x v="0"/>
    <s v="B6 1798"/>
    <s v="JBU1798"/>
    <m/>
    <m/>
    <m/>
    <m/>
    <d v="2026-09-24T01:49:01"/>
    <d v="2026-09-24T01:59:06"/>
    <n v="10"/>
    <x v="39"/>
    <s v="Unknown"/>
    <m/>
    <s v="Complete"/>
    <s v="a39be7"/>
  </r>
  <r>
    <x v="0"/>
    <s v="B6 7"/>
    <s v="JBU7"/>
    <s v="JFK"/>
    <s v="KJFK"/>
    <s v="LHR"/>
    <s v="EGLL"/>
    <d v="2026-09-24T01:51:12"/>
    <d v="2026-09-24T08:16:36"/>
    <n v="385"/>
    <x v="60"/>
    <s v="A321neo"/>
    <s v="A21N"/>
    <s v="Complete"/>
    <s v="a4c2ad"/>
  </r>
  <r>
    <x v="0"/>
    <s v="B6 841"/>
    <s v="JBU841"/>
    <s v="JFK"/>
    <s v="KJFK"/>
    <s v="DUB"/>
    <s v="EIDW"/>
    <d v="2026-09-24T01:52:15"/>
    <d v="2026-09-24T07:40:05"/>
    <n v="348"/>
    <x v="61"/>
    <s v="A321neo"/>
    <s v="A21N"/>
    <s v="Complete"/>
    <s v="a4c98f"/>
  </r>
  <r>
    <x v="0"/>
    <s v="B6 1012"/>
    <s v="JBU1012"/>
    <s v="ORD"/>
    <s v="KORD"/>
    <s v="BOS"/>
    <s v="KBOS"/>
    <d v="2026-09-24T01:55:05"/>
    <d v="2026-09-24T03:55:48"/>
    <n v="121"/>
    <x v="62"/>
    <s v="A220-300"/>
    <s v="BCS3"/>
    <s v="Complete"/>
    <s v="a37fb0"/>
  </r>
  <r>
    <x v="0"/>
    <s v="B6 73"/>
    <s v="JBU73"/>
    <s v="JFK"/>
    <s v="KJFK"/>
    <s v="EDI"/>
    <s v="EGPH"/>
    <d v="2026-09-24T01:57:33"/>
    <d v="2026-09-24T08:02:17"/>
    <n v="365"/>
    <x v="63"/>
    <s v="A321neo"/>
    <s v="A21N"/>
    <s v="Complete"/>
    <s v="a1de8d"/>
  </r>
  <r>
    <x v="0"/>
    <s v="B6 1798"/>
    <s v="JBU1798"/>
    <m/>
    <m/>
    <m/>
    <m/>
    <d v="2026-09-24T01:59:07"/>
    <d v="2026-09-24T02:05:35"/>
    <n v="6"/>
    <x v="39"/>
    <s v="Unknown"/>
    <m/>
    <s v="Complete"/>
    <s v="a39be7"/>
  </r>
  <r>
    <x v="0"/>
    <s v="B6 206"/>
    <s v="JBU206"/>
    <s v="BOS"/>
    <s v="KBOS"/>
    <s v="PQI"/>
    <s v="KPQI"/>
    <d v="2026-09-24T02:03:48"/>
    <d v="2026-09-24T02:58:01"/>
    <n v="54"/>
    <x v="64"/>
    <s v="A220-300"/>
    <s v="BCS3"/>
    <s v="Complete"/>
    <s v="a33ca9"/>
  </r>
  <r>
    <x v="0"/>
    <s v="B6 1854"/>
    <s v="JBU1854"/>
    <s v="DCA"/>
    <s v="KDCA"/>
    <s v="BOS"/>
    <s v="KBOS"/>
    <d v="2026-09-24T02:04:53"/>
    <d v="2026-09-24T03:07:38"/>
    <n v="63"/>
    <x v="65"/>
    <s v="A220-300"/>
    <s v="BCS3"/>
    <s v="Complete"/>
    <s v="a386fb"/>
  </r>
  <r>
    <x v="0"/>
    <s v="B6 1798"/>
    <s v="JBU1798"/>
    <m/>
    <m/>
    <m/>
    <m/>
    <d v="2026-09-24T02:05:35"/>
    <d v="2026-09-24T02:11:08"/>
    <n v="6"/>
    <x v="39"/>
    <s v="Unknown"/>
    <m/>
    <s v="Complete"/>
    <s v="a39be7"/>
  </r>
  <r>
    <x v="0"/>
    <s v="B6 2823"/>
    <s v="JBU2823"/>
    <s v="FLL"/>
    <s v="KFLL"/>
    <s v="MSY"/>
    <s v="KMSY"/>
    <d v="2026-09-24T02:06:16"/>
    <d v="2026-09-24T03:48:59"/>
    <n v="103"/>
    <x v="66"/>
    <s v="A320"/>
    <s v="A320"/>
    <s v="Complete"/>
    <s v="a8021b"/>
  </r>
  <r>
    <x v="0"/>
    <s v="B6 1798"/>
    <s v="JBU1798"/>
    <m/>
    <m/>
    <s v="ATL"/>
    <s v="KATL"/>
    <d v="2026-09-24T02:11:08"/>
    <d v="2026-09-24T02:27:51"/>
    <n v="17"/>
    <x v="39"/>
    <s v="Unknown"/>
    <m/>
    <s v="Complete"/>
    <s v="a39be7"/>
  </r>
  <r>
    <x v="0"/>
    <s v="B6 820"/>
    <s v="JBU820"/>
    <s v="JFK"/>
    <s v="KJFK"/>
    <s v="DTW"/>
    <s v="KDTW"/>
    <d v="2026-09-24T02:14:01"/>
    <d v="2026-09-24T03:33:00"/>
    <n v="79"/>
    <x v="67"/>
    <s v="A320"/>
    <s v="A320"/>
    <s v="Complete"/>
    <s v="a689b8"/>
  </r>
  <r>
    <x v="0"/>
    <s v="B6 195"/>
    <s v="JBU195"/>
    <s v="HPN"/>
    <s v="KHPN"/>
    <s v="MCO"/>
    <s v="KMCO"/>
    <d v="2026-09-24T02:18:00"/>
    <d v="2026-09-24T04:41:24"/>
    <n v="143"/>
    <x v="68"/>
    <s v="A320"/>
    <s v="A320"/>
    <s v="Complete"/>
    <s v="a7e5c1"/>
  </r>
  <r>
    <x v="0"/>
    <s v="B6 923"/>
    <s v="JBU923"/>
    <s v="JFK"/>
    <s v="KJFK"/>
    <s v="LAX"/>
    <s v="KLAX"/>
    <d v="2026-09-24T02:28:29"/>
    <d v="2026-09-24T07:45:28"/>
    <n v="317"/>
    <x v="69"/>
    <s v="A321"/>
    <s v="A321"/>
    <s v="Complete"/>
    <s v="add734"/>
  </r>
  <r>
    <x v="0"/>
    <s v="B6 1902"/>
    <s v="JBU1902"/>
    <s v="FLL"/>
    <s v="KFLL"/>
    <s v="JFK"/>
    <s v="KJFK"/>
    <d v="2026-09-24T02:28:55"/>
    <d v="2026-09-24T04:36:00"/>
    <n v="127"/>
    <x v="70"/>
    <s v="A321"/>
    <s v="A321"/>
    <s v="Complete"/>
    <s v="ade609"/>
  </r>
  <r>
    <x v="0"/>
    <s v="B6 1195"/>
    <s v="JBU1195"/>
    <s v="JFK"/>
    <s v="KJFK"/>
    <s v="PIT"/>
    <s v="KPIT"/>
    <d v="2026-09-24T02:29:22"/>
    <d v="2026-09-24T03:34:32"/>
    <n v="65"/>
    <x v="71"/>
    <s v="A220-300"/>
    <s v="BCS3"/>
    <s v="Complete"/>
    <s v="a35592"/>
  </r>
  <r>
    <x v="0"/>
    <s v="B6 1186"/>
    <s v="JBU1186"/>
    <s v="JFK"/>
    <s v="KJFK"/>
    <s v="ROC"/>
    <s v="KROC"/>
    <d v="2026-09-24T02:30:16"/>
    <d v="2026-09-24T03:18:05"/>
    <n v="48"/>
    <x v="72"/>
    <s v="A320"/>
    <s v="A320"/>
    <s v="Complete"/>
    <s v="a752ea"/>
  </r>
  <r>
    <x v="0"/>
    <s v="B6 591"/>
    <s v="JBU591"/>
    <s v="BOS"/>
    <s v="KBOS"/>
    <s v="TPA"/>
    <s v="KTPA"/>
    <d v="2026-09-24T02:36:47"/>
    <d v="2026-09-24T05:21:21"/>
    <n v="165"/>
    <x v="73"/>
    <s v="A320"/>
    <s v="A320"/>
    <s v="Complete"/>
    <s v="a73690"/>
  </r>
  <r>
    <x v="0"/>
    <s v="B6 2261"/>
    <s v="JBU2261"/>
    <s v="BOS"/>
    <s v="KBOS"/>
    <s v="MAD"/>
    <s v="LEMD"/>
    <d v="2026-09-24T02:41:58"/>
    <d v="2026-09-24T08:52:17"/>
    <n v="370"/>
    <x v="74"/>
    <s v="A321neo"/>
    <s v="A21N"/>
    <s v="Complete"/>
    <s v="a4bef6"/>
  </r>
  <r>
    <x v="0"/>
    <s v="B6 308"/>
    <s v="JBU308"/>
    <s v="JFK"/>
    <s v="KJFK"/>
    <s v="PWM"/>
    <s v="KPWM"/>
    <d v="2026-09-24T02:45:12"/>
    <d v="2026-09-24T03:34:01"/>
    <n v="49"/>
    <x v="75"/>
    <s v="A320"/>
    <s v="A320"/>
    <s v="Complete"/>
    <s v="ab6800"/>
  </r>
  <r>
    <x v="0"/>
    <s v="B6 1516"/>
    <s v="JBU1516"/>
    <s v="JFK"/>
    <s v="KJFK"/>
    <s v="SYR"/>
    <s v="KSYR"/>
    <d v="2026-09-24T02:51:51"/>
    <d v="2026-09-24T03:33:38"/>
    <n v="42"/>
    <x v="76"/>
    <s v="A220-300"/>
    <s v="BCS3"/>
    <s v="Complete"/>
    <s v="a3556f"/>
  </r>
  <r>
    <x v="0"/>
    <s v="B6 413"/>
    <s v="JBU413"/>
    <s v="BOS"/>
    <s v="KBOS"/>
    <s v="SFO"/>
    <s v="KSFO"/>
    <d v="2026-09-24T02:53:18"/>
    <d v="2026-09-24T08:41:45"/>
    <n v="348"/>
    <x v="77"/>
    <s v="A321"/>
    <s v="A321"/>
    <s v="Complete"/>
    <s v="ad1927"/>
  </r>
  <r>
    <x v="0"/>
    <s v="B6 675"/>
    <s v="JBU675"/>
    <s v="JFK"/>
    <s v="KJFK"/>
    <s v="BDL"/>
    <s v="KBDL"/>
    <d v="2026-09-24T02:53:27"/>
    <d v="2026-09-24T03:17:11"/>
    <n v="24"/>
    <x v="78"/>
    <s v="A320"/>
    <s v="A320"/>
    <s v="Landing inferred"/>
    <s v="a72b6b"/>
  </r>
  <r>
    <x v="0"/>
    <s v="B6 1318"/>
    <s v="JBU1318"/>
    <s v="JFK"/>
    <s v="KJFK"/>
    <s v="BOS"/>
    <s v="KBOS"/>
    <d v="2026-09-24T02:55:15"/>
    <d v="2026-09-24T03:34:01"/>
    <n v="39"/>
    <x v="79"/>
    <s v="A320"/>
    <s v="A320"/>
    <s v="Complete"/>
    <s v="a9c5c5"/>
  </r>
  <r>
    <x v="0"/>
    <s v="B6 470"/>
    <s v="JBU470"/>
    <s v="FLL"/>
    <s v="KFLL"/>
    <s v="BOS"/>
    <s v="KBOS"/>
    <d v="2026-09-24T02:57:50"/>
    <d v="2026-09-24T05:25:46"/>
    <n v="148"/>
    <x v="80"/>
    <s v="A320"/>
    <s v="A320"/>
    <s v="Complete"/>
    <s v="a8ab3c"/>
  </r>
  <r>
    <x v="0"/>
    <s v="B6 1323"/>
    <s v="JBU1323"/>
    <s v="BOS"/>
    <s v="KBOS"/>
    <m/>
    <m/>
    <d v="2026-09-24T03:08:42"/>
    <d v="2026-09-24T04:00:18"/>
    <n v="52"/>
    <x v="81"/>
    <s v="A320"/>
    <s v="A320"/>
    <s v="Signal lost"/>
    <s v="a83e86"/>
  </r>
  <r>
    <x v="0"/>
    <s v="B6 331"/>
    <s v="JBU331"/>
    <m/>
    <m/>
    <s v="MXP"/>
    <s v="LIMC"/>
    <d v="2026-09-24T03:17:38"/>
    <d v="2026-09-24T05:42:38"/>
    <n v="145"/>
    <x v="82"/>
    <s v="A321neo"/>
    <s v="A21N"/>
    <s v="Landing inferred"/>
    <s v="a4c592"/>
  </r>
  <r>
    <x v="0"/>
    <s v="B6 955"/>
    <s v="JBU955"/>
    <s v="JFK"/>
    <s v="KJFK"/>
    <s v="DCA"/>
    <s v="KDCA"/>
    <d v="2026-09-24T03:22:34"/>
    <d v="2026-09-24T04:02:37"/>
    <n v="40"/>
    <x v="11"/>
    <s v="A220-300"/>
    <s v="BCS3"/>
    <s v="Complete"/>
    <s v="a387f0"/>
  </r>
  <r>
    <x v="0"/>
    <s v="B6 1079"/>
    <s v="JBU1079"/>
    <s v="BOS"/>
    <s v="KBOS"/>
    <s v="EDI"/>
    <s v="EGPH"/>
    <d v="2026-09-24T03:26:04"/>
    <d v="2026-09-24T09:23:54"/>
    <n v="358"/>
    <x v="83"/>
    <s v="A321neo"/>
    <s v="A21N"/>
    <s v="Complete"/>
    <s v="a1dab3"/>
  </r>
  <r>
    <x v="0"/>
    <s v="B6 2120"/>
    <s v="JBU2120"/>
    <s v="SAN"/>
    <s v="KSAN"/>
    <s v="BOS"/>
    <s v="KBOS"/>
    <d v="2026-09-24T03:33:24"/>
    <d v="2026-09-24T08:36:53"/>
    <n v="303"/>
    <x v="84"/>
    <s v="A321"/>
    <s v="A321"/>
    <s v="Complete"/>
    <s v="adc238"/>
  </r>
  <r>
    <x v="0"/>
    <s v="B6 1620"/>
    <s v="JBU1620"/>
    <m/>
    <m/>
    <s v="LHR"/>
    <s v="EGLL"/>
    <d v="2026-09-24T03:38:42"/>
    <d v="2026-09-24T05:15:09"/>
    <n v="96"/>
    <x v="85"/>
    <s v="A321neo"/>
    <s v="A21N"/>
    <s v="Complete"/>
    <s v="a4ccba"/>
  </r>
  <r>
    <x v="0"/>
    <s v="B6 16"/>
    <s v="JBU16"/>
    <s v="SFO"/>
    <s v="KSFO"/>
    <s v="JFK"/>
    <s v="KJFK"/>
    <d v="2026-09-24T03:39:11"/>
    <d v="2026-09-24T08:38:55"/>
    <n v="300"/>
    <x v="86"/>
    <s v="A321"/>
    <s v="A321"/>
    <s v="Complete"/>
    <s v="ad646e"/>
  </r>
  <r>
    <x v="0"/>
    <s v="B6 188"/>
    <s v="JBU188"/>
    <s v="LAX"/>
    <s v="KLAX"/>
    <s v="BOS"/>
    <s v="KBOS"/>
    <d v="2026-09-24T03:39:47"/>
    <d v="2026-09-24T08:39:24"/>
    <n v="300"/>
    <x v="87"/>
    <s v="A321neo"/>
    <s v="A21N"/>
    <s v="Complete"/>
    <s v="a1cf48"/>
  </r>
  <r>
    <x v="0"/>
    <s v="B6 1897"/>
    <s v="JBU1897"/>
    <s v="BOS"/>
    <s v="KBOS"/>
    <s v="ATL"/>
    <s v="KATL"/>
    <d v="2026-09-24T03:54:24"/>
    <d v="2026-09-24T06:07:12"/>
    <n v="133"/>
    <x v="88"/>
    <s v="A220-300"/>
    <s v="BCS3"/>
    <s v="Complete"/>
    <s v="a37842"/>
  </r>
  <r>
    <x v="0"/>
    <s v="B6 1574"/>
    <s v="JBU1574"/>
    <s v="LAX"/>
    <s v="KLAX"/>
    <s v="EWR"/>
    <s v="KEWR"/>
    <d v="2026-09-24T04:00:08"/>
    <d v="2026-09-24T08:52:49"/>
    <n v="293"/>
    <x v="89"/>
    <s v="A321"/>
    <s v="A321"/>
    <s v="Complete"/>
    <s v="ad2445"/>
  </r>
  <r>
    <x v="0"/>
    <s v="B6 1536"/>
    <s v="JBU1536"/>
    <m/>
    <m/>
    <s v="JFK"/>
    <s v="KJFK"/>
    <d v="2026-09-24T04:07:32"/>
    <d v="2026-09-24T05:19:18"/>
    <n v="72"/>
    <x v="90"/>
    <s v="A320"/>
    <s v="A320"/>
    <s v="Complete"/>
    <s v="ab4ba6"/>
  </r>
  <r>
    <x v="0"/>
    <s v="B6 193"/>
    <s v="JBU193"/>
    <s v="EWR"/>
    <s v="KEWR"/>
    <m/>
    <m/>
    <d v="2026-09-24T04:20:47"/>
    <d v="2026-09-24T05:12:28"/>
    <n v="52"/>
    <x v="91"/>
    <s v="A320"/>
    <s v="A320"/>
    <s v="Signal lost"/>
    <s v="a8a017"/>
  </r>
  <r>
    <x v="0"/>
    <s v="B6 1128"/>
    <s v="JBU1128"/>
    <s v="JFK"/>
    <s v="KJFK"/>
    <s v="PVD"/>
    <s v="KPVD"/>
    <d v="2026-09-24T04:36:13"/>
    <d v="2026-09-24T05:09:03"/>
    <n v="33"/>
    <x v="92"/>
    <s v="A320"/>
    <s v="A320"/>
    <s v="Complete"/>
    <s v="a849ab"/>
  </r>
  <r>
    <x v="0"/>
    <s v="B6 1190"/>
    <s v="JBU1190"/>
    <s v="SAN"/>
    <s v="KSAN"/>
    <s v="JFK"/>
    <s v="KJFK"/>
    <d v="2026-09-24T04:38:16"/>
    <d v="2026-09-24T09:25:16"/>
    <n v="287"/>
    <x v="93"/>
    <s v="A321"/>
    <s v="A321"/>
    <s v="Complete"/>
    <s v="adbaca"/>
  </r>
  <r>
    <x v="0"/>
    <s v="B6 2008"/>
    <s v="JBU2008"/>
    <s v="FLL"/>
    <s v="KFLL"/>
    <s v="PIT"/>
    <s v="KPIT"/>
    <d v="2026-09-24T04:40:59"/>
    <d v="2026-09-24T06:53:58"/>
    <n v="133"/>
    <x v="94"/>
    <s v="A220-300"/>
    <s v="BCS3"/>
    <s v="Complete"/>
    <s v="a3845c"/>
  </r>
  <r>
    <x v="0"/>
    <s v="B6 1524"/>
    <s v="JBU1524"/>
    <s v="LAX"/>
    <s v="KLAX"/>
    <s v="JFK"/>
    <s v="KJFK"/>
    <d v="2026-09-24T04:47:15"/>
    <d v="2026-09-24T09:47:07"/>
    <n v="300"/>
    <x v="95"/>
    <s v="A321neo"/>
    <s v="A21N"/>
    <s v="Complete"/>
    <s v="a1cb05"/>
  </r>
  <r>
    <x v="0"/>
    <s v="B6 134"/>
    <s v="JBU134"/>
    <s v="SFO"/>
    <s v="KSFO"/>
    <s v="BOS"/>
    <s v="KBOS"/>
    <d v="2026-09-24T04:53:32"/>
    <d v="2026-09-24T10:07:20"/>
    <n v="314"/>
    <x v="96"/>
    <s v="A321"/>
    <s v="A321"/>
    <s v="Complete"/>
    <s v="adcd6d"/>
  </r>
  <r>
    <x v="0"/>
    <s v="B6 66"/>
    <s v="JBU66"/>
    <s v="ABQ"/>
    <s v="KABQ"/>
    <s v="JFK"/>
    <s v="KJFK"/>
    <d v="2026-09-24T04:56:07"/>
    <d v="2026-09-24T08:46:47"/>
    <n v="231"/>
    <x v="97"/>
    <s v="A320"/>
    <s v="A320"/>
    <s v="Complete"/>
    <s v="a98f6a"/>
  </r>
  <r>
    <x v="0"/>
    <s v="B6 1400"/>
    <s v="JBU1400"/>
    <s v="LAX"/>
    <s v="KLAX"/>
    <s v="FLL"/>
    <s v="KFLL"/>
    <d v="2026-09-24T05:08:28"/>
    <d v="2026-09-24T09:52:42"/>
    <n v="284"/>
    <x v="98"/>
    <s v="A321"/>
    <s v="A321"/>
    <s v="Complete"/>
    <s v="ad1560"/>
  </r>
  <r>
    <x v="0"/>
    <s v="B6 608"/>
    <s v="JBU608"/>
    <s v="LAS"/>
    <s v="KLAS"/>
    <s v="FLL"/>
    <s v="KFLL"/>
    <d v="2026-09-24T05:43:36"/>
    <d v="2026-09-24T10:02:56"/>
    <n v="259"/>
    <x v="99"/>
    <s v="A321"/>
    <s v="A321"/>
    <s v="Complete"/>
    <s v="ad6bdc"/>
  </r>
  <r>
    <x v="0"/>
    <s v="B6 454"/>
    <s v="JBU454"/>
    <s v="ONT"/>
    <s v="KONT"/>
    <s v="JFK"/>
    <s v="KJFK"/>
    <d v="2026-09-24T05:49:27"/>
    <d v="2026-09-24T10:37:38"/>
    <n v="288"/>
    <x v="100"/>
    <s v="A220-300"/>
    <s v="BCS3"/>
    <s v="Complete"/>
    <s v="a383f3"/>
  </r>
  <r>
    <x v="0"/>
    <s v="B6 1488"/>
    <s v="JBU1488"/>
    <s v="LAX"/>
    <s v="KLAX"/>
    <s v="BOS"/>
    <s v="KBOS"/>
    <d v="2026-09-24T05:53:08"/>
    <d v="2026-09-24T11:01:46"/>
    <n v="309"/>
    <x v="101"/>
    <s v="A321neo"/>
    <s v="A21N"/>
    <s v="Complete"/>
    <s v="a1e411"/>
  </r>
  <r>
    <x v="0"/>
    <s v="B6 264"/>
    <s v="JBU264"/>
    <s v="SEA"/>
    <s v="KSEA"/>
    <s v="JFK"/>
    <s v="KJFK"/>
    <d v="2026-09-24T05:53:29"/>
    <d v="2026-09-24T10:30:06"/>
    <n v="277"/>
    <x v="102"/>
    <s v="A320"/>
    <s v="A320"/>
    <s v="Complete"/>
    <s v="a80d40"/>
  </r>
  <r>
    <x v="0"/>
    <s v="B6 372"/>
    <s v="JBU372"/>
    <s v="SLC"/>
    <s v="KSLC"/>
    <s v="JFK"/>
    <s v="KJFK"/>
    <d v="2026-09-24T06:09:10"/>
    <d v="2026-09-24T10:05:28"/>
    <n v="236"/>
    <x v="103"/>
    <s v="A220-300"/>
    <s v="BCS3"/>
    <s v="Complete"/>
    <s v="a360b7"/>
  </r>
  <r>
    <x v="0"/>
    <s v="B6 278"/>
    <s v="JBU278"/>
    <s v="SFO"/>
    <s v="KSFO"/>
    <s v="FLL"/>
    <s v="KFLL"/>
    <d v="2026-09-24T06:20:35"/>
    <d v="2026-09-24T11:32:29"/>
    <n v="312"/>
    <x v="104"/>
    <s v="A321"/>
    <s v="A321"/>
    <s v="Complete"/>
    <s v="adbe91"/>
  </r>
  <r>
    <x v="0"/>
    <s v="B6 359"/>
    <s v="JBU359"/>
    <s v="BUR"/>
    <s v="KBUR"/>
    <s v="JFK"/>
    <s v="KJFK"/>
    <d v="2026-09-24T06:27:22"/>
    <d v="2026-09-24T11:18:10"/>
    <n v="291"/>
    <x v="105"/>
    <s v="A220-300"/>
    <s v="BCS3"/>
    <s v="Complete"/>
    <s v="a36825"/>
  </r>
  <r>
    <x v="0"/>
    <s v="B6 948"/>
    <s v="JBU948"/>
    <s v="LAS"/>
    <s v="KLAS"/>
    <s v="JFK"/>
    <s v="KJFK"/>
    <d v="2026-09-24T06:34:29"/>
    <d v="2026-09-24T11:00:07"/>
    <n v="266"/>
    <x v="106"/>
    <s v="A321"/>
    <s v="A321"/>
    <s v="Complete"/>
    <s v="ada5ee"/>
  </r>
  <r>
    <x v="0"/>
    <s v="B6 1024"/>
    <s v="JBU1024"/>
    <s v="LAX"/>
    <s v="KLAX"/>
    <s v="JFK"/>
    <s v="KJFK"/>
    <d v="2026-09-24T06:35:10"/>
    <d v="2026-09-24T11:34:19"/>
    <n v="299"/>
    <x v="107"/>
    <s v="A321neo"/>
    <s v="A21N"/>
    <s v="Complete"/>
    <s v="a1d368"/>
  </r>
  <r>
    <x v="0"/>
    <s v="B6 604"/>
    <s v="JBU604"/>
    <s v="YVR"/>
    <s v="CYVR"/>
    <s v="JFK"/>
    <s v="KJFK"/>
    <d v="2026-09-24T06:35:26"/>
    <d v="2026-09-24T11:12:12"/>
    <n v="277"/>
    <x v="108"/>
    <s v="A321"/>
    <s v="A321"/>
    <s v="Complete"/>
    <s v="adafb5"/>
  </r>
  <r>
    <x v="0"/>
    <s v="B6 162"/>
    <s v="JBU162"/>
    <s v="SMF"/>
    <s v="KSMF"/>
    <s v="JFK"/>
    <s v="KJFK"/>
    <d v="2026-09-24T06:45:47"/>
    <d v="2026-09-24T11:41:02"/>
    <n v="295"/>
    <x v="109"/>
    <s v="A321"/>
    <s v="A321"/>
    <s v="Complete"/>
    <s v="ad846f"/>
  </r>
  <r>
    <x v="0"/>
    <s v="B6 178"/>
    <s v="JBU178"/>
    <s v="LAS"/>
    <s v="KLAS"/>
    <s v="BOS"/>
    <s v="KBOS"/>
    <d v="2026-09-24T07:08:30"/>
    <d v="2026-09-24T11:49:15"/>
    <n v="281"/>
    <x v="44"/>
    <s v="A321"/>
    <s v="A321"/>
    <s v="Complete"/>
    <s v="ad9ac9"/>
  </r>
  <r>
    <x v="0"/>
    <s v="B6 398"/>
    <s v="JBU398"/>
    <s v="SEA"/>
    <s v="KSEA"/>
    <s v="BOS"/>
    <s v="KBOS"/>
    <d v="2026-09-24T07:12:07"/>
    <d v="2026-09-24T12:02:38"/>
    <n v="291"/>
    <x v="1"/>
    <s v="A321"/>
    <s v="A321"/>
    <s v="Complete"/>
    <s v="ad8836"/>
  </r>
  <r>
    <x v="0"/>
    <s v="B6 616"/>
    <s v="JBU616"/>
    <s v="SFO"/>
    <s v="KSFO"/>
    <s v="JFK"/>
    <s v="KJFK"/>
    <d v="2026-09-24T07:16:45"/>
    <d v="2026-09-24T12:21:09"/>
    <n v="304"/>
    <x v="110"/>
    <s v="A321"/>
    <s v="A321"/>
    <s v="Complete"/>
    <s v="adc5ff"/>
  </r>
  <r>
    <x v="0"/>
    <s v="B6 2220"/>
    <s v="JBU2220"/>
    <s v="LHR"/>
    <s v="EGLL"/>
    <s v="JFK"/>
    <s v="KJFK"/>
    <d v="2026-09-24T07:24:18"/>
    <d v="2026-09-24T14:52:08"/>
    <n v="448"/>
    <x v="111"/>
    <s v="A321neo"/>
    <s v="A21N"/>
    <s v="Complete"/>
    <s v="a4c9f8"/>
  </r>
  <r>
    <x v="0"/>
    <s v="B6 1224"/>
    <s v="JBU1224"/>
    <s v="LAX"/>
    <s v="KLAX"/>
    <s v="JFK"/>
    <s v="KJFK"/>
    <d v="2026-09-24T07:46:44"/>
    <d v="2026-09-24T12:49:35"/>
    <n v="303"/>
    <x v="52"/>
    <s v="A321"/>
    <s v="A321"/>
    <s v="Complete"/>
    <s v="ad60b7"/>
  </r>
  <r>
    <x v="0"/>
    <s v="B6 1621"/>
    <s v="JBU1621"/>
    <s v="LHR"/>
    <s v="EGLL"/>
    <s v="BOS"/>
    <s v="KBOS"/>
    <d v="2026-09-24T07:50:44"/>
    <d v="2026-09-24T15:13:42"/>
    <n v="443"/>
    <x v="85"/>
    <s v="A321neo"/>
    <s v="A21N"/>
    <s v="Complete"/>
    <s v="a4ccba"/>
  </r>
  <r>
    <x v="0"/>
    <s v="B6 332"/>
    <s v="JBU332"/>
    <s v="MXP"/>
    <s v="LIMC"/>
    <s v="BOS"/>
    <s v="KBOS"/>
    <d v="2026-09-24T08:35:51"/>
    <d v="2026-09-24T16:50:17"/>
    <n v="494"/>
    <x v="82"/>
    <s v="A321neo"/>
    <s v="A21N"/>
    <s v="Complete"/>
    <s v="a4c592"/>
  </r>
  <r>
    <x v="0"/>
    <s v="B6 768"/>
    <s v="JBU768"/>
    <s v="MCO"/>
    <s v="KMCO"/>
    <s v="MCO"/>
    <s v="KMCO"/>
    <d v="2026-09-24T09:04:01"/>
    <d v="2026-09-24T15:26:58"/>
    <n v="383"/>
    <x v="112"/>
    <s v="A321"/>
    <s v="A321"/>
    <s v="Complete"/>
    <s v="ad4bcb"/>
  </r>
  <r>
    <x v="0"/>
    <s v="B6 717"/>
    <s v="JBU717"/>
    <s v="BOS"/>
    <s v="KBOS"/>
    <s v="JFK"/>
    <s v="KJFK"/>
    <d v="2026-09-24T09:21:33"/>
    <d v="2026-09-24T10:07:13"/>
    <n v="46"/>
    <x v="34"/>
    <s v="A220-300"/>
    <s v="BCS3"/>
    <s v="Complete"/>
    <s v="a39289"/>
  </r>
  <r>
    <x v="0"/>
    <s v="B6 34"/>
    <s v="JBU34"/>
    <s v="CDG"/>
    <s v="LFPG"/>
    <s v="BOS"/>
    <s v="KBOS"/>
    <d v="2026-09-24T09:36:16"/>
    <d v="2026-09-24T17:14:17"/>
    <n v="458"/>
    <x v="3"/>
    <s v="A321neo"/>
    <s v="A21N"/>
    <s v="Complete"/>
    <s v="a4c96c"/>
  </r>
  <r>
    <x v="0"/>
    <s v="B6 32"/>
    <s v="JBU32"/>
    <s v="AMS"/>
    <s v="EHAM"/>
    <s v="BOS"/>
    <s v="KBOS"/>
    <d v="2026-09-24T09:39:11"/>
    <d v="2026-09-24T17:15:49"/>
    <n v="457"/>
    <x v="32"/>
    <s v="A321neo"/>
    <s v="A21N"/>
    <s v="Complete"/>
    <s v="a4c5d8"/>
  </r>
  <r>
    <x v="0"/>
    <s v="B6 505"/>
    <s v="JBU505"/>
    <s v="JFK"/>
    <s v="KJFK"/>
    <m/>
    <m/>
    <d v="2026-09-24T09:50:50"/>
    <d v="2026-09-24T13:29:10"/>
    <n v="218"/>
    <x v="27"/>
    <s v="A321neo"/>
    <s v="A21N"/>
    <s v="Signal lost"/>
    <s v="a1a458"/>
  </r>
  <r>
    <x v="0"/>
    <s v="B6 884"/>
    <s v="JBU884"/>
    <s v="MCO"/>
    <s v="KMCO"/>
    <s v="JFK"/>
    <s v="KJFK"/>
    <d v="2026-09-24T09:52:50"/>
    <d v="2026-09-24T11:52:59"/>
    <n v="120"/>
    <x v="113"/>
    <s v="A321"/>
    <s v="A321"/>
    <s v="Complete"/>
    <s v="ad3cdf"/>
  </r>
  <r>
    <x v="0"/>
    <s v="B6 207"/>
    <s v="JBU207"/>
    <s v="PQI"/>
    <s v="KPQI"/>
    <s v="BOS"/>
    <s v="KBOS"/>
    <d v="2026-09-24T09:55:33"/>
    <d v="2026-09-24T10:52:58"/>
    <n v="57"/>
    <x v="64"/>
    <s v="A220-300"/>
    <s v="BCS3"/>
    <s v="Complete"/>
    <s v="a33ca9"/>
  </r>
  <r>
    <x v="0"/>
    <s v="B6 1198"/>
    <s v="JBU1198"/>
    <s v="PIT"/>
    <s v="KPIT"/>
    <s v="JFK"/>
    <s v="KJFK"/>
    <d v="2026-09-24T09:57:43"/>
    <d v="2026-09-24T11:03:22"/>
    <n v="66"/>
    <x v="71"/>
    <s v="A220-300"/>
    <s v="BCS3"/>
    <s v="Complete"/>
    <s v="a35592"/>
  </r>
  <r>
    <x v="0"/>
    <s v="B6 234"/>
    <s v="JBU234"/>
    <s v="SJU"/>
    <s v="TJSJ"/>
    <s v="MCO"/>
    <s v="KMCO"/>
    <d v="2026-09-24T10:00:39"/>
    <d v="2026-09-24T12:32:19"/>
    <n v="152"/>
    <x v="114"/>
    <s v="A320"/>
    <s v="A320"/>
    <s v="Complete"/>
    <s v="a7bbe9"/>
  </r>
  <r>
    <x v="0"/>
    <s v="B6 1515"/>
    <s v="JBU1515"/>
    <s v="SYR"/>
    <s v="KSYR"/>
    <s v="JFK"/>
    <s v="KJFK"/>
    <d v="2026-09-24T10:00:54"/>
    <d v="2026-09-24T10:48:38"/>
    <n v="48"/>
    <x v="76"/>
    <s v="A220-300"/>
    <s v="BCS3"/>
    <s v="Complete"/>
    <s v="a3556f"/>
  </r>
  <r>
    <x v="0"/>
    <s v="B6 455"/>
    <s v="JBU455"/>
    <s v="BOS"/>
    <s v="KBOS"/>
    <s v="DCA"/>
    <s v="KDCA"/>
    <d v="2026-09-24T10:02:25"/>
    <d v="2026-09-24T11:15:25"/>
    <n v="73"/>
    <x v="115"/>
    <s v="A220-300"/>
    <s v="BCS3"/>
    <s v="Complete"/>
    <s v="a38ef5"/>
  </r>
  <r>
    <x v="0"/>
    <s v="B6 302"/>
    <s v="JBU302"/>
    <s v="FLL"/>
    <s v="KFLL"/>
    <s v="JFK"/>
    <s v="KJFK"/>
    <d v="2026-09-24T10:03:59"/>
    <d v="2026-09-24T12:23:06"/>
    <n v="139"/>
    <x v="49"/>
    <s v="A320"/>
    <s v="A320"/>
    <s v="Complete"/>
    <s v="ab4f5d"/>
  </r>
  <r>
    <x v="0"/>
    <s v="B6 1484"/>
    <s v="JBU1484"/>
    <s v="RDU"/>
    <s v="KRDU"/>
    <s v="BOS"/>
    <s v="KBOS"/>
    <d v="2026-09-24T10:05:20"/>
    <d v="2026-09-24T11:27:30"/>
    <n v="82"/>
    <x v="116"/>
    <s v="A220-300"/>
    <s v="BCS3"/>
    <s v="Complete"/>
    <s v="a38367"/>
  </r>
  <r>
    <x v="0"/>
    <s v="B6 1896"/>
    <s v="JBU1896"/>
    <s v="ATL"/>
    <s v="KATL"/>
    <s v="BOS"/>
    <s v="KBOS"/>
    <d v="2026-09-24T10:05:57"/>
    <d v="2026-09-24T12:08:00"/>
    <n v="122"/>
    <x v="88"/>
    <s v="A220-300"/>
    <s v="BCS3"/>
    <s v="Complete"/>
    <s v="a37842"/>
  </r>
  <r>
    <x v="0"/>
    <s v="B6 307"/>
    <s v="JBU307"/>
    <s v="PWM"/>
    <s v="KPWM"/>
    <s v="JFK"/>
    <s v="KJFK"/>
    <d v="2026-09-24T10:06:42"/>
    <d v="2026-09-24T10:58:33"/>
    <n v="52"/>
    <x v="75"/>
    <s v="A320"/>
    <s v="A320"/>
    <s v="Complete"/>
    <s v="ab6800"/>
  </r>
  <r>
    <x v="0"/>
    <s v="B6 2904"/>
    <s v="JBU2904"/>
    <s v="SJU"/>
    <s v="TJSJ"/>
    <s v="JFK"/>
    <s v="KJFK"/>
    <d v="2026-09-24T10:07:05"/>
    <d v="2026-09-24T13:25:56"/>
    <n v="199"/>
    <x v="117"/>
    <s v="A321"/>
    <s v="A321"/>
    <s v="Complete"/>
    <s v="ad3581"/>
  </r>
  <r>
    <x v="0"/>
    <s v="B6 379"/>
    <s v="JBU379"/>
    <s v="DCA"/>
    <s v="KDCA"/>
    <s v="FLL"/>
    <s v="KFLL"/>
    <d v="2026-09-24T10:08:22"/>
    <d v="2026-09-24T12:14:03"/>
    <n v="126"/>
    <x v="118"/>
    <s v="A320"/>
    <s v="A320"/>
    <s v="Complete"/>
    <s v="a707a3"/>
  </r>
  <r>
    <x v="0"/>
    <s v="B6 1368"/>
    <s v="JBU1368"/>
    <s v="DJT"/>
    <s v="KPBI"/>
    <s v="HPN"/>
    <s v="KHPN"/>
    <d v="2026-09-24T10:10:14"/>
    <d v="2026-09-24T12:35:11"/>
    <n v="145"/>
    <x v="119"/>
    <s v="A320"/>
    <s v="A320"/>
    <s v="Landing inferred"/>
    <s v="ab0416"/>
  </r>
  <r>
    <x v="0"/>
    <s v="B6 115"/>
    <s v="JBU115"/>
    <s v="JFK"/>
    <s v="KJFK"/>
    <s v="SFO"/>
    <s v="KSFO"/>
    <d v="2026-09-24T10:10:25"/>
    <d v="2026-09-24T15:56:01"/>
    <n v="346"/>
    <x v="120"/>
    <s v="A321"/>
    <s v="A321"/>
    <s v="Complete"/>
    <s v="adc9b6"/>
  </r>
  <r>
    <x v="0"/>
    <s v="B6 287"/>
    <s v="JBU287"/>
    <s v="BOS"/>
    <s v="KBOS"/>
    <s v="LAX"/>
    <s v="KLAX"/>
    <d v="2026-09-24T10:10:29"/>
    <d v="2026-09-24T15:43:23"/>
    <n v="333"/>
    <x v="121"/>
    <s v="A321"/>
    <s v="A321"/>
    <s v="Complete"/>
    <s v="ad27f3"/>
  </r>
  <r>
    <x v="0"/>
    <s v="B6 577"/>
    <s v="JBU577"/>
    <s v="FLL"/>
    <s v="KFLL"/>
    <s v="SFO"/>
    <s v="KSFO"/>
    <d v="2026-09-24T10:10:50"/>
    <d v="2026-09-24T15:26:02"/>
    <n v="315"/>
    <x v="122"/>
    <s v="A321"/>
    <s v="A321"/>
    <s v="Complete"/>
    <s v="acf906"/>
  </r>
  <r>
    <x v="0"/>
    <s v="B6 123"/>
    <s v="JBU123"/>
    <s v="JFK"/>
    <s v="KJFK"/>
    <s v="LAX"/>
    <s v="KLAX"/>
    <d v="2026-09-24T10:11:32"/>
    <d v="2026-09-24T15:39:08"/>
    <n v="328"/>
    <x v="123"/>
    <s v="A321"/>
    <s v="A321"/>
    <s v="Complete"/>
    <s v="ad2095"/>
  </r>
  <r>
    <x v="0"/>
    <s v="B6 730"/>
    <s v="JBU730"/>
    <s v="MCO"/>
    <s v="KMCO"/>
    <m/>
    <m/>
    <d v="2026-09-24T10:13:36"/>
    <d v="2026-09-24T11:07:55"/>
    <n v="54"/>
    <x v="124"/>
    <s v="A320"/>
    <s v="A320"/>
    <s v="Signal lost"/>
    <s v="a98445"/>
  </r>
  <r>
    <x v="0"/>
    <s v="B6 160"/>
    <s v="JBU160"/>
    <s v="PHL"/>
    <s v="KPHL"/>
    <s v="BOS"/>
    <s v="KBOS"/>
    <d v="2026-09-24T10:18:11"/>
    <d v="2026-09-24T11:05:04"/>
    <n v="47"/>
    <x v="43"/>
    <s v="Unknown"/>
    <m/>
    <s v="Complete"/>
    <s v="a39fe4"/>
  </r>
  <r>
    <x v="0"/>
    <s v="B6 1471"/>
    <s v="JBU1471"/>
    <s v="LGA"/>
    <s v="KLGA"/>
    <s v="FLL"/>
    <s v="KFLL"/>
    <d v="2026-09-24T10:19:49"/>
    <d v="2026-09-24T12:45:03"/>
    <n v="145"/>
    <x v="33"/>
    <s v="A320"/>
    <s v="A320"/>
    <s v="Complete"/>
    <s v="a7858e"/>
  </r>
  <r>
    <x v="0"/>
    <s v="B6 690"/>
    <s v="JBU690"/>
    <s v="FLL"/>
    <s v="KFLL"/>
    <s v="BOS"/>
    <s v="KBOS"/>
    <d v="2026-09-24T10:21:16"/>
    <d v="2026-09-24T12:59:34"/>
    <n v="158"/>
    <x v="125"/>
    <s v="A320"/>
    <s v="A320"/>
    <s v="Complete"/>
    <s v="a721a4"/>
  </r>
  <r>
    <x v="0"/>
    <s v="B6 189"/>
    <s v="JBU189"/>
    <s v="JFK"/>
    <s v="KJFK"/>
    <s v="SAN"/>
    <s v="KSAN"/>
    <d v="2026-09-24T10:23:15"/>
    <d v="2026-09-24T15:24:44"/>
    <n v="301"/>
    <x v="126"/>
    <s v="A321"/>
    <s v="A321"/>
    <s v="Complete"/>
    <s v="ad7701"/>
  </r>
  <r>
    <x v="0"/>
    <s v="B6 1419"/>
    <s v="JBU1419"/>
    <s v="DTW"/>
    <s v="KDTW"/>
    <s v="JFK"/>
    <s v="KJFK"/>
    <d v="2026-09-24T10:23:30"/>
    <d v="2026-09-24T11:43:13"/>
    <n v="80"/>
    <x v="22"/>
    <s v="A320"/>
    <s v="A320"/>
    <s v="Complete"/>
    <s v="a7456c"/>
  </r>
  <r>
    <x v="0"/>
    <s v="B6 1059"/>
    <s v="JBU1059"/>
    <s v="JFK"/>
    <s v="KJFK"/>
    <s v="KIN"/>
    <s v="MKJP"/>
    <d v="2026-09-24T10:24:25"/>
    <d v="2026-09-24T13:56:25"/>
    <n v="212"/>
    <x v="90"/>
    <s v="A320"/>
    <s v="A320"/>
    <s v="Complete"/>
    <s v="ab4ba6"/>
  </r>
  <r>
    <x v="0"/>
    <s v="B6 676"/>
    <s v="JBU676"/>
    <s v="BDL"/>
    <s v="KBDL"/>
    <s v="JFK"/>
    <s v="KJFK"/>
    <d v="2026-09-24T10:24:39"/>
    <d v="2026-09-24T11:01:39"/>
    <n v="37"/>
    <x v="78"/>
    <s v="A320"/>
    <s v="A320"/>
    <s v="Complete"/>
    <s v="a72b6b"/>
  </r>
  <r>
    <x v="0"/>
    <s v="B6 2769"/>
    <s v="JBU2769"/>
    <s v="CLE"/>
    <s v="KCLE"/>
    <s v="JFK"/>
    <s v="KJFK"/>
    <d v="2026-09-24T10:25:15"/>
    <d v="2026-09-24T11:37:42"/>
    <n v="72"/>
    <x v="36"/>
    <s v="A220-300"/>
    <s v="BCS3"/>
    <s v="Complete"/>
    <s v="a38836"/>
  </r>
  <r>
    <x v="0"/>
    <s v="B6 1537"/>
    <s v="JBU1537"/>
    <s v="JFK"/>
    <s v="KJFK"/>
    <m/>
    <m/>
    <d v="2026-09-24T10:25:34"/>
    <d v="2026-09-24T11:05:20"/>
    <n v="40"/>
    <x v="127"/>
    <s v="A321"/>
    <s v="A321"/>
    <s v="Signal lost"/>
    <s v="ad8bed"/>
  </r>
  <r>
    <x v="0"/>
    <s v="B6 351"/>
    <s v="JBU351"/>
    <s v="BOS"/>
    <s v="KBOS"/>
    <s v="MCO"/>
    <s v="KMCO"/>
    <d v="2026-09-24T10:26:52"/>
    <d v="2026-09-24T13:07:40"/>
    <n v="161"/>
    <x v="23"/>
    <s v="A220-300"/>
    <s v="BCS3"/>
    <s v="Complete"/>
    <s v="a34d98"/>
  </r>
  <r>
    <x v="0"/>
    <s v="B6 1807"/>
    <s v="JBU1807"/>
    <s v="BOS"/>
    <s v="KBOS"/>
    <s v="BNA"/>
    <s v="KBNA"/>
    <d v="2026-09-24T10:30:34"/>
    <d v="2026-09-24T14:18:15"/>
    <n v="228"/>
    <x v="128"/>
    <s v="A220-300"/>
    <s v="BCS3"/>
    <s v="Complete"/>
    <s v="a3514f"/>
  </r>
  <r>
    <x v="0"/>
    <s v="B6 254"/>
    <s v="JBU254"/>
    <s v="DCA"/>
    <s v="KDCA"/>
    <s v="JFK"/>
    <s v="KJFK"/>
    <d v="2026-09-24T10:32:59"/>
    <d v="2026-09-24T11:16:12"/>
    <n v="43"/>
    <x v="51"/>
    <s v="A220-300"/>
    <s v="BCS3"/>
    <s v="Complete"/>
    <s v="a35949"/>
  </r>
  <r>
    <x v="0"/>
    <s v="B6 172"/>
    <s v="JBU172"/>
    <s v="FLL"/>
    <s v="KFLL"/>
    <s v="LGA"/>
    <s v="KLGA"/>
    <d v="2026-09-24T10:34:17"/>
    <d v="2026-09-24T12:54:40"/>
    <n v="140"/>
    <x v="129"/>
    <s v="A320"/>
    <s v="A320"/>
    <s v="Complete"/>
    <s v="aafca8"/>
  </r>
  <r>
    <x v="0"/>
    <s v="B6 1408"/>
    <s v="JBU1408"/>
    <s v="CDG"/>
    <s v="LFPG"/>
    <s v="JFK"/>
    <s v="KJFK"/>
    <d v="2026-09-24T10:39:53"/>
    <d v="2026-09-24T18:33:44"/>
    <n v="474"/>
    <x v="59"/>
    <s v="A321neo"/>
    <s v="A21N"/>
    <s v="Complete"/>
    <s v="a4c9d5"/>
  </r>
  <r>
    <x v="0"/>
    <s v="B6 842"/>
    <s v="JBU842"/>
    <s v="DUB"/>
    <s v="EIDW"/>
    <s v="JFK"/>
    <s v="KJFK"/>
    <d v="2026-09-24T10:40:48"/>
    <d v="2026-09-24T17:33:03"/>
    <n v="412"/>
    <x v="61"/>
    <s v="A321neo"/>
    <s v="A21N"/>
    <s v="Complete"/>
    <s v="a4c98f"/>
  </r>
  <r>
    <x v="0"/>
    <s v="B6 1197"/>
    <s v="JBU1197"/>
    <s v="PVD"/>
    <s v="KPVD"/>
    <s v="FLL"/>
    <s v="KFLL"/>
    <d v="2026-09-24T10:42:36"/>
    <d v="2026-09-24T13:26:52"/>
    <n v="164"/>
    <x v="92"/>
    <s v="A320"/>
    <s v="A320"/>
    <s v="Complete"/>
    <s v="a849ab"/>
  </r>
  <r>
    <x v="0"/>
    <s v="B6 1447"/>
    <s v="JBU1447"/>
    <s v="HPN"/>
    <s v="KHPN"/>
    <s v="TPA"/>
    <s v="KTPA"/>
    <d v="2026-09-24T10:42:48"/>
    <d v="2026-09-24T13:03:53"/>
    <n v="141"/>
    <x v="9"/>
    <s v="A320"/>
    <s v="A320"/>
    <s v="Complete"/>
    <s v="a83108"/>
  </r>
  <r>
    <x v="0"/>
    <s v="B6 753"/>
    <s v="JBU753"/>
    <s v="FLL"/>
    <s v="KFLL"/>
    <s v="SJU"/>
    <s v="TJSJ"/>
    <d v="2026-09-24T10:43:04"/>
    <d v="2026-09-24T12:55:00"/>
    <n v="132"/>
    <x v="130"/>
    <s v="A320"/>
    <s v="A320"/>
    <s v="Landing inferred"/>
    <s v="a776b2"/>
  </r>
  <r>
    <x v="0"/>
    <s v="B6 165"/>
    <s v="JBU165"/>
    <s v="BOS"/>
    <s v="KBOS"/>
    <s v="RSW"/>
    <s v="KRSW"/>
    <d v="2026-09-24T10:43:33"/>
    <d v="2026-09-24T13:41:57"/>
    <n v="178"/>
    <x v="131"/>
    <s v="A321"/>
    <s v="A321"/>
    <s v="Complete"/>
    <s v="ad2f71"/>
  </r>
  <r>
    <x v="0"/>
    <s v="B6 2266"/>
    <s v="JBU2266"/>
    <s v="MCO"/>
    <s v="KMCO"/>
    <s v="MCO"/>
    <s v="KMCO"/>
    <d v="2026-09-24T10:43:44"/>
    <d v="2026-09-24T16:12:24"/>
    <n v="329"/>
    <x v="68"/>
    <s v="A320"/>
    <s v="A320"/>
    <s v="Complete"/>
    <s v="a7e5c1"/>
  </r>
  <r>
    <x v="0"/>
    <s v="B6 1505"/>
    <s v="JBU1505"/>
    <s v="EWR"/>
    <s v="KEWR"/>
    <s v="FLL"/>
    <s v="KFLL"/>
    <d v="2026-09-24T10:43:56"/>
    <d v="2026-09-24T13:06:42"/>
    <n v="143"/>
    <x v="5"/>
    <s v="A320"/>
    <s v="A320"/>
    <s v="Complete"/>
    <s v="a87898"/>
  </r>
  <r>
    <x v="0"/>
    <s v="B6 1129"/>
    <s v="JBU1129"/>
    <s v="PVD"/>
    <s v="KPVD"/>
    <s v="JFK"/>
    <s v="KJFK"/>
    <d v="2026-09-24T10:44:33"/>
    <d v="2026-09-24T11:19:58"/>
    <n v="35"/>
    <x v="26"/>
    <s v="A320"/>
    <s v="A320"/>
    <s v="Complete"/>
    <s v="a67883"/>
  </r>
  <r>
    <x v="0"/>
    <s v="B6 1080"/>
    <s v="JBU1080"/>
    <s v="EDI"/>
    <s v="EGPH"/>
    <s v="BOS"/>
    <s v="KBOS"/>
    <d v="2026-09-24T10:45:17"/>
    <d v="2026-09-24T17:27:54"/>
    <n v="403"/>
    <x v="63"/>
    <s v="A321neo"/>
    <s v="A21N"/>
    <s v="Complete"/>
    <s v="a1de8d"/>
  </r>
  <r>
    <x v="0"/>
    <s v="B6 569"/>
    <s v="JBU569"/>
    <s v="BOS"/>
    <s v="KBOS"/>
    <s v="FLL"/>
    <s v="KFLL"/>
    <d v="2026-09-24T10:46:09"/>
    <d v="2026-09-24T13:41:40"/>
    <n v="176"/>
    <x v="79"/>
    <s v="A320"/>
    <s v="A320"/>
    <s v="Complete"/>
    <s v="a9c5c5"/>
  </r>
  <r>
    <x v="0"/>
    <s v="B6 1585"/>
    <s v="JBU1585"/>
    <s v="BOS"/>
    <s v="KBOS"/>
    <s v="PIT"/>
    <s v="KPIT"/>
    <d v="2026-09-24T10:47:42"/>
    <d v="2026-09-24T12:09:38"/>
    <n v="82"/>
    <x v="10"/>
    <s v="A220-300"/>
    <s v="BCS3"/>
    <s v="Complete"/>
    <s v="a36b2d"/>
  </r>
  <r>
    <x v="0"/>
    <s v="B6 1602"/>
    <s v="JBU1602"/>
    <s v="JFK"/>
    <s v="KJFK"/>
    <s v="BUF"/>
    <s v="KBUF"/>
    <d v="2026-09-24T10:48:30"/>
    <d v="2026-09-24T11:40:00"/>
    <n v="51"/>
    <x v="132"/>
    <s v="A220-300"/>
    <s v="BCS3"/>
    <s v="Landing inferred"/>
    <s v="a37c1c"/>
  </r>
  <r>
    <x v="0"/>
    <s v="B6 2718"/>
    <s v="JBU2718"/>
    <s v="JFK"/>
    <s v="KJFK"/>
    <s v="BOS"/>
    <s v="KBOS"/>
    <d v="2026-09-24T10:49:36"/>
    <d v="2026-09-24T11:25:29"/>
    <n v="36"/>
    <x v="133"/>
    <s v="A220-300"/>
    <s v="BCS3"/>
    <s v="Complete"/>
    <s v="a37fd3"/>
  </r>
  <r>
    <x v="0"/>
    <s v="B6 169"/>
    <s v="JBU169"/>
    <s v="JFK"/>
    <s v="KJFK"/>
    <m/>
    <m/>
    <d v="2026-09-24T10:52:42"/>
    <d v="2026-09-24T11:34:47"/>
    <n v="42"/>
    <x v="134"/>
    <s v="A321"/>
    <s v="A321"/>
    <s v="Signal lost"/>
    <s v="ade252"/>
  </r>
  <r>
    <x v="0"/>
    <s v="B6 691"/>
    <s v="JBU691"/>
    <s v="BOS"/>
    <s v="KBOS"/>
    <s v="TPA"/>
    <s v="KTPA"/>
    <d v="2026-09-24T10:55:43"/>
    <d v="2026-09-24T13:42:05"/>
    <n v="166"/>
    <x v="21"/>
    <s v="A320"/>
    <s v="A320"/>
    <s v="Complete"/>
    <s v="a9607d"/>
  </r>
  <r>
    <x v="0"/>
    <s v="B6 209"/>
    <s v="JBU209"/>
    <s v="JFK"/>
    <s v="KJFK"/>
    <m/>
    <m/>
    <d v="2026-09-24T10:57:56"/>
    <d v="2026-09-24T11:34:47"/>
    <n v="37"/>
    <x v="70"/>
    <s v="A321"/>
    <s v="A321"/>
    <s v="Signal lost"/>
    <s v="ade609"/>
  </r>
  <r>
    <x v="0"/>
    <s v="B6 953"/>
    <s v="JBU953"/>
    <s v="JFK"/>
    <s v="KJFK"/>
    <s v="DJT"/>
    <s v="KPBI"/>
    <d v="2026-09-24T10:58:58"/>
    <d v="2026-09-24T13:23:35"/>
    <n v="145"/>
    <x v="135"/>
    <s v="A321neo"/>
    <s v="A21N"/>
    <s v="Complete"/>
    <s v="a1a0c4"/>
  </r>
  <r>
    <x v="0"/>
    <s v="B6 2625"/>
    <s v="JBU2625"/>
    <s v="RDU"/>
    <s v="KRDU"/>
    <s v="FLL"/>
    <s v="KFLL"/>
    <d v="2026-09-24T11:00:24"/>
    <d v="2026-09-24T12:36:28"/>
    <n v="96"/>
    <x v="14"/>
    <s v="A320"/>
    <s v="A320"/>
    <s v="Complete"/>
    <s v="aa589c"/>
  </r>
  <r>
    <x v="0"/>
    <s v="B6 1192"/>
    <s v="JBU1192"/>
    <s v="TPA"/>
    <s v="KTPA"/>
    <s v="BOS"/>
    <s v="KBOS"/>
    <d v="2026-09-24T11:01:22"/>
    <d v="2026-09-24T13:40:31"/>
    <n v="159"/>
    <x v="0"/>
    <s v="A321"/>
    <s v="A321"/>
    <s v="Complete"/>
    <s v="ad6f93"/>
  </r>
  <r>
    <x v="0"/>
    <s v="B6 2289"/>
    <s v="JBU2289"/>
    <s v="CLE"/>
    <s v="KCLE"/>
    <s v="FLL"/>
    <s v="KFLL"/>
    <d v="2026-09-24T11:01:25"/>
    <d v="2026-09-24T13:25:36"/>
    <n v="144"/>
    <x v="35"/>
    <s v="A220-300"/>
    <s v="BCS3"/>
    <s v="Complete"/>
    <s v="a38e69"/>
  </r>
  <r>
    <x v="0"/>
    <s v="B6 1"/>
    <s v="JBU1"/>
    <s v="JFK"/>
    <s v="KJFK"/>
    <s v="FLL"/>
    <s v="KFLL"/>
    <d v="2026-09-24T11:01:44"/>
    <d v="2026-09-24T13:32:04"/>
    <n v="150"/>
    <x v="136"/>
    <s v="A321neo"/>
    <s v="A21N"/>
    <s v="Complete"/>
    <s v="a1a3cc"/>
  </r>
  <r>
    <x v="0"/>
    <s v="B6 523"/>
    <s v="JBU523"/>
    <s v="JFK"/>
    <s v="KJFK"/>
    <s v="LAX"/>
    <s v="KLAX"/>
    <d v="2026-09-24T11:02:49"/>
    <d v="2026-09-24T16:31:26"/>
    <n v="329"/>
    <x v="137"/>
    <s v="A321neo"/>
    <s v="A21N"/>
    <s v="Complete"/>
    <s v="a1d2dc"/>
  </r>
  <r>
    <x v="0"/>
    <s v="B6 2005"/>
    <s v="JBU2005"/>
    <s v="PIT"/>
    <s v="KPIT"/>
    <s v="FLL"/>
    <s v="KFLL"/>
    <d v="2026-09-24T11:03:48"/>
    <d v="2026-09-24T13:10:24"/>
    <n v="127"/>
    <x v="94"/>
    <s v="A220-300"/>
    <s v="BCS3"/>
    <s v="Complete"/>
    <s v="a3845c"/>
  </r>
  <r>
    <x v="0"/>
    <s v="B6 959"/>
    <s v="JBU959"/>
    <s v="BDL"/>
    <s v="KBDL"/>
    <s v="FLL"/>
    <s v="KFLL"/>
    <d v="2026-09-24T11:07:26"/>
    <d v="2026-09-24T13:47:42"/>
    <n v="160"/>
    <x v="138"/>
    <s v="A320"/>
    <s v="A320"/>
    <s v="Complete"/>
    <s v="a683a8"/>
  </r>
  <r>
    <x v="0"/>
    <s v="B6 513"/>
    <s v="JBU513"/>
    <s v="ISP"/>
    <s v="KISP"/>
    <s v="FLL"/>
    <s v="KFLL"/>
    <d v="2026-09-24T11:07:30"/>
    <d v="2026-09-24T13:57:30"/>
    <n v="170"/>
    <x v="24"/>
    <s v="A320"/>
    <s v="A320"/>
    <s v="Complete"/>
    <s v="a70f11"/>
  </r>
  <r>
    <x v="0"/>
    <s v="B6 20"/>
    <s v="JBU20"/>
    <s v="LHR"/>
    <s v="EGLL"/>
    <s v="JFK"/>
    <s v="KJFK"/>
    <d v="2026-09-24T11:09:10"/>
    <d v="2026-09-24T18:51:44"/>
    <n v="463"/>
    <x v="60"/>
    <s v="A321neo"/>
    <s v="A21N"/>
    <s v="Complete"/>
    <s v="a4c2ad"/>
  </r>
  <r>
    <x v="0"/>
    <s v="B6 477"/>
    <s v="JBU477"/>
    <s v="JFK"/>
    <s v="KJFK"/>
    <m/>
    <m/>
    <d v="2026-09-24T11:09:42"/>
    <d v="2026-09-24T13:09:27"/>
    <n v="120"/>
    <x v="139"/>
    <s v="A220-300"/>
    <s v="BCS3"/>
    <s v="Landing inferred"/>
    <s v="a38b84"/>
  </r>
  <r>
    <x v="0"/>
    <s v="B6 1573"/>
    <s v="JBU1573"/>
    <s v="EWR"/>
    <s v="KEWR"/>
    <s v="LAX"/>
    <s v="KLAX"/>
    <d v="2026-09-24T11:09:55"/>
    <d v="2026-09-24T16:32:29"/>
    <n v="323"/>
    <x v="89"/>
    <s v="A321"/>
    <s v="A321"/>
    <s v="Complete"/>
    <s v="ad2445"/>
  </r>
  <r>
    <x v="0"/>
    <s v="B6 1048"/>
    <s v="JBU1048"/>
    <s v="SJU"/>
    <s v="TJSJ"/>
    <s v="PHL"/>
    <s v="KPHL"/>
    <d v="2026-09-24T11:10:26"/>
    <d v="2026-09-24T14:31:37"/>
    <n v="201"/>
    <x v="140"/>
    <s v="A320"/>
    <s v="A320"/>
    <s v="Complete"/>
    <s v="a97310"/>
  </r>
  <r>
    <x v="0"/>
    <s v="B6 111"/>
    <s v="JBU111"/>
    <s v="BOS"/>
    <s v="KBOS"/>
    <s v="ORD"/>
    <s v="KORD"/>
    <d v="2026-09-24T11:11:13"/>
    <d v="2026-09-24T13:15:46"/>
    <n v="125"/>
    <x v="141"/>
    <s v="A220-300"/>
    <s v="BCS3"/>
    <s v="Complete"/>
    <s v="a3795a"/>
  </r>
  <r>
    <x v="0"/>
    <s v="B6 375"/>
    <s v="JBU375"/>
    <s v="PHL"/>
    <s v="KPHL"/>
    <s v="FLL"/>
    <s v="KFLL"/>
    <d v="2026-09-24T11:11:38"/>
    <d v="2026-09-24T13:30:40"/>
    <n v="139"/>
    <x v="42"/>
    <s v="A320"/>
    <s v="A320"/>
    <s v="Complete"/>
    <s v="a854d0"/>
  </r>
  <r>
    <x v="0"/>
    <s v="B6 2489"/>
    <s v="JBU2489"/>
    <s v="DTW"/>
    <s v="KDTW"/>
    <s v="FLL"/>
    <s v="KFLL"/>
    <d v="2026-09-24T11:11:58"/>
    <d v="2026-09-24T13:47:04"/>
    <n v="155"/>
    <x v="67"/>
    <s v="A320"/>
    <s v="A320"/>
    <s v="Complete"/>
    <s v="a689b8"/>
  </r>
  <r>
    <x v="0"/>
    <s v="B6 75"/>
    <s v="JBU75"/>
    <s v="JFK"/>
    <s v="KJFK"/>
    <s v="MSY"/>
    <s v="KMSY"/>
    <d v="2026-09-24T11:16:26"/>
    <d v="2026-09-24T13:48:24"/>
    <n v="152"/>
    <x v="142"/>
    <s v="A220-300"/>
    <s v="BCS3"/>
    <s v="Complete"/>
    <s v="a3298a"/>
  </r>
  <r>
    <x v="0"/>
    <s v="B6 917"/>
    <s v="JBU917"/>
    <s v="BOS"/>
    <s v="KBOS"/>
    <s v="JFK"/>
    <s v="KJFK"/>
    <d v="2026-09-24T11:16:27"/>
    <d v="2026-09-24T12:05:06"/>
    <n v="49"/>
    <x v="80"/>
    <s v="A320"/>
    <s v="A320"/>
    <s v="Complete"/>
    <s v="a8ab3c"/>
  </r>
  <r>
    <x v="0"/>
    <s v="B6 852"/>
    <s v="JBU852"/>
    <s v="MCO"/>
    <s v="KMCO"/>
    <s v="BOS"/>
    <s v="KBOS"/>
    <d v="2026-09-24T11:16:44"/>
    <d v="2026-09-24T13:51:52"/>
    <n v="155"/>
    <x v="143"/>
    <s v="A220-300"/>
    <s v="BCS3"/>
    <s v="Complete"/>
    <s v="a34d52"/>
  </r>
  <r>
    <x v="0"/>
    <s v="B6 2282"/>
    <s v="JBU2282"/>
    <s v="DFW"/>
    <s v="KDFW"/>
    <s v="FLL"/>
    <s v="KFLL"/>
    <d v="2026-09-24T11:18:22"/>
    <d v="2026-09-24T13:44:28"/>
    <n v="146"/>
    <x v="17"/>
    <s v="A320"/>
    <s v="A320"/>
    <s v="Complete"/>
    <s v="a6a3c2"/>
  </r>
  <r>
    <x v="0"/>
    <s v="B6 2423"/>
    <s v="JBU2423"/>
    <s v="DCA"/>
    <s v="KDCA"/>
    <s v="MCO"/>
    <s v="KMCO"/>
    <d v="2026-09-24T11:20:14"/>
    <d v="2026-09-24T13:03:06"/>
    <n v="103"/>
    <x v="144"/>
    <s v="A320"/>
    <s v="A320"/>
    <s v="Complete"/>
    <s v="a79e31"/>
  </r>
  <r>
    <x v="0"/>
    <s v="B6 1577"/>
    <s v="JBU1577"/>
    <s v="BOS"/>
    <s v="KBOS"/>
    <s v="LAS"/>
    <s v="KLAS"/>
    <d v="2026-09-24T11:20:38"/>
    <d v="2026-09-24T16:35:28"/>
    <n v="315"/>
    <x v="87"/>
    <s v="A321neo"/>
    <s v="A21N"/>
    <s v="Complete"/>
    <s v="a1cf48"/>
  </r>
  <r>
    <x v="0"/>
    <s v="B6 1551"/>
    <s v="JBU1551"/>
    <s v="HPN"/>
    <s v="KHPN"/>
    <s v="RSW"/>
    <s v="KRSW"/>
    <d v="2026-09-24T11:21:07"/>
    <d v="2026-09-24T13:52:18"/>
    <n v="151"/>
    <x v="145"/>
    <s v="A320"/>
    <s v="A320"/>
    <s v="Complete"/>
    <s v="aaf183"/>
  </r>
  <r>
    <x v="0"/>
    <s v="B6 1285"/>
    <s v="JBU1285"/>
    <s v="ROC"/>
    <s v="KROC"/>
    <s v="JFK"/>
    <s v="KJFK"/>
    <d v="2026-09-24T11:21:41"/>
    <d v="2026-09-24T12:15:37"/>
    <n v="54"/>
    <x v="72"/>
    <s v="A320"/>
    <s v="A320"/>
    <s v="Complete"/>
    <s v="a752ea"/>
  </r>
  <r>
    <x v="0"/>
    <s v="B6 2995"/>
    <s v="JBU2995"/>
    <s v="BWI"/>
    <s v="KBWI"/>
    <s v="FLL"/>
    <s v="KFLL"/>
    <d v="2026-09-24T11:23:05"/>
    <d v="2026-09-24T13:36:13"/>
    <n v="133"/>
    <x v="8"/>
    <s v="A220-300"/>
    <s v="BCS3"/>
    <s v="Complete"/>
    <s v="a358bd"/>
  </r>
  <r>
    <x v="0"/>
    <s v="B6 246"/>
    <s v="JBU246"/>
    <s v="JFK"/>
    <s v="KJFK"/>
    <s v="JFK"/>
    <s v="KJFK"/>
    <d v="2026-09-24T11:23:19"/>
    <d v="2026-09-24T21:35:36"/>
    <n v="612"/>
    <x v="97"/>
    <s v="A320"/>
    <s v="A320"/>
    <s v="Complete"/>
    <s v="a98f6a"/>
  </r>
  <r>
    <x v="0"/>
    <s v="B6 1301"/>
    <s v="JBU1301"/>
    <s v="FLL"/>
    <s v="KFLL"/>
    <s v="LAX"/>
    <s v="KLAX"/>
    <d v="2026-09-24T11:23:37"/>
    <d v="2026-09-24T16:12:58"/>
    <n v="289"/>
    <x v="99"/>
    <s v="A321"/>
    <s v="A321"/>
    <s v="Complete"/>
    <s v="ad6bdc"/>
  </r>
  <r>
    <x v="0"/>
    <s v="B6 85"/>
    <s v="JBU85"/>
    <s v="BUF"/>
    <s v="KBUF"/>
    <s v="MCO"/>
    <s v="KMCO"/>
    <d v="2026-09-24T11:24:19"/>
    <d v="2026-09-24T13:43:09"/>
    <n v="139"/>
    <x v="146"/>
    <s v="A220-300"/>
    <s v="BCS3"/>
    <s v="Complete"/>
    <s v="a38af8"/>
  </r>
  <r>
    <x v="0"/>
    <s v="B6 2272"/>
    <s v="JBU2272"/>
    <s v="AUS"/>
    <s v="KAUS"/>
    <s v="FLL"/>
    <s v="KFLL"/>
    <d v="2026-09-24T11:29:49"/>
    <d v="2026-09-24T14:03:28"/>
    <n v="154"/>
    <x v="20"/>
    <s v="A320"/>
    <s v="A320"/>
    <s v="Complete"/>
    <s v="a7b832"/>
  </r>
  <r>
    <x v="0"/>
    <s v="B6 2380"/>
    <s v="JBU2380"/>
    <s v="IAH"/>
    <s v="KIAH"/>
    <s v="FLL"/>
    <s v="KFLL"/>
    <d v="2026-09-24T11:30:20"/>
    <d v="2026-09-24T13:34:31"/>
    <n v="124"/>
    <x v="45"/>
    <s v="A320"/>
    <s v="A320"/>
    <s v="Complete"/>
    <s v="a967eb"/>
  </r>
  <r>
    <x v="0"/>
    <s v="B6 17"/>
    <s v="JBU17"/>
    <s v="JAX"/>
    <s v="KJAX"/>
    <s v="FLL"/>
    <s v="KFLL"/>
    <d v="2026-09-24T11:30:33"/>
    <d v="2026-09-24T12:20:13"/>
    <n v="50"/>
    <x v="53"/>
    <s v="A320"/>
    <s v="A320"/>
    <s v="Complete"/>
    <s v="a73dfe"/>
  </r>
  <r>
    <x v="0"/>
    <s v="B6 15"/>
    <s v="JBU15"/>
    <s v="JFK"/>
    <s v="KJFK"/>
    <s v="SFO"/>
    <s v="KSFO"/>
    <d v="2026-09-24T11:30:38"/>
    <d v="2026-09-24T16:58:37"/>
    <n v="328"/>
    <x v="147"/>
    <s v="A321"/>
    <s v="A321"/>
    <s v="Complete"/>
    <s v="ace063"/>
  </r>
  <r>
    <x v="0"/>
    <s v="B6 72"/>
    <s v="JBU72"/>
    <s v="EDI"/>
    <s v="EGPH"/>
    <s v="JFK"/>
    <s v="KJFK"/>
    <d v="2026-09-24T11:35:22"/>
    <d v="2026-09-24T18:53:50"/>
    <n v="438"/>
    <x v="83"/>
    <s v="A321neo"/>
    <s v="A21N"/>
    <s v="Complete"/>
    <s v="a1dab3"/>
  </r>
  <r>
    <x v="0"/>
    <s v="B6 1461"/>
    <s v="JBU1461"/>
    <s v="LGA"/>
    <s v="KLGA"/>
    <s v="DJT"/>
    <s v="KPBI"/>
    <d v="2026-09-24T11:35:28"/>
    <d v="2026-09-24T13:58:23"/>
    <n v="143"/>
    <x v="148"/>
    <s v="A220-300"/>
    <s v="BCS3"/>
    <s v="Complete"/>
    <s v="a36b73"/>
  </r>
  <r>
    <x v="0"/>
    <s v="B6 226"/>
    <s v="JBU226"/>
    <s v="TPA"/>
    <s v="KTPA"/>
    <s v="JFK"/>
    <s v="KJFK"/>
    <d v="2026-09-24T11:36:38"/>
    <d v="2026-09-24T13:46:55"/>
    <n v="130"/>
    <x v="30"/>
    <s v="A320"/>
    <s v="A320"/>
    <s v="Complete"/>
    <s v="ab355c"/>
  </r>
  <r>
    <x v="0"/>
    <s v="B6 664"/>
    <s v="JBU664"/>
    <s v="ORD"/>
    <s v="KORD"/>
    <s v="FLL"/>
    <s v="KFLL"/>
    <d v="2026-09-24T11:37:18"/>
    <d v="2026-09-24T13:57:31"/>
    <n v="140"/>
    <x v="58"/>
    <s v="A320"/>
    <s v="A320"/>
    <s v="Complete"/>
    <s v="a781d7"/>
  </r>
  <r>
    <x v="0"/>
    <s v="B6 1145"/>
    <s v="JBU1145"/>
    <s v="RIC"/>
    <s v="KRIC"/>
    <s v="FLL"/>
    <s v="KFLL"/>
    <d v="2026-09-24T11:37:43"/>
    <d v="2026-09-24T13:43:13"/>
    <n v="126"/>
    <x v="31"/>
    <s v="A320"/>
    <s v="A320"/>
    <s v="Complete"/>
    <s v="a8c028"/>
  </r>
  <r>
    <x v="0"/>
    <s v="B6 411"/>
    <s v="JBU411"/>
    <s v="JFK"/>
    <s v="KJFK"/>
    <s v="LAS"/>
    <s v="KLAS"/>
    <d v="2026-09-24T11:38:15"/>
    <d v="2026-09-24T16:24:04"/>
    <n v="286"/>
    <x v="95"/>
    <s v="A321neo"/>
    <s v="A21N"/>
    <s v="Complete"/>
    <s v="a1cb05"/>
  </r>
  <r>
    <x v="0"/>
    <s v="B6 1480"/>
    <s v="JBU1480"/>
    <s v="FLL"/>
    <s v="KFLL"/>
    <s v="DCA"/>
    <s v="KDCA"/>
    <d v="2026-09-24T11:41:18"/>
    <d v="2026-09-24T13:42:38"/>
    <n v="121"/>
    <x v="149"/>
    <s v="A320"/>
    <s v="A320"/>
    <s v="Complete"/>
    <s v="a88774"/>
  </r>
  <r>
    <x v="0"/>
    <s v="B6 707"/>
    <s v="JBU707"/>
    <s v="FLL"/>
    <s v="KFLL"/>
    <s v="LAS"/>
    <s v="KLAS"/>
    <d v="2026-09-24T11:41:45"/>
    <d v="2026-09-24T16:11:43"/>
    <n v="270"/>
    <x v="98"/>
    <s v="A321"/>
    <s v="A321"/>
    <s v="Complete"/>
    <s v="ad1560"/>
  </r>
  <r>
    <x v="0"/>
    <s v="B6 927"/>
    <s v="JBU927"/>
    <s v="EWR"/>
    <s v="KEWR"/>
    <s v="MCO"/>
    <s v="KMCO"/>
    <d v="2026-09-24T11:45:59"/>
    <d v="2026-09-24T13:54:07"/>
    <n v="128"/>
    <x v="7"/>
    <s v="A320"/>
    <s v="A320"/>
    <s v="Complete"/>
    <s v="a6c3ca"/>
  </r>
  <r>
    <x v="0"/>
    <s v="B6 599"/>
    <s v="JBU599"/>
    <s v="LGA"/>
    <s v="KLGA"/>
    <s v="MCO"/>
    <s v="KMCO"/>
    <d v="2026-09-24T11:46:54"/>
    <d v="2026-09-24T13:55:56"/>
    <n v="129"/>
    <x v="150"/>
    <s v="A320"/>
    <s v="A320"/>
    <s v="Complete"/>
    <s v="a8c796"/>
  </r>
  <r>
    <x v="0"/>
    <s v="B6 2260"/>
    <s v="JBU2260"/>
    <s v="MAD"/>
    <s v="LEMD"/>
    <s v="BOS"/>
    <s v="KBOS"/>
    <d v="2026-09-24T11:46:57"/>
    <d v="2026-09-24T19:14:36"/>
    <n v="448"/>
    <x v="74"/>
    <s v="A321neo"/>
    <s v="A21N"/>
    <s v="Complete"/>
    <s v="a4bef6"/>
  </r>
  <r>
    <x v="0"/>
    <s v="B6 2024"/>
    <s v="JBU2024"/>
    <s v="MCO"/>
    <s v="KMCO"/>
    <s v="DCA"/>
    <s v="KDCA"/>
    <d v="2026-09-24T11:48:21"/>
    <d v="2026-09-24T13:32:50"/>
    <n v="104"/>
    <x v="151"/>
    <s v="A320"/>
    <s v="A320"/>
    <s v="Complete"/>
    <s v="a898a9"/>
  </r>
  <r>
    <x v="0"/>
    <s v="B6 883"/>
    <s v="JBU883"/>
    <s v="JFK"/>
    <s v="KJFK"/>
    <s v="MCO"/>
    <s v="KMCO"/>
    <d v="2026-09-24T11:49:43"/>
    <d v="2026-09-24T14:07:14"/>
    <n v="138"/>
    <x v="152"/>
    <s v="A321"/>
    <s v="A321"/>
    <s v="Complete"/>
    <s v="ac89f7"/>
  </r>
  <r>
    <x v="0"/>
    <s v="B6 346"/>
    <s v="JBU346"/>
    <s v="BCN"/>
    <s v="LEBL"/>
    <s v="BOS"/>
    <s v="KBOS"/>
    <d v="2026-09-24T11:50:08"/>
    <d v="2026-09-24T19:42:55"/>
    <n v="473"/>
    <x v="48"/>
    <s v="A321neo"/>
    <s v="A21N"/>
    <s v="Complete"/>
    <s v="a4cd23"/>
  </r>
  <r>
    <x v="0"/>
    <s v="B6 57"/>
    <s v="JBU57"/>
    <s v="JFK"/>
    <s v="KJFK"/>
    <m/>
    <m/>
    <d v="2026-09-24T11:52:07"/>
    <d v="2026-09-24T12:34:12"/>
    <n v="42"/>
    <x v="153"/>
    <s v="A321"/>
    <s v="A321"/>
    <s v="Signal lost"/>
    <s v="ad935b"/>
  </r>
  <r>
    <x v="0"/>
    <s v="B6 280"/>
    <s v="JBU280"/>
    <s v="JFK"/>
    <s v="KJFK"/>
    <s v="JFK"/>
    <s v="KJFK"/>
    <d v="2026-09-24T11:54:25"/>
    <d v="2026-09-24T20:25:07"/>
    <n v="511"/>
    <x v="154"/>
    <s v="A320"/>
    <s v="A320"/>
    <s v="Complete"/>
    <s v="aa7c64"/>
  </r>
  <r>
    <x v="0"/>
    <s v="B6 1062"/>
    <s v="JBU1062"/>
    <s v="DJT"/>
    <s v="KPBI"/>
    <s v="LGA"/>
    <s v="KLGA"/>
    <d v="2026-09-24T11:55:21"/>
    <d v="2026-09-24T14:16:41"/>
    <n v="141"/>
    <x v="155"/>
    <s v="A220-300"/>
    <s v="BCS3"/>
    <s v="Complete"/>
    <s v="a35854"/>
  </r>
  <r>
    <x v="0"/>
    <s v="B6 1236"/>
    <s v="JBU1236"/>
    <s v="DTW"/>
    <s v="KDTW"/>
    <s v="BOS"/>
    <s v="KBOS"/>
    <d v="2026-09-24T11:58:06"/>
    <d v="2026-09-24T13:36:49"/>
    <n v="99"/>
    <x v="50"/>
    <s v="A220-300"/>
    <s v="BCS3"/>
    <s v="Complete"/>
    <s v="a35fc2"/>
  </r>
  <r>
    <x v="0"/>
    <s v="B6 1799"/>
    <s v="JBU1799"/>
    <s v="ORF"/>
    <s v="KORF"/>
    <s v="FLL"/>
    <s v="KFLL"/>
    <d v="2026-09-24T11:59:49"/>
    <d v="2026-09-24T13:59:11"/>
    <n v="119"/>
    <x v="156"/>
    <s v="A320"/>
    <s v="A320"/>
    <s v="Complete"/>
    <s v="a83876"/>
  </r>
  <r>
    <x v="0"/>
    <s v="B6 579"/>
    <s v="JBU579"/>
    <s v="DCA"/>
    <s v="KDCA"/>
    <s v="FLL"/>
    <s v="KFLL"/>
    <d v="2026-09-24T12:01:28"/>
    <d v="2026-09-24T14:11:56"/>
    <n v="130"/>
    <x v="11"/>
    <s v="A220-300"/>
    <s v="BCS3"/>
    <s v="Complete"/>
    <s v="a387f0"/>
  </r>
  <r>
    <x v="0"/>
    <s v="B6 861"/>
    <s v="JBU861"/>
    <s v="BOS"/>
    <s v="KBOS"/>
    <s v="SJU"/>
    <s v="TJSJ"/>
    <d v="2026-09-24T12:03:27"/>
    <d v="2026-09-24T15:39:29"/>
    <n v="216"/>
    <x v="47"/>
    <s v="A320"/>
    <s v="A320"/>
    <s v="Landing inferred"/>
    <s v="a68d6f"/>
  </r>
  <r>
    <x v="0"/>
    <s v="B6 1067"/>
    <s v="JBU1067"/>
    <s v="HPN"/>
    <s v="KHPN"/>
    <s v="DJT"/>
    <s v="KPBI"/>
    <d v="2026-09-24T12:04:07"/>
    <d v="2026-09-24T14:31:53"/>
    <n v="148"/>
    <x v="157"/>
    <s v="A320"/>
    <s v="A320"/>
    <s v="Complete"/>
    <s v="aacf19"/>
  </r>
  <r>
    <x v="0"/>
    <s v="B6 1626"/>
    <s v="JBU1626"/>
    <s v="FLL"/>
    <s v="KFLL"/>
    <s v="RDU"/>
    <s v="KRDU"/>
    <d v="2026-09-24T12:04:33"/>
    <d v="2026-09-24T13:55:27"/>
    <n v="111"/>
    <x v="158"/>
    <s v="A320"/>
    <s v="A320"/>
    <s v="Complete"/>
    <s v="a8b8ba"/>
  </r>
  <r>
    <x v="0"/>
    <s v="B6 1797"/>
    <s v="JBU1797"/>
    <s v="ATL"/>
    <s v="KATL"/>
    <s v="FLL"/>
    <s v="KFLL"/>
    <d v="2026-09-24T12:04:37"/>
    <d v="2026-09-24T13:29:53"/>
    <n v="85"/>
    <x v="39"/>
    <s v="Unknown"/>
    <m/>
    <s v="Complete"/>
    <s v="a39be7"/>
  </r>
  <r>
    <x v="0"/>
    <s v="B6 2083"/>
    <s v="JBU2083"/>
    <s v="BOS"/>
    <s v="KBOS"/>
    <s v="RDU"/>
    <s v="KRDU"/>
    <d v="2026-09-24T12:05:11"/>
    <d v="2026-09-24T13:39:35"/>
    <n v="94"/>
    <x v="62"/>
    <s v="A220-300"/>
    <s v="BCS3"/>
    <s v="Complete"/>
    <s v="a37fb0"/>
  </r>
  <r>
    <x v="0"/>
    <s v="B6 1822"/>
    <s v="JBU1822"/>
    <s v="MSY"/>
    <s v="KMSY"/>
    <s v="FLL"/>
    <s v="KFLL"/>
    <d v="2026-09-24T12:06:57"/>
    <d v="2026-09-24T13:41:08"/>
    <n v="94"/>
    <x v="66"/>
    <s v="A320"/>
    <s v="A320"/>
    <s v="Complete"/>
    <s v="a8021b"/>
  </r>
  <r>
    <x v="0"/>
    <s v="B6 273"/>
    <s v="JBU273"/>
    <s v="JFK"/>
    <s v="KJFK"/>
    <s v="BNA"/>
    <s v="KBNA"/>
    <d v="2026-09-24T12:08:15"/>
    <d v="2026-09-24T15:41:04"/>
    <n v="213"/>
    <x v="103"/>
    <s v="A220-300"/>
    <s v="BCS3"/>
    <s v="Complete"/>
    <s v="a360b7"/>
  </r>
  <r>
    <x v="0"/>
    <s v="B6 1159"/>
    <s v="JBU1159"/>
    <s v="BOS"/>
    <s v="KBOS"/>
    <s v="PHL"/>
    <s v="KPHL"/>
    <d v="2026-09-24T12:10:14"/>
    <d v="2026-09-24T13:17:20"/>
    <n v="67"/>
    <x v="159"/>
    <s v="Unknown"/>
    <m/>
    <s v="Complete"/>
    <s v="a39338"/>
  </r>
  <r>
    <x v="0"/>
    <s v="B6 594"/>
    <s v="JBU594"/>
    <m/>
    <m/>
    <s v="EWR"/>
    <s v="KEWR"/>
    <d v="2026-09-24T12:11:15"/>
    <d v="2026-09-24T12:58:42"/>
    <n v="47"/>
    <x v="81"/>
    <s v="A320"/>
    <s v="A320"/>
    <s v="Complete"/>
    <s v="a83e86"/>
  </r>
  <r>
    <x v="0"/>
    <s v="B6 109"/>
    <s v="JBU109"/>
    <s v="BOS"/>
    <s v="KBOS"/>
    <s v="JAX"/>
    <s v="KJAX"/>
    <d v="2026-09-24T12:12:43"/>
    <d v="2026-09-24T14:32:59"/>
    <n v="140"/>
    <x v="37"/>
    <s v="A220-300"/>
    <s v="BCS3"/>
    <s v="Landing inferred"/>
    <s v="a3401a"/>
  </r>
  <r>
    <x v="0"/>
    <s v="B6 1381"/>
    <s v="JBU1381"/>
    <s v="JFK"/>
    <s v="KJFK"/>
    <s v="IAH"/>
    <s v="KIAH"/>
    <d v="2026-09-24T12:13:01"/>
    <d v="2026-09-24T15:19:54"/>
    <n v="187"/>
    <x v="160"/>
    <s v="A220-300"/>
    <s v="BCS3"/>
    <s v="Landing inferred"/>
    <s v="a39243"/>
  </r>
  <r>
    <x v="0"/>
    <s v="B6 686"/>
    <s v="JBU686"/>
    <s v="FLL"/>
    <s v="KFLL"/>
    <s v="EWR"/>
    <s v="KEWR"/>
    <d v="2026-09-24T12:15:10"/>
    <d v="2026-09-24T14:40:33"/>
    <n v="145"/>
    <x v="161"/>
    <s v="A320"/>
    <s v="A320"/>
    <s v="Complete"/>
    <s v="a87c4f"/>
  </r>
  <r>
    <x v="0"/>
    <s v="B6 1055"/>
    <s v="JBU1055"/>
    <s v="BOS"/>
    <s v="KBOS"/>
    <s v="DCA"/>
    <s v="KDCA"/>
    <d v="2026-09-24T12:16:15"/>
    <d v="2026-09-24T13:24:15"/>
    <n v="68"/>
    <x v="162"/>
    <s v="A220-300"/>
    <s v="BCS3"/>
    <s v="Complete"/>
    <s v="a338ac"/>
  </r>
  <r>
    <x v="0"/>
    <s v="B6 633"/>
    <s v="JBU633"/>
    <s v="BOS"/>
    <s v="KBOS"/>
    <s v="SFO"/>
    <s v="KSFO"/>
    <d v="2026-09-24T12:18:58"/>
    <d v="2026-09-24T18:20:55"/>
    <n v="362"/>
    <x v="163"/>
    <s v="A321neo"/>
    <s v="A21N"/>
    <s v="Complete"/>
    <s v="a1cf6b"/>
  </r>
  <r>
    <x v="0"/>
    <s v="B6 21"/>
    <s v="JBU21"/>
    <s v="BOS"/>
    <s v="KBOS"/>
    <s v="DJT"/>
    <s v="KPBI"/>
    <d v="2026-09-24T12:21:38"/>
    <d v="2026-09-24T15:10:47"/>
    <n v="169"/>
    <x v="164"/>
    <s v="A321"/>
    <s v="A321"/>
    <s v="Complete"/>
    <s v="adf128"/>
  </r>
  <r>
    <x v="0"/>
    <s v="B6 1347"/>
    <s v="JBU1347"/>
    <s v="DCA"/>
    <s v="KDCA"/>
    <m/>
    <m/>
    <d v="2026-09-24T12:21:50"/>
    <d v="2026-09-24T16:11:07"/>
    <n v="229"/>
    <x v="165"/>
    <s v="A320"/>
    <s v="A320"/>
    <s v="Signal lost"/>
    <s v="aa4d77"/>
  </r>
  <r>
    <x v="0"/>
    <s v="B6 905"/>
    <s v="JBU905"/>
    <s v="JFK"/>
    <s v="KJFK"/>
    <s v="ORD"/>
    <s v="KORD"/>
    <d v="2026-09-24T12:22:54"/>
    <d v="2026-09-24T14:15:56"/>
    <n v="113"/>
    <x v="166"/>
    <s v="A220-300"/>
    <s v="BCS3"/>
    <s v="Complete"/>
    <s v="a34d2f"/>
  </r>
  <r>
    <x v="0"/>
    <s v="B6 2033"/>
    <s v="JBU2033"/>
    <s v="BOS"/>
    <s v="KBOS"/>
    <s v="IAH"/>
    <s v="KIAH"/>
    <d v="2026-09-24T12:22:57"/>
    <d v="2026-09-24T16:01:09"/>
    <n v="218"/>
    <x v="12"/>
    <s v="A320"/>
    <s v="A320"/>
    <s v="Landing inferred"/>
    <s v="a8222c"/>
  </r>
  <r>
    <x v="0"/>
    <s v="B6 2179"/>
    <s v="JBU2179"/>
    <s v="FLL"/>
    <s v="KFLL"/>
    <s v="IAH"/>
    <s v="KIAH"/>
    <d v="2026-09-24T12:25:01"/>
    <d v="2026-09-24T14:36:57"/>
    <n v="132"/>
    <x v="167"/>
    <s v="A320"/>
    <s v="A320"/>
    <s v="Landing inferred"/>
    <s v="a85c3e"/>
  </r>
  <r>
    <x v="0"/>
    <s v="B6 8418"/>
    <s v="JBU8418"/>
    <s v="JFK"/>
    <s v="KJFK"/>
    <s v="BOS"/>
    <s v="KBOS"/>
    <d v="2026-09-24T12:25:09"/>
    <d v="2026-09-24T13:03:29"/>
    <n v="38"/>
    <x v="168"/>
    <s v="A321"/>
    <s v="A321"/>
    <s v="Complete"/>
    <s v="ada227"/>
  </r>
  <r>
    <x v="0"/>
    <s v="B6 271"/>
    <s v="JBU271"/>
    <s v="LGA"/>
    <s v="KLGA"/>
    <s v="FLL"/>
    <s v="KFLL"/>
    <d v="2026-09-24T12:26:51"/>
    <d v="2026-09-24T14:56:11"/>
    <n v="149"/>
    <x v="169"/>
    <s v="A320"/>
    <s v="A320"/>
    <s v="Complete"/>
    <s v="a8712a"/>
  </r>
  <r>
    <x v="0"/>
    <s v="B6 1263"/>
    <s v="JBU1263"/>
    <s v="BOS"/>
    <s v="KBOS"/>
    <s v="TVC"/>
    <s v="KTVC"/>
    <d v="2026-09-24T12:26:56"/>
    <d v="2026-09-24T14:08:37"/>
    <n v="102"/>
    <x v="19"/>
    <s v="A320"/>
    <s v="A320"/>
    <s v="Landing inferred"/>
    <s v="a7da9c"/>
  </r>
  <r>
    <x v="0"/>
    <s v="B6 1273"/>
    <s v="JBU1273"/>
    <s v="JFK"/>
    <s v="KJFK"/>
    <s v="CHS"/>
    <s v="KCHS"/>
    <d v="2026-09-24T12:27:16"/>
    <d v="2026-09-24T14:11:30"/>
    <n v="104"/>
    <x v="34"/>
    <s v="A220-300"/>
    <s v="BCS3"/>
    <s v="Landing inferred"/>
    <s v="a39289"/>
  </r>
  <r>
    <x v="0"/>
    <s v="B6 2695"/>
    <s v="JBU2695"/>
    <s v="HPN"/>
    <s v="KHPN"/>
    <s v="MCO"/>
    <s v="KMCO"/>
    <d v="2026-09-24T12:28:04"/>
    <d v="2026-09-24T14:41:57"/>
    <n v="134"/>
    <x v="170"/>
    <s v="A320"/>
    <s v="A320"/>
    <s v="Complete"/>
    <s v="a69894"/>
  </r>
  <r>
    <x v="0"/>
    <s v="B6 276"/>
    <s v="JBU276"/>
    <s v="SJU"/>
    <s v="TJSJ"/>
    <s v="BDL"/>
    <s v="KBDL"/>
    <d v="2026-09-24T12:32:49"/>
    <d v="2026-09-24T15:59:40"/>
    <n v="207"/>
    <x v="171"/>
    <s v="A320"/>
    <s v="A320"/>
    <s v="Landing inferred"/>
    <s v="a845f4"/>
  </r>
  <r>
    <x v="0"/>
    <s v="B6 2482"/>
    <s v="JBU2482"/>
    <s v="BNA"/>
    <s v="KBNA"/>
    <s v="FLL"/>
    <s v="KFLL"/>
    <d v="2026-09-24T12:33:46"/>
    <d v="2026-09-24T14:18:49"/>
    <n v="105"/>
    <x v="13"/>
    <s v="A320"/>
    <s v="A320"/>
    <s v="Complete"/>
    <s v="a8913b"/>
  </r>
  <r>
    <x v="0"/>
    <s v="B6 1241"/>
    <s v="JBU1241"/>
    <s v="BDL"/>
    <s v="KBDL"/>
    <s v="DJT"/>
    <s v="KPBI"/>
    <d v="2026-09-24T12:37:34"/>
    <d v="2026-09-24T15:16:56"/>
    <n v="159"/>
    <x v="40"/>
    <s v="A320"/>
    <s v="A320"/>
    <s v="Complete"/>
    <s v="aaa02c"/>
  </r>
  <r>
    <x v="0"/>
    <s v="B6 1134"/>
    <s v="JBU1134"/>
    <s v="SJU"/>
    <s v="TJSJ"/>
    <s v="MCO"/>
    <s v="KMCO"/>
    <d v="2026-09-24T12:37:52"/>
    <d v="2026-09-24T15:12:16"/>
    <n v="154"/>
    <x v="172"/>
    <s v="A320"/>
    <s v="A320"/>
    <s v="Complete"/>
    <s v="aac7ab"/>
  </r>
  <r>
    <x v="0"/>
    <s v="B6 687"/>
    <s v="JBU687"/>
    <s v="BOS"/>
    <s v="KBOS"/>
    <s v="LAX"/>
    <s v="KLAX"/>
    <d v="2026-09-24T12:40:07"/>
    <d v="2026-09-24T18:20:26"/>
    <n v="340"/>
    <x v="96"/>
    <s v="A321"/>
    <s v="A321"/>
    <s v="Complete"/>
    <s v="adcd6d"/>
  </r>
  <r>
    <x v="0"/>
    <s v="B6 69"/>
    <s v="JBU69"/>
    <s v="BOS"/>
    <s v="KBOS"/>
    <s v="FLL"/>
    <s v="KFLL"/>
    <d v="2026-09-24T12:41:14"/>
    <d v="2026-09-24T15:34:58"/>
    <n v="174"/>
    <x v="173"/>
    <s v="A320"/>
    <s v="A320"/>
    <s v="Complete"/>
    <s v="a6ab27"/>
  </r>
  <r>
    <x v="0"/>
    <s v="B6 1906"/>
    <s v="JBU1906"/>
    <s v="TPA"/>
    <s v="KTPA"/>
    <s v="FLL"/>
    <s v="KFLL"/>
    <d v="2026-09-24T12:44:11"/>
    <d v="2026-09-24T13:28:25"/>
    <n v="44"/>
    <x v="73"/>
    <s v="A320"/>
    <s v="A320"/>
    <s v="Complete"/>
    <s v="a73690"/>
  </r>
  <r>
    <x v="0"/>
    <s v="B6 2229"/>
    <s v="JBU2229"/>
    <s v="BOS"/>
    <s v="KBOS"/>
    <s v="MKE"/>
    <s v="KMKE"/>
    <d v="2026-09-24T12:46:57"/>
    <d v="2026-09-24T14:52:06"/>
    <n v="125"/>
    <x v="65"/>
    <s v="A220-300"/>
    <s v="BCS3"/>
    <s v="Landing inferred"/>
    <s v="a386fb"/>
  </r>
  <r>
    <x v="0"/>
    <s v="B6 105"/>
    <s v="JBU105"/>
    <s v="EWR"/>
    <s v="KEWR"/>
    <s v="FLL"/>
    <s v="KFLL"/>
    <d v="2026-09-24T12:49:06"/>
    <d v="2026-09-24T15:19:43"/>
    <n v="151"/>
    <x v="174"/>
    <s v="A320"/>
    <s v="A320"/>
    <s v="Complete"/>
    <s v="aa4252"/>
  </r>
  <r>
    <x v="0"/>
    <s v="B6 1231"/>
    <s v="JBU1231"/>
    <s v="BOS"/>
    <s v="KBOS"/>
    <s v="VRB"/>
    <s v="KVRB"/>
    <d v="2026-09-24T12:50:06"/>
    <d v="2026-09-24T15:34:50"/>
    <n v="165"/>
    <x v="175"/>
    <s v="A220-300"/>
    <s v="BCS3"/>
    <s v="Landing inferred"/>
    <s v="a38ad5"/>
  </r>
  <r>
    <x v="0"/>
    <s v="B6 837"/>
    <s v="JBU837"/>
    <s v="BOS"/>
    <s v="KBOS"/>
    <s v="DTW"/>
    <s v="KDTW"/>
    <d v="2026-09-24T12:51:06"/>
    <d v="2026-09-24T14:27:05"/>
    <n v="96"/>
    <x v="64"/>
    <s v="A220-300"/>
    <s v="BCS3"/>
    <s v="Complete"/>
    <s v="a33ca9"/>
  </r>
  <r>
    <x v="0"/>
    <s v="B6 848"/>
    <s v="JBU848"/>
    <s v="CLT"/>
    <s v="KCLT"/>
    <s v="FLL"/>
    <s v="KFLL"/>
    <d v="2026-09-24T12:51:23"/>
    <d v="2026-09-24T14:19:33"/>
    <n v="88"/>
    <x v="55"/>
    <s v="A320"/>
    <s v="A320"/>
    <s v="Complete"/>
    <s v="a96ba2"/>
  </r>
  <r>
    <x v="0"/>
    <s v="B6 2041"/>
    <s v="JBU2041"/>
    <s v="BOS"/>
    <s v="KBOS"/>
    <s v="CLE"/>
    <s v="KCLE"/>
    <d v="2026-09-24T12:53:17"/>
    <d v="2026-09-24T14:20:57"/>
    <n v="88"/>
    <x v="176"/>
    <s v="A220-300"/>
    <s v="BCS3"/>
    <s v="Complete"/>
    <s v="a392f2"/>
  </r>
  <r>
    <x v="0"/>
    <s v="B6 323"/>
    <s v="JBU323"/>
    <s v="JFK"/>
    <s v="KJFK"/>
    <s v="LAX"/>
    <s v="KLAX"/>
    <d v="2026-09-24T12:53:54"/>
    <d v="2026-09-24T18:04:20"/>
    <n v="310"/>
    <x v="106"/>
    <s v="A321"/>
    <s v="A321"/>
    <s v="Complete"/>
    <s v="ada5ee"/>
  </r>
  <r>
    <x v="0"/>
    <s v="B6 724"/>
    <s v="JBU724"/>
    <m/>
    <m/>
    <s v="BOS"/>
    <s v="KBOS"/>
    <d v="2026-09-24T12:54:54"/>
    <d v="2026-09-24T14:08:16"/>
    <n v="73"/>
    <x v="91"/>
    <s v="A320"/>
    <s v="A320"/>
    <s v="Complete"/>
    <s v="a8a017"/>
  </r>
  <r>
    <x v="0"/>
    <s v="B6 203"/>
    <s v="JBU203"/>
    <s v="BOS"/>
    <s v="KBOS"/>
    <s v="BDA"/>
    <s v="TXKF"/>
    <d v="2026-09-24T12:56:40"/>
    <d v="2026-09-24T14:44:31"/>
    <n v="108"/>
    <x v="177"/>
    <s v="A220-300"/>
    <s v="BCS3"/>
    <s v="Complete"/>
    <s v="a39925"/>
  </r>
  <r>
    <x v="0"/>
    <s v="B6 2121"/>
    <s v="JBU2121"/>
    <s v="HPN"/>
    <s v="KHPN"/>
    <m/>
    <m/>
    <d v="2026-09-24T12:57:42"/>
    <d v="2026-09-24T13:31:10"/>
    <n v="33"/>
    <x v="178"/>
    <s v="A220-300"/>
    <s v="BCS3"/>
    <s v="Landing inferred"/>
    <s v="a36b50"/>
  </r>
  <r>
    <x v="0"/>
    <s v="B6 1107"/>
    <s v="JBU1107"/>
    <s v="JFK"/>
    <s v="KJFK"/>
    <s v="LHR"/>
    <s v="EGLL"/>
    <d v="2026-09-24T13:04:28"/>
    <d v="2026-09-24T19:30:50"/>
    <n v="386"/>
    <x v="179"/>
    <s v="A321neo"/>
    <s v="A21N"/>
    <s v="Complete"/>
    <s v="a4b6b6"/>
  </r>
  <r>
    <x v="0"/>
    <s v="B6 2547"/>
    <s v="JBU2547"/>
    <s v="MCO"/>
    <s v="KMCO"/>
    <s v="FLL"/>
    <s v="KFLL"/>
    <d v="2026-09-24T13:05:23"/>
    <d v="2026-09-24T13:39:23"/>
    <n v="34"/>
    <x v="180"/>
    <s v="A320"/>
    <s v="A320"/>
    <s v="Complete"/>
    <s v="a6b4f7"/>
  </r>
  <r>
    <x v="0"/>
    <s v="B6 1002"/>
    <s v="JBU1002"/>
    <s v="FLL"/>
    <s v="KFLL"/>
    <s v="JFK"/>
    <s v="KJFK"/>
    <d v="2026-09-24T13:06:03"/>
    <d v="2026-09-24T15:28:52"/>
    <n v="143"/>
    <x v="181"/>
    <s v="A321"/>
    <s v="A321"/>
    <s v="Complete"/>
    <s v="ad5329"/>
  </r>
  <r>
    <x v="0"/>
    <s v="B6 554"/>
    <s v="JBU554"/>
    <s v="DCA"/>
    <s v="KDCA"/>
    <s v="BOS"/>
    <s v="KBOS"/>
    <d v="2026-09-24T13:06:42"/>
    <d v="2026-09-24T14:25:11"/>
    <n v="78"/>
    <x v="115"/>
    <s v="A220-300"/>
    <s v="BCS3"/>
    <s v="Complete"/>
    <s v="a38ef5"/>
  </r>
  <r>
    <x v="0"/>
    <s v="B6 2348"/>
    <s v="JBU2348"/>
    <s v="LAS"/>
    <s v="KLAS"/>
    <s v="JFK"/>
    <s v="KJFK"/>
    <d v="2026-09-24T13:07:40"/>
    <d v="2026-09-24T17:37:54"/>
    <n v="270"/>
    <x v="182"/>
    <s v="A321"/>
    <s v="A321"/>
    <s v="Complete"/>
    <s v="adde95"/>
  </r>
  <r>
    <x v="0"/>
    <s v="B6 2074"/>
    <s v="JBU2074"/>
    <s v="LAX"/>
    <s v="KLAX"/>
    <s v="EWR"/>
    <s v="KEWR"/>
    <d v="2026-09-24T13:07:46"/>
    <d v="2026-09-24T18:05:17"/>
    <n v="298"/>
    <x v="69"/>
    <s v="A321"/>
    <s v="A321"/>
    <s v="Complete"/>
    <s v="add734"/>
  </r>
  <r>
    <x v="0"/>
    <s v="B6 716"/>
    <s v="JBU716"/>
    <s v="BUF"/>
    <s v="KBUF"/>
    <s v="BOS"/>
    <s v="KBOS"/>
    <d v="2026-09-24T13:08:53"/>
    <d v="2026-09-24T14:27:13"/>
    <n v="78"/>
    <x v="132"/>
    <s v="A220-300"/>
    <s v="BCS3"/>
    <s v="Complete"/>
    <s v="a37c1c"/>
  </r>
  <r>
    <x v="0"/>
    <s v="B6 297"/>
    <s v="JBU297"/>
    <s v="JFK"/>
    <s v="KJFK"/>
    <s v="JFK"/>
    <s v="KJFK"/>
    <d v="2026-09-24T13:09:04"/>
    <d v="2026-09-24T21:40:06"/>
    <n v="511"/>
    <x v="78"/>
    <s v="A320"/>
    <s v="A320"/>
    <s v="Complete"/>
    <s v="a72b6b"/>
  </r>
  <r>
    <x v="0"/>
    <s v="B6 116"/>
    <s v="JBU116"/>
    <s v="SFO"/>
    <s v="KSFO"/>
    <s v="JFK"/>
    <s v="KJFK"/>
    <d v="2026-09-24T13:09:09"/>
    <d v="2026-09-24T18:15:04"/>
    <n v="306"/>
    <x v="16"/>
    <s v="A321"/>
    <s v="A321"/>
    <s v="Complete"/>
    <s v="ad7ab8"/>
  </r>
  <r>
    <x v="0"/>
    <s v="B6 567"/>
    <s v="JBU567"/>
    <s v="BOS"/>
    <s v="KBOS"/>
    <s v="CHS"/>
    <s v="KCHS"/>
    <d v="2026-09-24T13:09:35"/>
    <d v="2026-09-24T15:13:03"/>
    <n v="123"/>
    <x v="43"/>
    <s v="Unknown"/>
    <m/>
    <s v="Landing inferred"/>
    <s v="a39fe4"/>
  </r>
  <r>
    <x v="0"/>
    <s v="B6 2154"/>
    <s v="JBU2154"/>
    <s v="SJU"/>
    <s v="TJSJ"/>
    <s v="FLL"/>
    <s v="KFLL"/>
    <d v="2026-09-24T13:10:56"/>
    <d v="2026-09-24T15:21:26"/>
    <n v="130"/>
    <x v="183"/>
    <s v="A320"/>
    <s v="A320"/>
    <s v="Complete"/>
    <s v="a7f6f6"/>
  </r>
  <r>
    <x v="0"/>
    <s v="B6 1111"/>
    <s v="JBU1111"/>
    <s v="JFK"/>
    <s v="KJFK"/>
    <m/>
    <m/>
    <d v="2026-09-24T13:12:12"/>
    <d v="2026-09-24T14:01:52"/>
    <n v="50"/>
    <x v="102"/>
    <s v="A320"/>
    <s v="A320"/>
    <s v="Signal lost"/>
    <s v="a80d40"/>
  </r>
  <r>
    <x v="0"/>
    <s v="B6 1215"/>
    <s v="JBU1215"/>
    <s v="BOS"/>
    <s v="KBOS"/>
    <s v="BUF"/>
    <s v="KBUF"/>
    <d v="2026-09-24T13:12:25"/>
    <d v="2026-09-24T14:11:02"/>
    <n v="59"/>
    <x v="41"/>
    <s v="A320"/>
    <s v="A320"/>
    <s v="Landing inferred"/>
    <s v="a85887"/>
  </r>
  <r>
    <x v="0"/>
    <s v="B6 1281"/>
    <s v="JBU1281"/>
    <s v="BOS"/>
    <s v="KBOS"/>
    <s v="RIC"/>
    <s v="KRIC"/>
    <d v="2026-09-24T13:13:22"/>
    <d v="2026-09-24T14:32:17"/>
    <n v="79"/>
    <x v="184"/>
    <s v="A320"/>
    <s v="A320"/>
    <s v="Landing inferred"/>
    <s v="a7b0c4"/>
  </r>
  <r>
    <x v="0"/>
    <s v="B6 1286"/>
    <s v="JBU1286"/>
    <s v="PIT"/>
    <s v="KPIT"/>
    <s v="BOS"/>
    <s v="KBOS"/>
    <d v="2026-09-24T13:15:35"/>
    <d v="2026-09-24T14:39:11"/>
    <n v="84"/>
    <x v="10"/>
    <s v="A220-300"/>
    <s v="BCS3"/>
    <s v="Complete"/>
    <s v="a36b2d"/>
  </r>
  <r>
    <x v="0"/>
    <s v="B6 94"/>
    <s v="JBU94"/>
    <s v="MCO"/>
    <s v="KMCO"/>
    <s v="HPN"/>
    <s v="KHPN"/>
    <d v="2026-09-24T13:15:44"/>
    <d v="2026-09-24T15:24:21"/>
    <n v="129"/>
    <x v="18"/>
    <s v="A320"/>
    <s v="A320"/>
    <s v="Landing inferred"/>
    <s v="a694dd"/>
  </r>
  <r>
    <x v="0"/>
    <s v="B6 117"/>
    <s v="JBU117"/>
    <s v="JFK"/>
    <s v="KJFK"/>
    <s v="POS"/>
    <s v="TTPP"/>
    <d v="2026-09-24T13:17:19"/>
    <d v="2026-09-24T17:54:08"/>
    <n v="277"/>
    <x v="57"/>
    <s v="A321neo"/>
    <s v="A21N"/>
    <s v="Complete"/>
    <s v="a1a435"/>
  </r>
  <r>
    <x v="0"/>
    <s v="B6 979"/>
    <s v="JBU979"/>
    <s v="FLL"/>
    <s v="KFLL"/>
    <s v="DFW"/>
    <s v="KDFW"/>
    <d v="2026-09-24T13:18:15"/>
    <d v="2026-09-24T15:52:17"/>
    <n v="154"/>
    <x v="185"/>
    <s v="A320"/>
    <s v="A320"/>
    <s v="Complete"/>
    <s v="a7bfa0"/>
  </r>
  <r>
    <x v="0"/>
    <s v="B6 662"/>
    <s v="JBU662"/>
    <s v="JFK"/>
    <s v="KJFK"/>
    <s v="JFK"/>
    <s v="KJFK"/>
    <d v="2026-09-24T13:20:34"/>
    <d v="2026-09-24T23:59:20"/>
    <n v="639"/>
    <x v="186"/>
    <s v="A321neo"/>
    <s v="A21N"/>
    <s v="Complete"/>
    <s v="a1b2a8"/>
  </r>
  <r>
    <x v="0"/>
    <s v="B6 350"/>
    <s v="JBU350"/>
    <s v="JFK"/>
    <s v="KJFK"/>
    <s v="JFK"/>
    <s v="KJFK"/>
    <d v="2026-09-24T13:24:14"/>
    <d v="2026-09-24T23:45:19"/>
    <n v="621"/>
    <x v="75"/>
    <s v="A320"/>
    <s v="A320"/>
    <s v="Complete"/>
    <s v="ab6800"/>
  </r>
  <r>
    <x v="0"/>
    <s v="B6 374"/>
    <s v="JBU374"/>
    <s v="SYR"/>
    <s v="KSYR"/>
    <s v="BOS"/>
    <s v="KBOS"/>
    <d v="2026-09-24T13:26:26"/>
    <d v="2026-09-24T14:32:32"/>
    <n v="66"/>
    <x v="38"/>
    <s v="A220-300"/>
    <s v="BCS3"/>
    <s v="Complete"/>
    <s v="a350c3"/>
  </r>
  <r>
    <x v="0"/>
    <s v="B6 2091"/>
    <s v="JBU2091"/>
    <s v="JFK"/>
    <s v="KJFK"/>
    <s v="ACK"/>
    <s v="KACK"/>
    <d v="2026-09-24T13:26:43"/>
    <d v="2026-09-24T14:10:51"/>
    <n v="44"/>
    <x v="71"/>
    <s v="A220-300"/>
    <s v="BCS3"/>
    <s v="Landing inferred"/>
    <s v="a35592"/>
  </r>
  <r>
    <x v="0"/>
    <s v="B6 1077"/>
    <s v="JBU1077"/>
    <s v="MCO"/>
    <s v="KMCO"/>
    <s v="MCO"/>
    <s v="KMCO"/>
    <d v="2026-09-24T13:28:02"/>
    <d v="2026-09-24T14:17:48"/>
    <n v="50"/>
    <x v="187"/>
    <s v="A320"/>
    <s v="A320"/>
    <s v="Complete"/>
    <s v="a8a785"/>
  </r>
  <r>
    <x v="0"/>
    <s v="B6 310"/>
    <s v="JBU310"/>
    <m/>
    <m/>
    <s v="JFK"/>
    <s v="KJFK"/>
    <d v="2026-09-24T13:28:48"/>
    <d v="2026-09-24T14:15:19"/>
    <n v="47"/>
    <x v="188"/>
    <s v="A321"/>
    <s v="A321"/>
    <s v="Complete"/>
    <s v="ad444d"/>
  </r>
  <r>
    <x v="0"/>
    <s v="B6 393"/>
    <s v="JBU393"/>
    <s v="BOS"/>
    <s v="KBOS"/>
    <s v="DEN"/>
    <s v="KDEN"/>
    <d v="2026-09-24T13:28:52"/>
    <d v="2026-09-24T17:20:29"/>
    <n v="232"/>
    <x v="189"/>
    <s v="A220-300"/>
    <s v="BCS3"/>
    <s v="Complete"/>
    <s v="a35cba"/>
  </r>
  <r>
    <x v="0"/>
    <s v="B6 1188"/>
    <s v="JBU1188"/>
    <s v="JFK"/>
    <s v="KJFK"/>
    <s v="JFK"/>
    <s v="KJFK"/>
    <d v="2026-09-24T13:29:55"/>
    <d v="2026-09-24T22:39:42"/>
    <n v="550"/>
    <x v="190"/>
    <s v="A321neo"/>
    <s v="A21N"/>
    <s v="Complete"/>
    <s v="a1a3a9"/>
  </r>
  <r>
    <x v="0"/>
    <s v="B6 1097"/>
    <s v="JBU1097"/>
    <s v="BOS"/>
    <s v="KBOS"/>
    <s v="ATL"/>
    <s v="KATL"/>
    <d v="2026-09-24T13:32:50"/>
    <d v="2026-09-24T15:47:33"/>
    <n v="135"/>
    <x v="133"/>
    <s v="A220-300"/>
    <s v="BCS3"/>
    <s v="Complete"/>
    <s v="a37fd3"/>
  </r>
  <r>
    <x v="0"/>
    <s v="B6 1042"/>
    <s v="JBU1042"/>
    <s v="MCO"/>
    <s v="KMCO"/>
    <s v="ROC"/>
    <s v="KROC"/>
    <d v="2026-09-24T13:34:37"/>
    <d v="2026-09-24T15:48:44"/>
    <n v="134"/>
    <x v="191"/>
    <s v="A320"/>
    <s v="A320"/>
    <s v="Complete"/>
    <s v="a64d4d"/>
  </r>
  <r>
    <x v="0"/>
    <s v="B6 452"/>
    <s v="JBU452"/>
    <s v="SJU"/>
    <s v="TJSJ"/>
    <s v="TPA"/>
    <s v="KTPA"/>
    <d v="2026-09-24T13:38:42"/>
    <d v="2026-09-24T16:15:18"/>
    <n v="157"/>
    <x v="192"/>
    <s v="A321"/>
    <s v="A321"/>
    <s v="Complete"/>
    <s v="adf4e9"/>
  </r>
  <r>
    <x v="0"/>
    <s v="B6 223"/>
    <s v="JBU223"/>
    <s v="JFK"/>
    <s v="KJFK"/>
    <s v="LAX"/>
    <s v="KLAX"/>
    <d v="2026-09-24T13:39:46"/>
    <d v="2026-09-24T19:08:32"/>
    <n v="329"/>
    <x v="93"/>
    <s v="A321"/>
    <s v="A321"/>
    <s v="Complete"/>
    <s v="adbaca"/>
  </r>
  <r>
    <x v="0"/>
    <s v="B6 215"/>
    <s v="JBU215"/>
    <s v="JFK"/>
    <s v="KJFK"/>
    <s v="SFO"/>
    <s v="KSFO"/>
    <d v="2026-09-24T13:42:13"/>
    <d v="2026-09-24T19:07:32"/>
    <n v="325"/>
    <x v="108"/>
    <s v="A321"/>
    <s v="A321"/>
    <s v="Complete"/>
    <s v="adafb5"/>
  </r>
  <r>
    <x v="0"/>
    <s v="B6 255"/>
    <s v="JBU255"/>
    <s v="JFK"/>
    <s v="KJFK"/>
    <m/>
    <m/>
    <d v="2026-09-24T13:44:37"/>
    <d v="2026-09-24T14:31:10"/>
    <n v="47"/>
    <x v="22"/>
    <s v="A320"/>
    <s v="A320"/>
    <s v="Signal lost"/>
    <s v="a7456c"/>
  </r>
  <r>
    <x v="0"/>
    <s v="B6 2801"/>
    <s v="JBU2801"/>
    <s v="FLL"/>
    <s v="KFLL"/>
    <s v="LAX"/>
    <s v="KLAX"/>
    <d v="2026-09-24T13:45:30"/>
    <d v="2026-09-24T18:35:45"/>
    <n v="290"/>
    <x v="104"/>
    <s v="A321"/>
    <s v="A321"/>
    <s v="Complete"/>
    <s v="adbe91"/>
  </r>
  <r>
    <x v="0"/>
    <s v="B6 1018"/>
    <s v="JBU1018"/>
    <s v="JFK"/>
    <s v="KJFK"/>
    <s v="BOS"/>
    <s v="KBOS"/>
    <d v="2026-09-24T13:46:03"/>
    <d v="2026-09-24T14:35:58"/>
    <n v="50"/>
    <x v="36"/>
    <s v="A220-300"/>
    <s v="BCS3"/>
    <s v="Complete"/>
    <s v="a38836"/>
  </r>
  <r>
    <x v="0"/>
    <s v="B6 503"/>
    <s v="JBU503"/>
    <s v="JFK"/>
    <s v="KJFK"/>
    <s v="SJU"/>
    <s v="TJSJ"/>
    <d v="2026-09-24T13:48:05"/>
    <d v="2026-09-24T17:16:12"/>
    <n v="208"/>
    <x v="193"/>
    <s v="A321"/>
    <s v="A321"/>
    <s v="Landing inferred"/>
    <s v="ad9712"/>
  </r>
  <r>
    <x v="0"/>
    <s v="B6 2821"/>
    <s v="JBU2821"/>
    <s v="MCO"/>
    <s v="KMCO"/>
    <s v="LAS"/>
    <s v="KLAS"/>
    <d v="2026-09-24T13:50:45"/>
    <d v="2026-09-24T18:13:52"/>
    <n v="263"/>
    <x v="194"/>
    <s v="A321"/>
    <s v="A321"/>
    <s v="Complete"/>
    <s v="acf54f"/>
  </r>
  <r>
    <x v="0"/>
    <s v="B6 384"/>
    <s v="JBU384"/>
    <s v="MCO"/>
    <s v="KMCO"/>
    <s v="JFK"/>
    <s v="KJFK"/>
    <d v="2026-09-24T13:52:02"/>
    <d v="2026-09-24T15:52:32"/>
    <n v="120"/>
    <x v="29"/>
    <s v="A321"/>
    <s v="A321"/>
    <s v="Complete"/>
    <s v="ad4f72"/>
  </r>
  <r>
    <x v="0"/>
    <s v="B6 1520"/>
    <s v="JBU1520"/>
    <s v="ATL"/>
    <s v="KATL"/>
    <s v="JFK"/>
    <s v="KJFK"/>
    <d v="2026-09-24T13:54:17"/>
    <d v="2026-09-24T15:40:15"/>
    <n v="106"/>
    <x v="28"/>
    <s v="A220-300"/>
    <s v="BCS3"/>
    <s v="Complete"/>
    <s v="a38019"/>
  </r>
  <r>
    <x v="0"/>
    <s v="B6 1869"/>
    <s v="JBU1869"/>
    <s v="JFK"/>
    <s v="KJFK"/>
    <m/>
    <m/>
    <d v="2026-09-24T13:58:07"/>
    <d v="2026-09-24T14:45:50"/>
    <n v="48"/>
    <x v="100"/>
    <s v="A220-300"/>
    <s v="BCS3"/>
    <s v="Signal lost"/>
    <s v="a383f3"/>
  </r>
  <r>
    <x v="0"/>
    <s v="B6 872"/>
    <s v="JBU872"/>
    <s v="FLL"/>
    <s v="KFLL"/>
    <s v="LGA"/>
    <s v="KLGA"/>
    <d v="2026-09-24T13:58:39"/>
    <d v="2026-09-24T16:25:15"/>
    <n v="147"/>
    <x v="195"/>
    <s v="A320"/>
    <s v="A320"/>
    <s v="Complete"/>
    <s v="a7a59f"/>
  </r>
  <r>
    <x v="0"/>
    <s v="B6 1340"/>
    <s v="JBU1340"/>
    <s v="CLE"/>
    <s v="KCLE"/>
    <s v="BOS"/>
    <s v="KBOS"/>
    <d v="2026-09-24T14:00:09"/>
    <d v="2026-09-24T15:25:16"/>
    <n v="85"/>
    <x v="196"/>
    <s v="A220-300"/>
    <s v="BCS3"/>
    <s v="Complete"/>
    <s v="a35c0b"/>
  </r>
  <r>
    <x v="0"/>
    <s v="B6 1851"/>
    <s v="JBU1851"/>
    <s v="JFK"/>
    <s v="KJFK"/>
    <m/>
    <m/>
    <d v="2026-09-24T14:00:41"/>
    <d v="2026-09-24T16:29:08"/>
    <n v="148"/>
    <x v="197"/>
    <s v="A321"/>
    <s v="A321"/>
    <s v="Signal lost"/>
    <s v="aded77"/>
  </r>
  <r>
    <x v="0"/>
    <s v="B6 813"/>
    <s v="JBU813"/>
    <s v="HPN"/>
    <s v="KHPN"/>
    <s v="FLL"/>
    <s v="KFLL"/>
    <d v="2026-09-24T14:03:18"/>
    <d v="2026-09-24T16:34:08"/>
    <n v="151"/>
    <x v="119"/>
    <s v="A320"/>
    <s v="A320"/>
    <s v="Complete"/>
    <s v="ab0416"/>
  </r>
  <r>
    <x v="0"/>
    <s v="B6 219"/>
    <s v="JBU219"/>
    <s v="BOS"/>
    <s v="KBOS"/>
    <s v="SAN"/>
    <s v="KSAN"/>
    <d v="2026-09-24T14:04:35"/>
    <d v="2026-09-24T19:30:08"/>
    <n v="326"/>
    <x v="101"/>
    <s v="A321neo"/>
    <s v="A21N"/>
    <s v="Complete"/>
    <s v="a1e411"/>
  </r>
  <r>
    <x v="0"/>
    <s v="B6 1742"/>
    <s v="JBU1742"/>
    <s v="SJU"/>
    <s v="TJSJ"/>
    <s v="JAX"/>
    <s v="KJAX"/>
    <d v="2026-09-24T14:05:37"/>
    <d v="2026-09-24T16:53:02"/>
    <n v="167"/>
    <x v="130"/>
    <s v="A320"/>
    <s v="A320"/>
    <s v="Landing inferred"/>
    <s v="a776b2"/>
  </r>
  <r>
    <x v="0"/>
    <s v="B6 2355"/>
    <s v="JBU2355"/>
    <s v="BOS"/>
    <s v="KBOS"/>
    <s v="DCA"/>
    <s v="KDCA"/>
    <d v="2026-09-24T14:05:53"/>
    <d v="2026-09-24T15:13:39"/>
    <n v="68"/>
    <x v="88"/>
    <s v="A220-300"/>
    <s v="BCS3"/>
    <s v="Complete"/>
    <s v="a37842"/>
  </r>
  <r>
    <x v="0"/>
    <s v="B6 1017"/>
    <s v="JBU1017"/>
    <s v="BOS"/>
    <s v="KBOS"/>
    <s v="JFK"/>
    <s v="KJFK"/>
    <d v="2026-09-24T14:07:04"/>
    <d v="2026-09-24T14:59:18"/>
    <n v="52"/>
    <x v="198"/>
    <s v="A220-300"/>
    <s v="BCS3"/>
    <s v="Complete"/>
    <s v="a349be"/>
  </r>
  <r>
    <x v="0"/>
    <s v="B6 658"/>
    <s v="JBU658"/>
    <s v="LAS"/>
    <s v="KLAS"/>
    <s v="FLL"/>
    <s v="KFLL"/>
    <d v="2026-09-24T14:07:51"/>
    <d v="2026-09-24T18:39:00"/>
    <n v="271"/>
    <x v="199"/>
    <s v="A321"/>
    <s v="A321"/>
    <s v="Complete"/>
    <s v="adb723"/>
  </r>
  <r>
    <x v="0"/>
    <s v="B6 737"/>
    <s v="JBU737"/>
    <s v="BDL"/>
    <s v="KBDL"/>
    <s v="MCO"/>
    <s v="KMCO"/>
    <d v="2026-09-24T14:07:55"/>
    <d v="2026-09-24T16:36:55"/>
    <n v="149"/>
    <x v="200"/>
    <s v="A320"/>
    <s v="A320"/>
    <s v="Complete"/>
    <s v="a73a47"/>
  </r>
  <r>
    <x v="0"/>
    <s v="B6 2371"/>
    <s v="JBU2371"/>
    <s v="FLL"/>
    <s v="KFLL"/>
    <s v="AUS"/>
    <s v="KAUS"/>
    <d v="2026-09-24T14:08:31"/>
    <d v="2026-09-24T16:33:28"/>
    <n v="145"/>
    <x v="53"/>
    <s v="A320"/>
    <s v="A320"/>
    <s v="Complete"/>
    <s v="a73dfe"/>
  </r>
  <r>
    <x v="0"/>
    <s v="B6 1889"/>
    <s v="JBU1889"/>
    <s v="EWR"/>
    <s v="KEWR"/>
    <s v="SJU"/>
    <s v="TJSJ"/>
    <d v="2026-09-24T14:11:19"/>
    <d v="2026-09-24T17:38:21"/>
    <n v="207"/>
    <x v="201"/>
    <s v="A320"/>
    <s v="A320"/>
    <s v="Landing inferred"/>
    <s v="a894f2"/>
  </r>
  <r>
    <x v="0"/>
    <s v="B6 135"/>
    <s v="JBU135"/>
    <s v="JFK"/>
    <s v="KJFK"/>
    <s v="PHX"/>
    <s v="KPHX"/>
    <d v="2026-09-24T14:13:06"/>
    <d v="2026-09-24T18:42:45"/>
    <n v="270"/>
    <x v="49"/>
    <s v="A320"/>
    <s v="A320"/>
    <s v="Complete"/>
    <s v="ab4f5d"/>
  </r>
  <r>
    <x v="0"/>
    <s v="B6 833"/>
    <s v="JBU833"/>
    <s v="BOS"/>
    <s v="KBOS"/>
    <s v="SFO"/>
    <s v="KSFO"/>
    <d v="2026-09-24T14:13:23"/>
    <d v="2026-09-24T20:04:19"/>
    <n v="351"/>
    <x v="202"/>
    <s v="A321"/>
    <s v="A321"/>
    <s v="Complete"/>
    <s v="adabfe"/>
  </r>
  <r>
    <x v="0"/>
    <s v="B6 124"/>
    <s v="JBU124"/>
    <s v="LAX"/>
    <s v="KLAX"/>
    <s v="JFK"/>
    <s v="KJFK"/>
    <d v="2026-09-24T14:15:44"/>
    <d v="2026-09-24T19:25:35"/>
    <n v="310"/>
    <x v="203"/>
    <s v="A321"/>
    <s v="A321"/>
    <s v="Complete"/>
    <s v="addadb"/>
  </r>
  <r>
    <x v="0"/>
    <s v="B6 588"/>
    <s v="JBU588"/>
    <s v="MCO"/>
    <s v="KMCO"/>
    <s v="ORH"/>
    <s v="KORH"/>
    <d v="2026-09-24T14:16:26"/>
    <d v="2026-09-24T16:32:30"/>
    <n v="136"/>
    <x v="114"/>
    <s v="A320"/>
    <s v="A320"/>
    <s v="Complete"/>
    <s v="a7bbe9"/>
  </r>
  <r>
    <x v="0"/>
    <s v="B6 1033"/>
    <s v="JBU1033"/>
    <s v="MCO"/>
    <s v="KMCO"/>
    <s v="SJU"/>
    <s v="TJSJ"/>
    <d v="2026-09-24T14:18:22"/>
    <d v="2026-09-24T16:49:17"/>
    <n v="151"/>
    <x v="204"/>
    <s v="A320"/>
    <s v="A320"/>
    <s v="Landing inferred"/>
    <s v="a7faad"/>
  </r>
  <r>
    <x v="0"/>
    <s v="B6 1737"/>
    <s v="JBU1737"/>
    <s v="JFK"/>
    <s v="KJFK"/>
    <m/>
    <m/>
    <d v="2026-09-24T14:19:16"/>
    <d v="2026-09-24T15:05:57"/>
    <n v="47"/>
    <x v="205"/>
    <s v="A321"/>
    <s v="A321"/>
    <s v="Signal lost"/>
    <s v="ad8fa4"/>
  </r>
  <r>
    <x v="0"/>
    <s v="B6 1439"/>
    <s v="JBU1439"/>
    <s v="BOS"/>
    <s v="KBOS"/>
    <s v="AUS"/>
    <s v="KAUS"/>
    <d v="2026-09-24T14:21:38"/>
    <d v="2026-09-24T18:14:33"/>
    <n v="233"/>
    <x v="116"/>
    <s v="A220-300"/>
    <s v="BCS3"/>
    <s v="Complete"/>
    <s v="a38367"/>
  </r>
  <r>
    <x v="0"/>
    <s v="B6 1601"/>
    <s v="JBU1601"/>
    <s v="JFK"/>
    <s v="KJFK"/>
    <s v="FLL"/>
    <s v="KFLL"/>
    <d v="2026-09-24T14:22:40"/>
    <d v="2026-09-24T16:55:25"/>
    <n v="153"/>
    <x v="206"/>
    <s v="A320"/>
    <s v="A320"/>
    <s v="Complete"/>
    <s v="a79821"/>
  </r>
  <r>
    <x v="0"/>
    <s v="B6 2276"/>
    <s v="JBU2276"/>
    <s v="FLL"/>
    <s v="KFLL"/>
    <s v="PHL"/>
    <s v="KPHL"/>
    <d v="2026-09-24T14:25:04"/>
    <d v="2026-09-24T16:47:22"/>
    <n v="142"/>
    <x v="118"/>
    <s v="A320"/>
    <s v="A320"/>
    <s v="Complete"/>
    <s v="a707a3"/>
  </r>
  <r>
    <x v="0"/>
    <s v="B6 1806"/>
    <s v="JBU1806"/>
    <s v="BNA"/>
    <s v="KBNA"/>
    <s v="BOS"/>
    <s v="KBOS"/>
    <d v="2026-09-24T14:25:06"/>
    <d v="2026-09-24T16:32:55"/>
    <n v="128"/>
    <x v="128"/>
    <s v="A220-300"/>
    <s v="BCS3"/>
    <s v="Complete"/>
    <s v="a3514f"/>
  </r>
  <r>
    <x v="0"/>
    <s v="B6 627"/>
    <s v="JBU627"/>
    <s v="JFK"/>
    <s v="KJFK"/>
    <m/>
    <m/>
    <d v="2026-09-24T14:26:57"/>
    <d v="2026-09-24T15:16:55"/>
    <n v="50"/>
    <x v="207"/>
    <s v="A220-300"/>
    <s v="BCS3"/>
    <s v="Signal lost"/>
    <s v="a3355e"/>
  </r>
  <r>
    <x v="0"/>
    <s v="B6 552"/>
    <s v="JBU552"/>
    <s v="MCO"/>
    <s v="KMCO"/>
    <s v="BOS"/>
    <s v="KBOS"/>
    <d v="2026-09-24T14:28:59"/>
    <d v="2026-09-24T16:47:13"/>
    <n v="138"/>
    <x v="208"/>
    <s v="A321"/>
    <s v="A321"/>
    <s v="Complete"/>
    <s v="ac7b1b"/>
  </r>
  <r>
    <x v="0"/>
    <s v="B6 511"/>
    <s v="JBU511"/>
    <s v="JFK"/>
    <s v="KJFK"/>
    <s v="LAS"/>
    <s v="KLAS"/>
    <d v="2026-09-24T14:32:32"/>
    <d v="2026-09-24T19:53:35"/>
    <n v="321"/>
    <x v="209"/>
    <s v="A321"/>
    <s v="A321"/>
    <s v="Complete"/>
    <s v="ad734a"/>
  </r>
  <r>
    <x v="0"/>
    <s v="B6 401"/>
    <s v="JBU401"/>
    <s v="BOS"/>
    <s v="KBOS"/>
    <s v="MSY"/>
    <s v="KMSY"/>
    <d v="2026-09-24T14:33:03"/>
    <d v="2026-09-24T17:35:27"/>
    <n v="182"/>
    <x v="125"/>
    <s v="A320"/>
    <s v="A320"/>
    <s v="Complete"/>
    <s v="a721a4"/>
  </r>
  <r>
    <x v="0"/>
    <s v="B6 183"/>
    <s v="JBU183"/>
    <s v="JFK"/>
    <s v="KJFK"/>
    <s v="MCO"/>
    <s v="KMCO"/>
    <d v="2026-09-24T14:34:49"/>
    <d v="2026-09-24T16:53:16"/>
    <n v="138"/>
    <x v="109"/>
    <s v="A321"/>
    <s v="A321"/>
    <s v="Complete"/>
    <s v="ad846f"/>
  </r>
  <r>
    <x v="0"/>
    <s v="B6 288"/>
    <s v="JBU288"/>
    <s v="LAX"/>
    <s v="KLAX"/>
    <s v="BOS"/>
    <s v="KBOS"/>
    <d v="2026-09-24T14:35:05"/>
    <d v="2026-09-24T19:46:04"/>
    <n v="311"/>
    <x v="56"/>
    <s v="A321"/>
    <s v="A321"/>
    <s v="Complete"/>
    <s v="adb35c"/>
  </r>
  <r>
    <x v="0"/>
    <s v="B6 270"/>
    <s v="JBU270"/>
    <s v="FLL"/>
    <s v="KFLL"/>
    <s v="BOS"/>
    <s v="KBOS"/>
    <d v="2026-09-24T14:35:12"/>
    <d v="2026-09-24T17:19:20"/>
    <n v="164"/>
    <x v="210"/>
    <s v="A321"/>
    <s v="A321"/>
    <s v="Complete"/>
    <s v="ac8289"/>
  </r>
  <r>
    <x v="0"/>
    <s v="B6 1009"/>
    <s v="JBU1009"/>
    <s v="JFK"/>
    <s v="KJFK"/>
    <m/>
    <m/>
    <d v="2026-09-24T14:36:18"/>
    <d v="2026-09-24T15:23:11"/>
    <n v="47"/>
    <x v="113"/>
    <s v="A321"/>
    <s v="A321"/>
    <s v="Signal lost"/>
    <s v="ad3cdf"/>
  </r>
  <r>
    <x v="0"/>
    <s v="B6 438"/>
    <s v="JBU438"/>
    <s v="MCO"/>
    <s v="KMCO"/>
    <s v="BDL"/>
    <s v="KBDL"/>
    <d v="2026-09-24T14:36:19"/>
    <d v="2026-09-24T16:50:48"/>
    <n v="134"/>
    <x v="144"/>
    <s v="A320"/>
    <s v="A320"/>
    <s v="Landing inferred"/>
    <s v="a79e31"/>
  </r>
  <r>
    <x v="0"/>
    <s v="B6 1375"/>
    <s v="JBU1375"/>
    <s v="FLL"/>
    <s v="KFLL"/>
    <s v="KIN"/>
    <s v="MKJP"/>
    <d v="2026-09-24T14:36:31"/>
    <d v="2026-09-24T16:07:57"/>
    <n v="91"/>
    <x v="33"/>
    <s v="A320"/>
    <s v="A320"/>
    <s v="Complete"/>
    <s v="a7858e"/>
  </r>
  <r>
    <x v="0"/>
    <s v="B6 1177"/>
    <s v="JBU1177"/>
    <s v="BOS"/>
    <s v="KBOS"/>
    <s v="LAS"/>
    <s v="KLAS"/>
    <d v="2026-09-24T14:38:22"/>
    <d v="2026-09-24T19:38:13"/>
    <n v="300"/>
    <x v="211"/>
    <s v="A321"/>
    <s v="A321"/>
    <s v="Complete"/>
    <s v="ad9e73"/>
  </r>
  <r>
    <x v="0"/>
    <s v="B6 2285"/>
    <s v="JBU2285"/>
    <s v="JFK"/>
    <s v="KJFK"/>
    <s v="RDU"/>
    <s v="KRDU"/>
    <d v="2026-09-24T14:41:05"/>
    <d v="2026-09-24T15:55:38"/>
    <n v="75"/>
    <x v="212"/>
    <s v="A220-300"/>
    <s v="BCS3"/>
    <s v="Complete"/>
    <s v="a34e01"/>
  </r>
  <r>
    <x v="0"/>
    <s v="B6 2352"/>
    <s v="JBU2352"/>
    <s v="BOS"/>
    <s v="KBOS"/>
    <s v="ACK"/>
    <s v="KACK"/>
    <d v="2026-09-24T14:41:09"/>
    <d v="2026-09-24T15:02:28"/>
    <n v="21"/>
    <x v="4"/>
    <s v="Unknown"/>
    <m/>
    <s v="Landing inferred"/>
    <s v="a38fa4"/>
  </r>
  <r>
    <x v="0"/>
    <s v="B6 882"/>
    <s v="JBU882"/>
    <s v="JFK"/>
    <s v="KJFK"/>
    <s v="JFK"/>
    <s v="KJFK"/>
    <d v="2026-09-24T14:44:26"/>
    <d v="2026-09-25T00:37:16"/>
    <n v="593"/>
    <x v="26"/>
    <s v="A320"/>
    <s v="A320"/>
    <s v="Complete"/>
    <s v="a67883"/>
  </r>
  <r>
    <x v="0"/>
    <s v="B6 478"/>
    <s v="JBU478"/>
    <s v="JAX"/>
    <s v="KJAX"/>
    <s v="JFK"/>
    <s v="KJFK"/>
    <d v="2026-09-24T14:44:59"/>
    <d v="2026-09-24T16:29:44"/>
    <n v="105"/>
    <x v="139"/>
    <s v="A220-300"/>
    <s v="BCS3"/>
    <s v="Complete"/>
    <s v="a38b84"/>
  </r>
  <r>
    <x v="0"/>
    <s v="B6 341"/>
    <s v="JBU341"/>
    <s v="JFK"/>
    <s v="KJFK"/>
    <s v="SAV"/>
    <s v="KSAV"/>
    <d v="2026-09-24T14:45:29"/>
    <d v="2026-09-24T16:37:43"/>
    <n v="112"/>
    <x v="213"/>
    <s v="A320"/>
    <s v="A320"/>
    <s v="Landing inferred"/>
    <s v="a7a1e8"/>
  </r>
  <r>
    <x v="0"/>
    <s v="B6 2548"/>
    <s v="JBU2548"/>
    <s v="FLL"/>
    <s v="KFLL"/>
    <s v="MCO"/>
    <s v="KMCO"/>
    <d v="2026-09-24T14:47:33"/>
    <d v="2026-09-24T15:21:33"/>
    <n v="34"/>
    <x v="73"/>
    <s v="A320"/>
    <s v="A320"/>
    <s v="Complete"/>
    <s v="a73690"/>
  </r>
  <r>
    <x v="0"/>
    <s v="B6 279"/>
    <s v="JBU279"/>
    <s v="JFK"/>
    <s v="KJFK"/>
    <s v="FLL"/>
    <s v="KFLL"/>
    <d v="2026-09-24T14:50:15"/>
    <d v="2026-09-24T21:41:14"/>
    <n v="411"/>
    <x v="80"/>
    <s v="A320"/>
    <s v="A320"/>
    <s v="Complete"/>
    <s v="a8ab3c"/>
  </r>
  <r>
    <x v="0"/>
    <s v="B6 1698"/>
    <s v="JBU1698"/>
    <s v="FLL"/>
    <s v="KFLL"/>
    <s v="ATL"/>
    <s v="KATL"/>
    <d v="2026-09-24T14:50:32"/>
    <d v="2026-09-24T16:23:15"/>
    <n v="93"/>
    <x v="35"/>
    <s v="A220-300"/>
    <s v="BCS3"/>
    <s v="Complete"/>
    <s v="a38e69"/>
  </r>
  <r>
    <x v="0"/>
    <s v="B6 651"/>
    <s v="JBU651"/>
    <s v="BOS"/>
    <s v="KBOS"/>
    <s v="MCO"/>
    <s v="KMCO"/>
    <d v="2026-09-24T14:51:51"/>
    <d v="2026-09-24T17:32:36"/>
    <n v="161"/>
    <x v="214"/>
    <s v="A321"/>
    <s v="A321"/>
    <s v="Complete"/>
    <s v="aca29a"/>
  </r>
  <r>
    <x v="0"/>
    <s v="B6 2493"/>
    <s v="JBU2493"/>
    <s v="ACK"/>
    <s v="KACK"/>
    <s v="DCA"/>
    <s v="KDCA"/>
    <d v="2026-09-24T14:52:09"/>
    <d v="2026-09-24T16:02:38"/>
    <n v="70"/>
    <x v="178"/>
    <s v="A220-300"/>
    <s v="BCS3"/>
    <s v="Complete"/>
    <s v="a36b50"/>
  </r>
  <r>
    <x v="0"/>
    <s v="B6 854"/>
    <s v="JBU854"/>
    <s v="DJT"/>
    <s v="KPBI"/>
    <s v="JFK"/>
    <s v="KJFK"/>
    <d v="2026-09-24T14:53:37"/>
    <d v="2026-09-24T17:10:36"/>
    <n v="137"/>
    <x v="135"/>
    <s v="A321neo"/>
    <s v="A21N"/>
    <s v="Complete"/>
    <s v="a1a0c4"/>
  </r>
  <r>
    <x v="0"/>
    <s v="B6 2334"/>
    <s v="JBU2334"/>
    <s v="DJT"/>
    <s v="KPBI"/>
    <s v="DCA"/>
    <s v="KDCA"/>
    <d v="2026-09-24T14:57:59"/>
    <d v="2026-09-24T17:00:14"/>
    <n v="122"/>
    <x v="148"/>
    <s v="A220-300"/>
    <s v="BCS3"/>
    <s v="Complete"/>
    <s v="a36b73"/>
  </r>
  <r>
    <x v="0"/>
    <s v="B6 1365"/>
    <s v="JBU1365"/>
    <s v="TPA"/>
    <s v="KTPA"/>
    <m/>
    <m/>
    <d v="2026-09-24T14:58:51"/>
    <d v="2026-09-24T15:34:39"/>
    <n v="36"/>
    <x v="9"/>
    <s v="A320"/>
    <s v="A320"/>
    <s v="Signal lost"/>
    <s v="a83108"/>
  </r>
  <r>
    <x v="0"/>
    <s v="B6 385"/>
    <s v="JBU385"/>
    <m/>
    <m/>
    <s v="PIT"/>
    <s v="KPIT"/>
    <d v="2026-09-24T15:00:37"/>
    <d v="2026-09-24T16:13:12"/>
    <n v="73"/>
    <x v="215"/>
    <s v="A220-300"/>
    <s v="BCS3"/>
    <s v="Complete"/>
    <s v="a398bc"/>
  </r>
  <r>
    <x v="0"/>
    <s v="B6 2433"/>
    <s v="JBU2433"/>
    <s v="DCA"/>
    <s v="KDCA"/>
    <s v="DJT"/>
    <s v="KPBI"/>
    <d v="2026-09-24T15:01:08"/>
    <d v="2026-09-24T17:04:14"/>
    <n v="123"/>
    <x v="149"/>
    <s v="A320"/>
    <s v="A320"/>
    <s v="Complete"/>
    <s v="a88774"/>
  </r>
  <r>
    <x v="0"/>
    <s v="B6 112"/>
    <s v="JBU112"/>
    <s v="ORD"/>
    <s v="KORD"/>
    <s v="BOS"/>
    <s v="KBOS"/>
    <d v="2026-09-24T15:02:05"/>
    <d v="2026-09-24T16:59:31"/>
    <n v="117"/>
    <x v="141"/>
    <s v="A220-300"/>
    <s v="BCS3"/>
    <s v="Complete"/>
    <s v="a3795a"/>
  </r>
  <r>
    <x v="0"/>
    <s v="B6 524"/>
    <s v="JBU524"/>
    <s v="LAX"/>
    <s v="KLAX"/>
    <s v="JFK"/>
    <s v="KJFK"/>
    <d v="2026-09-24T15:05:53"/>
    <d v="2026-09-24T20:04:39"/>
    <n v="299"/>
    <x v="216"/>
    <s v="A321"/>
    <s v="A321"/>
    <s v="Complete"/>
    <s v="ad7e6f"/>
  </r>
  <r>
    <x v="0"/>
    <s v="B6 1160"/>
    <s v="JBU1160"/>
    <s v="PHL"/>
    <s v="KPHL"/>
    <s v="BOS"/>
    <s v="KBOS"/>
    <d v="2026-09-24T15:06:57"/>
    <d v="2026-09-24T15:59:03"/>
    <n v="52"/>
    <x v="159"/>
    <s v="Unknown"/>
    <m/>
    <s v="Complete"/>
    <s v="a39338"/>
  </r>
  <r>
    <x v="0"/>
    <s v="B6 1167"/>
    <s v="JBU1167"/>
    <s v="HPN"/>
    <s v="KHPN"/>
    <s v="DJT"/>
    <s v="KPBI"/>
    <d v="2026-09-24T15:07:59"/>
    <d v="2026-09-24T17:36:24"/>
    <n v="148"/>
    <x v="217"/>
    <s v="A320"/>
    <s v="A320"/>
    <s v="Complete"/>
    <s v="aaf8f1"/>
  </r>
  <r>
    <x v="0"/>
    <s v="B6 2049"/>
    <s v="JBU2049"/>
    <s v="BUF"/>
    <s v="KBUF"/>
    <s v="RSW"/>
    <s v="KRSW"/>
    <d v="2026-09-24T15:08:32"/>
    <d v="2026-09-24T17:35:53"/>
    <n v="147"/>
    <x v="41"/>
    <s v="A320"/>
    <s v="A320"/>
    <s v="Complete"/>
    <s v="a85887"/>
  </r>
  <r>
    <x v="0"/>
    <s v="B6 1552"/>
    <s v="JBU1552"/>
    <s v="RSW"/>
    <s v="KRSW"/>
    <s v="HPN"/>
    <s v="KHPN"/>
    <d v="2026-09-24T15:12:41"/>
    <d v="2026-09-24T17:44:04"/>
    <n v="151"/>
    <x v="145"/>
    <s v="A320"/>
    <s v="A320"/>
    <s v="Landing inferred"/>
    <s v="aaf183"/>
  </r>
  <r>
    <x v="0"/>
    <s v="B6 423"/>
    <s v="JBU423"/>
    <s v="JFK"/>
    <s v="KJFK"/>
    <s v="LAX"/>
    <s v="KLAX"/>
    <d v="2026-09-24T15:13:20"/>
    <d v="2026-09-24T20:34:35"/>
    <n v="321"/>
    <x v="52"/>
    <s v="A321"/>
    <s v="A321"/>
    <s v="Complete"/>
    <s v="ad60b7"/>
  </r>
  <r>
    <x v="0"/>
    <s v="B6 225"/>
    <s v="JBU225"/>
    <s v="JFK"/>
    <s v="KJFK"/>
    <s v="TPA"/>
    <s v="KTPA"/>
    <d v="2026-09-24T15:16:34"/>
    <d v="2026-09-24T17:34:46"/>
    <n v="138"/>
    <x v="218"/>
    <s v="A320"/>
    <s v="A320"/>
    <s v="Complete"/>
    <s v="a7167f"/>
  </r>
  <r>
    <x v="0"/>
    <s v="B6 316"/>
    <s v="JBU316"/>
    <s v="SFO"/>
    <s v="KSFO"/>
    <s v="JFK"/>
    <s v="KJFK"/>
    <d v="2026-09-24T15:16:59"/>
    <d v="2026-09-24T20:32:00"/>
    <n v="315"/>
    <x v="77"/>
    <s v="A321"/>
    <s v="A321"/>
    <s v="Complete"/>
    <s v="ad1927"/>
  </r>
  <r>
    <x v="0"/>
    <s v="B6 521"/>
    <s v="JBU521"/>
    <s v="MCO"/>
    <s v="KMCO"/>
    <s v="MCO"/>
    <s v="KMCO"/>
    <d v="2026-09-24T15:18:42"/>
    <d v="2026-09-24T20:01:15"/>
    <n v="283"/>
    <x v="23"/>
    <s v="A220-300"/>
    <s v="BCS3"/>
    <s v="Complete"/>
    <s v="a34d98"/>
  </r>
  <r>
    <x v="0"/>
    <s v="B6 2448"/>
    <s v="JBU2448"/>
    <s v="FLL"/>
    <s v="KFLL"/>
    <s v="FLL"/>
    <s v="KFLL"/>
    <d v="2026-09-24T15:19:22"/>
    <d v="2026-09-24T20:43:36"/>
    <n v="324"/>
    <x v="31"/>
    <s v="A320"/>
    <s v="A320"/>
    <s v="Complete"/>
    <s v="a8c028"/>
  </r>
  <r>
    <x v="0"/>
    <s v="B6 1060"/>
    <s v="JBU1060"/>
    <s v="KIN"/>
    <s v="MKJP"/>
    <s v="JFK"/>
    <s v="KJFK"/>
    <d v="2026-09-24T15:19:43"/>
    <d v="2026-09-24T18:56:18"/>
    <n v="217"/>
    <x v="90"/>
    <s v="A320"/>
    <s v="A320"/>
    <s v="Complete"/>
    <s v="ab4ba6"/>
  </r>
  <r>
    <x v="0"/>
    <s v="B6 1784"/>
    <s v="JBU1784"/>
    <s v="FLL"/>
    <s v="KFLL"/>
    <s v="FLL"/>
    <s v="KFLL"/>
    <d v="2026-09-24T15:20:27"/>
    <d v="2026-09-24T21:50:29"/>
    <n v="390"/>
    <x v="45"/>
    <s v="A320"/>
    <s v="A320"/>
    <s v="Complete"/>
    <s v="a967eb"/>
  </r>
  <r>
    <x v="0"/>
    <s v="B6 791"/>
    <s v="JBU791"/>
    <s v="BOS"/>
    <s v="KBOS"/>
    <s v="TPA"/>
    <s v="KTPA"/>
    <d v="2026-09-24T15:20:46"/>
    <d v="2026-09-24T18:05:20"/>
    <n v="165"/>
    <x v="0"/>
    <s v="A321"/>
    <s v="A321"/>
    <s v="Complete"/>
    <s v="ad6f93"/>
  </r>
  <r>
    <x v="0"/>
    <s v="B6 119"/>
    <s v="JBU119"/>
    <s v="JFK"/>
    <s v="KJFK"/>
    <s v="ATL"/>
    <s v="KATL"/>
    <d v="2026-09-24T15:23:55"/>
    <d v="2026-09-24T17:14:43"/>
    <n v="111"/>
    <x v="76"/>
    <s v="A220-300"/>
    <s v="BCS3"/>
    <s v="Complete"/>
    <s v="a3556f"/>
  </r>
  <r>
    <x v="0"/>
    <s v="B6 1117"/>
    <s v="JBU1117"/>
    <s v="BOS"/>
    <s v="KBOS"/>
    <s v="JFK"/>
    <s v="KJFK"/>
    <d v="2026-09-24T15:24:39"/>
    <d v="2026-09-24T16:09:16"/>
    <n v="45"/>
    <x v="143"/>
    <s v="A220-300"/>
    <s v="BCS3"/>
    <s v="Complete"/>
    <s v="a34d52"/>
  </r>
  <r>
    <x v="0"/>
    <s v="B6 1457"/>
    <s v="JBU1457"/>
    <s v="JFK"/>
    <s v="KJFK"/>
    <m/>
    <m/>
    <d v="2026-09-24T15:25:01"/>
    <d v="2026-09-24T16:12:33"/>
    <n v="48"/>
    <x v="30"/>
    <s v="A320"/>
    <s v="A320"/>
    <s v="Signal lost"/>
    <s v="ab355c"/>
  </r>
  <r>
    <x v="0"/>
    <s v="B6 729"/>
    <s v="JBU729"/>
    <m/>
    <m/>
    <s v="MCO"/>
    <s v="KMCO"/>
    <d v="2026-09-24T15:26:20"/>
    <d v="2026-09-24T16:15:53"/>
    <n v="50"/>
    <x v="124"/>
    <s v="A320"/>
    <s v="A320"/>
    <s v="Complete"/>
    <s v="a98445"/>
  </r>
  <r>
    <x v="0"/>
    <s v="B6 2454"/>
    <s v="JBU2454"/>
    <s v="DCA"/>
    <s v="KDCA"/>
    <s v="BOS"/>
    <s v="KBOS"/>
    <d v="2026-09-24T15:27:49"/>
    <d v="2026-09-24T16:28:45"/>
    <n v="61"/>
    <x v="162"/>
    <s v="A220-300"/>
    <s v="BCS3"/>
    <s v="Complete"/>
    <s v="a338ac"/>
  </r>
  <r>
    <x v="0"/>
    <s v="B6 2028"/>
    <s v="JBU2028"/>
    <s v="MCO"/>
    <s v="KMCO"/>
    <s v="EWR"/>
    <s v="KEWR"/>
    <d v="2026-09-24T15:27:58"/>
    <d v="2026-09-24T17:28:34"/>
    <n v="121"/>
    <x v="219"/>
    <s v="A320"/>
    <s v="A320"/>
    <s v="Complete"/>
    <s v="a6587b"/>
  </r>
  <r>
    <x v="0"/>
    <s v="B6 2474"/>
    <s v="JBU2474"/>
    <s v="CHS"/>
    <s v="KCHS"/>
    <s v="JFK"/>
    <s v="KJFK"/>
    <d v="2026-09-24T15:31:06"/>
    <d v="2026-09-24T16:52:16"/>
    <n v="81"/>
    <x v="34"/>
    <s v="A220-300"/>
    <s v="BCS3"/>
    <s v="Complete"/>
    <s v="a39289"/>
  </r>
  <r>
    <x v="0"/>
    <s v="B6 1553"/>
    <s v="JBU1553"/>
    <s v="FLL"/>
    <s v="KFLL"/>
    <s v="SJU"/>
    <s v="TJSJ"/>
    <d v="2026-09-24T15:33:34"/>
    <d v="2026-09-24T17:42:18"/>
    <n v="129"/>
    <x v="67"/>
    <s v="A320"/>
    <s v="A320"/>
    <s v="Complete"/>
    <s v="a689b8"/>
  </r>
  <r>
    <x v="0"/>
    <s v="B6 92"/>
    <s v="JBU92"/>
    <s v="ACK"/>
    <s v="KACK"/>
    <s v="JFK"/>
    <s v="KJFK"/>
    <d v="2026-09-24T15:34:38"/>
    <d v="2026-09-24T16:15:58"/>
    <n v="41"/>
    <x v="71"/>
    <s v="A220-300"/>
    <s v="BCS3"/>
    <s v="Complete"/>
    <s v="a35592"/>
  </r>
  <r>
    <x v="0"/>
    <s v="B6 1611"/>
    <s v="JBU1611"/>
    <s v="FLL"/>
    <s v="KFLL"/>
    <m/>
    <m/>
    <d v="2026-09-24T15:35:06"/>
    <d v="2026-09-24T16:01:17"/>
    <n v="26"/>
    <x v="42"/>
    <s v="A320"/>
    <s v="A320"/>
    <s v="Signal lost"/>
    <s v="a854d0"/>
  </r>
  <r>
    <x v="0"/>
    <s v="B6 39"/>
    <s v="JBU39"/>
    <s v="FLL"/>
    <s v="KFLL"/>
    <s v="SJO"/>
    <s v="MROC"/>
    <d v="2026-09-24T15:38:15"/>
    <d v="2026-09-24T18:05:19"/>
    <n v="147"/>
    <x v="24"/>
    <s v="A320"/>
    <s v="A320"/>
    <s v="Landing inferred"/>
    <s v="a70f11"/>
  </r>
  <r>
    <x v="0"/>
    <s v="B6 1078"/>
    <s v="JBU1078"/>
    <s v="SJU"/>
    <s v="TJSJ"/>
    <s v="MCO"/>
    <s v="KMCO"/>
    <d v="2026-09-24T15:39:30"/>
    <d v="2026-09-24T20:41:44"/>
    <n v="302"/>
    <x v="220"/>
    <s v="A320"/>
    <s v="A320"/>
    <s v="Complete"/>
    <s v="a8bc71"/>
  </r>
  <r>
    <x v="0"/>
    <s v="B6 663"/>
    <s v="JBU663"/>
    <s v="FLL"/>
    <s v="KFLL"/>
    <s v="ORD"/>
    <s v="KORD"/>
    <d v="2026-09-24T15:41:09"/>
    <d v="2026-09-24T18:43:06"/>
    <n v="182"/>
    <x v="221"/>
    <s v="A320"/>
    <s v="A320"/>
    <s v="Complete"/>
    <s v="aaf53a"/>
  </r>
  <r>
    <x v="0"/>
    <s v="B6 9100"/>
    <s v="JBU9100"/>
    <s v="BOS"/>
    <s v="KBOS"/>
    <s v="BED"/>
    <s v="KBED"/>
    <d v="2026-09-24T15:41:58"/>
    <d v="2026-09-24T15:55:58"/>
    <n v="14"/>
    <x v="222"/>
    <s v="A320"/>
    <s v="A320"/>
    <s v="Complete"/>
    <s v="a6a00b"/>
  </r>
  <r>
    <x v="0"/>
    <s v="B6 1366"/>
    <s v="JBU1366"/>
    <s v="FLL"/>
    <s v="KFLL"/>
    <s v="TPA"/>
    <s v="KTPA"/>
    <d v="2026-09-24T15:42:25"/>
    <d v="2026-09-24T19:45:38"/>
    <n v="243"/>
    <x v="17"/>
    <s v="A320"/>
    <s v="A320"/>
    <s v="Complete"/>
    <s v="a6a3c2"/>
  </r>
  <r>
    <x v="0"/>
    <s v="B6 1293"/>
    <s v="JBU1293"/>
    <s v="BOS"/>
    <s v="KBOS"/>
    <s v="ILM"/>
    <s v="KILM"/>
    <d v="2026-09-24T15:43:33"/>
    <d v="2026-09-24T17:33:26"/>
    <n v="110"/>
    <x v="50"/>
    <s v="A220-300"/>
    <s v="BCS3"/>
    <s v="Landing inferred"/>
    <s v="a35fc2"/>
  </r>
  <r>
    <x v="0"/>
    <s v="B6 1383"/>
    <s v="JBU1383"/>
    <s v="FLL"/>
    <s v="KFLL"/>
    <s v="FLL"/>
    <s v="KFLL"/>
    <d v="2026-09-24T15:43:54"/>
    <d v="2026-09-24T21:43:49"/>
    <n v="360"/>
    <x v="14"/>
    <s v="A320"/>
    <s v="A320"/>
    <s v="Complete"/>
    <s v="aa589c"/>
  </r>
  <r>
    <x v="0"/>
    <s v="B6 176"/>
    <s v="JBU176"/>
    <s v="MSY"/>
    <s v="KMSY"/>
    <s v="JFK"/>
    <s v="KJFK"/>
    <d v="2026-09-24T15:46:23"/>
    <d v="2026-09-24T18:20:04"/>
    <n v="154"/>
    <x v="142"/>
    <s v="A220-300"/>
    <s v="BCS3"/>
    <s v="Complete"/>
    <s v="a3298a"/>
  </r>
  <r>
    <x v="0"/>
    <s v="B6 2760"/>
    <s v="JBU2760"/>
    <s v="FLL"/>
    <s v="KFLL"/>
    <s v="FLL"/>
    <s v="KFLL"/>
    <d v="2026-09-24T15:46:37"/>
    <d v="2026-09-24T22:32:09"/>
    <n v="406"/>
    <x v="156"/>
    <s v="A320"/>
    <s v="A320"/>
    <s v="Complete"/>
    <s v="a83876"/>
  </r>
  <r>
    <x v="0"/>
    <s v="B6 274"/>
    <s v="JBU274"/>
    <s v="BNA"/>
    <s v="KBNA"/>
    <s v="JFK"/>
    <s v="KJFK"/>
    <d v="2026-09-24T15:47:09"/>
    <d v="2026-09-24T17:44:11"/>
    <n v="117"/>
    <x v="103"/>
    <s v="A220-300"/>
    <s v="BCS3"/>
    <s v="Complete"/>
    <s v="a360b7"/>
  </r>
  <r>
    <x v="0"/>
    <s v="B6 2102"/>
    <s v="JBU2102"/>
    <s v="FLL"/>
    <s v="KFLL"/>
    <s v="JFK"/>
    <s v="KJFK"/>
    <d v="2026-09-24T15:48:22"/>
    <d v="2026-09-24T18:14:52"/>
    <n v="146"/>
    <x v="136"/>
    <s v="A321neo"/>
    <s v="A21N"/>
    <s v="Complete"/>
    <s v="a1a3cc"/>
  </r>
  <r>
    <x v="0"/>
    <s v="B6 121"/>
    <s v="JBU121"/>
    <s v="JFK"/>
    <s v="KJFK"/>
    <s v="FLL"/>
    <s v="KFLL"/>
    <d v="2026-09-24T15:48:50"/>
    <d v="2026-09-24T21:24:57"/>
    <n v="336"/>
    <x v="223"/>
    <s v="A320"/>
    <s v="A320"/>
    <s v="Complete"/>
    <s v="a976c7"/>
  </r>
  <r>
    <x v="0"/>
    <s v="B6 380"/>
    <s v="JBU380"/>
    <s v="FLL"/>
    <s v="KFLL"/>
    <s v="JFK"/>
    <s v="KJFK"/>
    <d v="2026-09-24T15:50:09"/>
    <d v="2026-09-24T23:21:32"/>
    <n v="451"/>
    <x v="58"/>
    <s v="A320"/>
    <s v="A320"/>
    <s v="Complete"/>
    <s v="a781d7"/>
  </r>
  <r>
    <x v="0"/>
    <s v="B6 544"/>
    <s v="JBU544"/>
    <s v="DJT"/>
    <s v="KPBI"/>
    <s v="ISP"/>
    <s v="KISP"/>
    <d v="2026-09-24T15:50:22"/>
    <d v="2026-09-24T18:12:34"/>
    <n v="142"/>
    <x v="157"/>
    <s v="A320"/>
    <s v="A320"/>
    <s v="Landing inferred"/>
    <s v="aacf19"/>
  </r>
  <r>
    <x v="0"/>
    <s v="B6 2040"/>
    <s v="JBU2040"/>
    <s v="CLE"/>
    <s v="KCLE"/>
    <s v="BOS"/>
    <s v="KBOS"/>
    <d v="2026-09-24T15:51:06"/>
    <d v="2026-09-24T17:12:38"/>
    <n v="82"/>
    <x v="176"/>
    <s v="A220-300"/>
    <s v="BCS3"/>
    <s v="Complete"/>
    <s v="a392f2"/>
  </r>
  <r>
    <x v="0"/>
    <s v="B6 2201"/>
    <s v="JBU2201"/>
    <s v="JFK"/>
    <s v="KJFK"/>
    <s v="FLL"/>
    <s v="KFLL"/>
    <d v="2026-09-24T15:51:41"/>
    <d v="2026-09-24T18:18:57"/>
    <n v="147"/>
    <x v="224"/>
    <s v="A321neo"/>
    <s v="A21N"/>
    <s v="Complete"/>
    <s v="a19910"/>
  </r>
  <r>
    <x v="0"/>
    <s v="B6 194"/>
    <s v="JBU194"/>
    <s v="MCO"/>
    <s v="KMCO"/>
    <s v="HPN"/>
    <s v="KHPN"/>
    <d v="2026-09-24T15:51:52"/>
    <d v="2026-09-24T18:03:14"/>
    <n v="131"/>
    <x v="150"/>
    <s v="A320"/>
    <s v="A320"/>
    <s v="Landing inferred"/>
    <s v="a8c796"/>
  </r>
  <r>
    <x v="0"/>
    <s v="B6 1450"/>
    <s v="JBU1450"/>
    <s v="FLL"/>
    <s v="KFLL"/>
    <s v="FLL"/>
    <s v="KFLL"/>
    <d v="2026-09-24T15:53:34"/>
    <d v="2026-09-24T21:37:32"/>
    <n v="344"/>
    <x v="66"/>
    <s v="A320"/>
    <s v="A320"/>
    <s v="Complete"/>
    <s v="a8021b"/>
  </r>
  <r>
    <x v="0"/>
    <s v="B6 2829"/>
    <s v="JBU2829"/>
    <s v="BOS"/>
    <s v="KBOS"/>
    <m/>
    <m/>
    <d v="2026-09-24T15:53:51"/>
    <d v="2026-09-24T17:01:25"/>
    <n v="68"/>
    <x v="1"/>
    <s v="A321"/>
    <s v="A321"/>
    <s v="Signal lost"/>
    <s v="ad8836"/>
  </r>
  <r>
    <x v="0"/>
    <s v="B6 1282"/>
    <s v="JBU1282"/>
    <s v="RIC"/>
    <s v="KRIC"/>
    <s v="BOS"/>
    <s v="KBOS"/>
    <d v="2026-09-24T15:54:56"/>
    <d v="2026-09-24T17:00:59"/>
    <n v="66"/>
    <x v="184"/>
    <s v="A320"/>
    <s v="A320"/>
    <s v="Complete"/>
    <s v="a7b0c4"/>
  </r>
  <r>
    <x v="0"/>
    <s v="B6 2283"/>
    <s v="JBU2283"/>
    <s v="BOS"/>
    <s v="KBOS"/>
    <s v="RDU"/>
    <s v="KRDU"/>
    <d v="2026-09-24T15:56:04"/>
    <d v="2026-09-24T17:38:35"/>
    <n v="103"/>
    <x v="54"/>
    <s v="A320"/>
    <s v="A320"/>
    <s v="Complete"/>
    <s v="a7946a"/>
  </r>
  <r>
    <x v="0"/>
    <s v="B6 267"/>
    <s v="JBU267"/>
    <s v="BOS"/>
    <s v="KBOS"/>
    <s v="CHS"/>
    <s v="KCHS"/>
    <d v="2026-09-24T15:58:13"/>
    <d v="2026-09-24T18:09:18"/>
    <n v="131"/>
    <x v="132"/>
    <s v="A220-300"/>
    <s v="BCS3"/>
    <s v="Landing inferred"/>
    <s v="a37c1c"/>
  </r>
  <r>
    <x v="0"/>
    <s v="B6 2071"/>
    <s v="JBU2071"/>
    <s v="FLL"/>
    <s v="KFLL"/>
    <m/>
    <m/>
    <d v="2026-09-24T15:58:23"/>
    <d v="2026-09-24T16:22:17"/>
    <n v="24"/>
    <x v="39"/>
    <s v="Unknown"/>
    <m/>
    <s v="Signal lost"/>
    <s v="a39be7"/>
  </r>
  <r>
    <x v="0"/>
    <s v="B6 2084"/>
    <s v="JBU2084"/>
    <s v="RDU"/>
    <s v="KRDU"/>
    <s v="BOS"/>
    <s v="KBOS"/>
    <d v="2026-09-24T15:59:17"/>
    <d v="2026-09-24T17:21:02"/>
    <n v="82"/>
    <x v="62"/>
    <s v="A220-300"/>
    <s v="BCS3"/>
    <s v="Complete"/>
    <s v="a37fb0"/>
  </r>
  <r>
    <x v="0"/>
    <s v="B6 1005"/>
    <s v="JBU1005"/>
    <s v="FLL"/>
    <s v="KFLL"/>
    <s v="TPA"/>
    <s v="KTPA"/>
    <d v="2026-09-24T16:01:22"/>
    <d v="2026-09-24T16:37:22"/>
    <n v="36"/>
    <x v="5"/>
    <s v="A320"/>
    <s v="A320"/>
    <s v="Complete"/>
    <s v="a87898"/>
  </r>
  <r>
    <x v="0"/>
    <s v="B6 790"/>
    <s v="JBU790"/>
    <s v="FLL"/>
    <s v="KFLL"/>
    <s v="DTW"/>
    <s v="KDTW"/>
    <d v="2026-09-24T16:02:37"/>
    <d v="2026-09-24T18:50:13"/>
    <n v="168"/>
    <x v="180"/>
    <s v="A320"/>
    <s v="A320"/>
    <s v="Complete"/>
    <s v="a6b4f7"/>
  </r>
  <r>
    <x v="0"/>
    <s v="B6 1047"/>
    <s v="JBU1047"/>
    <s v="PHL"/>
    <s v="KPHL"/>
    <s v="SJU"/>
    <s v="TJSJ"/>
    <d v="2026-09-24T16:05:10"/>
    <d v="2026-09-24T19:41:49"/>
    <n v="217"/>
    <x v="140"/>
    <s v="A320"/>
    <s v="A320"/>
    <s v="Complete"/>
    <s v="a97310"/>
  </r>
  <r>
    <x v="0"/>
    <s v="B6 204"/>
    <s v="JBU204"/>
    <s v="BDA"/>
    <s v="TXKF"/>
    <s v="BOS"/>
    <s v="KBOS"/>
    <d v="2026-09-24T16:05:32"/>
    <d v="2026-09-24T18:00:56"/>
    <n v="115"/>
    <x v="177"/>
    <s v="A220-300"/>
    <s v="BCS3"/>
    <s v="Complete"/>
    <s v="a39925"/>
  </r>
  <r>
    <x v="0"/>
    <s v="B6 2922"/>
    <s v="JBU2922"/>
    <s v="FLL"/>
    <s v="KFLL"/>
    <s v="JFK"/>
    <s v="KJFK"/>
    <d v="2026-09-24T16:06:02"/>
    <d v="2026-09-24T21:14:32"/>
    <n v="308"/>
    <x v="55"/>
    <s v="A320"/>
    <s v="A320"/>
    <s v="Complete"/>
    <s v="a96ba2"/>
  </r>
  <r>
    <x v="0"/>
    <s v="B6 1473"/>
    <s v="JBU1473"/>
    <s v="FLL"/>
    <s v="KFLL"/>
    <m/>
    <m/>
    <d v="2026-09-24T16:07:29"/>
    <d v="2026-09-24T16:33:47"/>
    <n v="26"/>
    <x v="11"/>
    <s v="A220-300"/>
    <s v="BCS3"/>
    <s v="Signal lost"/>
    <s v="a387f0"/>
  </r>
  <r>
    <x v="0"/>
    <s v="B6 1336"/>
    <s v="JBU1336"/>
    <s v="DTW"/>
    <s v="KDTW"/>
    <s v="BOS"/>
    <s v="KBOS"/>
    <d v="2026-09-24T16:10:20"/>
    <d v="2026-09-24T17:46:34"/>
    <n v="96"/>
    <x v="64"/>
    <s v="A220-300"/>
    <s v="BCS3"/>
    <s v="Complete"/>
    <s v="a33ca9"/>
  </r>
  <r>
    <x v="0"/>
    <s v="B6 1006"/>
    <s v="JBU1006"/>
    <s v="ORD"/>
    <s v="KORD"/>
    <s v="JFK"/>
    <s v="KJFK"/>
    <d v="2026-09-24T16:11:29"/>
    <d v="2026-09-24T18:00:56"/>
    <n v="109"/>
    <x v="166"/>
    <s v="A220-300"/>
    <s v="BCS3"/>
    <s v="Complete"/>
    <s v="a34d2f"/>
  </r>
  <r>
    <x v="0"/>
    <s v="B6 2129"/>
    <s v="JBU2129"/>
    <s v="JFK"/>
    <s v="KJFK"/>
    <s v="RSW"/>
    <s v="KRSW"/>
    <d v="2026-09-24T16:12:15"/>
    <d v="2026-09-24T18:41:52"/>
    <n v="150"/>
    <x v="72"/>
    <s v="A320"/>
    <s v="A320"/>
    <s v="Complete"/>
    <s v="a752ea"/>
  </r>
  <r>
    <x v="0"/>
    <s v="B6 692"/>
    <s v="JBU692"/>
    <s v="TPA"/>
    <s v="KTPA"/>
    <s v="BOS"/>
    <s v="KBOS"/>
    <d v="2026-09-24T16:12:54"/>
    <d v="2026-09-24T18:57:41"/>
    <n v="165"/>
    <x v="21"/>
    <s v="A320"/>
    <s v="A320"/>
    <s v="Complete"/>
    <s v="a9607d"/>
  </r>
  <r>
    <x v="0"/>
    <s v="B6 1575"/>
    <s v="JBU1575"/>
    <s v="FLL"/>
    <s v="KFLL"/>
    <s v="KIN"/>
    <s v="MKJP"/>
    <d v="2026-09-24T16:13:44"/>
    <d v="2026-09-24T17:44:23"/>
    <n v="91"/>
    <x v="138"/>
    <s v="A320"/>
    <s v="A320"/>
    <s v="Complete"/>
    <s v="a683a8"/>
  </r>
  <r>
    <x v="0"/>
    <s v="B6 1255"/>
    <s v="JBU1255"/>
    <s v="FLL"/>
    <s v="KFLL"/>
    <m/>
    <m/>
    <d v="2026-09-24T16:14:35"/>
    <d v="2026-09-24T17:42:09"/>
    <n v="88"/>
    <x v="225"/>
    <s v="A321neo"/>
    <s v="A21N"/>
    <s v="Signal lost"/>
    <s v="a19d0d"/>
  </r>
  <r>
    <x v="0"/>
    <s v="B6 749"/>
    <s v="JBU749"/>
    <s v="FLL"/>
    <s v="KFLL"/>
    <s v="CLT"/>
    <s v="KCLT"/>
    <d v="2026-09-24T16:17:31"/>
    <d v="2026-09-24T17:53:14"/>
    <n v="96"/>
    <x v="169"/>
    <s v="A320"/>
    <s v="A320"/>
    <s v="Complete"/>
    <s v="a8712a"/>
  </r>
  <r>
    <x v="0"/>
    <s v="B6 41"/>
    <s v="JBU41"/>
    <s v="FLL"/>
    <s v="KFLL"/>
    <s v="SJU"/>
    <s v="TJSJ"/>
    <d v="2026-09-24T16:18:50"/>
    <d v="2026-09-24T23:33:58"/>
    <n v="435"/>
    <x v="92"/>
    <s v="A320"/>
    <s v="A320"/>
    <s v="Landing inferred"/>
    <s v="a849ab"/>
  </r>
  <r>
    <x v="0"/>
    <s v="B6 1923"/>
    <s v="JBU1923"/>
    <s v="DCA"/>
    <s v="KDCA"/>
    <s v="MCO"/>
    <s v="KMCO"/>
    <d v="2026-09-24T16:18:57"/>
    <d v="2026-09-24T18:00:23"/>
    <n v="101"/>
    <x v="151"/>
    <s v="A320"/>
    <s v="A320"/>
    <s v="Complete"/>
    <s v="a898a9"/>
  </r>
  <r>
    <x v="0"/>
    <s v="B6 266"/>
    <s v="JBU266"/>
    <s v="RSW"/>
    <s v="KRSW"/>
    <s v="BOS"/>
    <s v="KBOS"/>
    <d v="2026-09-24T16:19:39"/>
    <d v="2026-09-24T19:16:43"/>
    <n v="177"/>
    <x v="131"/>
    <s v="A321"/>
    <s v="A321"/>
    <s v="Complete"/>
    <s v="ad2f71"/>
  </r>
  <r>
    <x v="0"/>
    <s v="B6 681"/>
    <s v="JBU681"/>
    <s v="FLL"/>
    <s v="KFLL"/>
    <s v="BNA"/>
    <s v="KBNA"/>
    <d v="2026-09-24T16:19:57"/>
    <d v="2026-09-24T19:36:49"/>
    <n v="197"/>
    <x v="13"/>
    <s v="A320"/>
    <s v="A320"/>
    <s v="Complete"/>
    <s v="a8913b"/>
  </r>
  <r>
    <x v="0"/>
    <s v="B6 434"/>
    <s v="JBU434"/>
    <s v="SFO"/>
    <s v="KSFO"/>
    <s v="BOS"/>
    <s v="KBOS"/>
    <d v="2026-09-24T16:21:55"/>
    <d v="2026-09-24T21:44:01"/>
    <n v="322"/>
    <x v="46"/>
    <s v="A321"/>
    <s v="A321"/>
    <s v="Complete"/>
    <s v="ad0074"/>
  </r>
  <r>
    <x v="0"/>
    <s v="B6 1497"/>
    <s v="JBU1497"/>
    <s v="JFK"/>
    <s v="KJFK"/>
    <s v="DEN"/>
    <s v="KDEN"/>
    <d v="2026-09-24T16:22:01"/>
    <d v="2026-09-24T19:58:00"/>
    <n v="216"/>
    <x v="198"/>
    <s v="A220-300"/>
    <s v="BCS3"/>
    <s v="Complete"/>
    <s v="a349be"/>
  </r>
  <r>
    <x v="0"/>
    <s v="B6 211"/>
    <s v="JBU211"/>
    <s v="JFK"/>
    <s v="KJFK"/>
    <s v="LAS"/>
    <s v="KLAS"/>
    <d v="2026-09-24T16:25:43"/>
    <d v="2026-09-24T21:10:37"/>
    <n v="285"/>
    <x v="110"/>
    <s v="A321"/>
    <s v="A321"/>
    <s v="Complete"/>
    <s v="adc5ff"/>
  </r>
  <r>
    <x v="0"/>
    <s v="B6 2020"/>
    <s v="JBU2020"/>
    <s v="FLL"/>
    <s v="KFLL"/>
    <s v="ORH"/>
    <s v="KORH"/>
    <d v="2026-09-24T16:26:39"/>
    <d v="2026-09-24T19:02:54"/>
    <n v="156"/>
    <x v="20"/>
    <s v="A320"/>
    <s v="A320"/>
    <s v="Complete"/>
    <s v="a7b832"/>
  </r>
  <r>
    <x v="0"/>
    <s v="B6 598"/>
    <s v="JBU598"/>
    <s v="MCO"/>
    <s v="KMCO"/>
    <s v="LGA"/>
    <s v="KLGA"/>
    <d v="2026-09-24T16:28:48"/>
    <d v="2026-09-24T18:35:13"/>
    <n v="126"/>
    <x v="7"/>
    <s v="A320"/>
    <s v="A320"/>
    <s v="Complete"/>
    <s v="a6c3ca"/>
  </r>
  <r>
    <x v="0"/>
    <s v="B6 249"/>
    <s v="JBU249"/>
    <s v="BOS"/>
    <s v="KBOS"/>
    <s v="SAV"/>
    <s v="KSAV"/>
    <d v="2026-09-24T16:30:52"/>
    <d v="2026-09-24T18:51:17"/>
    <n v="140"/>
    <x v="36"/>
    <s v="A220-300"/>
    <s v="BCS3"/>
    <s v="Landing inferred"/>
    <s v="a38836"/>
  </r>
  <r>
    <x v="0"/>
    <s v="B6 1052"/>
    <s v="JBU1052"/>
    <s v="JFK"/>
    <s v="KJFK"/>
    <s v="JFK"/>
    <s v="KJFK"/>
    <d v="2026-09-24T16:31:23"/>
    <d v="2026-09-25T00:58:53"/>
    <n v="508"/>
    <x v="117"/>
    <s v="A321"/>
    <s v="A321"/>
    <s v="Complete"/>
    <s v="ad3581"/>
  </r>
  <r>
    <x v="0"/>
    <s v="B6 2087"/>
    <s v="JBU2087"/>
    <s v="PVD"/>
    <s v="KPVD"/>
    <s v="DJT"/>
    <s v="KPBI"/>
    <d v="2026-09-24T16:31:28"/>
    <d v="2026-09-24T19:17:15"/>
    <n v="166"/>
    <x v="226"/>
    <s v="A320"/>
    <s v="A320"/>
    <s v="Complete"/>
    <s v="a732d9"/>
  </r>
  <r>
    <x v="0"/>
    <s v="B6 831"/>
    <s v="JBU831"/>
    <s v="ACK"/>
    <s v="KACK"/>
    <s v="LGA"/>
    <s v="KLGA"/>
    <d v="2026-09-24T16:31:45"/>
    <d v="2026-09-24T17:21:19"/>
    <n v="50"/>
    <x v="4"/>
    <s v="Unknown"/>
    <m/>
    <s v="Complete"/>
    <s v="a38fa4"/>
  </r>
  <r>
    <x v="0"/>
    <s v="B6 272"/>
    <s v="JBU272"/>
    <s v="FLL"/>
    <s v="KFLL"/>
    <s v="LGA"/>
    <s v="KLGA"/>
    <d v="2026-09-24T16:31:46"/>
    <d v="2026-09-24T18:54:42"/>
    <n v="143"/>
    <x v="79"/>
    <s v="A320"/>
    <s v="A320"/>
    <s v="Complete"/>
    <s v="a9c5c5"/>
  </r>
  <r>
    <x v="0"/>
    <s v="B6 1264"/>
    <s v="JBU1264"/>
    <s v="TVC"/>
    <s v="KTVC"/>
    <s v="BOS"/>
    <s v="KBOS"/>
    <d v="2026-09-24T16:32:42"/>
    <d v="2026-09-24T18:18:11"/>
    <n v="105"/>
    <x v="19"/>
    <s v="A320"/>
    <s v="A320"/>
    <s v="Complete"/>
    <s v="a7da9c"/>
  </r>
  <r>
    <x v="0"/>
    <s v="B6 133"/>
    <s v="JBU133"/>
    <s v="MCO"/>
    <s v="KMCO"/>
    <s v="SJU"/>
    <s v="TJSJ"/>
    <d v="2026-09-24T16:33:44"/>
    <d v="2026-09-24T20:49:05"/>
    <n v="255"/>
    <x v="170"/>
    <s v="A320"/>
    <s v="A320"/>
    <s v="Complete"/>
    <s v="a69894"/>
  </r>
  <r>
    <x v="0"/>
    <s v="B6 1603"/>
    <s v="JBU1603"/>
    <s v="JFK"/>
    <s v="KJFK"/>
    <s v="SJU"/>
    <s v="TJSJ"/>
    <d v="2026-09-24T16:36:43"/>
    <d v="2026-09-24T20:09:40"/>
    <n v="213"/>
    <x v="188"/>
    <s v="A321"/>
    <s v="A321"/>
    <s v="Landing inferred"/>
    <s v="ad444d"/>
  </r>
  <r>
    <x v="0"/>
    <s v="B6 915"/>
    <s v="JBU915"/>
    <s v="BOS"/>
    <s v="KBOS"/>
    <s v="BUF"/>
    <s v="KBUF"/>
    <d v="2026-09-24T16:37:04"/>
    <d v="2026-09-24T17:43:37"/>
    <n v="67"/>
    <x v="196"/>
    <s v="A220-300"/>
    <s v="BCS3"/>
    <s v="Landing inferred"/>
    <s v="a35c0b"/>
  </r>
  <r>
    <x v="0"/>
    <s v="B6 1680"/>
    <s v="JBU1680"/>
    <s v="FLL"/>
    <s v="KFLL"/>
    <s v="DCA"/>
    <s v="KDCA"/>
    <d v="2026-09-24T16:37:21"/>
    <d v="2026-09-24T18:41:21"/>
    <n v="124"/>
    <x v="8"/>
    <s v="A220-300"/>
    <s v="BCS3"/>
    <s v="Complete"/>
    <s v="a358bd"/>
  </r>
  <r>
    <x v="0"/>
    <s v="B6 1133"/>
    <s v="JBU1133"/>
    <s v="MCO"/>
    <s v="KMCO"/>
    <s v="SJU"/>
    <s v="TJSJ"/>
    <d v="2026-09-24T16:38:28"/>
    <d v="2026-09-24T19:11:47"/>
    <n v="153"/>
    <x v="172"/>
    <s v="A320"/>
    <s v="A320"/>
    <s v="Landing inferred"/>
    <s v="aac7ab"/>
  </r>
  <r>
    <x v="0"/>
    <s v="B6 468"/>
    <s v="JBU468"/>
    <s v="DJT"/>
    <s v="KPBI"/>
    <s v="HPN"/>
    <s v="KHPN"/>
    <d v="2026-09-24T16:38:31"/>
    <d v="2026-09-24T19:07:06"/>
    <n v="149"/>
    <x v="40"/>
    <s v="A320"/>
    <s v="A320"/>
    <s v="Landing inferred"/>
    <s v="aaa02c"/>
  </r>
  <r>
    <x v="0"/>
    <s v="B6 1487"/>
    <s v="JBU1487"/>
    <s v="BOS"/>
    <s v="KBOS"/>
    <s v="LAX"/>
    <s v="KLAX"/>
    <d v="2026-09-24T16:44:51"/>
    <d v="2026-09-24T22:04:27"/>
    <n v="320"/>
    <x v="168"/>
    <s v="A321"/>
    <s v="A321"/>
    <s v="Complete"/>
    <s v="ada227"/>
  </r>
  <r>
    <x v="0"/>
    <s v="B6 83"/>
    <s v="JBU83"/>
    <s v="JFK"/>
    <s v="KJFK"/>
    <s v="MCO"/>
    <s v="KMCO"/>
    <d v="2026-09-24T16:45:25"/>
    <d v="2026-09-24T18:59:05"/>
    <n v="134"/>
    <x v="6"/>
    <s v="A321neo"/>
    <s v="A21N"/>
    <s v="Complete"/>
    <s v="a1a0a1"/>
  </r>
  <r>
    <x v="0"/>
    <s v="B6 2432"/>
    <s v="JBU2432"/>
    <s v="LGA"/>
    <s v="KLGA"/>
    <s v="ACK"/>
    <s v="KACK"/>
    <d v="2026-09-24T16:46:28"/>
    <d v="2026-09-24T17:26:45"/>
    <n v="40"/>
    <x v="155"/>
    <s v="A220-300"/>
    <s v="BCS3"/>
    <s v="Landing inferred"/>
    <s v="a35854"/>
  </r>
  <r>
    <x v="0"/>
    <s v="B6 2230"/>
    <s v="JBU2230"/>
    <s v="MKE"/>
    <s v="KMKE"/>
    <s v="BOS"/>
    <s v="KBOS"/>
    <d v="2026-09-24T16:48:47"/>
    <d v="2026-09-24T18:59:19"/>
    <n v="131"/>
    <x v="65"/>
    <s v="A220-300"/>
    <s v="BCS3"/>
    <s v="Complete"/>
    <s v="a386fb"/>
  </r>
  <r>
    <x v="0"/>
    <s v="B6 2094"/>
    <s v="JBU2094"/>
    <s v="FLL"/>
    <s v="KFLL"/>
    <s v="BWI"/>
    <s v="KBWI"/>
    <d v="2026-09-24T16:52:20"/>
    <d v="2026-09-24T19:03:32"/>
    <n v="131"/>
    <x v="94"/>
    <s v="A220-300"/>
    <s v="BCS3"/>
    <s v="Complete"/>
    <s v="a3845c"/>
  </r>
  <r>
    <x v="0"/>
    <s v="B6 2537"/>
    <s v="JBU2537"/>
    <s v="SJU"/>
    <s v="TJSJ"/>
    <s v="SJU"/>
    <s v="TJSJ"/>
    <d v="2026-09-24T16:53:58"/>
    <d v="2026-09-24T19:56:12"/>
    <n v="182"/>
    <x v="227"/>
    <s v="A220-300"/>
    <s v="BCS3"/>
    <s v="Landing inferred"/>
    <s v="a34978"/>
  </r>
  <r>
    <x v="0"/>
    <s v="B6 590"/>
    <s v="JBU590"/>
    <s v="FLL"/>
    <s v="KFLL"/>
    <s v="FLL"/>
    <s v="KFLL"/>
    <d v="2026-09-24T16:54:36"/>
    <d v="2026-09-24T22:09:55"/>
    <n v="315"/>
    <x v="228"/>
    <s v="A320"/>
    <s v="A320"/>
    <s v="Complete"/>
    <s v="aac3f4"/>
  </r>
  <r>
    <x v="0"/>
    <s v="B6 1310"/>
    <s v="JBU1310"/>
    <s v="JAX"/>
    <s v="KJAX"/>
    <s v="BOS"/>
    <s v="KBOS"/>
    <d v="2026-09-24T16:54:58"/>
    <d v="2026-09-24T19:05:42"/>
    <n v="131"/>
    <x v="37"/>
    <s v="A220-300"/>
    <s v="BCS3"/>
    <s v="Complete"/>
    <s v="a3401a"/>
  </r>
  <r>
    <x v="0"/>
    <s v="B6 932"/>
    <s v="JBU932"/>
    <s v="IAH"/>
    <s v="KIAH"/>
    <s v="BOS"/>
    <s v="KBOS"/>
    <d v="2026-09-24T16:56:30"/>
    <d v="2026-09-24T20:16:17"/>
    <n v="200"/>
    <x v="167"/>
    <s v="A320"/>
    <s v="A320"/>
    <s v="Complete"/>
    <s v="a85c3e"/>
  </r>
  <r>
    <x v="0"/>
    <s v="B6 1251"/>
    <s v="JBU1251"/>
    <s v="HPN"/>
    <s v="KHPN"/>
    <s v="RSW"/>
    <s v="KRSW"/>
    <d v="2026-09-24T16:56:58"/>
    <d v="2026-09-24T19:28:54"/>
    <n v="152"/>
    <x v="18"/>
    <s v="A320"/>
    <s v="A320"/>
    <s v="Complete"/>
    <s v="a694dd"/>
  </r>
  <r>
    <x v="0"/>
    <s v="B6 2656"/>
    <s v="JBU2656"/>
    <s v="MCO"/>
    <s v="KMCO"/>
    <s v="SYR"/>
    <s v="KSYR"/>
    <d v="2026-09-24T16:57:21"/>
    <d v="2026-09-24T19:17:58"/>
    <n v="141"/>
    <x v="146"/>
    <s v="A220-300"/>
    <s v="BCS3"/>
    <s v="Complete"/>
    <s v="a38af8"/>
  </r>
  <r>
    <x v="0"/>
    <s v="B6 1901"/>
    <s v="JBU1901"/>
    <m/>
    <m/>
    <s v="JFK"/>
    <s v="KJFK"/>
    <d v="2026-09-24T16:58:18"/>
    <d v="2026-09-24T17:34:35"/>
    <n v="36"/>
    <x v="229"/>
    <s v="A220-300"/>
    <s v="BCS3"/>
    <s v="Complete"/>
    <s v="a39948"/>
  </r>
  <r>
    <x v="0"/>
    <s v="B6 1382"/>
    <s v="JBU1382"/>
    <s v="IAH"/>
    <s v="KIAH"/>
    <s v="JFK"/>
    <s v="KJFK"/>
    <d v="2026-09-24T16:58:26"/>
    <d v="2026-09-24T20:00:23"/>
    <n v="182"/>
    <x v="160"/>
    <s v="A220-300"/>
    <s v="BCS3"/>
    <s v="Complete"/>
    <s v="a39243"/>
  </r>
  <r>
    <x v="0"/>
    <s v="B6 2925"/>
    <s v="JBU2925"/>
    <s v="RDU"/>
    <s v="KRDU"/>
    <s v="FLL"/>
    <s v="KFLL"/>
    <d v="2026-09-24T17:01:31"/>
    <d v="2026-09-24T18:35:54"/>
    <n v="94"/>
    <x v="158"/>
    <s v="A320"/>
    <s v="A320"/>
    <s v="Complete"/>
    <s v="a8b8ba"/>
  </r>
  <r>
    <x v="0"/>
    <s v="B6 509"/>
    <s v="JBU509"/>
    <s v="BOS"/>
    <s v="KBOS"/>
    <m/>
    <m/>
    <d v="2026-09-24T17:04:08"/>
    <d v="2026-09-24T19:34:11"/>
    <n v="150"/>
    <x v="91"/>
    <s v="A320"/>
    <s v="A320"/>
    <s v="Landing inferred"/>
    <s v="a8a017"/>
  </r>
  <r>
    <x v="0"/>
    <s v="B6 1043"/>
    <s v="JBU1043"/>
    <s v="ROC"/>
    <s v="KROC"/>
    <s v="MCO"/>
    <s v="KMCO"/>
    <d v="2026-09-24T17:04:13"/>
    <d v="2026-09-24T19:15:34"/>
    <n v="131"/>
    <x v="191"/>
    <s v="A320"/>
    <s v="A320"/>
    <s v="Complete"/>
    <s v="a64d4d"/>
  </r>
  <r>
    <x v="0"/>
    <s v="B6 546"/>
    <s v="JBU546"/>
    <s v="MCO"/>
    <s v="KMCO"/>
    <s v="ISP"/>
    <s v="KISP"/>
    <d v="2026-09-24T17:17:19"/>
    <d v="2026-09-24T19:21:48"/>
    <n v="124"/>
    <x v="112"/>
    <s v="A321"/>
    <s v="A321"/>
    <s v="Landing inferred"/>
    <s v="ad4bcb"/>
  </r>
  <r>
    <x v="0"/>
    <s v="B6 2118"/>
    <s v="JBU2118"/>
    <s v="FLL"/>
    <s v="KFLL"/>
    <m/>
    <m/>
    <d v="2026-09-24T17:18:01"/>
    <d v="2026-09-24T18:06:54"/>
    <n v="49"/>
    <x v="174"/>
    <s v="A320"/>
    <s v="A320"/>
    <s v="Landing inferred"/>
    <s v="aa4252"/>
  </r>
  <r>
    <x v="0"/>
    <s v="B6 424"/>
    <s v="JBU424"/>
    <s v="LAX"/>
    <s v="KLAX"/>
    <s v="JFK"/>
    <s v="KJFK"/>
    <d v="2026-09-24T17:21:20"/>
    <d v="2026-09-24T22:19:06"/>
    <n v="298"/>
    <x v="123"/>
    <s v="A321"/>
    <s v="A321"/>
    <s v="Complete"/>
    <s v="ad2095"/>
  </r>
  <r>
    <x v="0"/>
    <s v="B6 482"/>
    <s v="JBU482"/>
    <s v="DFW"/>
    <s v="KDFW"/>
    <s v="FLL"/>
    <s v="KFLL"/>
    <d v="2026-09-24T17:21:27"/>
    <d v="2026-09-24T19:47:02"/>
    <n v="146"/>
    <x v="185"/>
    <s v="A320"/>
    <s v="A320"/>
    <s v="Complete"/>
    <s v="a7bfa0"/>
  </r>
  <r>
    <x v="0"/>
    <s v="B6 904"/>
    <s v="JBU904"/>
    <m/>
    <m/>
    <s v="JFK"/>
    <s v="KJFK"/>
    <d v="2026-09-24T17:24:52"/>
    <d v="2026-09-24T17:53:44"/>
    <n v="29"/>
    <x v="230"/>
    <s v="A321neo"/>
    <s v="A21N"/>
    <s v="Complete"/>
    <s v="a198ed"/>
  </r>
  <r>
    <x v="0"/>
    <s v="B6 2097"/>
    <s v="JBU2097"/>
    <s v="ATL"/>
    <s v="KATL"/>
    <s v="FLL"/>
    <s v="KFLL"/>
    <d v="2026-09-24T17:30:47"/>
    <d v="2026-09-24T18:56:08"/>
    <n v="85"/>
    <x v="35"/>
    <s v="A220-300"/>
    <s v="BCS3"/>
    <s v="Complete"/>
    <s v="a38e69"/>
  </r>
  <r>
    <x v="0"/>
    <s v="B6 936"/>
    <s v="JBU936"/>
    <s v="SJU"/>
    <s v="TJSJ"/>
    <s v="CPX"/>
    <s v="TJCP"/>
    <d v="2026-09-24T17:30:47"/>
    <d v="2026-09-24T17:41:06"/>
    <n v="10"/>
    <x v="47"/>
    <s v="A320"/>
    <s v="A320"/>
    <s v="Landing inferred"/>
    <s v="a68d6f"/>
  </r>
  <r>
    <x v="0"/>
    <s v="B6 2786"/>
    <s v="JBU2786"/>
    <s v="RDU"/>
    <s v="KRDU"/>
    <s v="JFK"/>
    <s v="KJFK"/>
    <d v="2026-09-24T17:30:48"/>
    <d v="2026-09-24T18:31:57"/>
    <n v="61"/>
    <x v="212"/>
    <s v="A220-300"/>
    <s v="BCS3"/>
    <s v="Complete"/>
    <s v="a34e01"/>
  </r>
  <r>
    <x v="0"/>
    <s v="B6 1859"/>
    <s v="JBU1859"/>
    <s v="BOS"/>
    <s v="KBOS"/>
    <s v="PHL"/>
    <s v="KPHL"/>
    <d v="2026-09-24T17:36:04"/>
    <d v="2026-09-24T18:40:25"/>
    <n v="64"/>
    <x v="10"/>
    <s v="A220-300"/>
    <s v="BCS3"/>
    <s v="Complete"/>
    <s v="a36b2d"/>
  </r>
  <r>
    <x v="0"/>
    <s v="B6 1347"/>
    <s v="JBU1347"/>
    <m/>
    <m/>
    <s v="SJU"/>
    <s v="TJSJ"/>
    <d v="2026-09-24T17:37:28"/>
    <d v="2026-09-24T17:48:02"/>
    <n v="11"/>
    <x v="165"/>
    <s v="A320"/>
    <s v="A320"/>
    <s v="Landing inferred"/>
    <s v="aa4d77"/>
  </r>
  <r>
    <x v="0"/>
    <s v="B6 190"/>
    <s v="JBU190"/>
    <s v="SAN"/>
    <s v="KSAN"/>
    <s v="JFK"/>
    <s v="KJFK"/>
    <d v="2026-09-24T17:37:36"/>
    <d v="2026-09-24T22:42:18"/>
    <n v="305"/>
    <x v="126"/>
    <s v="A321"/>
    <s v="A321"/>
    <s v="Complete"/>
    <s v="ad7701"/>
  </r>
  <r>
    <x v="0"/>
    <s v="B6 568"/>
    <s v="JBU568"/>
    <s v="CHS"/>
    <s v="KCHS"/>
    <s v="BOS"/>
    <s v="KBOS"/>
    <d v="2026-09-24T17:39:34"/>
    <d v="2026-09-24T19:23:04"/>
    <n v="103"/>
    <x v="43"/>
    <s v="Unknown"/>
    <m/>
    <s v="Complete"/>
    <s v="a39fe4"/>
  </r>
  <r>
    <x v="0"/>
    <s v="B6 1397"/>
    <s v="JBU1397"/>
    <s v="BOS"/>
    <s v="KBOS"/>
    <s v="ATL"/>
    <s v="KATL"/>
    <d v="2026-09-24T17:41:31"/>
    <d v="2026-09-24T19:59:21"/>
    <n v="138"/>
    <x v="162"/>
    <s v="A220-300"/>
    <s v="BCS3"/>
    <s v="Complete"/>
    <s v="a338ac"/>
  </r>
  <r>
    <x v="0"/>
    <s v="B6 281"/>
    <s v="JBU281"/>
    <s v="JFK"/>
    <s v="KJFK"/>
    <s v="IAH"/>
    <s v="KIAH"/>
    <d v="2026-09-24T17:41:46"/>
    <d v="2026-09-24T20:57:24"/>
    <n v="196"/>
    <x v="51"/>
    <s v="A220-300"/>
    <s v="BCS3"/>
    <s v="Landing inferred"/>
    <s v="a35949"/>
  </r>
  <r>
    <x v="0"/>
    <s v="B6 1453"/>
    <s v="JBU1453"/>
    <s v="FLL"/>
    <s v="KFLL"/>
    <s v="SJU"/>
    <s v="TJSJ"/>
    <d v="2026-09-24T17:42:29"/>
    <d v="2026-09-24T19:54:14"/>
    <n v="132"/>
    <x v="173"/>
    <s v="A320"/>
    <s v="A320"/>
    <s v="Landing inferred"/>
    <s v="a6ab27"/>
  </r>
  <r>
    <x v="0"/>
    <s v="B6 855"/>
    <s v="JBU855"/>
    <s v="BOS"/>
    <s v="KBOS"/>
    <s v="DCA"/>
    <s v="KDCA"/>
    <d v="2026-09-24T17:43:33"/>
    <d v="2026-09-24T18:56:35"/>
    <n v="73"/>
    <x v="159"/>
    <s v="Unknown"/>
    <m/>
    <s v="Complete"/>
    <s v="a39338"/>
  </r>
  <r>
    <x v="0"/>
    <s v="B6 127"/>
    <s v="JBU127"/>
    <s v="EWR"/>
    <s v="KEWR"/>
    <s v="MCO"/>
    <s v="KMCO"/>
    <d v="2026-09-24T17:44:27"/>
    <d v="2026-09-24T19:58:01"/>
    <n v="134"/>
    <x v="161"/>
    <s v="A320"/>
    <s v="A320"/>
    <s v="Complete"/>
    <s v="a87c4f"/>
  </r>
  <r>
    <x v="0"/>
    <s v="B6 2324"/>
    <s v="JBU2324"/>
    <s v="MCO"/>
    <s v="KMCO"/>
    <s v="DCA"/>
    <s v="KDCA"/>
    <d v="2026-09-24T17:48:28"/>
    <d v="2026-09-24T19:31:24"/>
    <n v="103"/>
    <x v="124"/>
    <s v="A320"/>
    <s v="A320"/>
    <s v="Complete"/>
    <s v="a98445"/>
  </r>
  <r>
    <x v="0"/>
    <s v="B6 499"/>
    <s v="JBU499"/>
    <s v="LGA"/>
    <s v="KLGA"/>
    <s v="MCO"/>
    <s v="KMCO"/>
    <d v="2026-09-24T17:49:56"/>
    <d v="2026-09-24T20:07:13"/>
    <n v="137"/>
    <x v="195"/>
    <s v="A320"/>
    <s v="A320"/>
    <s v="Complete"/>
    <s v="a7a59f"/>
  </r>
  <r>
    <x v="0"/>
    <s v="B6 8620"/>
    <s v="JBU8620"/>
    <s v="BHM"/>
    <s v="KBHM"/>
    <s v="FLL"/>
    <s v="KFLL"/>
    <d v="2026-09-24T17:51:34"/>
    <d v="2026-09-24T19:23:25"/>
    <n v="92"/>
    <x v="231"/>
    <s v="A320"/>
    <s v="A320"/>
    <s v="Complete"/>
    <s v="a7de53"/>
  </r>
  <r>
    <x v="0"/>
    <s v="B6 1751"/>
    <s v="JBU1751"/>
    <s v="TPA"/>
    <s v="KTPA"/>
    <s v="SJU"/>
    <s v="TJSJ"/>
    <d v="2026-09-24T17:51:40"/>
    <d v="2026-09-24T20:32:34"/>
    <n v="161"/>
    <x v="192"/>
    <s v="A321"/>
    <s v="A321"/>
    <s v="Landing inferred"/>
    <s v="adf4e9"/>
  </r>
  <r>
    <x v="0"/>
    <s v="B6 407"/>
    <s v="JBU407"/>
    <s v="BOS"/>
    <s v="KBOS"/>
    <s v="BNA"/>
    <s v="KBNA"/>
    <d v="2026-09-24T17:51:55"/>
    <d v="2026-09-24T20:01:02"/>
    <n v="129"/>
    <x v="128"/>
    <s v="A220-300"/>
    <s v="BCS3"/>
    <s v="Complete"/>
    <s v="a3514f"/>
  </r>
  <r>
    <x v="0"/>
    <s v="B6 436"/>
    <s v="JBU436"/>
    <m/>
    <m/>
    <s v="JFK"/>
    <s v="KJFK"/>
    <d v="2026-09-24T17:52:48"/>
    <d v="2026-09-24T18:37:51"/>
    <n v="45"/>
    <x v="127"/>
    <s v="A321"/>
    <s v="A321"/>
    <s v="Complete"/>
    <s v="ad8bed"/>
  </r>
  <r>
    <x v="0"/>
    <s v="B6 22"/>
    <s v="JBU22"/>
    <s v="DJT"/>
    <s v="KPBI"/>
    <s v="BOS"/>
    <s v="KBOS"/>
    <d v="2026-09-24T17:53:53"/>
    <d v="2026-09-24T20:47:55"/>
    <n v="174"/>
    <x v="164"/>
    <s v="A321"/>
    <s v="A321"/>
    <s v="Complete"/>
    <s v="adf128"/>
  </r>
  <r>
    <x v="0"/>
    <s v="B6 987"/>
    <s v="JBU987"/>
    <s v="ORH"/>
    <s v="KORH"/>
    <s v="MCO"/>
    <s v="KMCO"/>
    <d v="2026-09-24T17:54:31"/>
    <d v="2026-09-24T20:28:05"/>
    <n v="154"/>
    <x v="114"/>
    <s v="A320"/>
    <s v="A320"/>
    <s v="Complete"/>
    <s v="a7bbe9"/>
  </r>
  <r>
    <x v="0"/>
    <s v="B6 1334"/>
    <s v="JBU1334"/>
    <s v="SJU"/>
    <s v="TJSJ"/>
    <s v="MCO"/>
    <s v="KMCO"/>
    <d v="2026-09-24T17:59:22"/>
    <d v="2026-09-24T20:32:36"/>
    <n v="153"/>
    <x v="204"/>
    <s v="A320"/>
    <s v="A320"/>
    <s v="Complete"/>
    <s v="a7faad"/>
  </r>
  <r>
    <x v="0"/>
    <s v="B6 2117"/>
    <s v="JBU2117"/>
    <s v="JAX"/>
    <s v="KJAX"/>
    <s v="FLL"/>
    <s v="KFLL"/>
    <d v="2026-09-24T18:00:46"/>
    <d v="2026-09-24T18:47:56"/>
    <n v="47"/>
    <x v="130"/>
    <s v="A320"/>
    <s v="A320"/>
    <s v="Complete"/>
    <s v="a776b2"/>
  </r>
  <r>
    <x v="0"/>
    <s v="B6 2182"/>
    <s v="JBU2182"/>
    <s v="FLL"/>
    <s v="KFLL"/>
    <s v="DFW"/>
    <s v="KDFW"/>
    <d v="2026-09-24T18:02:32"/>
    <d v="2026-09-24T20:33:31"/>
    <n v="151"/>
    <x v="183"/>
    <s v="A320"/>
    <s v="A320"/>
    <s v="Complete"/>
    <s v="a7f6f6"/>
  </r>
  <r>
    <x v="0"/>
    <s v="B6 2780"/>
    <s v="JBU2780"/>
    <s v="IAH"/>
    <s v="KIAH"/>
    <s v="FLL"/>
    <s v="KFLL"/>
    <d v="2026-09-24T18:02:45"/>
    <d v="2026-09-24T20:28:54"/>
    <n v="146"/>
    <x v="12"/>
    <s v="A320"/>
    <s v="A320"/>
    <s v="Complete"/>
    <s v="a8222c"/>
  </r>
  <r>
    <x v="0"/>
    <s v="B6 342"/>
    <s v="JBU342"/>
    <s v="SAV"/>
    <s v="KSAV"/>
    <s v="JFK"/>
    <s v="KJFK"/>
    <d v="2026-09-24T18:02:54"/>
    <d v="2026-09-24T19:36:18"/>
    <n v="93"/>
    <x v="213"/>
    <s v="A320"/>
    <s v="A320"/>
    <s v="Complete"/>
    <s v="a7a1e8"/>
  </r>
  <r>
    <x v="0"/>
    <s v="B6 2275"/>
    <s v="JBU2275"/>
    <s v="PHL"/>
    <s v="KPHL"/>
    <s v="FLL"/>
    <s v="KFLL"/>
    <d v="2026-09-24T18:04:19"/>
    <d v="2026-09-24T20:57:28"/>
    <n v="173"/>
    <x v="118"/>
    <s v="A320"/>
    <s v="A320"/>
    <s v="Complete"/>
    <s v="a707a3"/>
  </r>
  <r>
    <x v="0"/>
    <s v="B6 1496"/>
    <s v="JBU1496"/>
    <s v="MCO"/>
    <s v="KMCO"/>
    <s v="FLL"/>
    <s v="KFLL"/>
    <d v="2026-09-24T18:06:21"/>
    <d v="2026-09-24T23:22:44"/>
    <n v="316"/>
    <x v="73"/>
    <s v="A320"/>
    <s v="A320"/>
    <s v="Complete"/>
    <s v="a73690"/>
  </r>
  <r>
    <x v="0"/>
    <s v="B6 670"/>
    <s v="JBU670"/>
    <s v="MCO"/>
    <s v="KMCO"/>
    <s v="RIC"/>
    <s v="KRIC"/>
    <d v="2026-09-24T18:07:17"/>
    <d v="2026-09-24T19:37:35"/>
    <n v="90"/>
    <x v="68"/>
    <s v="A320"/>
    <s v="A320"/>
    <s v="Landing inferred"/>
    <s v="a7e5c1"/>
  </r>
  <r>
    <x v="0"/>
    <s v="B6 1475"/>
    <s v="JBU1475"/>
    <s v="BDL"/>
    <s v="KBDL"/>
    <s v="SJU"/>
    <s v="TJSJ"/>
    <d v="2026-09-24T18:12:24"/>
    <d v="2026-09-24T21:43:45"/>
    <n v="211"/>
    <x v="144"/>
    <s v="A320"/>
    <s v="A320"/>
    <s v="Landing inferred"/>
    <s v="a79e31"/>
  </r>
  <r>
    <x v="0"/>
    <s v="B6 2076"/>
    <s v="JBU2076"/>
    <s v="TPA"/>
    <s v="KTPA"/>
    <s v="FLL"/>
    <s v="KFLL"/>
    <d v="2026-09-24T18:12:25"/>
    <d v="2026-09-24T19:00:11"/>
    <n v="48"/>
    <x v="5"/>
    <s v="A320"/>
    <s v="A320"/>
    <s v="Complete"/>
    <s v="a87898"/>
  </r>
  <r>
    <x v="0"/>
    <s v="B6 896"/>
    <s v="JBU896"/>
    <s v="ATL"/>
    <s v="KATL"/>
    <s v="BOS"/>
    <s v="KBOS"/>
    <d v="2026-09-24T18:14:32"/>
    <d v="2026-09-24T20:22:28"/>
    <n v="128"/>
    <x v="133"/>
    <s v="A220-300"/>
    <s v="BCS3"/>
    <s v="Complete"/>
    <s v="a37fd3"/>
  </r>
  <r>
    <x v="0"/>
    <s v="B6 781"/>
    <s v="JBU781"/>
    <s v="BOS"/>
    <s v="KBOS"/>
    <s v="RIC"/>
    <s v="KRIC"/>
    <d v="2026-09-24T18:18:55"/>
    <d v="2026-09-24T19:38:59"/>
    <n v="80"/>
    <x v="141"/>
    <s v="A220-300"/>
    <s v="BCS3"/>
    <s v="Landing inferred"/>
    <s v="a3795a"/>
  </r>
  <r>
    <x v="0"/>
    <s v="B6 1538"/>
    <s v="JBU1538"/>
    <s v="JFK"/>
    <s v="KJFK"/>
    <m/>
    <m/>
    <d v="2026-09-24T18:20:31"/>
    <d v="2026-09-24T18:55:25"/>
    <n v="35"/>
    <x v="71"/>
    <s v="A220-300"/>
    <s v="BCS3"/>
    <s v="Landing inferred"/>
    <s v="a35592"/>
  </r>
  <r>
    <x v="0"/>
    <s v="B6 2251"/>
    <s v="JBU2251"/>
    <s v="BOS"/>
    <s v="KBOS"/>
    <s v="MCO"/>
    <s v="KMCO"/>
    <d v="2026-09-24T18:21:32"/>
    <d v="2026-09-24T20:59:21"/>
    <n v="158"/>
    <x v="208"/>
    <s v="A321"/>
    <s v="A321"/>
    <s v="Complete"/>
    <s v="ac7b1b"/>
  </r>
  <r>
    <x v="0"/>
    <s v="B6 437"/>
    <s v="JBU437"/>
    <s v="BDL"/>
    <s v="KBDL"/>
    <s v="MCO"/>
    <s v="KMCO"/>
    <d v="2026-09-24T18:21:57"/>
    <d v="2026-09-24T20:45:49"/>
    <n v="144"/>
    <x v="171"/>
    <s v="A320"/>
    <s v="A320"/>
    <s v="Complete"/>
    <s v="a845f4"/>
  </r>
  <r>
    <x v="0"/>
    <s v="B6 578"/>
    <s v="JBU578"/>
    <s v="SFO"/>
    <s v="KSFO"/>
    <s v="FLL"/>
    <s v="KFLL"/>
    <d v="2026-09-24T18:23:35"/>
    <d v="2026-09-24T23:26:35"/>
    <n v="303"/>
    <x v="122"/>
    <s v="A321"/>
    <s v="A321"/>
    <s v="Complete"/>
    <s v="acf906"/>
  </r>
  <r>
    <x v="0"/>
    <s v="B6 8575"/>
    <s v="JBU8575"/>
    <s v="FLL"/>
    <s v="KFLL"/>
    <s v="MCO"/>
    <s v="KMCO"/>
    <d v="2026-09-24T18:25:51"/>
    <d v="2026-09-24T19:02:39"/>
    <n v="37"/>
    <x v="232"/>
    <s v="A320"/>
    <s v="A320"/>
    <s v="Complete"/>
    <s v="a6cb48"/>
  </r>
  <r>
    <x v="0"/>
    <s v="B6 1448"/>
    <s v="JBU1448"/>
    <s v="LAS"/>
    <s v="KLAS"/>
    <s v="JFK"/>
    <s v="KJFK"/>
    <d v="2026-09-24T18:26:42"/>
    <d v="2026-09-24T23:07:57"/>
    <n v="281"/>
    <x v="87"/>
    <s v="A321neo"/>
    <s v="A21N"/>
    <s v="Complete"/>
    <s v="a1cf48"/>
  </r>
  <r>
    <x v="0"/>
    <s v="B6 754"/>
    <s v="JBU754"/>
    <s v="DCA"/>
    <s v="KDCA"/>
    <s v="BOS"/>
    <s v="KBOS"/>
    <d v="2026-09-24T18:27:07"/>
    <d v="2026-09-24T19:30:52"/>
    <n v="64"/>
    <x v="88"/>
    <s v="A220-300"/>
    <s v="BCS3"/>
    <s v="Complete"/>
    <s v="a37842"/>
  </r>
  <r>
    <x v="0"/>
    <s v="B6 8700"/>
    <s v="JBU8700"/>
    <s v="BED"/>
    <s v="KBED"/>
    <s v="PHL"/>
    <s v="KPHL"/>
    <d v="2026-09-24T18:28:14"/>
    <d v="2026-09-24T19:34:58"/>
    <n v="67"/>
    <x v="222"/>
    <s v="A320"/>
    <s v="A320"/>
    <s v="Complete"/>
    <s v="a6a00b"/>
  </r>
  <r>
    <x v="0"/>
    <s v="B6 1700"/>
    <s v="JBU1700"/>
    <s v="LAX"/>
    <s v="KLAX"/>
    <s v="FLL"/>
    <s v="KFLL"/>
    <d v="2026-09-24T18:29:58"/>
    <d v="2026-09-24T23:11:03"/>
    <n v="281"/>
    <x v="121"/>
    <s v="A321"/>
    <s v="A321"/>
    <s v="Complete"/>
    <s v="ad27f3"/>
  </r>
  <r>
    <x v="0"/>
    <s v="B6 9"/>
    <s v="JBU9"/>
    <s v="JFK"/>
    <s v="KJFK"/>
    <m/>
    <m/>
    <d v="2026-09-24T18:30:05"/>
    <d v="2026-09-24T19:17:27"/>
    <n v="47"/>
    <x v="29"/>
    <s v="A321"/>
    <s v="A321"/>
    <s v="Signal lost"/>
    <s v="ad4f72"/>
  </r>
  <r>
    <x v="0"/>
    <s v="B6 1874"/>
    <s v="JBU1874"/>
    <s v="LAX"/>
    <s v="KLAX"/>
    <s v="EWR"/>
    <s v="KEWR"/>
    <d v="2026-09-24T18:31:47"/>
    <d v="2026-09-24T23:33:24"/>
    <n v="302"/>
    <x v="99"/>
    <s v="A321"/>
    <s v="A321"/>
    <s v="Complete"/>
    <s v="ad6bdc"/>
  </r>
  <r>
    <x v="0"/>
    <s v="B6 168"/>
    <s v="JBU168"/>
    <m/>
    <m/>
    <s v="JFK"/>
    <s v="KJFK"/>
    <d v="2026-09-24T18:32:40"/>
    <d v="2026-09-24T19:18:45"/>
    <n v="46"/>
    <x v="134"/>
    <s v="A321"/>
    <s v="A321"/>
    <s v="Complete"/>
    <s v="ade252"/>
  </r>
  <r>
    <x v="0"/>
    <s v="B6 24"/>
    <s v="JBU24"/>
    <s v="DJT"/>
    <s v="KPBI"/>
    <s v="DCA"/>
    <s v="KDCA"/>
    <d v="2026-09-24T18:34:43"/>
    <d v="2026-09-24T20:39:52"/>
    <n v="125"/>
    <x v="149"/>
    <s v="A320"/>
    <s v="A320"/>
    <s v="Complete"/>
    <s v="a88774"/>
  </r>
  <r>
    <x v="0"/>
    <s v="B6 1084"/>
    <s v="JBU1084"/>
    <s v="MCO"/>
    <s v="KMCO"/>
    <s v="JFK"/>
    <s v="KJFK"/>
    <d v="2026-09-24T18:34:51"/>
    <d v="2026-09-24T20:36:04"/>
    <n v="121"/>
    <x v="109"/>
    <s v="A321"/>
    <s v="A321"/>
    <s v="Complete"/>
    <s v="ad846f"/>
  </r>
  <r>
    <x v="0"/>
    <s v="B6 2902"/>
    <s v="JBU2902"/>
    <s v="JFK"/>
    <s v="KJFK"/>
    <s v="BUF"/>
    <s v="KBUF"/>
    <d v="2026-09-24T18:36:26"/>
    <d v="2026-09-24T19:27:59"/>
    <n v="52"/>
    <x v="143"/>
    <s v="A220-300"/>
    <s v="BCS3"/>
    <s v="Landing inferred"/>
    <s v="a34d52"/>
  </r>
  <r>
    <x v="0"/>
    <s v="B6 698"/>
    <s v="JBU698"/>
    <s v="MCO"/>
    <s v="KMCO"/>
    <s v="LGA"/>
    <s v="KLGA"/>
    <d v="2026-09-24T18:36:47"/>
    <d v="2026-09-24T20:43:34"/>
    <n v="127"/>
    <x v="187"/>
    <s v="A320"/>
    <s v="A320"/>
    <s v="Complete"/>
    <s v="a8a785"/>
  </r>
  <r>
    <x v="0"/>
    <s v="B6 2383"/>
    <s v="JBU2383"/>
    <s v="BOS"/>
    <s v="KBOS"/>
    <s v="RDU"/>
    <s v="KRDU"/>
    <d v="2026-09-24T18:36:48"/>
    <d v="2026-09-24T20:16:48"/>
    <n v="100"/>
    <x v="38"/>
    <s v="A220-300"/>
    <s v="BCS3"/>
    <s v="Complete"/>
    <s v="a350c3"/>
  </r>
  <r>
    <x v="0"/>
    <s v="B6 224"/>
    <s v="JBU224"/>
    <s v="LAX"/>
    <s v="KLAX"/>
    <s v="JFK"/>
    <s v="KJFK"/>
    <d v="2026-09-24T18:38:49"/>
    <d v="2026-09-24T23:48:09"/>
    <n v="309"/>
    <x v="137"/>
    <s v="A321neo"/>
    <s v="A21N"/>
    <s v="Complete"/>
    <s v="a1d2dc"/>
  </r>
  <r>
    <x v="0"/>
    <s v="B6 120"/>
    <s v="JBU120"/>
    <s v="ATL"/>
    <s v="KATL"/>
    <s v="JFK"/>
    <s v="KJFK"/>
    <d v="2026-09-24T18:40:38"/>
    <d v="2026-09-24T20:26:54"/>
    <n v="106"/>
    <x v="76"/>
    <s v="A220-300"/>
    <s v="BCS3"/>
    <s v="Complete"/>
    <s v="a3556f"/>
  </r>
  <r>
    <x v="0"/>
    <s v="B6 708"/>
    <s v="JBU708"/>
    <s v="LAS"/>
    <s v="KLAS"/>
    <s v="FLL"/>
    <s v="KFLL"/>
    <d v="2026-09-24T18:42:19"/>
    <d v="2026-09-24T23:01:22"/>
    <n v="259"/>
    <x v="98"/>
    <s v="A321"/>
    <s v="A321"/>
    <s v="Complete"/>
    <s v="ad1560"/>
  </r>
  <r>
    <x v="0"/>
    <s v="B6 40"/>
    <s v="JBU40"/>
    <m/>
    <m/>
    <s v="FLL"/>
    <s v="KFLL"/>
    <d v="2026-09-24T18:43:24"/>
    <d v="2026-09-24T21:55:36"/>
    <n v="192"/>
    <x v="233"/>
    <s v="A320"/>
    <s v="A320"/>
    <s v="Complete"/>
    <s v="aa099e"/>
  </r>
  <r>
    <x v="0"/>
    <s v="B6 2722"/>
    <s v="JBU2722"/>
    <s v="MSY"/>
    <s v="KMSY"/>
    <s v="FLL"/>
    <s v="KFLL"/>
    <d v="2026-09-24T18:47:38"/>
    <d v="2026-09-24T20:45:34"/>
    <n v="118"/>
    <x v="125"/>
    <s v="A320"/>
    <s v="A320"/>
    <s v="Complete"/>
    <s v="a721a4"/>
  </r>
  <r>
    <x v="0"/>
    <s v="B6 920"/>
    <s v="JBU920"/>
    <s v="JFK"/>
    <s v="KJFK"/>
    <s v="DTW"/>
    <s v="KDTW"/>
    <d v="2026-09-24T18:50:41"/>
    <d v="2026-09-24T20:11:10"/>
    <n v="80"/>
    <x v="139"/>
    <s v="A220-300"/>
    <s v="BCS3"/>
    <s v="Complete"/>
    <s v="a38b84"/>
  </r>
  <r>
    <x v="0"/>
    <s v="B6 368"/>
    <s v="JBU368"/>
    <s v="DJT"/>
    <s v="KPBI"/>
    <s v="HPN"/>
    <s v="KHPN"/>
    <d v="2026-09-24T18:56:50"/>
    <d v="2026-09-24T21:25:02"/>
    <n v="148"/>
    <x v="217"/>
    <s v="A320"/>
    <s v="A320"/>
    <s v="Landing inferred"/>
    <s v="aaf8f1"/>
  </r>
  <r>
    <x v="0"/>
    <s v="B6 1576"/>
    <s v="JBU1576"/>
    <s v="KIN"/>
    <s v="MKJP"/>
    <s v="FLL"/>
    <s v="KFLL"/>
    <d v="2026-09-24T18:57:32"/>
    <d v="2026-09-24T20:32:24"/>
    <n v="95"/>
    <x v="33"/>
    <s v="A320"/>
    <s v="A320"/>
    <s v="Complete"/>
    <s v="a7858e"/>
  </r>
  <r>
    <x v="0"/>
    <s v="B6 399"/>
    <s v="JBU399"/>
    <s v="LGA"/>
    <s v="KLGA"/>
    <s v="MCO"/>
    <s v="KMCO"/>
    <d v="2026-09-24T18:57:45"/>
    <d v="2026-09-24T21:11:46"/>
    <n v="134"/>
    <x v="4"/>
    <s v="Unknown"/>
    <m/>
    <s v="Complete"/>
    <s v="a38fa4"/>
  </r>
  <r>
    <x v="0"/>
    <s v="B6 8562"/>
    <s v="JBU8562"/>
    <s v="JFK"/>
    <s v="KJFK"/>
    <s v="LGA"/>
    <s v="KLGA"/>
    <d v="2026-09-24T18:58:07"/>
    <d v="2026-09-24T19:19:36"/>
    <n v="21"/>
    <x v="2"/>
    <s v="A320"/>
    <s v="A320"/>
    <s v="Complete"/>
    <s v="a8a3ce"/>
  </r>
  <r>
    <x v="0"/>
    <s v="B6 269"/>
    <s v="JBU269"/>
    <s v="BOS"/>
    <s v="KBOS"/>
    <s v="FLL"/>
    <s v="KFLL"/>
    <d v="2026-09-24T18:59:59"/>
    <d v="2026-09-24T21:58:14"/>
    <n v="178"/>
    <x v="210"/>
    <s v="A321"/>
    <s v="A321"/>
    <s v="Complete"/>
    <s v="ac8289"/>
  </r>
  <r>
    <x v="0"/>
    <s v="B6 1734"/>
    <s v="JBU1734"/>
    <s v="SFO"/>
    <s v="KSFO"/>
    <s v="BOS"/>
    <s v="KBOS"/>
    <d v="2026-09-24T19:00:21"/>
    <d v="2026-09-25T00:22:00"/>
    <n v="322"/>
    <x v="120"/>
    <s v="A321"/>
    <s v="A321"/>
    <s v="Complete"/>
    <s v="adc9b6"/>
  </r>
  <r>
    <x v="0"/>
    <s v="B6 367"/>
    <s v="JBU367"/>
    <s v="HPN"/>
    <s v="KHPN"/>
    <s v="DJT"/>
    <s v="KPBI"/>
    <d v="2026-09-24T19:00:38"/>
    <d v="2026-09-24T21:25:19"/>
    <n v="145"/>
    <x v="145"/>
    <s v="A320"/>
    <s v="A320"/>
    <s v="Complete"/>
    <s v="aaf183"/>
  </r>
  <r>
    <x v="0"/>
    <s v="B6 1950"/>
    <s v="JBU1950"/>
    <s v="RSW"/>
    <s v="KRSW"/>
    <s v="BUF"/>
    <s v="KBUF"/>
    <d v="2026-09-24T19:05:00"/>
    <d v="2026-09-24T21:34:21"/>
    <n v="149"/>
    <x v="41"/>
    <s v="A320"/>
    <s v="A320"/>
    <s v="Landing inferred"/>
    <s v="a85887"/>
  </r>
  <r>
    <x v="0"/>
    <s v="B6 934"/>
    <s v="JBU934"/>
    <s v="SJU"/>
    <s v="TJSJ"/>
    <s v="MCO"/>
    <s v="KMCO"/>
    <d v="2026-09-24T19:05:01"/>
    <d v="2026-09-24T21:43:26"/>
    <n v="158"/>
    <x v="193"/>
    <s v="A321"/>
    <s v="A321"/>
    <s v="Complete"/>
    <s v="ad9712"/>
  </r>
  <r>
    <x v="0"/>
    <s v="B6 2110"/>
    <s v="JBU2110"/>
    <m/>
    <m/>
    <s v="JFK"/>
    <s v="KJFK"/>
    <d v="2026-09-24T19:05:53"/>
    <d v="2026-09-24T19:51:02"/>
    <n v="45"/>
    <x v="70"/>
    <s v="A321"/>
    <s v="A321"/>
    <s v="Complete"/>
    <s v="ade609"/>
  </r>
  <r>
    <x v="0"/>
    <s v="B6 1990"/>
    <s v="JBU1990"/>
    <s v="SJU"/>
    <s v="TJSJ"/>
    <s v="EWR"/>
    <s v="KEWR"/>
    <d v="2026-09-24T19:08:11"/>
    <d v="2026-09-24T22:30:17"/>
    <n v="202"/>
    <x v="201"/>
    <s v="A320"/>
    <s v="A320"/>
    <s v="Complete"/>
    <s v="a894f2"/>
  </r>
  <r>
    <x v="0"/>
    <s v="B6 483"/>
    <s v="JBU483"/>
    <s v="JFK"/>
    <s v="KJFK"/>
    <s v="MCO"/>
    <s v="KMCO"/>
    <d v="2026-09-24T19:11:11"/>
    <d v="2026-09-24T21:19:18"/>
    <n v="128"/>
    <x v="135"/>
    <s v="A321neo"/>
    <s v="A21N"/>
    <s v="Complete"/>
    <s v="a1a0c4"/>
  </r>
  <r>
    <x v="0"/>
    <s v="B6 435"/>
    <s v="JBU435"/>
    <m/>
    <m/>
    <s v="SJU"/>
    <s v="TJSJ"/>
    <d v="2026-09-24T19:12:53"/>
    <d v="2026-09-24T19:32:10"/>
    <n v="19"/>
    <x v="47"/>
    <s v="A320"/>
    <s v="A320"/>
    <s v="Landing inferred"/>
    <s v="a68d6f"/>
  </r>
  <r>
    <x v="0"/>
    <s v="B6 53"/>
    <s v="JBU53"/>
    <s v="JFK"/>
    <s v="KJFK"/>
    <s v="DJT"/>
    <s v="KPBI"/>
    <d v="2026-09-24T19:13:18"/>
    <d v="2026-09-24T21:33:08"/>
    <n v="140"/>
    <x v="234"/>
    <s v="A321"/>
    <s v="A321"/>
    <s v="Complete"/>
    <s v="ad56e0"/>
  </r>
  <r>
    <x v="0"/>
    <s v="B6 507"/>
    <s v="JBU507"/>
    <s v="FLL"/>
    <s v="KFLL"/>
    <s v="LAS"/>
    <s v="KLAS"/>
    <d v="2026-09-24T19:14:11"/>
    <d v="2026-09-24T23:48:02"/>
    <n v="274"/>
    <x v="235"/>
    <s v="A321"/>
    <s v="A321"/>
    <s v="Complete"/>
    <s v="ad1cde"/>
  </r>
  <r>
    <x v="0"/>
    <s v="B6 755"/>
    <s v="JBU755"/>
    <s v="BOS"/>
    <s v="KBOS"/>
    <s v="DCA"/>
    <s v="KDCA"/>
    <d v="2026-09-24T19:15:53"/>
    <d v="2026-09-24T20:34:13"/>
    <n v="78"/>
    <x v="62"/>
    <s v="A220-300"/>
    <s v="BCS3"/>
    <s v="Complete"/>
    <s v="a37fb0"/>
  </r>
  <r>
    <x v="0"/>
    <s v="B6 1578"/>
    <s v="JBU1578"/>
    <s v="LAS"/>
    <s v="KLAS"/>
    <s v="BOS"/>
    <s v="KBOS"/>
    <d v="2026-09-24T19:17:24"/>
    <d v="2026-09-24T23:48:05"/>
    <n v="271"/>
    <x v="95"/>
    <s v="A321neo"/>
    <s v="A21N"/>
    <s v="Complete"/>
    <s v="a1cb05"/>
  </r>
  <r>
    <x v="0"/>
    <s v="B6 1232"/>
    <s v="JBU1232"/>
    <s v="VRB"/>
    <s v="KVRB"/>
    <s v="BOS"/>
    <s v="KBOS"/>
    <d v="2026-09-24T19:18:26"/>
    <d v="2026-09-24T21:59:34"/>
    <n v="161"/>
    <x v="175"/>
    <s v="A220-300"/>
    <s v="BCS3"/>
    <s v="Complete"/>
    <s v="a38ad5"/>
  </r>
  <r>
    <x v="0"/>
    <s v="B6 1148"/>
    <s v="JBU1148"/>
    <s v="CLT"/>
    <s v="KCLT"/>
    <s v="FLL"/>
    <s v="KFLL"/>
    <d v="2026-09-24T19:20:39"/>
    <d v="2026-09-24T20:50:55"/>
    <n v="90"/>
    <x v="169"/>
    <s v="A320"/>
    <s v="A320"/>
    <s v="Complete"/>
    <s v="a8712a"/>
  </r>
  <r>
    <x v="0"/>
    <s v="B6 2379"/>
    <s v="JBU2379"/>
    <s v="FLL"/>
    <s v="KFLL"/>
    <s v="IAH"/>
    <s v="KIAH"/>
    <d v="2026-09-24T19:20:59"/>
    <d v="2026-09-24T21:30:30"/>
    <n v="130"/>
    <x v="119"/>
    <s v="A320"/>
    <s v="A320"/>
    <s v="Landing inferred"/>
    <s v="ab0416"/>
  </r>
  <r>
    <x v="0"/>
    <s v="B6 2143"/>
    <s v="JBU2143"/>
    <s v="EWR"/>
    <s v="KEWR"/>
    <s v="DJT"/>
    <s v="KPBI"/>
    <d v="2026-09-24T19:22:09"/>
    <d v="2026-09-24T21:47:03"/>
    <n v="145"/>
    <x v="219"/>
    <s v="A320"/>
    <s v="A320"/>
    <s v="Complete"/>
    <s v="a6587b"/>
  </r>
  <r>
    <x v="0"/>
    <s v="B6 1454"/>
    <s v="JBU1454"/>
    <s v="SJU"/>
    <s v="TJSJ"/>
    <s v="FLL"/>
    <s v="KFLL"/>
    <d v="2026-09-24T19:23:01"/>
    <d v="2026-09-24T21:52:09"/>
    <n v="149"/>
    <x v="67"/>
    <s v="A320"/>
    <s v="A320"/>
    <s v="Complete"/>
    <s v="a689b8"/>
  </r>
  <r>
    <x v="0"/>
    <s v="B6 386"/>
    <s v="JBU386"/>
    <s v="PIT"/>
    <s v="KPIT"/>
    <s v="BOS"/>
    <s v="KBOS"/>
    <d v="2026-09-24T19:23:34"/>
    <d v="2026-09-24T20:47:19"/>
    <n v="84"/>
    <x v="215"/>
    <s v="A220-300"/>
    <s v="BCS3"/>
    <s v="Complete"/>
    <s v="a398bc"/>
  </r>
  <r>
    <x v="0"/>
    <s v="B6 216"/>
    <s v="JBU216"/>
    <s v="SFO"/>
    <s v="KSFO"/>
    <s v="JFK"/>
    <s v="KJFK"/>
    <d v="2026-09-24T19:23:59"/>
    <d v="2026-09-25T00:46:06"/>
    <n v="322"/>
    <x v="147"/>
    <s v="A321"/>
    <s v="A321"/>
    <s v="Complete"/>
    <s v="ace063"/>
  </r>
  <r>
    <x v="0"/>
    <s v="B6 1254"/>
    <s v="JBU1254"/>
    <s v="DCA"/>
    <s v="KDCA"/>
    <s v="BOS"/>
    <s v="KBOS"/>
    <d v="2026-09-24T19:26:28"/>
    <d v="2026-09-24T20:31:16"/>
    <n v="65"/>
    <x v="178"/>
    <s v="A220-300"/>
    <s v="BCS3"/>
    <s v="Complete"/>
    <s v="a36b50"/>
  </r>
  <r>
    <x v="0"/>
    <s v="B6 595"/>
    <s v="JBU595"/>
    <s v="HPN"/>
    <s v="KHPN"/>
    <s v="MCO"/>
    <s v="KMCO"/>
    <d v="2026-09-24T19:26:40"/>
    <d v="2026-09-24T21:40:36"/>
    <n v="134"/>
    <x v="150"/>
    <s v="A320"/>
    <s v="A320"/>
    <s v="Complete"/>
    <s v="a8c796"/>
  </r>
  <r>
    <x v="0"/>
    <s v="B6 1594"/>
    <s v="JBU1594"/>
    <s v="FLL"/>
    <s v="KFLL"/>
    <s v="FLL"/>
    <s v="KFLL"/>
    <d v="2026-09-24T19:28:38"/>
    <d v="2026-09-24T22:29:53"/>
    <n v="181"/>
    <x v="236"/>
    <s v="A320"/>
    <s v="A320"/>
    <s v="Complete"/>
    <s v="a8aef3"/>
  </r>
  <r>
    <x v="0"/>
    <s v="B6 1743"/>
    <s v="JBU1743"/>
    <s v="JAX"/>
    <s v="KJAX"/>
    <s v="SJU"/>
    <s v="TJSJ"/>
    <d v="2026-09-24T19:30:10"/>
    <d v="2026-09-26T09:56:54"/>
    <n v="2307"/>
    <x v="174"/>
    <s v="A320"/>
    <s v="A320"/>
    <s v="Complete"/>
    <s v="aa4252"/>
  </r>
  <r>
    <x v="0"/>
    <s v="B6 1118"/>
    <s v="JBU1118"/>
    <s v="JFK"/>
    <s v="KJFK"/>
    <s v="BOS"/>
    <s v="KBOS"/>
    <d v="2026-09-24T19:34:05"/>
    <d v="2026-09-24T20:11:47"/>
    <n v="38"/>
    <x v="28"/>
    <s v="A220-300"/>
    <s v="BCS3"/>
    <s v="Complete"/>
    <s v="a38019"/>
  </r>
  <r>
    <x v="0"/>
    <s v="B6 1823"/>
    <s v="JBU1823"/>
    <s v="FLL"/>
    <s v="KFLL"/>
    <s v="MSY"/>
    <s v="KMSY"/>
    <d v="2026-09-24T19:35:09"/>
    <d v="2026-09-24T21:14:10"/>
    <n v="99"/>
    <x v="237"/>
    <s v="A320"/>
    <s v="A320"/>
    <s v="Complete"/>
    <s v="a7d32e"/>
  </r>
  <r>
    <x v="0"/>
    <s v="B6 2321"/>
    <s v="JBU2321"/>
    <s v="BOS"/>
    <s v="KBOS"/>
    <s v="DJT"/>
    <s v="KPBI"/>
    <d v="2026-09-24T19:35:16"/>
    <d v="2026-09-24T22:24:06"/>
    <n v="169"/>
    <x v="19"/>
    <s v="A320"/>
    <s v="A320"/>
    <s v="Complete"/>
    <s v="a7da9c"/>
  </r>
  <r>
    <x v="0"/>
    <s v="B6 2726"/>
    <s v="JBU2726"/>
    <s v="TPA"/>
    <s v="KTPA"/>
    <s v="JFK"/>
    <s v="KJFK"/>
    <d v="2026-09-24T19:40:25"/>
    <d v="2026-09-24T21:53:57"/>
    <n v="134"/>
    <x v="0"/>
    <s v="A321"/>
    <s v="A321"/>
    <s v="Complete"/>
    <s v="ad6f93"/>
  </r>
  <r>
    <x v="0"/>
    <s v="B6 1873"/>
    <s v="JBU1873"/>
    <s v="EWR"/>
    <s v="KEWR"/>
    <s v="LAX"/>
    <s v="KLAX"/>
    <d v="2026-09-24T19:41:49"/>
    <d v="2026-09-25T00:58:11"/>
    <n v="316"/>
    <x v="69"/>
    <s v="A321"/>
    <s v="A321"/>
    <s v="Complete"/>
    <s v="add734"/>
  </r>
  <r>
    <x v="0"/>
    <s v="B6 2582"/>
    <s v="JBU2582"/>
    <s v="BNA"/>
    <s v="KBNA"/>
    <s v="FLL"/>
    <s v="KFLL"/>
    <d v="2026-09-24T19:42:15"/>
    <d v="2026-09-24T21:28:47"/>
    <n v="107"/>
    <x v="13"/>
    <s v="A320"/>
    <s v="A320"/>
    <s v="Complete"/>
    <s v="a8913b"/>
  </r>
  <r>
    <x v="0"/>
    <s v="B6 1075"/>
    <s v="JBU1075"/>
    <s v="MCO"/>
    <s v="KMCO"/>
    <s v="PVD"/>
    <s v="KPVD"/>
    <d v="2026-09-24T19:44:17"/>
    <d v="2026-09-24T22:04:08"/>
    <n v="140"/>
    <x v="238"/>
    <s v="A220-300"/>
    <s v="BCS3"/>
    <s v="Complete"/>
    <s v="a3311b"/>
  </r>
  <r>
    <x v="0"/>
    <s v="B6 789"/>
    <s v="JBU789"/>
    <s v="DTW"/>
    <s v="KDTW"/>
    <s v="FLL"/>
    <s v="KFLL"/>
    <d v="2026-09-24T19:47:56"/>
    <d v="2026-09-24T22:04:40"/>
    <n v="137"/>
    <x v="180"/>
    <s v="A320"/>
    <s v="A320"/>
    <s v="Complete"/>
    <s v="a6b4f7"/>
  </r>
  <r>
    <x v="0"/>
    <s v="B6 545"/>
    <s v="JBU545"/>
    <s v="ISP"/>
    <s v="KISP"/>
    <s v="DJT"/>
    <s v="KPBI"/>
    <d v="2026-09-24T19:48:33"/>
    <d v="2026-09-24T22:18:40"/>
    <n v="150"/>
    <x v="157"/>
    <s v="A320"/>
    <s v="A320"/>
    <s v="Complete"/>
    <s v="aacf19"/>
  </r>
  <r>
    <x v="0"/>
    <s v="B6 1523"/>
    <s v="JBU1523"/>
    <s v="JFK"/>
    <s v="KJFK"/>
    <s v="LAX"/>
    <s v="KLAX"/>
    <d v="2026-09-24T19:49:22"/>
    <d v="2026-09-25T01:26:14"/>
    <n v="337"/>
    <x v="182"/>
    <s v="A321"/>
    <s v="A321"/>
    <s v="Complete"/>
    <s v="adde95"/>
  </r>
  <r>
    <x v="0"/>
    <s v="B6 685"/>
    <s v="JBU685"/>
    <s v="EWR"/>
    <s v="KEWR"/>
    <s v="FLL"/>
    <s v="KFLL"/>
    <d v="2026-09-24T19:49:56"/>
    <d v="2026-09-24T23:06:46"/>
    <n v="197"/>
    <x v="81"/>
    <s v="A320"/>
    <s v="A320"/>
    <s v="Complete"/>
    <s v="a83e86"/>
  </r>
  <r>
    <x v="0"/>
    <s v="B6 677"/>
    <s v="JBU677"/>
    <s v="JFK"/>
    <s v="KJFK"/>
    <m/>
    <m/>
    <d v="2026-09-24T19:51:36"/>
    <d v="2026-09-24T21:59:25"/>
    <n v="128"/>
    <x v="142"/>
    <s v="A220-300"/>
    <s v="BCS3"/>
    <s v="Landing inferred"/>
    <s v="a3298a"/>
  </r>
  <r>
    <x v="0"/>
    <s v="B6 1785"/>
    <s v="JBU1785"/>
    <s v="BOS"/>
    <s v="KBOS"/>
    <s v="PIT"/>
    <s v="KPIT"/>
    <d v="2026-09-24T19:53:34"/>
    <d v="2026-09-24T21:16:26"/>
    <n v="83"/>
    <x v="64"/>
    <s v="A220-300"/>
    <s v="BCS3"/>
    <s v="Complete"/>
    <s v="a33ca9"/>
  </r>
  <r>
    <x v="0"/>
    <s v="B6 2018"/>
    <s v="JBU2018"/>
    <s v="POS"/>
    <s v="TTPP"/>
    <s v="JFK"/>
    <s v="KJFK"/>
    <d v="2026-09-24T19:56:38"/>
    <d v="2026-09-25T00:25:56"/>
    <n v="269"/>
    <x v="57"/>
    <s v="A321neo"/>
    <s v="A21N"/>
    <s v="Complete"/>
    <s v="a1a435"/>
  </r>
  <r>
    <x v="0"/>
    <s v="B6 1158"/>
    <s v="JBU1158"/>
    <m/>
    <m/>
    <s v="FLL"/>
    <s v="KFLL"/>
    <d v="2026-09-24T20:00:17"/>
    <d v="2026-09-24T21:40:19"/>
    <n v="100"/>
    <x v="239"/>
    <s v="A320"/>
    <s v="A320"/>
    <s v="Complete"/>
    <s v="a7e20a"/>
  </r>
  <r>
    <x v="0"/>
    <s v="B6 324"/>
    <s v="JBU324"/>
    <s v="LAX"/>
    <s v="KLAX"/>
    <s v="JFK"/>
    <s v="KJFK"/>
    <d v="2026-09-24T20:01:14"/>
    <d v="2026-09-25T01:07:44"/>
    <n v="307"/>
    <x v="96"/>
    <s v="A321"/>
    <s v="A321"/>
    <s v="Complete"/>
    <s v="adcd6d"/>
  </r>
  <r>
    <x v="0"/>
    <s v="B6 605"/>
    <s v="JBU605"/>
    <s v="MCO"/>
    <s v="KMCO"/>
    <s v="SJU"/>
    <s v="TJSJ"/>
    <d v="2026-09-24T20:01:25"/>
    <d v="2026-09-24T23:51:44"/>
    <n v="230"/>
    <x v="151"/>
    <s v="A320"/>
    <s v="A320"/>
    <s v="Landing inferred"/>
    <s v="a898a9"/>
  </r>
  <r>
    <x v="0"/>
    <s v="B6 803"/>
    <s v="JBU803"/>
    <s v="JFK"/>
    <s v="KJFK"/>
    <s v="SJU"/>
    <s v="TJSJ"/>
    <d v="2026-09-24T20:02:54"/>
    <d v="2026-09-24T23:26:36"/>
    <n v="204"/>
    <x v="136"/>
    <s v="A321neo"/>
    <s v="A21N"/>
    <s v="Landing inferred"/>
    <s v="a1a3cc"/>
  </r>
  <r>
    <x v="0"/>
    <s v="B6 1004"/>
    <s v="JBU1004"/>
    <s v="SJU"/>
    <s v="TJSJ"/>
    <s v="JFK"/>
    <s v="KJFK"/>
    <d v="2026-09-24T20:03:26"/>
    <d v="2026-09-24T23:22:30"/>
    <n v="199"/>
    <x v="240"/>
    <s v="A321"/>
    <s v="A321"/>
    <s v="Complete"/>
    <s v="ad2baa"/>
  </r>
  <r>
    <x v="0"/>
    <s v="B6 163"/>
    <s v="JBU163"/>
    <s v="JFK"/>
    <s v="KJFK"/>
    <s v="SRQ"/>
    <s v="KSRQ"/>
    <d v="2026-09-24T20:03:59"/>
    <d v="2026-09-24T22:27:59"/>
    <n v="144"/>
    <x v="166"/>
    <s v="A220-300"/>
    <s v="BCS3"/>
    <s v="Landing inferred"/>
    <s v="a34d2f"/>
  </r>
  <r>
    <x v="0"/>
    <s v="B6 101"/>
    <s v="JBU101"/>
    <s v="FLL"/>
    <s v="KFLL"/>
    <s v="LAX"/>
    <s v="KLAX"/>
    <d v="2026-09-24T20:04:17"/>
    <d v="2026-09-25T01:03:01"/>
    <n v="299"/>
    <x v="199"/>
    <s v="A321"/>
    <s v="A321"/>
    <s v="Complete"/>
    <s v="adb723"/>
  </r>
  <r>
    <x v="0"/>
    <s v="B6 2595"/>
    <s v="JBU2595"/>
    <s v="BWI"/>
    <s v="KBWI"/>
    <s v="FLL"/>
    <s v="KFLL"/>
    <d v="2026-09-24T20:06:54"/>
    <d v="2026-09-24T22:28:40"/>
    <n v="142"/>
    <x v="94"/>
    <s v="A220-300"/>
    <s v="BCS3"/>
    <s v="Complete"/>
    <s v="a3845c"/>
  </r>
  <r>
    <x v="0"/>
    <s v="B6 1539"/>
    <s v="JBU1539"/>
    <m/>
    <m/>
    <s v="JFK"/>
    <s v="KJFK"/>
    <d v="2026-09-24T20:08:37"/>
    <d v="2026-09-24T20:58:50"/>
    <n v="50"/>
    <x v="71"/>
    <s v="A220-300"/>
    <s v="BCS3"/>
    <s v="Complete"/>
    <s v="a35592"/>
  </r>
  <r>
    <x v="0"/>
    <s v="B6 1376"/>
    <s v="JBU1376"/>
    <s v="KIN"/>
    <s v="MKJP"/>
    <s v="FLL"/>
    <s v="KFLL"/>
    <d v="2026-09-24T20:09:03"/>
    <d v="2026-09-24T21:49:00"/>
    <n v="100"/>
    <x v="138"/>
    <s v="A320"/>
    <s v="A320"/>
    <s v="Complete"/>
    <s v="a683a8"/>
  </r>
  <r>
    <x v="0"/>
    <s v="B6 1256"/>
    <s v="JBU1256"/>
    <m/>
    <m/>
    <s v="FLL"/>
    <s v="KFLL"/>
    <d v="2026-09-24T20:09:17"/>
    <d v="2026-09-24T21:57:20"/>
    <n v="108"/>
    <x v="27"/>
    <s v="A321neo"/>
    <s v="A21N"/>
    <s v="Complete"/>
    <s v="a1a458"/>
  </r>
  <r>
    <x v="0"/>
    <s v="B6 1852"/>
    <s v="JBU1852"/>
    <m/>
    <m/>
    <s v="JFK"/>
    <s v="KJFK"/>
    <d v="2026-09-24T20:09:31"/>
    <d v="2026-09-24T22:58:05"/>
    <n v="169"/>
    <x v="197"/>
    <s v="A321"/>
    <s v="A321"/>
    <s v="Complete"/>
    <s v="aded77"/>
  </r>
  <r>
    <x v="0"/>
    <s v="B6 864"/>
    <s v="JBU864"/>
    <s v="ORD"/>
    <s v="KORD"/>
    <s v="FLL"/>
    <s v="KFLL"/>
    <d v="2026-09-24T20:13:51"/>
    <d v="2026-09-24T22:34:26"/>
    <n v="141"/>
    <x v="221"/>
    <s v="A320"/>
    <s v="A320"/>
    <s v="Complete"/>
    <s v="aaf53a"/>
  </r>
  <r>
    <x v="0"/>
    <s v="B6 415"/>
    <s v="JBU415"/>
    <s v="JFK"/>
    <s v="KJFK"/>
    <s v="SFO"/>
    <s v="KSFO"/>
    <d v="2026-09-24T20:14:22"/>
    <d v="2026-09-25T01:43:25"/>
    <n v="329"/>
    <x v="86"/>
    <s v="A321"/>
    <s v="A321"/>
    <s v="Complete"/>
    <s v="ad646e"/>
  </r>
  <r>
    <x v="0"/>
    <s v="B6 38"/>
    <s v="JBU38"/>
    <m/>
    <m/>
    <s v="FLL"/>
    <s v="KFLL"/>
    <d v="2026-09-24T20:14:37"/>
    <d v="2026-09-24T22:01:36"/>
    <n v="107"/>
    <x v="24"/>
    <s v="A320"/>
    <s v="A320"/>
    <s v="Complete"/>
    <s v="a70f11"/>
  </r>
  <r>
    <x v="0"/>
    <s v="B6 1187"/>
    <s v="JBU1187"/>
    <s v="BOS"/>
    <s v="KBOS"/>
    <s v="LAX"/>
    <s v="KLAX"/>
    <d v="2026-09-24T20:14:49"/>
    <d v="2026-09-25T01:49:26"/>
    <n v="335"/>
    <x v="63"/>
    <s v="A321neo"/>
    <s v="A21N"/>
    <s v="Complete"/>
    <s v="a1de8d"/>
  </r>
  <r>
    <x v="0"/>
    <s v="B6 1211"/>
    <s v="JBU1211"/>
    <s v="JFK"/>
    <s v="KJFK"/>
    <s v="LAS"/>
    <s v="KLAS"/>
    <d v="2026-09-24T20:15:25"/>
    <d v="2026-09-25T01:00:34"/>
    <n v="285"/>
    <x v="16"/>
    <s v="A321"/>
    <s v="A321"/>
    <s v="Complete"/>
    <s v="ad7ab8"/>
  </r>
  <r>
    <x v="0"/>
    <s v="B6 1290"/>
    <s v="JBU1290"/>
    <s v="ILM"/>
    <s v="KILM"/>
    <s v="BOS"/>
    <s v="KBOS"/>
    <d v="2026-09-24T20:15:47"/>
    <d v="2026-09-24T21:53:37"/>
    <n v="98"/>
    <x v="50"/>
    <s v="A220-300"/>
    <s v="BCS3"/>
    <s v="Complete"/>
    <s v="a35fc2"/>
  </r>
  <r>
    <x v="0"/>
    <s v="B6 1567"/>
    <s v="JBU1567"/>
    <s v="HPN"/>
    <s v="KHPN"/>
    <s v="DJT"/>
    <s v="KPBI"/>
    <d v="2026-09-24T20:17:25"/>
    <d v="2026-09-24T22:43:46"/>
    <n v="146"/>
    <x v="40"/>
    <s v="A320"/>
    <s v="A320"/>
    <s v="Complete"/>
    <s v="aaa02c"/>
  </r>
  <r>
    <x v="0"/>
    <s v="B6 1355"/>
    <s v="JBU1355"/>
    <s v="BOS"/>
    <s v="KBOS"/>
    <s v="DCA"/>
    <s v="KDCA"/>
    <d v="2026-09-24T20:18:23"/>
    <d v="2026-09-24T21:35:29"/>
    <n v="77"/>
    <x v="65"/>
    <s v="A220-300"/>
    <s v="BCS3"/>
    <s v="Complete"/>
    <s v="a386fb"/>
  </r>
  <r>
    <x v="0"/>
    <s v="B6 916"/>
    <s v="JBU916"/>
    <s v="BUF"/>
    <s v="KBUF"/>
    <s v="BOS"/>
    <s v="KBOS"/>
    <d v="2026-09-24T20:21:18"/>
    <d v="2026-09-24T21:27:04"/>
    <n v="66"/>
    <x v="196"/>
    <s v="A220-300"/>
    <s v="BCS3"/>
    <s v="Complete"/>
    <s v="a35c0b"/>
  </r>
  <r>
    <x v="0"/>
    <s v="B6 419"/>
    <s v="JBU419"/>
    <s v="JFK"/>
    <s v="KJFK"/>
    <s v="ATL"/>
    <s v="KATL"/>
    <d v="2026-09-24T20:21:35"/>
    <d v="2026-09-24T22:10:08"/>
    <n v="109"/>
    <x v="229"/>
    <s v="A220-300"/>
    <s v="BCS3"/>
    <s v="Complete"/>
    <s v="a39948"/>
  </r>
  <r>
    <x v="0"/>
    <s v="B6 2459"/>
    <s v="JBU2459"/>
    <s v="BOS"/>
    <s v="KBOS"/>
    <s v="PHL"/>
    <s v="KPHL"/>
    <d v="2026-09-24T20:24:10"/>
    <d v="2026-09-24T21:28:18"/>
    <n v="64"/>
    <x v="37"/>
    <s v="A220-300"/>
    <s v="BCS3"/>
    <s v="Complete"/>
    <s v="a3401a"/>
  </r>
  <r>
    <x v="0"/>
    <s v="B6 618"/>
    <s v="JBU618"/>
    <s v="JFK"/>
    <s v="KJFK"/>
    <s v="BOS"/>
    <s v="KBOS"/>
    <d v="2026-09-24T20:26:01"/>
    <d v="2026-09-24T21:05:24"/>
    <n v="39"/>
    <x v="103"/>
    <s v="A220-300"/>
    <s v="BCS3"/>
    <s v="Complete"/>
    <s v="a360b7"/>
  </r>
  <r>
    <x v="0"/>
    <s v="B6 68"/>
    <s v="JBU68"/>
    <s v="CHS"/>
    <s v="KCHS"/>
    <s v="BOS"/>
    <s v="KBOS"/>
    <d v="2026-09-24T20:26:27"/>
    <d v="2026-09-24T22:12:30"/>
    <n v="106"/>
    <x v="132"/>
    <s v="A220-300"/>
    <s v="BCS3"/>
    <s v="Complete"/>
    <s v="a37c1c"/>
  </r>
  <r>
    <x v="0"/>
    <s v="B6 2494"/>
    <s v="JBU2494"/>
    <s v="DCA"/>
    <s v="KDCA"/>
    <m/>
    <m/>
    <d v="2026-09-24T20:31:05"/>
    <d v="2026-09-24T21:32:41"/>
    <n v="62"/>
    <x v="159"/>
    <s v="Unknown"/>
    <m/>
    <s v="Landing inferred"/>
    <s v="a39338"/>
  </r>
  <r>
    <x v="0"/>
    <s v="B6 156"/>
    <s v="JBU156"/>
    <m/>
    <m/>
    <s v="JFK"/>
    <s v="KJFK"/>
    <d v="2026-09-24T20:31:14"/>
    <d v="2026-09-24T21:22:59"/>
    <n v="52"/>
    <x v="22"/>
    <s v="A320"/>
    <s v="A320"/>
    <s v="Complete"/>
    <s v="a7456c"/>
  </r>
  <r>
    <x v="0"/>
    <s v="B6 1485"/>
    <s v="JBU1485"/>
    <s v="JFK"/>
    <s v="KJFK"/>
    <s v="RDU"/>
    <s v="KRDU"/>
    <d v="2026-09-24T20:33:26"/>
    <d v="2026-09-24T21:49:36"/>
    <n v="76"/>
    <x v="212"/>
    <s v="A220-300"/>
    <s v="BCS3"/>
    <s v="Complete"/>
    <s v="a34e01"/>
  </r>
  <r>
    <x v="0"/>
    <s v="B6 1077"/>
    <s v="JBU1077"/>
    <s v="MCO"/>
    <s v="KMCO"/>
    <s v="SJU"/>
    <s v="TJSJ"/>
    <d v="2026-09-24T20:34:19"/>
    <d v="2026-09-25T00:50:35"/>
    <n v="256"/>
    <x v="232"/>
    <s v="A320"/>
    <s v="A320"/>
    <s v="Landing inferred"/>
    <s v="a6cb48"/>
  </r>
  <r>
    <x v="0"/>
    <s v="B6 154"/>
    <s v="JBU154"/>
    <s v="SJU"/>
    <s v="TJSJ"/>
    <s v="FLL"/>
    <s v="KFLL"/>
    <d v="2026-09-24T20:36:02"/>
    <d v="2026-09-24T22:55:47"/>
    <n v="140"/>
    <x v="172"/>
    <s v="A320"/>
    <s v="A320"/>
    <s v="Complete"/>
    <s v="aac7ab"/>
  </r>
  <r>
    <x v="0"/>
    <s v="B6 2901"/>
    <s v="JBU2901"/>
    <s v="BUF"/>
    <s v="KBUF"/>
    <s v="JFK"/>
    <s v="KJFK"/>
    <d v="2026-09-24T20:36:10"/>
    <d v="2026-09-24T21:38:58"/>
    <n v="63"/>
    <x v="143"/>
    <s v="A220-300"/>
    <s v="BCS3"/>
    <s v="Complete"/>
    <s v="a34d52"/>
  </r>
  <r>
    <x v="0"/>
    <s v="B6 1738"/>
    <s v="JBU1738"/>
    <s v="FLL"/>
    <s v="KFLL"/>
    <s v="SYR"/>
    <s v="KSYR"/>
    <d v="2026-09-24T20:36:31"/>
    <d v="2026-09-24T23:25:42"/>
    <n v="169"/>
    <x v="158"/>
    <s v="A320"/>
    <s v="A320"/>
    <s v="Complete"/>
    <s v="a8b8ba"/>
  </r>
  <r>
    <x v="0"/>
    <s v="B6 1813"/>
    <s v="JBU1813"/>
    <s v="BOS"/>
    <s v="KBOS"/>
    <s v="BOS"/>
    <s v="KBOS"/>
    <d v="2026-09-24T20:38:25"/>
    <d v="2026-09-25T23:18:11"/>
    <n v="1600"/>
    <x v="115"/>
    <s v="A220-300"/>
    <s v="BCS3"/>
    <s v="Complete"/>
    <s v="a38ef5"/>
  </r>
  <r>
    <x v="0"/>
    <s v="B6 2132"/>
    <s v="JBU2132"/>
    <s v="SJU"/>
    <s v="TJSJ"/>
    <s v="SJU"/>
    <s v="TJSJ"/>
    <d v="2026-09-24T20:40:11"/>
    <d v="2026-09-24T22:55:47"/>
    <n v="136"/>
    <x v="165"/>
    <s v="A320"/>
    <s v="A320"/>
    <s v="Landing inferred"/>
    <s v="aa4d77"/>
  </r>
  <r>
    <x v="0"/>
    <s v="B6 2655"/>
    <s v="JBU2655"/>
    <s v="SYR"/>
    <s v="KSYR"/>
    <s v="MCO"/>
    <s v="KMCO"/>
    <d v="2026-09-24T20:41:32"/>
    <d v="2026-09-24T23:03:46"/>
    <n v="142"/>
    <x v="146"/>
    <s v="A220-300"/>
    <s v="BCS3"/>
    <s v="Complete"/>
    <s v="a38af8"/>
  </r>
  <r>
    <x v="0"/>
    <s v="B6 547"/>
    <s v="JBU547"/>
    <s v="ISP"/>
    <s v="KISP"/>
    <s v="MCO"/>
    <s v="KMCO"/>
    <d v="2026-09-24T20:46:06"/>
    <d v="2026-09-24T23:10:42"/>
    <n v="145"/>
    <x v="112"/>
    <s v="A321"/>
    <s v="A321"/>
    <s v="Complete"/>
    <s v="ad4bcb"/>
  </r>
  <r>
    <x v="0"/>
    <s v="B6 1579"/>
    <s v="JBU1579"/>
    <s v="DCA"/>
    <s v="KDCA"/>
    <s v="FLL"/>
    <s v="KFLL"/>
    <d v="2026-09-24T20:46:19"/>
    <d v="2026-09-24T22:53:37"/>
    <n v="127"/>
    <x v="8"/>
    <s v="A220-300"/>
    <s v="BCS3"/>
    <s v="Complete"/>
    <s v="a358bd"/>
  </r>
  <r>
    <x v="0"/>
    <s v="B6 319"/>
    <s v="JBU319"/>
    <s v="BOS"/>
    <s v="KBOS"/>
    <s v="SAN"/>
    <s v="KSAN"/>
    <d v="2026-09-24T20:49:15"/>
    <d v="2026-09-25T02:13:50"/>
    <n v="325"/>
    <x v="184"/>
    <s v="A320"/>
    <s v="A320"/>
    <s v="Complete"/>
    <s v="a7b0c4"/>
  </r>
  <r>
    <x v="0"/>
    <s v="B6 623"/>
    <s v="JBU623"/>
    <s v="JFK"/>
    <s v="KJFK"/>
    <s v="LAX"/>
    <s v="KLAX"/>
    <d v="2026-09-24T20:50:08"/>
    <d v="2026-09-25T02:02:06"/>
    <n v="312"/>
    <x v="241"/>
    <s v="A321neo"/>
    <s v="A21N"/>
    <s v="Complete"/>
    <s v="a1d99b"/>
  </r>
  <r>
    <x v="0"/>
    <s v="B6 606"/>
    <s v="JBU606"/>
    <s v="SJU"/>
    <s v="TJSJ"/>
    <s v="MCO"/>
    <s v="KMCO"/>
    <d v="2026-09-24T20:50:55"/>
    <d v="2026-09-25T01:08:32"/>
    <n v="258"/>
    <x v="170"/>
    <s v="A320"/>
    <s v="A320"/>
    <s v="Complete"/>
    <s v="a69894"/>
  </r>
  <r>
    <x v="0"/>
    <s v="B6 1530"/>
    <s v="JBU1530"/>
    <s v="RSW"/>
    <s v="KRSW"/>
    <s v="JFK"/>
    <s v="KJFK"/>
    <d v="2026-09-24T20:51:28"/>
    <d v="2026-09-24T23:19:30"/>
    <n v="148"/>
    <x v="18"/>
    <s v="A320"/>
    <s v="A320"/>
    <s v="Complete"/>
    <s v="a694dd"/>
  </r>
  <r>
    <x v="0"/>
    <s v="B6 1130"/>
    <s v="JBU1130"/>
    <s v="FLL"/>
    <s v="KFLL"/>
    <s v="CHS"/>
    <s v="KCHS"/>
    <d v="2026-09-24T20:51:50"/>
    <d v="2026-09-24T22:11:26"/>
    <n v="80"/>
    <x v="5"/>
    <s v="A320"/>
    <s v="A320"/>
    <s v="Landing inferred"/>
    <s v="a87898"/>
  </r>
  <r>
    <x v="0"/>
    <s v="B6 1761"/>
    <s v="JBU1761"/>
    <s v="LGA"/>
    <s v="KLGA"/>
    <s v="DJT"/>
    <s v="KPBI"/>
    <d v="2026-09-24T20:51:59"/>
    <d v="2026-09-24T23:12:42"/>
    <n v="141"/>
    <x v="79"/>
    <s v="A320"/>
    <s v="A320"/>
    <s v="Complete"/>
    <s v="a9c5c5"/>
  </r>
  <r>
    <x v="0"/>
    <s v="B6 988"/>
    <s v="JBU988"/>
    <s v="LAX"/>
    <s v="KLAX"/>
    <s v="BOS"/>
    <s v="KBOS"/>
    <d v="2026-09-24T20:53:19"/>
    <d v="2026-09-25T02:09:39"/>
    <n v="316"/>
    <x v="89"/>
    <s v="A321"/>
    <s v="A321"/>
    <s v="Complete"/>
    <s v="ad2445"/>
  </r>
  <r>
    <x v="0"/>
    <s v="B6 1200"/>
    <s v="JBU1200"/>
    <s v="LAX"/>
    <s v="KLAX"/>
    <s v="FLL"/>
    <s v="KFLL"/>
    <d v="2026-09-24T20:54:27"/>
    <d v="2026-09-25T01:38:28"/>
    <n v="284"/>
    <x v="104"/>
    <s v="A321"/>
    <s v="A321"/>
    <s v="Complete"/>
    <s v="adbe91"/>
  </r>
  <r>
    <x v="0"/>
    <s v="B6 641"/>
    <s v="JBU641"/>
    <s v="BOS"/>
    <s v="KBOS"/>
    <s v="CLE"/>
    <s v="KCLE"/>
    <d v="2026-09-24T20:57:39"/>
    <d v="2026-09-24T22:29:32"/>
    <n v="92"/>
    <x v="88"/>
    <s v="A220-300"/>
    <s v="BCS3"/>
    <s v="Complete"/>
    <s v="a37842"/>
  </r>
  <r>
    <x v="0"/>
    <s v="B6 394"/>
    <s v="JBU394"/>
    <s v="DEN"/>
    <s v="KDEN"/>
    <s v="BOS"/>
    <s v="KBOS"/>
    <d v="2026-09-24T20:58:08"/>
    <d v="2026-09-25T00:39:47"/>
    <n v="222"/>
    <x v="189"/>
    <s v="A220-300"/>
    <s v="BCS3"/>
    <s v="Complete"/>
    <s v="a35cba"/>
  </r>
  <r>
    <x v="0"/>
    <s v="B6 58"/>
    <s v="JBU58"/>
    <m/>
    <m/>
    <s v="JFK"/>
    <s v="KJFK"/>
    <d v="2026-09-24T20:58:09"/>
    <d v="2026-09-24T21:48:23"/>
    <n v="50"/>
    <x v="153"/>
    <s v="A321"/>
    <s v="A321"/>
    <s v="Complete"/>
    <s v="ad935b"/>
  </r>
  <r>
    <x v="0"/>
    <s v="B6 1252"/>
    <s v="JBU1252"/>
    <s v="RSW"/>
    <s v="KRSW"/>
    <s v="HPN"/>
    <s v="KHPN"/>
    <d v="2026-09-24T20:59:16"/>
    <d v="2026-09-24T23:51:17"/>
    <n v="172"/>
    <x v="72"/>
    <s v="A320"/>
    <s v="A320"/>
    <s v="Complete"/>
    <s v="a752ea"/>
  </r>
  <r>
    <x v="0"/>
    <s v="B6 8614"/>
    <s v="JBU8614"/>
    <s v="FLL"/>
    <s v="KFLL"/>
    <s v="BHM"/>
    <s v="KBHM"/>
    <d v="2026-09-24T21:00:10"/>
    <d v="2026-09-24T22:41:16"/>
    <n v="101"/>
    <x v="206"/>
    <s v="A320"/>
    <s v="A320"/>
    <s v="Landing inferred"/>
    <s v="a79821"/>
  </r>
  <r>
    <x v="0"/>
    <s v="B6 598"/>
    <s v="JBU598"/>
    <s v="LGA"/>
    <s v="KLGA"/>
    <s v="FLL"/>
    <s v="KFLL"/>
    <d v="2026-09-24T21:00:44"/>
    <d v="2026-09-24T23:24:46"/>
    <n v="144"/>
    <x v="7"/>
    <s v="A320"/>
    <s v="A320"/>
    <s v="Complete"/>
    <s v="a6c3ca"/>
  </r>
  <r>
    <x v="0"/>
    <s v="B6 969"/>
    <s v="JBU969"/>
    <s v="RIC"/>
    <s v="KRIC"/>
    <s v="MCO"/>
    <s v="KMCO"/>
    <d v="2026-09-24T21:01:12"/>
    <d v="2026-09-24T22:39:34"/>
    <n v="98"/>
    <x v="68"/>
    <s v="A320"/>
    <s v="A320"/>
    <s v="Complete"/>
    <s v="a7e5c1"/>
  </r>
  <r>
    <x v="0"/>
    <s v="B6 1014"/>
    <s v="JBU1014"/>
    <m/>
    <m/>
    <s v="MCO"/>
    <s v="KMCO"/>
    <d v="2026-09-24T21:01:45"/>
    <d v="2026-09-24T22:01:17"/>
    <n v="60"/>
    <x v="9"/>
    <s v="A320"/>
    <s v="A320"/>
    <s v="Complete"/>
    <s v="a83108"/>
  </r>
  <r>
    <x v="0"/>
    <s v="B6 624"/>
    <s v="JBU624"/>
    <s v="LAX"/>
    <s v="KLAX"/>
    <s v="JFK"/>
    <s v="KJFK"/>
    <d v="2026-09-24T21:03:18"/>
    <d v="2026-09-25T02:13:16"/>
    <n v="310"/>
    <x v="93"/>
    <s v="A321"/>
    <s v="A321"/>
    <s v="Complete"/>
    <s v="adbaca"/>
  </r>
  <r>
    <x v="0"/>
    <s v="B6 2637"/>
    <s v="JBU2637"/>
    <s v="JFK"/>
    <s v="KJFK"/>
    <m/>
    <m/>
    <d v="2026-09-24T21:04:50"/>
    <d v="2026-09-24T21:49:53"/>
    <n v="45"/>
    <x v="90"/>
    <s v="A320"/>
    <s v="A320"/>
    <s v="Signal lost"/>
    <s v="ab4ba6"/>
  </r>
  <r>
    <x v="0"/>
    <s v="B6 136"/>
    <s v="JBU136"/>
    <s v="PHX"/>
    <s v="KPHX"/>
    <s v="JFK"/>
    <s v="KJFK"/>
    <d v="2026-09-24T21:05:20"/>
    <d v="2026-09-25T01:48:21"/>
    <n v="283"/>
    <x v="49"/>
    <s v="A320"/>
    <s v="A320"/>
    <s v="Complete"/>
    <s v="ab4f5d"/>
  </r>
  <r>
    <x v="0"/>
    <s v="B6 1354"/>
    <s v="JBU1354"/>
    <s v="DCA"/>
    <s v="KDCA"/>
    <s v="BOS"/>
    <s v="KBOS"/>
    <d v="2026-09-24T21:05:29"/>
    <d v="2026-09-24T22:07:12"/>
    <n v="62"/>
    <x v="148"/>
    <s v="A220-300"/>
    <s v="BCS3"/>
    <s v="Complete"/>
    <s v="a36b73"/>
  </r>
  <r>
    <x v="0"/>
    <s v="B6 1201"/>
    <s v="JBU1201"/>
    <s v="JFK"/>
    <s v="KJFK"/>
    <s v="FLL"/>
    <s v="KFLL"/>
    <d v="2026-09-24T21:05:39"/>
    <d v="2026-09-24T23:30:21"/>
    <n v="145"/>
    <x v="181"/>
    <s v="A321"/>
    <s v="A321"/>
    <s v="Complete"/>
    <s v="ad5329"/>
  </r>
  <r>
    <x v="0"/>
    <s v="B6 2919"/>
    <s v="JBU2919"/>
    <s v="MCO"/>
    <s v="KMCO"/>
    <s v="ALB"/>
    <s v="KALB"/>
    <d v="2026-09-24T21:05:40"/>
    <d v="2026-09-24T23:31:14"/>
    <n v="146"/>
    <x v="242"/>
    <s v="A320"/>
    <s v="A320"/>
    <s v="Landing inferred"/>
    <s v="a770a2"/>
  </r>
  <r>
    <x v="0"/>
    <s v="B6 2098"/>
    <s v="JBU2098"/>
    <s v="FLL"/>
    <s v="KFLL"/>
    <s v="ATL"/>
    <s v="KATL"/>
    <d v="2026-09-24T21:06:56"/>
    <d v="2026-09-24T22:41:01"/>
    <n v="94"/>
    <x v="185"/>
    <s v="A320"/>
    <s v="A320"/>
    <s v="Complete"/>
    <s v="a7bfa0"/>
  </r>
  <r>
    <x v="0"/>
    <s v="B6 1168"/>
    <s v="JBU1168"/>
    <s v="DJT"/>
    <s v="KPBI"/>
    <s v="HPN"/>
    <s v="KHPN"/>
    <d v="2026-09-24T21:12:35"/>
    <d v="2026-09-24T23:31:55"/>
    <n v="139"/>
    <x v="226"/>
    <s v="A320"/>
    <s v="A320"/>
    <s v="Landing inferred"/>
    <s v="a732d9"/>
  </r>
  <r>
    <x v="0"/>
    <s v="B6 1173"/>
    <s v="JBU1173"/>
    <s v="JFK"/>
    <s v="KJFK"/>
    <s v="BNA"/>
    <s v="KBNA"/>
    <d v="2026-09-24T21:15:24"/>
    <d v="2026-09-24T23:05:34"/>
    <n v="110"/>
    <x v="243"/>
    <s v="A320"/>
    <s v="A320"/>
    <s v="Complete"/>
    <s v="a85119"/>
  </r>
  <r>
    <x v="0"/>
    <s v="B6 1034"/>
    <s v="JBU1034"/>
    <s v="SFO"/>
    <s v="KSFO"/>
    <s v="BOS"/>
    <s v="KBOS"/>
    <d v="2026-09-24T21:17:42"/>
    <d v="2026-09-25T02:29:10"/>
    <n v="311"/>
    <x v="163"/>
    <s v="A321neo"/>
    <s v="A21N"/>
    <s v="Complete"/>
    <s v="a1cf6b"/>
  </r>
  <r>
    <x v="0"/>
    <s v="B6 811"/>
    <s v="JBU811"/>
    <s v="BOS"/>
    <s v="KBOS"/>
    <s v="ORD"/>
    <s v="KORD"/>
    <d v="2026-09-24T21:18:34"/>
    <d v="2026-09-24T23:30:04"/>
    <n v="132"/>
    <x v="43"/>
    <s v="Unknown"/>
    <m/>
    <s v="Complete"/>
    <s v="a39fe4"/>
  </r>
  <r>
    <x v="0"/>
    <s v="B6 2984"/>
    <s v="JBU2984"/>
    <s v="MCO"/>
    <s v="KMCO"/>
    <s v="JFK"/>
    <s v="KJFK"/>
    <d v="2026-09-24T21:19:28"/>
    <d v="2026-09-24T23:23:17"/>
    <n v="124"/>
    <x v="214"/>
    <s v="A321"/>
    <s v="A321"/>
    <s v="Complete"/>
    <s v="aca29a"/>
  </r>
  <r>
    <x v="0"/>
    <s v="B6 1972"/>
    <s v="JBU1972"/>
    <s v="AUS"/>
    <s v="KAUS"/>
    <s v="FLL"/>
    <s v="KFLL"/>
    <d v="2026-09-24T21:22:29"/>
    <d v="2026-09-24T23:38:58"/>
    <n v="136"/>
    <x v="53"/>
    <s v="A320"/>
    <s v="A320"/>
    <s v="Complete"/>
    <s v="a73dfe"/>
  </r>
  <r>
    <x v="0"/>
    <s v="B6 2602"/>
    <s v="JBU2602"/>
    <s v="SJU"/>
    <s v="TJSJ"/>
    <s v="HPN"/>
    <s v="KHPN"/>
    <d v="2026-09-24T21:23:34"/>
    <d v="2026-09-25T00:45:52"/>
    <n v="202"/>
    <x v="227"/>
    <s v="A220-300"/>
    <s v="BCS3"/>
    <s v="Landing inferred"/>
    <s v="a34978"/>
  </r>
  <r>
    <x v="0"/>
    <s v="B6 472"/>
    <s v="JBU472"/>
    <s v="FLL"/>
    <s v="KFLL"/>
    <s v="LGA"/>
    <s v="KLGA"/>
    <d v="2026-09-24T21:27:42"/>
    <d v="2026-09-25T00:07:01"/>
    <n v="159"/>
    <x v="130"/>
    <s v="A320"/>
    <s v="A320"/>
    <s v="Complete"/>
    <s v="a776b2"/>
  </r>
  <r>
    <x v="0"/>
    <s v="B6 1238"/>
    <s v="JBU1238"/>
    <s v="AUS"/>
    <s v="KAUS"/>
    <s v="BOS"/>
    <s v="KBOS"/>
    <d v="2026-09-24T21:29:53"/>
    <d v="2026-09-25T01:02:57"/>
    <n v="213"/>
    <x v="116"/>
    <s v="A220-300"/>
    <s v="BCS3"/>
    <s v="Complete"/>
    <s v="a38367"/>
  </r>
  <r>
    <x v="0"/>
    <s v="B6 2184"/>
    <s v="JBU2184"/>
    <s v="RDU"/>
    <s v="KRDU"/>
    <s v="BOS"/>
    <s v="KBOS"/>
    <d v="2026-09-24T21:31:27"/>
    <d v="2026-09-24T22:54:13"/>
    <n v="83"/>
    <x v="54"/>
    <s v="A320"/>
    <s v="A320"/>
    <s v="Complete"/>
    <s v="a7946a"/>
  </r>
  <r>
    <x v="0"/>
    <s v="B6 1474"/>
    <s v="JBU1474"/>
    <m/>
    <m/>
    <s v="FLL"/>
    <s v="KFLL"/>
    <d v="2026-09-24T21:32:03"/>
    <d v="2026-09-24T21:59:42"/>
    <n v="28"/>
    <x v="100"/>
    <s v="A220-300"/>
    <s v="BCS3"/>
    <s v="Complete"/>
    <s v="a383f3"/>
  </r>
  <r>
    <x v="0"/>
    <s v="B6 1237"/>
    <s v="JBU1237"/>
    <s v="BOS"/>
    <s v="KBOS"/>
    <s v="DTW"/>
    <s v="KDTW"/>
    <d v="2026-09-24T21:32:59"/>
    <d v="2026-09-24T23:08:02"/>
    <n v="95"/>
    <x v="21"/>
    <s v="A320"/>
    <s v="A320"/>
    <s v="Complete"/>
    <s v="a9607d"/>
  </r>
  <r>
    <x v="0"/>
    <s v="B6 819"/>
    <s v="JBU819"/>
    <s v="DTW"/>
    <s v="KDTW"/>
    <s v="JFK"/>
    <s v="KJFK"/>
    <d v="2026-09-24T21:33:07"/>
    <d v="2026-09-24T23:04:21"/>
    <n v="91"/>
    <x v="139"/>
    <s v="A220-300"/>
    <s v="BCS3"/>
    <s v="Complete"/>
    <s v="a38b84"/>
  </r>
  <r>
    <x v="0"/>
    <s v="B6 1098"/>
    <s v="JBU1098"/>
    <s v="MCO"/>
    <s v="KMCO"/>
    <s v="LGA"/>
    <s v="KLGA"/>
    <d v="2026-09-24T21:33:46"/>
    <d v="2026-09-24T23:48:45"/>
    <n v="135"/>
    <x v="161"/>
    <s v="A320"/>
    <s v="A320"/>
    <s v="Complete"/>
    <s v="a87c4f"/>
  </r>
  <r>
    <x v="0"/>
    <s v="B6 733"/>
    <s v="JBU733"/>
    <s v="BOS"/>
    <s v="KBOS"/>
    <s v="SFO"/>
    <s v="KSFO"/>
    <d v="2026-09-24T21:33:56"/>
    <d v="2026-09-25T03:27:24"/>
    <n v="353"/>
    <x v="56"/>
    <s v="A321"/>
    <s v="A321"/>
    <s v="Complete"/>
    <s v="adb35c"/>
  </r>
  <r>
    <x v="0"/>
    <s v="B6 358"/>
    <s v="JBU358"/>
    <s v="JFK"/>
    <s v="KJFK"/>
    <s v="BUR"/>
    <s v="KBUR"/>
    <d v="2026-09-24T21:35:05"/>
    <d v="2026-09-25T02:54:09"/>
    <n v="319"/>
    <x v="244"/>
    <s v="A220-300"/>
    <s v="BCS3"/>
    <s v="Complete"/>
    <s v="a35109"/>
  </r>
  <r>
    <x v="0"/>
    <s v="B6 2119"/>
    <s v="JBU2119"/>
    <s v="ORH"/>
    <s v="KORH"/>
    <s v="FLL"/>
    <s v="KFLL"/>
    <d v="2026-09-24T21:36:33"/>
    <d v="2026-09-25T00:22:57"/>
    <n v="166"/>
    <x v="20"/>
    <s v="A320"/>
    <s v="A320"/>
    <s v="Complete"/>
    <s v="a7b832"/>
  </r>
  <r>
    <x v="0"/>
    <s v="B6 2052"/>
    <s v="JBU2052"/>
    <s v="MCO"/>
    <s v="KMCO"/>
    <s v="BOS"/>
    <s v="KBOS"/>
    <d v="2026-09-24T21:40:05"/>
    <d v="2026-09-26T00:33:25"/>
    <n v="1613"/>
    <x v="152"/>
    <s v="A321"/>
    <s v="A321"/>
    <s v="Complete"/>
    <s v="ac89f7"/>
  </r>
  <r>
    <x v="0"/>
    <s v="B6 1528"/>
    <s v="JBU1528"/>
    <m/>
    <m/>
    <s v="JFK"/>
    <s v="KJFK"/>
    <d v="2026-09-24T21:40:31"/>
    <d v="2026-09-24T22:28:14"/>
    <n v="48"/>
    <x v="207"/>
    <s v="A220-300"/>
    <s v="BCS3"/>
    <s v="Complete"/>
    <s v="a3355e"/>
  </r>
  <r>
    <x v="0"/>
    <s v="B6 1612"/>
    <s v="JBU1612"/>
    <m/>
    <m/>
    <s v="FLL"/>
    <s v="KFLL"/>
    <d v="2026-09-24T21:41:54"/>
    <d v="2026-09-24T22:29:02"/>
    <n v="47"/>
    <x v="42"/>
    <s v="A320"/>
    <s v="A320"/>
    <s v="Complete"/>
    <s v="a854d0"/>
  </r>
  <r>
    <x v="0"/>
    <s v="B6 1333"/>
    <s v="JBU1333"/>
    <s v="MCO"/>
    <s v="KMCO"/>
    <s v="MCO"/>
    <s v="KMCO"/>
    <d v="2026-09-24T21:42:38"/>
    <d v="2026-09-26T00:04:18"/>
    <n v="1582"/>
    <x v="195"/>
    <s v="A320"/>
    <s v="A320"/>
    <s v="Complete"/>
    <s v="a7a59f"/>
  </r>
  <r>
    <x v="0"/>
    <s v="B6 1736"/>
    <s v="JBU1736"/>
    <m/>
    <m/>
    <s v="JFK"/>
    <s v="KJFK"/>
    <d v="2026-09-24T21:43:13"/>
    <d v="2026-09-24T22:31:10"/>
    <n v="48"/>
    <x v="205"/>
    <s v="A321"/>
    <s v="A321"/>
    <s v="Complete"/>
    <s v="ad8fa4"/>
  </r>
  <r>
    <x v="0"/>
    <s v="B6 2832"/>
    <s v="JBU2832"/>
    <s v="LAS"/>
    <s v="KLAS"/>
    <s v="MCO"/>
    <s v="KMCO"/>
    <d v="2026-09-24T21:44:16"/>
    <d v="2026-09-25T01:54:09"/>
    <n v="250"/>
    <x v="211"/>
    <s v="A321"/>
    <s v="A321"/>
    <s v="Complete"/>
    <s v="ad9e73"/>
  </r>
  <r>
    <x v="0"/>
    <s v="B6 263"/>
    <s v="JBU263"/>
    <s v="JFK"/>
    <s v="KJFK"/>
    <s v="SEA"/>
    <s v="KSEA"/>
    <d v="2026-09-24T21:45:48"/>
    <d v="2026-09-25T03:20:10"/>
    <n v="334"/>
    <x v="213"/>
    <s v="A320"/>
    <s v="A320"/>
    <s v="Complete"/>
    <s v="a7a1e8"/>
  </r>
  <r>
    <x v="0"/>
    <s v="B6 1151"/>
    <s v="JBU1151"/>
    <s v="ACK"/>
    <s v="KACK"/>
    <s v="BOS"/>
    <s v="KBOS"/>
    <d v="2026-09-24T21:45:50"/>
    <d v="2026-09-24T22:09:25"/>
    <n v="24"/>
    <x v="155"/>
    <s v="A220-300"/>
    <s v="BCS3"/>
    <s v="Complete"/>
    <s v="a35854"/>
  </r>
  <r>
    <x v="0"/>
    <s v="B6 2088"/>
    <s v="JBU2088"/>
    <s v="LAX"/>
    <s v="KLAX"/>
    <s v="BOS"/>
    <s v="KBOS"/>
    <d v="2026-09-24T21:46:42"/>
    <d v="2026-09-25T03:02:32"/>
    <n v="316"/>
    <x v="106"/>
    <s v="A321"/>
    <s v="A321"/>
    <s v="Complete"/>
    <s v="ada5ee"/>
  </r>
  <r>
    <x v="0"/>
    <s v="B6 8358"/>
    <s v="JBU8358"/>
    <s v="JFK"/>
    <s v="KJFK"/>
    <s v="BOS"/>
    <s v="KBOS"/>
    <d v="2026-09-24T21:46:53"/>
    <d v="2026-09-24T22:26:04"/>
    <n v="39"/>
    <x v="61"/>
    <s v="A321neo"/>
    <s v="A21N"/>
    <s v="Complete"/>
    <s v="a4c98f"/>
  </r>
  <r>
    <x v="0"/>
    <s v="B6 1586"/>
    <s v="JBU1586"/>
    <s v="MCO"/>
    <s v="KMCO"/>
    <s v="BUF"/>
    <s v="KBUF"/>
    <d v="2026-09-24T21:47:19"/>
    <d v="2026-09-25T00:01:25"/>
    <n v="134"/>
    <x v="23"/>
    <s v="A220-300"/>
    <s v="BCS3"/>
    <s v="Landing inferred"/>
    <s v="a34d98"/>
  </r>
  <r>
    <x v="0"/>
    <s v="B6 1882"/>
    <s v="JBU1882"/>
    <s v="DFW"/>
    <s v="KDFW"/>
    <s v="FLL"/>
    <s v="KFLL"/>
    <d v="2026-09-24T21:47:30"/>
    <d v="2026-09-25T00:04:41"/>
    <n v="137"/>
    <x v="183"/>
    <s v="A320"/>
    <s v="A320"/>
    <s v="Complete"/>
    <s v="a7f6f6"/>
  </r>
  <r>
    <x v="0"/>
    <s v="B6 317"/>
    <s v="JBU317"/>
    <s v="BOS"/>
    <s v="KBOS"/>
    <s v="JFK"/>
    <s v="KJFK"/>
    <d v="2026-09-24T21:48:08"/>
    <d v="2026-09-24T22:40:58"/>
    <n v="53"/>
    <x v="177"/>
    <s v="A220-300"/>
    <s v="BCS3"/>
    <s v="Complete"/>
    <s v="a39925"/>
  </r>
  <r>
    <x v="0"/>
    <s v="B6 1371"/>
    <s v="JBU1371"/>
    <s v="LGA"/>
    <s v="KLGA"/>
    <s v="FLL"/>
    <s v="KFLL"/>
    <d v="2026-09-24T21:50:12"/>
    <d v="2026-09-25T00:18:22"/>
    <n v="148"/>
    <x v="2"/>
    <s v="A320"/>
    <s v="A320"/>
    <s v="Complete"/>
    <s v="a8a3ce"/>
  </r>
  <r>
    <x v="0"/>
    <s v="B6 810"/>
    <s v="JBU810"/>
    <s v="JAX"/>
    <s v="KJAX"/>
    <s v="BOS"/>
    <s v="KBOS"/>
    <d v="2026-09-24T21:56:24"/>
    <d v="2026-09-25T00:05:10"/>
    <n v="129"/>
    <x v="91"/>
    <s v="A320"/>
    <s v="A320"/>
    <s v="Complete"/>
    <s v="a8a017"/>
  </r>
  <r>
    <x v="0"/>
    <s v="B6 416"/>
    <s v="JBU416"/>
    <s v="SFO"/>
    <s v="KSFO"/>
    <s v="JFK"/>
    <s v="KJFK"/>
    <d v="2026-09-24T21:57:48"/>
    <d v="2026-09-25T03:01:38"/>
    <n v="304"/>
    <x v="108"/>
    <s v="A321"/>
    <s v="A321"/>
    <s v="Complete"/>
    <s v="adafb5"/>
  </r>
  <r>
    <x v="0"/>
    <s v="B6 1112"/>
    <s v="JBU1112"/>
    <m/>
    <m/>
    <s v="JFK"/>
    <s v="KJFK"/>
    <d v="2026-09-24T21:59:31"/>
    <d v="2026-09-24T22:50:08"/>
    <n v="51"/>
    <x v="102"/>
    <s v="A320"/>
    <s v="A320"/>
    <s v="Complete"/>
    <s v="a80d40"/>
  </r>
  <r>
    <x v="0"/>
    <s v="B6 592"/>
    <s v="JBU592"/>
    <s v="TPA"/>
    <s v="KTPA"/>
    <s v="BOS"/>
    <s v="KBOS"/>
    <d v="2026-09-24T22:00:17"/>
    <d v="2026-09-25T00:31:29"/>
    <n v="151"/>
    <x v="218"/>
    <s v="A320"/>
    <s v="A320"/>
    <s v="Complete"/>
    <s v="a7167f"/>
  </r>
  <r>
    <x v="0"/>
    <s v="B6 1955"/>
    <s v="JBU1955"/>
    <s v="BOS"/>
    <s v="KBOS"/>
    <s v="DCA"/>
    <s v="KDCA"/>
    <d v="2026-09-24T22:00:28"/>
    <d v="2026-09-24T23:14:38"/>
    <n v="74"/>
    <x v="178"/>
    <s v="A220-300"/>
    <s v="BCS3"/>
    <s v="Complete"/>
    <s v="a36b50"/>
  </r>
  <r>
    <x v="0"/>
    <s v="B6 348"/>
    <s v="JBU348"/>
    <s v="LAS"/>
    <s v="KLAS"/>
    <s v="JFK"/>
    <s v="KJFK"/>
    <d v="2026-09-24T22:01:52"/>
    <d v="2026-09-25T02:36:38"/>
    <n v="275"/>
    <x v="209"/>
    <s v="A321"/>
    <s v="A321"/>
    <s v="Complete"/>
    <s v="ad734a"/>
  </r>
  <r>
    <x v="0"/>
    <s v="B6 2068"/>
    <s v="JBU2068"/>
    <m/>
    <m/>
    <s v="JFK"/>
    <s v="KJFK"/>
    <d v="2026-09-24T22:05:48"/>
    <d v="2026-09-24T22:59:40"/>
    <n v="54"/>
    <x v="11"/>
    <s v="A220-300"/>
    <s v="BCS3"/>
    <s v="Complete"/>
    <s v="a387f0"/>
  </r>
  <r>
    <x v="0"/>
    <s v="B6 2072"/>
    <s v="JBU2072"/>
    <m/>
    <m/>
    <s v="FLL"/>
    <s v="KFLL"/>
    <d v="2026-09-24T22:06:30"/>
    <d v="2026-09-24T22:37:07"/>
    <n v="31"/>
    <x v="39"/>
    <s v="Unknown"/>
    <m/>
    <s v="Complete"/>
    <s v="a39be7"/>
  </r>
  <r>
    <x v="0"/>
    <s v="B6 1348"/>
    <s v="JBU1348"/>
    <s v="SJU"/>
    <s v="TJSJ"/>
    <s v="DCA"/>
    <s v="KDCA"/>
    <d v="2026-09-24T22:07:26"/>
    <d v="2026-09-25T01:26:03"/>
    <n v="199"/>
    <x v="140"/>
    <s v="A320"/>
    <s v="A320"/>
    <s v="Complete"/>
    <s v="a97310"/>
  </r>
  <r>
    <x v="0"/>
    <s v="B6 1947"/>
    <s v="JBU1947"/>
    <s v="MCO"/>
    <s v="KMCO"/>
    <s v="FLL"/>
    <s v="KFLL"/>
    <d v="2026-09-24T22:07:35"/>
    <d v="2026-09-24T22:45:13"/>
    <n v="38"/>
    <x v="114"/>
    <s v="A320"/>
    <s v="A320"/>
    <s v="Complete"/>
    <s v="a7bbe9"/>
  </r>
  <r>
    <x v="0"/>
    <s v="B6 1189"/>
    <s v="JBU1189"/>
    <s v="JFK"/>
    <s v="KJFK"/>
    <s v="SAN"/>
    <s v="KSAN"/>
    <d v="2026-09-24T22:07:38"/>
    <d v="2026-09-25T03:17:09"/>
    <n v="310"/>
    <x v="203"/>
    <s v="A321"/>
    <s v="A321"/>
    <s v="Complete"/>
    <s v="addadb"/>
  </r>
  <r>
    <x v="0"/>
    <s v="B6 2185"/>
    <s v="JBU2185"/>
    <s v="BOS"/>
    <s v="KBOS"/>
    <s v="PIT"/>
    <s v="KPIT"/>
    <d v="2026-09-24T22:11:18"/>
    <d v="2026-09-24T23:39:37"/>
    <n v="88"/>
    <x v="133"/>
    <s v="A220-300"/>
    <s v="BCS3"/>
    <s v="Complete"/>
    <s v="a37fd3"/>
  </r>
  <r>
    <x v="0"/>
    <s v="B6 2065"/>
    <s v="JBU2065"/>
    <s v="BOS"/>
    <s v="KBOS"/>
    <s v="RSW"/>
    <s v="KRSW"/>
    <d v="2026-09-24T22:14:40"/>
    <d v="2026-09-25T01:10:06"/>
    <n v="175"/>
    <x v="176"/>
    <s v="A220-300"/>
    <s v="BCS3"/>
    <s v="Complete"/>
    <s v="a392f2"/>
  </r>
  <r>
    <x v="0"/>
    <s v="B6 161"/>
    <s v="JBU161"/>
    <s v="JFK"/>
    <s v="KJFK"/>
    <s v="SMF"/>
    <s v="KSMF"/>
    <d v="2026-09-24T22:17:43"/>
    <d v="2026-09-25T03:42:58"/>
    <n v="325"/>
    <x v="109"/>
    <s v="A321"/>
    <s v="A321"/>
    <s v="Complete"/>
    <s v="ad846f"/>
  </r>
  <r>
    <x v="0"/>
    <s v="B6 2510"/>
    <s v="JBU2510"/>
    <m/>
    <m/>
    <s v="JFK"/>
    <s v="KJFK"/>
    <d v="2026-09-24T22:17:47"/>
    <d v="2026-09-24T23:09:03"/>
    <n v="51"/>
    <x v="113"/>
    <s v="A321"/>
    <s v="A321"/>
    <s v="Complete"/>
    <s v="ad3cdf"/>
  </r>
  <r>
    <x v="0"/>
    <s v="B6 220"/>
    <s v="JBU220"/>
    <s v="SAN"/>
    <s v="KSAN"/>
    <s v="BOS"/>
    <s v="KBOS"/>
    <d v="2026-09-24T22:20:41"/>
    <d v="2026-09-25T03:37:10"/>
    <n v="316"/>
    <x v="101"/>
    <s v="A321neo"/>
    <s v="A21N"/>
    <s v="Complete"/>
    <s v="a1e411"/>
  </r>
  <r>
    <x v="0"/>
    <s v="B6 138"/>
    <s v="JBU138"/>
    <s v="MCO"/>
    <s v="KMCO"/>
    <s v="BDL"/>
    <s v="KBDL"/>
    <d v="2026-09-24T22:21:03"/>
    <d v="2026-09-25T00:35:09"/>
    <n v="134"/>
    <x v="171"/>
    <s v="A320"/>
    <s v="A320"/>
    <s v="Landing inferred"/>
    <s v="a845f4"/>
  </r>
  <r>
    <x v="0"/>
    <s v="B6 387"/>
    <s v="JBU387"/>
    <s v="BOS"/>
    <s v="KBOS"/>
    <s v="LAX"/>
    <s v="KLAX"/>
    <d v="2026-09-24T22:23:07"/>
    <d v="2026-09-25T04:11:35"/>
    <n v="348"/>
    <x v="131"/>
    <s v="A321"/>
    <s v="A321"/>
    <s v="Complete"/>
    <s v="ad2f71"/>
  </r>
  <r>
    <x v="0"/>
    <s v="B6 177"/>
    <s v="JBU177"/>
    <s v="BOS"/>
    <s v="KBOS"/>
    <s v="LAS"/>
    <s v="KLAS"/>
    <d v="2026-09-24T22:27:20"/>
    <d v="2026-09-25T03:33:42"/>
    <n v="306"/>
    <x v="84"/>
    <s v="A321"/>
    <s v="A321"/>
    <s v="Complete"/>
    <s v="adc238"/>
  </r>
  <r>
    <x v="0"/>
    <s v="B6 282"/>
    <s v="JBU282"/>
    <s v="IAH"/>
    <s v="KIAH"/>
    <s v="JFK"/>
    <s v="KJFK"/>
    <d v="2026-09-24T22:28:58"/>
    <d v="2026-09-25T01:39:50"/>
    <n v="191"/>
    <x v="51"/>
    <s v="A220-300"/>
    <s v="BCS3"/>
    <s v="Complete"/>
    <s v="a35949"/>
  </r>
  <r>
    <x v="0"/>
    <s v="B6 1341"/>
    <s v="JBU1341"/>
    <s v="BOS"/>
    <s v="KBOS"/>
    <s v="CLE"/>
    <s v="KCLE"/>
    <d v="2026-09-24T22:29:25"/>
    <d v="2026-09-24T23:59:11"/>
    <n v="90"/>
    <x v="215"/>
    <s v="A220-300"/>
    <s v="BCS3"/>
    <s v="Complete"/>
    <s v="a398bc"/>
  </r>
  <r>
    <x v="0"/>
    <s v="B6 1202"/>
    <s v="JBU1202"/>
    <s v="JFK"/>
    <s v="KJFK"/>
    <s v="BUF"/>
    <s v="KBUF"/>
    <d v="2026-09-24T22:29:42"/>
    <d v="2026-09-24T23:26:04"/>
    <n v="56"/>
    <x v="76"/>
    <s v="A220-300"/>
    <s v="BCS3"/>
    <s v="Landing inferred"/>
    <s v="a3556f"/>
  </r>
  <r>
    <x v="0"/>
    <s v="B6 1860"/>
    <s v="JBU1860"/>
    <s v="PHL"/>
    <s v="KPHL"/>
    <s v="BOS"/>
    <s v="KBOS"/>
    <d v="2026-09-24T22:29:46"/>
    <d v="2026-09-24T23:22:55"/>
    <n v="53"/>
    <x v="10"/>
    <s v="A220-300"/>
    <s v="BCS3"/>
    <s v="Complete"/>
    <s v="a36b2d"/>
  </r>
  <r>
    <x v="0"/>
    <s v="B6 1178"/>
    <s v="JBU1178"/>
    <s v="LAS"/>
    <s v="KLAS"/>
    <s v="BOS"/>
    <s v="KBOS"/>
    <d v="2026-09-24T22:30:24"/>
    <d v="2026-09-25T03:13:09"/>
    <n v="283"/>
    <x v="194"/>
    <s v="A321"/>
    <s v="A321"/>
    <s v="Complete"/>
    <s v="acf54f"/>
  </r>
  <r>
    <x v="0"/>
    <s v="B6 8621"/>
    <s v="JBU8621"/>
    <s v="BHM"/>
    <s v="KBHM"/>
    <s v="MCO"/>
    <s v="KMCO"/>
    <d v="2026-09-24T22:31:21"/>
    <d v="2026-09-24T23:41:03"/>
    <n v="70"/>
    <x v="245"/>
    <s v="A320"/>
    <s v="A320"/>
    <s v="Complete"/>
    <s v="a7a956"/>
  </r>
  <r>
    <x v="0"/>
    <s v="B6 369"/>
    <s v="JBU369"/>
    <s v="BOS"/>
    <s v="KBOS"/>
    <s v="FLL"/>
    <s v="KFLL"/>
    <d v="2026-09-24T22:31:32"/>
    <d v="2026-09-25T01:22:10"/>
    <n v="171"/>
    <x v="167"/>
    <s v="A320"/>
    <s v="A320"/>
    <s v="Complete"/>
    <s v="a85c3e"/>
  </r>
  <r>
    <x v="0"/>
    <s v="B6 1498"/>
    <s v="JBU1498"/>
    <s v="DEN"/>
    <s v="KDEN"/>
    <s v="JFK"/>
    <s v="KJFK"/>
    <d v="2026-09-24T22:32:06"/>
    <d v="2026-09-25T02:05:07"/>
    <n v="213"/>
    <x v="198"/>
    <s v="A220-300"/>
    <s v="BCS3"/>
    <s v="Complete"/>
    <s v="a349be"/>
  </r>
  <r>
    <x v="0"/>
    <s v="B6 355"/>
    <s v="JBU355"/>
    <s v="JFK"/>
    <s v="KJFK"/>
    <s v="ONT"/>
    <s v="KONT"/>
    <d v="2026-09-24T22:34:35"/>
    <d v="2026-09-25T03:48:01"/>
    <n v="313"/>
    <x v="246"/>
    <s v="A220-300"/>
    <s v="BCS3"/>
    <s v="Complete"/>
    <s v="a38b61"/>
  </r>
  <r>
    <x v="0"/>
    <s v="B6 2180"/>
    <s v="JBU2180"/>
    <s v="IAH"/>
    <s v="KIAH"/>
    <s v="FLL"/>
    <s v="KFLL"/>
    <d v="2026-09-24T22:34:36"/>
    <d v="2026-09-25T00:38:22"/>
    <n v="124"/>
    <x v="119"/>
    <s v="A320"/>
    <s v="A320"/>
    <s v="Complete"/>
    <s v="ab0416"/>
  </r>
  <r>
    <x v="0"/>
    <s v="B6 2122"/>
    <s v="JBU2122"/>
    <s v="ACK"/>
    <s v="KACK"/>
    <s v="HPN"/>
    <s v="KHPN"/>
    <d v="2026-09-24T22:36:21"/>
    <d v="2026-09-24T23:11:26"/>
    <n v="35"/>
    <x v="159"/>
    <s v="Unknown"/>
    <m/>
    <s v="Landing inferred"/>
    <s v="a39338"/>
  </r>
  <r>
    <x v="0"/>
    <s v="B6 1023"/>
    <s v="JBU1023"/>
    <s v="JFK"/>
    <s v="KJFK"/>
    <s v="LAX"/>
    <s v="KLAX"/>
    <d v="2026-09-24T22:36:56"/>
    <d v="2026-09-25T03:49:07"/>
    <n v="312"/>
    <x v="134"/>
    <s v="A321"/>
    <s v="A321"/>
    <s v="Complete"/>
    <s v="ade252"/>
  </r>
  <r>
    <x v="0"/>
    <s v="B6 615"/>
    <s v="JBU615"/>
    <s v="JFK"/>
    <s v="KJFK"/>
    <s v="SFO"/>
    <s v="KSFO"/>
    <d v="2026-09-24T22:38:06"/>
    <d v="2026-09-25T04:24:39"/>
    <n v="347"/>
    <x v="77"/>
    <s v="A321"/>
    <s v="A321"/>
    <s v="Complete"/>
    <s v="ad1927"/>
  </r>
  <r>
    <x v="0"/>
    <s v="B6 715"/>
    <s v="JBU715"/>
    <s v="BOS"/>
    <s v="KBOS"/>
    <s v="BUF"/>
    <s v="KBUF"/>
    <d v="2026-09-24T22:40:44"/>
    <d v="2026-09-24T23:46:57"/>
    <n v="66"/>
    <x v="28"/>
    <s v="A220-300"/>
    <s v="BCS3"/>
    <s v="Landing inferred"/>
    <s v="a38019"/>
  </r>
  <r>
    <x v="0"/>
    <s v="B6 1801"/>
    <s v="JBU1801"/>
    <s v="JFK"/>
    <s v="KJFK"/>
    <s v="FLL"/>
    <s v="KFLL"/>
    <d v="2026-09-24T22:42:32"/>
    <d v="2026-09-25T01:10:50"/>
    <n v="148"/>
    <x v="70"/>
    <s v="A321"/>
    <s v="A321"/>
    <s v="Complete"/>
    <s v="ade609"/>
  </r>
  <r>
    <x v="0"/>
    <s v="B6 150"/>
    <s v="JBU150"/>
    <s v="SAV"/>
    <s v="KSAV"/>
    <s v="BOS"/>
    <s v="KBOS"/>
    <d v="2026-09-24T22:44:46"/>
    <d v="2026-09-25T00:40:22"/>
    <n v="116"/>
    <x v="36"/>
    <s v="A220-300"/>
    <s v="BCS3"/>
    <s v="Complete"/>
    <s v="a38836"/>
  </r>
  <r>
    <x v="0"/>
    <s v="B6 2134"/>
    <s v="JBU2134"/>
    <s v="SJU"/>
    <s v="TJSJ"/>
    <s v="MCO"/>
    <s v="KMCO"/>
    <d v="2026-09-24T22:45:49"/>
    <d v="2026-09-25T01:20:21"/>
    <n v="155"/>
    <x v="47"/>
    <s v="A320"/>
    <s v="A320"/>
    <s v="Complete"/>
    <s v="a68d6f"/>
  </r>
  <r>
    <x v="0"/>
    <s v="B6 331"/>
    <s v="JBU331"/>
    <s v="BOS"/>
    <s v="KBOS"/>
    <s v="MXP"/>
    <s v="LIMC"/>
    <d v="2026-09-24T22:46:41"/>
    <d v="2026-09-25T06:10:29"/>
    <n v="444"/>
    <x v="82"/>
    <s v="A321neo"/>
    <s v="A21N"/>
    <s v="Landing inferred"/>
    <s v="a4c592"/>
  </r>
  <r>
    <x v="0"/>
    <s v="B6 2384"/>
    <s v="JBU2384"/>
    <s v="RDU"/>
    <s v="KRDU"/>
    <s v="BOS"/>
    <s v="KBOS"/>
    <d v="2026-09-24T22:46:42"/>
    <d v="2026-09-25T00:13:20"/>
    <n v="87"/>
    <x v="38"/>
    <s v="A220-300"/>
    <s v="BCS3"/>
    <s v="Complete"/>
    <s v="a350c3"/>
  </r>
  <r>
    <x v="0"/>
    <s v="B6 467"/>
    <s v="JBU467"/>
    <s v="HPN"/>
    <s v="KHPN"/>
    <s v="DJT"/>
    <s v="KPBI"/>
    <d v="2026-09-24T22:47:40"/>
    <d v="2026-09-25T01:14:20"/>
    <n v="147"/>
    <x v="217"/>
    <s v="A320"/>
    <s v="A320"/>
    <s v="Complete"/>
    <s v="aaf8f1"/>
  </r>
  <r>
    <x v="0"/>
    <s v="B6 2255"/>
    <s v="JBU2255"/>
    <s v="BOS"/>
    <s v="KBOS"/>
    <s v="DCA"/>
    <s v="KDCA"/>
    <d v="2026-09-24T22:50:37"/>
    <d v="2026-09-24T23:58:12"/>
    <n v="68"/>
    <x v="196"/>
    <s v="A220-300"/>
    <s v="BCS3"/>
    <s v="Complete"/>
    <s v="a35c0b"/>
  </r>
  <r>
    <x v="0"/>
    <s v="B6 1142"/>
    <s v="JBU1142"/>
    <s v="DJT"/>
    <s v="KPBI"/>
    <s v="BDL"/>
    <s v="KBDL"/>
    <d v="2026-09-24T22:51:07"/>
    <d v="2026-09-25T01:22:47"/>
    <n v="152"/>
    <x v="145"/>
    <s v="A320"/>
    <s v="A320"/>
    <s v="Landing inferred"/>
    <s v="aaf183"/>
  </r>
  <r>
    <x v="0"/>
    <s v="B6 2702"/>
    <s v="JBU2702"/>
    <s v="FLL"/>
    <s v="KFLL"/>
    <s v="JFK"/>
    <s v="KJFK"/>
    <d v="2026-09-24T22:51:20"/>
    <d v="2026-09-25T01:14:07"/>
    <n v="143"/>
    <x v="224"/>
    <s v="A321neo"/>
    <s v="A21N"/>
    <s v="Complete"/>
    <s v="a19910"/>
  </r>
  <r>
    <x v="0"/>
    <s v="B6 23"/>
    <s v="JBU23"/>
    <s v="DCA"/>
    <s v="KDCA"/>
    <s v="DJT"/>
    <s v="KPBI"/>
    <d v="2026-09-24T22:52:38"/>
    <d v="2026-09-25T00:54:53"/>
    <n v="122"/>
    <x v="65"/>
    <s v="A220-300"/>
    <s v="BCS3"/>
    <s v="Complete"/>
    <s v="a386fb"/>
  </r>
  <r>
    <x v="0"/>
    <s v="B6 782"/>
    <s v="JBU782"/>
    <s v="RIC"/>
    <s v="KRIC"/>
    <s v="BOS"/>
    <s v="KBOS"/>
    <d v="2026-09-24T22:56:23"/>
    <d v="2026-09-25T00:16:10"/>
    <n v="80"/>
    <x v="141"/>
    <s v="A220-300"/>
    <s v="BCS3"/>
    <s v="Complete"/>
    <s v="a3795a"/>
  </r>
  <r>
    <x v="0"/>
    <s v="B6 2523"/>
    <s v="JBU2523"/>
    <s v="DCA"/>
    <s v="KDCA"/>
    <s v="MCO"/>
    <s v="KMCO"/>
    <d v="2026-09-24T22:56:57"/>
    <d v="2026-09-25T00:46:26"/>
    <n v="109"/>
    <x v="124"/>
    <s v="A320"/>
    <s v="A320"/>
    <s v="Complete"/>
    <s v="a98445"/>
  </r>
  <r>
    <x v="0"/>
    <s v="B6 1965"/>
    <s v="JBU1965"/>
    <s v="JFK"/>
    <s v="KJFK"/>
    <m/>
    <m/>
    <d v="2026-09-24T22:58:11"/>
    <d v="2026-09-25T03:45:23"/>
    <n v="287"/>
    <x v="230"/>
    <s v="A321neo"/>
    <s v="A21N"/>
    <s v="Signal lost"/>
    <s v="a198ed"/>
  </r>
  <r>
    <x v="0"/>
    <s v="B6 1300"/>
    <s v="JBU1300"/>
    <s v="LAX"/>
    <s v="KLAX"/>
    <m/>
    <m/>
    <d v="2026-09-24T22:59:56"/>
    <d v="2026-09-24T23:59:45"/>
    <n v="60"/>
    <x v="52"/>
    <s v="A321"/>
    <s v="A321"/>
    <s v="Signal lost"/>
    <s v="ad60b7"/>
  </r>
  <r>
    <x v="0"/>
    <s v="B6 1620"/>
    <s v="JBU1620"/>
    <s v="BOS"/>
    <s v="KBOS"/>
    <s v="LHR"/>
    <s v="EGLL"/>
    <d v="2026-09-24T23:00:13"/>
    <d v="2026-09-25T05:12:27"/>
    <n v="372"/>
    <x v="3"/>
    <s v="A321neo"/>
    <s v="A21N"/>
    <s v="Complete"/>
    <s v="a4c96c"/>
  </r>
  <r>
    <x v="0"/>
    <s v="B6 371"/>
    <s v="JBU371"/>
    <s v="LGA"/>
    <s v="KLGA"/>
    <s v="FLL"/>
    <s v="KFLL"/>
    <d v="2026-09-24T23:01:54"/>
    <d v="2026-09-25T01:26:35"/>
    <n v="145"/>
    <x v="187"/>
    <s v="A320"/>
    <s v="A320"/>
    <s v="Complete"/>
    <s v="a8a785"/>
  </r>
  <r>
    <x v="0"/>
    <s v="B6 248"/>
    <s v="JBU248"/>
    <s v="LAS"/>
    <s v="KLAS"/>
    <s v="JFK"/>
    <s v="KJFK"/>
    <d v="2026-09-24T23:01:57"/>
    <d v="2026-09-25T03:33:55"/>
    <n v="272"/>
    <x v="110"/>
    <s v="A321"/>
    <s v="A321"/>
    <s v="Complete"/>
    <s v="adc5ff"/>
  </r>
  <r>
    <x v="0"/>
    <s v="B6 1962"/>
    <s v="JBU1962"/>
    <s v="DJT"/>
    <s v="KPBI"/>
    <s v="LGA"/>
    <s v="KLGA"/>
    <d v="2026-09-24T23:04:13"/>
    <d v="2026-09-25T01:26:17"/>
    <n v="142"/>
    <x v="219"/>
    <s v="A320"/>
    <s v="A320"/>
    <s v="Complete"/>
    <s v="a6587b"/>
  </r>
  <r>
    <x v="0"/>
    <s v="B6 672"/>
    <s v="JBU672"/>
    <s v="FLL"/>
    <s v="KFLL"/>
    <s v="LGA"/>
    <s v="KLGA"/>
    <d v="2026-09-24T23:05:49"/>
    <d v="2026-09-25T01:37:53"/>
    <n v="152"/>
    <x v="31"/>
    <s v="A320"/>
    <s v="A320"/>
    <s v="Complete"/>
    <s v="a8c028"/>
  </r>
  <r>
    <x v="0"/>
    <s v="B6 400"/>
    <s v="JBU400"/>
    <s v="MSY"/>
    <s v="KMSY"/>
    <s v="BOS"/>
    <s v="KBOS"/>
    <d v="2026-09-24T23:05:50"/>
    <d v="2026-09-25T02:02:05"/>
    <n v="176"/>
    <x v="237"/>
    <s v="A320"/>
    <s v="A320"/>
    <s v="Complete"/>
    <s v="a7d32e"/>
  </r>
  <r>
    <x v="0"/>
    <s v="B6 1054"/>
    <s v="JBU1054"/>
    <s v="DJT"/>
    <s v="KPBI"/>
    <s v="JFK"/>
    <s v="KJFK"/>
    <d v="2026-09-24T23:07:09"/>
    <d v="2026-09-25T01:22:23"/>
    <n v="135"/>
    <x v="234"/>
    <s v="A321"/>
    <s v="A321"/>
    <s v="Complete"/>
    <s v="ad56e0"/>
  </r>
  <r>
    <x v="0"/>
    <s v="B6 603"/>
    <s v="JBU603"/>
    <s v="JFK"/>
    <s v="KJFK"/>
    <s v="YVR"/>
    <s v="CYVR"/>
    <d v="2026-09-24T23:07:24"/>
    <d v="2026-09-25T04:40:50"/>
    <n v="333"/>
    <x v="216"/>
    <s v="A321"/>
    <s v="A321"/>
    <s v="Landing inferred"/>
    <s v="ad7e6f"/>
  </r>
  <r>
    <x v="0"/>
    <s v="B6 539"/>
    <s v="JBU539"/>
    <s v="JFK"/>
    <s v="KJFK"/>
    <m/>
    <m/>
    <d v="2026-09-24T23:08:23"/>
    <d v="2026-09-25T02:13:54"/>
    <n v="186"/>
    <x v="105"/>
    <s v="A220-300"/>
    <s v="BCS3"/>
    <s v="Signal lost"/>
    <s v="a36825"/>
  </r>
  <r>
    <x v="0"/>
    <s v="B6 1486"/>
    <s v="JBU1486"/>
    <s v="RDU"/>
    <s v="KRDU"/>
    <s v="JFK"/>
    <s v="KJFK"/>
    <d v="2026-09-24T23:10:08"/>
    <d v="2026-09-25T00:23:58"/>
    <n v="74"/>
    <x v="212"/>
    <s v="A220-300"/>
    <s v="BCS3"/>
    <s v="Complete"/>
    <s v="a34e01"/>
  </r>
  <r>
    <x v="0"/>
    <s v="B6 1728"/>
    <s v="JBU1728"/>
    <s v="MCO"/>
    <s v="KMCO"/>
    <s v="EWR"/>
    <s v="KEWR"/>
    <d v="2026-09-24T23:10:24"/>
    <d v="2026-09-25T01:37:26"/>
    <n v="147"/>
    <x v="220"/>
    <s v="A320"/>
    <s v="A320"/>
    <s v="Complete"/>
    <s v="a8bc71"/>
  </r>
  <r>
    <x v="0"/>
    <s v="B6 1880"/>
    <s v="JBU1880"/>
    <s v="FLL"/>
    <s v="KFLL"/>
    <s v="DCA"/>
    <s v="KDCA"/>
    <d v="2026-09-24T23:10:25"/>
    <d v="2026-09-25T01:29:45"/>
    <n v="139"/>
    <x v="223"/>
    <s v="A320"/>
    <s v="A320"/>
    <s v="Complete"/>
    <s v="a976c7"/>
  </r>
  <r>
    <x v="0"/>
    <s v="B6 462"/>
    <s v="JBU462"/>
    <s v="SJU"/>
    <s v="TJSJ"/>
    <s v="BOS"/>
    <s v="KBOS"/>
    <d v="2026-09-24T23:15:02"/>
    <d v="2026-09-25T02:36:25"/>
    <n v="201"/>
    <x v="173"/>
    <s v="A320"/>
    <s v="A320"/>
    <s v="Complete"/>
    <s v="a6ab27"/>
  </r>
  <r>
    <x v="0"/>
    <s v="B6 433"/>
    <s v="JBU433"/>
    <s v="MCO"/>
    <s v="KMCO"/>
    <s v="SJU"/>
    <s v="TJSJ"/>
    <d v="2026-09-24T23:15:03"/>
    <d v="2026-09-25T01:41:56"/>
    <n v="147"/>
    <x v="193"/>
    <s v="A321"/>
    <s v="A321"/>
    <s v="Landing inferred"/>
    <s v="ad9712"/>
  </r>
  <r>
    <x v="0"/>
    <s v="B6 914"/>
    <s v="JBU914"/>
    <s v="FLL"/>
    <s v="KFLL"/>
    <s v="HPN"/>
    <s v="KHPN"/>
    <d v="2026-09-24T23:15:47"/>
    <d v="2026-09-25T01:41:27"/>
    <n v="146"/>
    <x v="67"/>
    <s v="A320"/>
    <s v="A320"/>
    <s v="Landing inferred"/>
    <s v="a689b8"/>
  </r>
  <r>
    <x v="0"/>
    <s v="B6 678"/>
    <s v="JBU678"/>
    <s v="JAX"/>
    <s v="KJAX"/>
    <s v="JFK"/>
    <s v="KJFK"/>
    <d v="2026-09-24T23:16:02"/>
    <d v="2026-09-25T01:04:45"/>
    <n v="109"/>
    <x v="142"/>
    <s v="A220-300"/>
    <s v="BCS3"/>
    <s v="Complete"/>
    <s v="a3298a"/>
  </r>
  <r>
    <x v="0"/>
    <s v="B6 817"/>
    <s v="JBU817"/>
    <s v="BOS"/>
    <s v="KBOS"/>
    <s v="JFK"/>
    <s v="KJFK"/>
    <d v="2026-09-24T23:17:08"/>
    <d v="2026-09-25T00:18:13"/>
    <n v="61"/>
    <x v="50"/>
    <s v="A220-300"/>
    <s v="BCS3"/>
    <s v="Complete"/>
    <s v="a35fc2"/>
  </r>
  <r>
    <x v="0"/>
    <s v="B6 1184"/>
    <s v="JBU1184"/>
    <s v="MCO"/>
    <s v="KMCO"/>
    <s v="JFK"/>
    <s v="KJFK"/>
    <d v="2026-09-24T23:18:27"/>
    <d v="2026-09-25T01:31:15"/>
    <n v="133"/>
    <x v="135"/>
    <s v="A321neo"/>
    <s v="A21N"/>
    <s v="Complete"/>
    <s v="a1a0c4"/>
  </r>
  <r>
    <x v="0"/>
    <s v="B6 1234"/>
    <s v="JBU1234"/>
    <s v="SFO"/>
    <s v="KSFO"/>
    <s v="BOS"/>
    <s v="KBOS"/>
    <d v="2026-09-24T23:18:38"/>
    <d v="2026-09-25T04:30:51"/>
    <n v="312"/>
    <x v="202"/>
    <s v="A321"/>
    <s v="A321"/>
    <s v="Complete"/>
    <s v="adabfe"/>
  </r>
  <r>
    <x v="0"/>
    <s v="B6 330"/>
    <s v="JBU330"/>
    <m/>
    <m/>
    <s v="BOS"/>
    <s v="KBOS"/>
    <d v="2026-09-24T23:28:43"/>
    <d v="2026-09-25T00:29:57"/>
    <n v="61"/>
    <x v="1"/>
    <s v="A321"/>
    <s v="A321"/>
    <s v="Complete"/>
    <s v="ad8836"/>
  </r>
  <r>
    <x v="0"/>
    <s v="B6 1396"/>
    <s v="JBU1396"/>
    <s v="ATL"/>
    <s v="KATL"/>
    <s v="BOS"/>
    <s v="KBOS"/>
    <d v="2026-09-24T23:29:13"/>
    <d v="2026-09-25T01:32:35"/>
    <n v="123"/>
    <x v="162"/>
    <s v="A220-300"/>
    <s v="BCS3"/>
    <s v="Complete"/>
    <s v="a338ac"/>
  </r>
  <r>
    <x v="0"/>
    <s v="B6 933"/>
    <s v="JBU933"/>
    <s v="BOS"/>
    <s v="KBOS"/>
    <s v="SFO"/>
    <s v="KSFO"/>
    <d v="2026-09-24T23:29:33"/>
    <d v="2026-09-25T05:14:00"/>
    <n v="344"/>
    <x v="46"/>
    <s v="A321"/>
    <s v="A321"/>
    <s v="Complete"/>
    <s v="ad0074"/>
  </r>
  <r>
    <x v="0"/>
    <s v="B6 520"/>
    <s v="JBU520"/>
    <s v="ATL"/>
    <s v="KATL"/>
    <s v="JFK"/>
    <s v="KJFK"/>
    <d v="2026-09-24T23:30:46"/>
    <d v="2026-09-25T01:17:26"/>
    <n v="107"/>
    <x v="229"/>
    <s v="A220-300"/>
    <s v="BCS3"/>
    <s v="Complete"/>
    <s v="a39948"/>
  </r>
  <r>
    <x v="0"/>
    <s v="B6 798"/>
    <s v="JBU798"/>
    <s v="MCO"/>
    <s v="KMCO"/>
    <s v="LGA"/>
    <s v="KLGA"/>
    <d v="2026-09-24T23:32:04"/>
    <d v="2026-09-25T01:46:34"/>
    <n v="135"/>
    <x v="4"/>
    <s v="Unknown"/>
    <m/>
    <s v="Complete"/>
    <s v="a38fa4"/>
  </r>
  <r>
    <x v="0"/>
    <s v="B6 1131"/>
    <s v="JBU1131"/>
    <s v="CHS"/>
    <s v="KCHS"/>
    <s v="FLL"/>
    <s v="KFLL"/>
    <d v="2026-09-24T23:33:56"/>
    <d v="2026-09-25T00:35:47"/>
    <n v="62"/>
    <x v="5"/>
    <s v="A320"/>
    <s v="A320"/>
    <s v="Complete"/>
    <s v="a87898"/>
  </r>
  <r>
    <x v="0"/>
    <s v="B6 907"/>
    <s v="JBU907"/>
    <s v="BOS"/>
    <s v="KBOS"/>
    <s v="BNA"/>
    <s v="KBNA"/>
    <d v="2026-09-24T23:34:11"/>
    <d v="2026-09-25T01:49:57"/>
    <n v="136"/>
    <x v="148"/>
    <s v="A220-300"/>
    <s v="BCS3"/>
    <s v="Complete"/>
    <s v="a36b73"/>
  </r>
  <r>
    <x v="0"/>
    <s v="B6 164"/>
    <s v="JBU164"/>
    <s v="SRQ"/>
    <s v="KSRQ"/>
    <s v="JFK"/>
    <s v="KJFK"/>
    <d v="2026-09-24T23:36:22"/>
    <d v="2026-09-25T02:20:52"/>
    <n v="165"/>
    <x v="166"/>
    <s v="A220-300"/>
    <s v="BCS3"/>
    <s v="Complete"/>
    <s v="a34d2f"/>
  </r>
  <r>
    <x v="0"/>
    <s v="B6 845"/>
    <s v="JBU845"/>
    <s v="BOS"/>
    <s v="KBOS"/>
    <s v="SYR"/>
    <s v="KSYR"/>
    <d v="2026-09-24T23:36:34"/>
    <d v="2026-09-25T00:26:09"/>
    <n v="50"/>
    <x v="175"/>
    <s v="A220-300"/>
    <s v="BCS3"/>
    <s v="Complete"/>
    <s v="a38ad5"/>
  </r>
  <r>
    <x v="0"/>
    <s v="B6 397"/>
    <s v="JBU397"/>
    <s v="BOS"/>
    <s v="KBOS"/>
    <s v="SEA"/>
    <s v="KSEA"/>
    <d v="2026-09-24T23:40:42"/>
    <d v="2026-09-25T05:17:54"/>
    <n v="337"/>
    <x v="164"/>
    <s v="A321"/>
    <s v="A321"/>
    <s v="Complete"/>
    <s v="adf128"/>
  </r>
  <r>
    <x v="0"/>
    <s v="B6 451"/>
    <s v="JBU451"/>
    <s v="BOS"/>
    <s v="KBOS"/>
    <s v="MCO"/>
    <s v="KMCO"/>
    <d v="2026-09-24T23:41:54"/>
    <d v="2026-09-25T02:21:03"/>
    <n v="159"/>
    <x v="103"/>
    <s v="A220-300"/>
    <s v="BCS3"/>
    <s v="Complete"/>
    <s v="a360b7"/>
  </r>
  <r>
    <x v="0"/>
    <s v="B6 924"/>
    <s v="JBU924"/>
    <s v="LAX"/>
    <s v="KLAX"/>
    <s v="JFK"/>
    <s v="KJFK"/>
    <d v="2026-09-24T23:42:20"/>
    <d v="2026-09-25T04:35:24"/>
    <n v="293"/>
    <x v="168"/>
    <s v="A321"/>
    <s v="A321"/>
    <s v="Complete"/>
    <s v="ada227"/>
  </r>
  <r>
    <x v="0"/>
    <s v="B6 516"/>
    <s v="JBU516"/>
    <s v="BUF"/>
    <s v="KBUF"/>
    <s v="BOS"/>
    <s v="KBOS"/>
    <d v="2026-09-24T23:42:51"/>
    <d v="2026-09-25T00:49:36"/>
    <n v="67"/>
    <x v="41"/>
    <s v="A320"/>
    <s v="A320"/>
    <s v="Complete"/>
    <s v="a85887"/>
  </r>
  <r>
    <x v="0"/>
    <s v="B6 106"/>
    <s v="JBU106"/>
    <s v="FLL"/>
    <s v="KFLL"/>
    <s v="EWR"/>
    <s v="KEWR"/>
    <d v="2026-09-24T23:43:12"/>
    <d v="2026-09-25T02:16:55"/>
    <n v="154"/>
    <x v="169"/>
    <s v="A320"/>
    <s v="A320"/>
    <s v="Complete"/>
    <s v="a8712a"/>
  </r>
  <r>
    <x v="0"/>
    <s v="B6 2424"/>
    <s v="JBU2424"/>
    <s v="MCO"/>
    <s v="KMCO"/>
    <s v="DCA"/>
    <s v="KDCA"/>
    <d v="2026-09-24T23:43:45"/>
    <d v="2026-09-25T01:28:04"/>
    <n v="104"/>
    <x v="9"/>
    <s v="A320"/>
    <s v="A320"/>
    <s v="Complete"/>
    <s v="a83108"/>
  </r>
  <r>
    <x v="0"/>
    <s v="B6 65"/>
    <s v="JBU65"/>
    <s v="JFK"/>
    <s v="KJFK"/>
    <s v="ABQ"/>
    <s v="KABQ"/>
    <d v="2026-09-24T23:48:21"/>
    <d v="2026-09-25T03:54:05"/>
    <n v="246"/>
    <x v="154"/>
    <s v="A320"/>
    <s v="A320"/>
    <s v="Complete"/>
    <s v="aa7c64"/>
  </r>
  <r>
    <x v="0"/>
    <s v="B6 1979"/>
    <s v="JBU1979"/>
    <s v="DCA"/>
    <s v="KDCA"/>
    <s v="FLL"/>
    <s v="KFLL"/>
    <d v="2026-09-24T23:51:27"/>
    <d v="2026-09-25T01:54:21"/>
    <n v="123"/>
    <x v="149"/>
    <s v="A320"/>
    <s v="A320"/>
    <s v="Complete"/>
    <s v="a88774"/>
  </r>
  <r>
    <x v="0"/>
    <s v="B6 1152"/>
    <s v="JBU1152"/>
    <s v="MCO"/>
    <s v="KMCO"/>
    <s v="BOS"/>
    <s v="KBOS"/>
    <d v="2026-09-24T23:52:53"/>
    <d v="2026-09-25T02:15:59"/>
    <n v="143"/>
    <x v="6"/>
    <s v="A321neo"/>
    <s v="A21N"/>
    <s v="Complete"/>
    <s v="a1a0a1"/>
  </r>
  <r>
    <x v="0"/>
    <s v="B6 548"/>
    <s v="JBU548"/>
    <s v="TPA"/>
    <s v="KTPA"/>
    <s v="HPN"/>
    <s v="KHPN"/>
    <d v="2026-09-24T23:53:11"/>
    <d v="2026-09-25T02:21:29"/>
    <n v="148"/>
    <x v="17"/>
    <s v="A320"/>
    <s v="A320"/>
    <s v="Landing inferred"/>
    <s v="a6a3c2"/>
  </r>
  <r>
    <x v="0"/>
    <s v="B6 388"/>
    <s v="JBU388"/>
    <s v="DJT"/>
    <s v="KPBI"/>
    <s v="PVD"/>
    <s v="KPVD"/>
    <d v="2026-09-24T23:53:20"/>
    <d v="2026-09-25T02:27:11"/>
    <n v="154"/>
    <x v="40"/>
    <s v="A320"/>
    <s v="A320"/>
    <s v="Complete"/>
    <s v="aaa02c"/>
  </r>
  <r>
    <x v="0"/>
    <s v="B6 406"/>
    <s v="JBU406"/>
    <s v="BNA"/>
    <s v="KBNA"/>
    <s v="BOS"/>
    <s v="KBOS"/>
    <d v="2026-09-24T23:55:44"/>
    <d v="2026-09-25T02:06:22"/>
    <n v="131"/>
    <x v="128"/>
    <s v="A220-300"/>
    <s v="BCS3"/>
    <s v="Complete"/>
    <s v="a3514f"/>
  </r>
  <r>
    <x v="0"/>
    <s v="B6 1697"/>
    <s v="JBU1697"/>
    <s v="ATL"/>
    <s v="KATL"/>
    <s v="FLL"/>
    <s v="KFLL"/>
    <d v="2026-09-24T23:55:53"/>
    <d v="2026-09-25T01:18:22"/>
    <n v="82"/>
    <x v="185"/>
    <s v="A320"/>
    <s v="A320"/>
    <s v="Complete"/>
    <s v="a7bfa0"/>
  </r>
  <r>
    <x v="0"/>
    <s v="B6 2954"/>
    <s v="JBU2954"/>
    <s v="DCA"/>
    <s v="KDCA"/>
    <s v="BOS"/>
    <s v="KBOS"/>
    <d v="2026-09-24T23:56:15"/>
    <d v="2026-09-25T01:01:00"/>
    <n v="65"/>
    <x v="62"/>
    <s v="A220-300"/>
    <s v="BCS3"/>
    <s v="Complete"/>
    <s v="a37fb0"/>
  </r>
  <r>
    <x v="1"/>
    <s v="B6 1337"/>
    <s v="JBU1337"/>
    <s v="BOS"/>
    <s v="KBOS"/>
    <s v="DTW"/>
    <s v="KDTW"/>
    <d v="2026-09-25T00:10:02"/>
    <d v="2026-09-25T01:43:52"/>
    <n v="94"/>
    <x v="132"/>
    <s v="A220-300"/>
    <s v="BCS3"/>
    <s v="Complete"/>
    <s v="a37c1c"/>
  </r>
  <r>
    <x v="1"/>
    <s v="B6 1786"/>
    <s v="JBU1786"/>
    <s v="PIT"/>
    <s v="KPIT"/>
    <s v="BOS"/>
    <s v="KBOS"/>
    <d v="2026-09-25T00:12:24"/>
    <d v="2026-09-25T01:29:52"/>
    <n v="77"/>
    <x v="64"/>
    <s v="A220-300"/>
    <s v="BCS3"/>
    <s v="Complete"/>
    <s v="a33ca9"/>
  </r>
  <r>
    <x v="1"/>
    <s v="B6 1827"/>
    <s v="JBU1827"/>
    <s v="EWR"/>
    <s v="KEWR"/>
    <s v="MCO"/>
    <s v="KMCO"/>
    <d v="2026-09-25T00:15:18"/>
    <d v="2026-09-25T02:30:32"/>
    <n v="135"/>
    <x v="201"/>
    <s v="A320"/>
    <s v="A320"/>
    <s v="Complete"/>
    <s v="a894f2"/>
  </r>
  <r>
    <x v="1"/>
    <s v="B6 2779"/>
    <s v="JBU2779"/>
    <s v="FLL"/>
    <s v="KFLL"/>
    <s v="IAH"/>
    <s v="KIAH"/>
    <d v="2026-09-25T00:18:25"/>
    <d v="2026-09-25T02:34:50"/>
    <n v="136"/>
    <x v="24"/>
    <s v="A320"/>
    <s v="A320"/>
    <s v="Landing inferred"/>
    <s v="a70f11"/>
  </r>
  <r>
    <x v="1"/>
    <s v="B6 1136"/>
    <s v="JBU1136"/>
    <s v="DTW"/>
    <s v="KDTW"/>
    <s v="BOS"/>
    <s v="KBOS"/>
    <d v="2026-09-25T00:19:41"/>
    <d v="2026-09-25T01:49:17"/>
    <n v="90"/>
    <x v="21"/>
    <s v="A320"/>
    <s v="A320"/>
    <s v="Complete"/>
    <s v="a9607d"/>
  </r>
  <r>
    <x v="1"/>
    <s v="B6 2725"/>
    <s v="JBU2725"/>
    <s v="JFK"/>
    <s v="KJFK"/>
    <s v="TPA"/>
    <s v="KTPA"/>
    <d v="2026-09-25T00:21:45"/>
    <d v="2026-09-25T02:40:03"/>
    <n v="138"/>
    <x v="0"/>
    <s v="A321"/>
    <s v="A321"/>
    <s v="Complete"/>
    <s v="ad6f93"/>
  </r>
  <r>
    <x v="1"/>
    <s v="B6 2271"/>
    <s v="JBU2271"/>
    <s v="FLL"/>
    <s v="KFLL"/>
    <s v="AUS"/>
    <s v="KAUS"/>
    <d v="2026-09-25T00:22:39"/>
    <d v="2026-09-25T02:53:22"/>
    <n v="151"/>
    <x v="73"/>
    <s v="A320"/>
    <s v="A320"/>
    <s v="Complete"/>
    <s v="a73690"/>
  </r>
  <r>
    <x v="1"/>
    <s v="B6 201"/>
    <s v="JBU201"/>
    <s v="BUF"/>
    <s v="KBUF"/>
    <s v="JFK"/>
    <s v="KJFK"/>
    <d v="2026-09-25T00:25:04"/>
    <d v="2026-09-25T01:35:29"/>
    <n v="70"/>
    <x v="76"/>
    <s v="A220-300"/>
    <s v="BCS3"/>
    <s v="Complete"/>
    <s v="a3556f"/>
  </r>
  <r>
    <x v="1"/>
    <s v="B6 572"/>
    <s v="JBU572"/>
    <s v="FLL"/>
    <s v="KFLL"/>
    <s v="LGA"/>
    <s v="KLGA"/>
    <d v="2026-09-25T00:26:41"/>
    <d v="2026-09-25T02:50:58"/>
    <n v="144"/>
    <x v="66"/>
    <s v="A320"/>
    <s v="A320"/>
    <s v="Complete"/>
    <s v="a8021b"/>
  </r>
  <r>
    <x v="1"/>
    <s v="B6 560"/>
    <s v="JBU560"/>
    <s v="PHL"/>
    <s v="KPHL"/>
    <s v="BOS"/>
    <s v="KBOS"/>
    <d v="2026-09-25T00:29:24"/>
    <d v="2026-09-25T01:17:55"/>
    <n v="49"/>
    <x v="37"/>
    <s v="A220-300"/>
    <s v="BCS3"/>
    <s v="Complete"/>
    <s v="a3401a"/>
  </r>
  <r>
    <x v="1"/>
    <s v="B6 1694"/>
    <s v="JBU1694"/>
    <s v="MCO"/>
    <s v="KMCO"/>
    <s v="HPN"/>
    <s v="KHPN"/>
    <d v="2026-09-25T00:29:31"/>
    <d v="2026-09-25T02:42:31"/>
    <n v="133"/>
    <x v="68"/>
    <s v="A320"/>
    <s v="A320"/>
    <s v="Landing inferred"/>
    <s v="a7e5c1"/>
  </r>
  <r>
    <x v="1"/>
    <s v="B6 1739"/>
    <s v="JBU1739"/>
    <s v="SYR"/>
    <s v="KSYR"/>
    <s v="FLL"/>
    <s v="KFLL"/>
    <d v="2026-09-25T00:29:59"/>
    <d v="2026-09-25T03:05:07"/>
    <n v="155"/>
    <x v="158"/>
    <s v="A320"/>
    <s v="A320"/>
    <s v="Complete"/>
    <s v="a8b8ba"/>
  </r>
  <r>
    <x v="1"/>
    <s v="B6 1407"/>
    <s v="JBU1407"/>
    <s v="JFK"/>
    <s v="KJFK"/>
    <s v="CDG"/>
    <s v="LFPG"/>
    <d v="2026-09-25T00:30:06"/>
    <d v="2026-09-25T07:04:44"/>
    <n v="395"/>
    <x v="111"/>
    <s v="A321neo"/>
    <s v="A21N"/>
    <s v="Landing inferred"/>
    <s v="a4c9f8"/>
  </r>
  <r>
    <x v="1"/>
    <s v="B6 640"/>
    <s v="JBU640"/>
    <s v="CLE"/>
    <s v="KCLE"/>
    <s v="BOS"/>
    <s v="KBOS"/>
    <d v="2026-09-25T00:30:21"/>
    <d v="2026-09-25T02:02:09"/>
    <n v="92"/>
    <x v="88"/>
    <s v="A220-300"/>
    <s v="BCS3"/>
    <s v="Complete"/>
    <s v="a37842"/>
  </r>
  <r>
    <x v="1"/>
    <s v="B6 88"/>
    <s v="JBU88"/>
    <s v="FLL"/>
    <s v="KFLL"/>
    <s v="ALB"/>
    <s v="KALB"/>
    <d v="2026-09-25T00:30:55"/>
    <d v="2026-09-25T03:06:26"/>
    <n v="156"/>
    <x v="228"/>
    <s v="A320"/>
    <s v="A320"/>
    <s v="Landing inferred"/>
    <s v="aac3f4"/>
  </r>
  <r>
    <x v="1"/>
    <s v="B6 2144"/>
    <s v="JBU2144"/>
    <s v="DJT"/>
    <s v="KPBI"/>
    <s v="EWR"/>
    <s v="KEWR"/>
    <d v="2026-09-25T00:31:40"/>
    <d v="2026-09-25T02:56:12"/>
    <n v="145"/>
    <x v="157"/>
    <s v="A320"/>
    <s v="A320"/>
    <s v="Complete"/>
    <s v="aacf19"/>
  </r>
  <r>
    <x v="1"/>
    <s v="B6 2626"/>
    <s v="JBU2626"/>
    <s v="FLL"/>
    <s v="KFLL"/>
    <s v="RDU"/>
    <s v="KRDU"/>
    <d v="2026-09-25T00:32:15"/>
    <d v="2026-09-25T02:16:24"/>
    <n v="104"/>
    <x v="233"/>
    <s v="A320"/>
    <s v="A320"/>
    <s v="Complete"/>
    <s v="aa099e"/>
  </r>
  <r>
    <x v="1"/>
    <s v="B6 2322"/>
    <s v="JBU2322"/>
    <s v="DJT"/>
    <s v="KPBI"/>
    <s v="BOS"/>
    <s v="KBOS"/>
    <d v="2026-09-25T00:32:55"/>
    <d v="2026-09-25T03:04:39"/>
    <n v="152"/>
    <x v="19"/>
    <s v="A320"/>
    <s v="A320"/>
    <s v="Complete"/>
    <s v="a7da9c"/>
  </r>
  <r>
    <x v="1"/>
    <s v="B6 2581"/>
    <s v="JBU2581"/>
    <s v="FLL"/>
    <s v="KFLL"/>
    <s v="BNA"/>
    <s v="KBNA"/>
    <d v="2026-09-25T00:33:28"/>
    <d v="2026-09-25T12:04:18"/>
    <n v="691"/>
    <x v="236"/>
    <s v="A320"/>
    <s v="A320"/>
    <s v="Complete"/>
    <s v="a8aef3"/>
  </r>
  <r>
    <x v="1"/>
    <s v="B6 1468"/>
    <s v="JBU1468"/>
    <s v="DJT"/>
    <s v="KPBI"/>
    <s v="HPN"/>
    <s v="KHPN"/>
    <d v="2026-09-25T00:34:27"/>
    <d v="2026-09-25T03:02:21"/>
    <n v="148"/>
    <x v="79"/>
    <s v="A320"/>
    <s v="A320"/>
    <s v="Landing inferred"/>
    <s v="a9c5c5"/>
  </r>
  <r>
    <x v="1"/>
    <s v="B6 2290"/>
    <s v="JBU2290"/>
    <s v="FLL"/>
    <s v="KFLL"/>
    <s v="DTW"/>
    <s v="KDTW"/>
    <d v="2026-09-25T00:34:37"/>
    <d v="2026-09-25T03:11:19"/>
    <n v="157"/>
    <x v="14"/>
    <s v="A320"/>
    <s v="A320"/>
    <s v="Complete"/>
    <s v="aa589c"/>
  </r>
  <r>
    <x v="1"/>
    <s v="B6 2754"/>
    <s v="JBU2754"/>
    <s v="DCA"/>
    <s v="KDCA"/>
    <s v="BOS"/>
    <s v="KBOS"/>
    <d v="2026-09-25T00:39:27"/>
    <d v="2026-09-25T01:51:27"/>
    <n v="72"/>
    <x v="178"/>
    <s v="A220-300"/>
    <s v="BCS3"/>
    <s v="Complete"/>
    <s v="a36b50"/>
  </r>
  <r>
    <x v="1"/>
    <s v="B6 1905"/>
    <s v="JBU1905"/>
    <s v="FLL"/>
    <s v="KFLL"/>
    <s v="TPA"/>
    <s v="KTPA"/>
    <d v="2026-09-25T00:39:32"/>
    <d v="2026-09-25T01:15:05"/>
    <n v="36"/>
    <x v="12"/>
    <s v="A320"/>
    <s v="A320"/>
    <s v="Complete"/>
    <s v="a8222c"/>
  </r>
  <r>
    <x v="1"/>
    <s v="B6 1174"/>
    <s v="JBU1174"/>
    <s v="BNA"/>
    <s v="KBNA"/>
    <s v="JFK"/>
    <s v="KJFK"/>
    <d v="2026-09-25T00:41:46"/>
    <d v="2026-09-25T02:51:10"/>
    <n v="129"/>
    <x v="243"/>
    <s v="A320"/>
    <s v="A320"/>
    <s v="Complete"/>
    <s v="a85119"/>
  </r>
  <r>
    <x v="1"/>
    <s v="B6 31"/>
    <s v="JBU31"/>
    <s v="BOS"/>
    <s v="KBOS"/>
    <s v="AMS"/>
    <s v="EHAM"/>
    <d v="2026-09-25T00:41:56"/>
    <d v="2026-09-25T07:02:22"/>
    <n v="380"/>
    <x v="32"/>
    <s v="A321neo"/>
    <s v="A21N"/>
    <s v="Complete"/>
    <s v="a4c5d8"/>
  </r>
  <r>
    <x v="1"/>
    <s v="B6 818"/>
    <s v="JBU818"/>
    <s v="JFK"/>
    <s v="KJFK"/>
    <s v="BOS"/>
    <s v="KBOS"/>
    <d v="2026-09-25T00:42:35"/>
    <d v="2026-09-25T01:20:16"/>
    <n v="38"/>
    <x v="177"/>
    <s v="A220-300"/>
    <s v="BCS3"/>
    <s v="Complete"/>
    <s v="a39925"/>
  </r>
  <r>
    <x v="1"/>
    <s v="B6 70"/>
    <s v="JBU70"/>
    <s v="FLL"/>
    <s v="KFLL"/>
    <s v="BOS"/>
    <s v="KBOS"/>
    <d v="2026-09-25T00:44:14"/>
    <d v="2026-09-25T03:23:29"/>
    <n v="159"/>
    <x v="125"/>
    <s v="A320"/>
    <s v="A320"/>
    <s v="Complete"/>
    <s v="a721a4"/>
  </r>
  <r>
    <x v="1"/>
    <s v="B6 561"/>
    <s v="JBU561"/>
    <s v="BOS"/>
    <s v="KBOS"/>
    <s v="SJU"/>
    <s v="TJSJ"/>
    <d v="2026-09-25T00:45:14"/>
    <d v="2026-09-25T04:22:48"/>
    <n v="218"/>
    <x v="247"/>
    <s v="A320"/>
    <s v="A320"/>
    <s v="Landing inferred"/>
    <s v="a6f2b7"/>
  </r>
  <r>
    <x v="1"/>
    <s v="B6 607"/>
    <s v="JBU607"/>
    <s v="FLL"/>
    <s v="KFLL"/>
    <s v="LAS"/>
    <s v="KLAS"/>
    <d v="2026-09-25T00:45:37"/>
    <d v="2026-09-25T05:27:55"/>
    <n v="282"/>
    <x v="98"/>
    <s v="A321"/>
    <s v="A321"/>
    <s v="Complete"/>
    <s v="ad1560"/>
  </r>
  <r>
    <x v="1"/>
    <s v="B6 515"/>
    <s v="JBU515"/>
    <s v="JFK"/>
    <s v="KJFK"/>
    <s v="SFO"/>
    <s v="KSFO"/>
    <d v="2026-09-25T00:46:09"/>
    <d v="2026-09-25T06:24:16"/>
    <n v="338"/>
    <x v="123"/>
    <s v="A321"/>
    <s v="A321"/>
    <s v="Complete"/>
    <s v="ad2095"/>
  </r>
  <r>
    <x v="1"/>
    <s v="B6 2279"/>
    <s v="JBU2279"/>
    <s v="FLL"/>
    <s v="KFLL"/>
    <s v="DFW"/>
    <s v="KDFW"/>
    <d v="2026-09-25T00:47:27"/>
    <d v="2026-09-25T03:20:18"/>
    <n v="153"/>
    <x v="180"/>
    <s v="A320"/>
    <s v="A320"/>
    <s v="Complete"/>
    <s v="a6b4f7"/>
  </r>
  <r>
    <x v="1"/>
    <s v="B6 1590"/>
    <s v="JBU1590"/>
    <s v="FLL"/>
    <s v="KFLL"/>
    <s v="CLE"/>
    <s v="KCLE"/>
    <d v="2026-09-25T00:48:19"/>
    <d v="2026-09-25T03:19:04"/>
    <n v="151"/>
    <x v="8"/>
    <s v="A220-300"/>
    <s v="BCS3"/>
    <s v="Complete"/>
    <s v="a358bd"/>
  </r>
  <r>
    <x v="1"/>
    <s v="B6 1196"/>
    <s v="JBU1196"/>
    <s v="FLL"/>
    <s v="KFLL"/>
    <s v="PVD"/>
    <s v="KPVD"/>
    <d v="2026-09-25T00:49:29"/>
    <d v="2026-09-25T03:24:15"/>
    <n v="155"/>
    <x v="172"/>
    <s v="A320"/>
    <s v="A320"/>
    <s v="Complete"/>
    <s v="aac7ab"/>
  </r>
  <r>
    <x v="1"/>
    <s v="B6 460"/>
    <s v="JBU460"/>
    <s v="FLL"/>
    <s v="KFLL"/>
    <s v="BDL"/>
    <s v="KBDL"/>
    <d v="2026-09-25T00:50:45"/>
    <d v="2026-09-25T03:27:58"/>
    <n v="157"/>
    <x v="45"/>
    <s v="A320"/>
    <s v="A320"/>
    <s v="Landing inferred"/>
    <s v="a967eb"/>
  </r>
  <r>
    <x v="1"/>
    <s v="B6 277"/>
    <s v="JBU277"/>
    <s v="FLL"/>
    <s v="KFLL"/>
    <s v="SFO"/>
    <s v="KSFO"/>
    <d v="2026-09-25T00:52:19"/>
    <d v="2026-09-25T06:18:49"/>
    <n v="326"/>
    <x v="122"/>
    <s v="A321"/>
    <s v="A321"/>
    <s v="Complete"/>
    <s v="acf906"/>
  </r>
  <r>
    <x v="1"/>
    <s v="B6 251"/>
    <s v="JBU251"/>
    <s v="BOS"/>
    <s v="KBOS"/>
    <s v="MCO"/>
    <s v="KMCO"/>
    <d v="2026-09-25T00:52:43"/>
    <d v="2026-09-25T03:32:46"/>
    <n v="160"/>
    <x v="248"/>
    <s v="A321"/>
    <s v="A321"/>
    <s v="Complete"/>
    <s v="ade9c0"/>
  </r>
  <r>
    <x v="1"/>
    <s v="B6 1800"/>
    <s v="JBU1800"/>
    <s v="FLL"/>
    <s v="KFLL"/>
    <s v="ORF"/>
    <s v="KORF"/>
    <d v="2026-09-25T00:52:57"/>
    <d v="2026-09-25T02:42:38"/>
    <n v="110"/>
    <x v="231"/>
    <s v="A320"/>
    <s v="A320"/>
    <s v="Landing inferred"/>
    <s v="a7de53"/>
  </r>
  <r>
    <x v="1"/>
    <s v="B6 2918"/>
    <s v="JBU2918"/>
    <s v="JFK"/>
    <s v="KJFK"/>
    <s v="BOS"/>
    <s v="KBOS"/>
    <d v="2026-09-25T00:55:14"/>
    <d v="2026-09-25T01:36:37"/>
    <n v="41"/>
    <x v="55"/>
    <s v="A320"/>
    <s v="A320"/>
    <s v="Complete"/>
    <s v="a96ba2"/>
  </r>
  <r>
    <x v="1"/>
    <s v="B6 345"/>
    <s v="JBU345"/>
    <s v="BOS"/>
    <s v="KBOS"/>
    <s v="BCN"/>
    <s v="LEBL"/>
    <d v="2026-09-25T00:55:27"/>
    <d v="2026-09-25T07:45:36"/>
    <n v="410"/>
    <x v="48"/>
    <s v="A321neo"/>
    <s v="A21N"/>
    <s v="Complete"/>
    <s v="a4cd23"/>
  </r>
  <r>
    <x v="1"/>
    <s v="B6 71"/>
    <s v="JBU71"/>
    <s v="JFK"/>
    <s v="KJFK"/>
    <s v="SLC"/>
    <s v="KSLC"/>
    <d v="2026-09-25T00:56:20"/>
    <d v="2026-09-25T05:25:39"/>
    <n v="269"/>
    <x v="160"/>
    <s v="A220-300"/>
    <s v="BCS3"/>
    <s v="Complete"/>
    <s v="a39243"/>
  </r>
  <r>
    <x v="1"/>
    <s v="B6 1146"/>
    <s v="JBU1146"/>
    <s v="FLL"/>
    <s v="KFLL"/>
    <s v="RIC"/>
    <s v="KRIC"/>
    <d v="2026-09-25T00:57:35"/>
    <d v="2026-09-25T02:54:58"/>
    <n v="117"/>
    <x v="138"/>
    <s v="A320"/>
    <s v="A320"/>
    <s v="Landing inferred"/>
    <s v="a683a8"/>
  </r>
  <r>
    <x v="1"/>
    <s v="B6 2501"/>
    <s v="JBU2501"/>
    <s v="FLL"/>
    <s v="KFLL"/>
    <s v="LAX"/>
    <s v="KLAX"/>
    <d v="2026-09-25T00:58:44"/>
    <d v="2026-09-25T05:58:27"/>
    <n v="300"/>
    <x v="121"/>
    <s v="A321"/>
    <s v="A321"/>
    <s v="Complete"/>
    <s v="ad27f3"/>
  </r>
  <r>
    <x v="1"/>
    <s v="B6 613"/>
    <s v="JBU613"/>
    <s v="HPN"/>
    <s v="KHPN"/>
    <s v="FLL"/>
    <s v="KFLL"/>
    <d v="2026-09-25T01:04:12"/>
    <d v="2026-09-25T03:32:54"/>
    <n v="149"/>
    <x v="226"/>
    <s v="A320"/>
    <s v="A320"/>
    <s v="Complete"/>
    <s v="a732d9"/>
  </r>
  <r>
    <x v="1"/>
    <s v="B6 1798"/>
    <s v="JBU1798"/>
    <s v="FLL"/>
    <s v="KFLL"/>
    <s v="ATL"/>
    <s v="KATL"/>
    <d v="2026-09-25T01:06:40"/>
    <d v="2026-09-25T02:37:52"/>
    <n v="91"/>
    <x v="35"/>
    <s v="A220-300"/>
    <s v="BCS3"/>
    <s v="Complete"/>
    <s v="a38e69"/>
  </r>
  <r>
    <x v="1"/>
    <s v="B6 195"/>
    <s v="JBU195"/>
    <s v="HPN"/>
    <s v="KHPN"/>
    <s v="MCO"/>
    <s v="KMCO"/>
    <d v="2026-09-25T01:07:50"/>
    <d v="2026-09-25T03:15:21"/>
    <n v="128"/>
    <x v="72"/>
    <s v="A320"/>
    <s v="A320"/>
    <s v="Complete"/>
    <s v="a752ea"/>
  </r>
  <r>
    <x v="1"/>
    <s v="B6 2128"/>
    <s v="JBU2128"/>
    <s v="MCO"/>
    <s v="KMCO"/>
    <s v="EWR"/>
    <s v="KEWR"/>
    <d v="2026-09-25T01:11:56"/>
    <d v="2026-09-25T03:32:26"/>
    <n v="141"/>
    <x v="245"/>
    <s v="A320"/>
    <s v="A320"/>
    <s v="Complete"/>
    <s v="a7a956"/>
  </r>
  <r>
    <x v="1"/>
    <s v="B6 376"/>
    <s v="JBU376"/>
    <s v="FLL"/>
    <s v="KFLL"/>
    <s v="PHL"/>
    <s v="KPHL"/>
    <d v="2026-09-25T01:12:34"/>
    <d v="2026-09-25T03:43:23"/>
    <n v="151"/>
    <x v="114"/>
    <s v="A320"/>
    <s v="A320"/>
    <s v="Landing inferred"/>
    <s v="a7bbe9"/>
  </r>
  <r>
    <x v="1"/>
    <s v="B6 1902"/>
    <s v="JBU1902"/>
    <s v="FLL"/>
    <s v="KFLL"/>
    <s v="JFK"/>
    <s v="KJFK"/>
    <d v="2026-09-25T01:14:30"/>
    <d v="2026-09-25T03:44:46"/>
    <n v="150"/>
    <x v="210"/>
    <s v="A321"/>
    <s v="A321"/>
    <s v="Complete"/>
    <s v="ac8289"/>
  </r>
  <r>
    <x v="1"/>
    <s v="B6 1948"/>
    <s v="JBU1948"/>
    <s v="FLL"/>
    <s v="KFLL"/>
    <s v="MCO"/>
    <s v="KMCO"/>
    <d v="2026-09-25T01:15:44"/>
    <d v="2026-09-25T01:46:49"/>
    <n v="31"/>
    <x v="239"/>
    <s v="A320"/>
    <s v="A320"/>
    <s v="Complete"/>
    <s v="a7e20a"/>
  </r>
  <r>
    <x v="1"/>
    <s v="B6 1952"/>
    <s v="JBU1952"/>
    <s v="MCO"/>
    <s v="KMCO"/>
    <s v="BOS"/>
    <s v="KBOS"/>
    <d v="2026-09-25T01:17:00"/>
    <d v="2026-09-25T03:45:54"/>
    <n v="149"/>
    <x v="146"/>
    <s v="A220-300"/>
    <s v="BCS3"/>
    <s v="Complete"/>
    <s v="a38af8"/>
  </r>
  <r>
    <x v="1"/>
    <s v="B6 1223"/>
    <s v="JBU1223"/>
    <s v="JFK"/>
    <s v="KJFK"/>
    <s v="LAX"/>
    <s v="KLAX"/>
    <d v="2026-09-25T01:18:40"/>
    <d v="2026-09-25T06:33:02"/>
    <n v="314"/>
    <x v="126"/>
    <s v="A321"/>
    <s v="A321"/>
    <s v="Complete"/>
    <s v="ad7701"/>
  </r>
  <r>
    <x v="1"/>
    <s v="B6 2783"/>
    <s v="JBU2783"/>
    <s v="BOS"/>
    <s v="KBOS"/>
    <s v="RDU"/>
    <s v="KRDU"/>
    <d v="2026-09-25T01:20:38"/>
    <d v="2026-09-25T03:02:52"/>
    <n v="102"/>
    <x v="155"/>
    <s v="A220-300"/>
    <s v="BCS3"/>
    <s v="Complete"/>
    <s v="a35854"/>
  </r>
  <r>
    <x v="1"/>
    <s v="B6 2149"/>
    <s v="JBU2149"/>
    <s v="FLL"/>
    <s v="KFLL"/>
    <s v="CLT"/>
    <s v="KCLT"/>
    <d v="2026-09-25T01:21:21"/>
    <d v="2026-09-25T02:58:37"/>
    <n v="97"/>
    <x v="53"/>
    <s v="A320"/>
    <s v="A320"/>
    <s v="Complete"/>
    <s v="a73dfe"/>
  </r>
  <r>
    <x v="1"/>
    <s v="B6 2768"/>
    <s v="JBU2768"/>
    <s v="JFK"/>
    <s v="KJFK"/>
    <s v="CLE"/>
    <s v="KCLE"/>
    <d v="2026-09-25T01:24:10"/>
    <d v="2026-09-25T02:33:56"/>
    <n v="70"/>
    <x v="11"/>
    <s v="A220-300"/>
    <s v="BCS3"/>
    <s v="Complete"/>
    <s v="a387f0"/>
  </r>
  <r>
    <x v="1"/>
    <s v="B6 571"/>
    <s v="JBU571"/>
    <s v="LGA"/>
    <s v="KLGA"/>
    <s v="FLL"/>
    <s v="KFLL"/>
    <d v="2026-09-25T01:26:58"/>
    <d v="2026-09-25T03:49:53"/>
    <n v="143"/>
    <x v="161"/>
    <s v="A320"/>
    <s v="A320"/>
    <s v="Complete"/>
    <s v="a87c4f"/>
  </r>
  <r>
    <x v="1"/>
    <s v="B6 719"/>
    <s v="JBU719"/>
    <s v="JFK"/>
    <s v="KJFK"/>
    <s v="ATL"/>
    <s v="KATL"/>
    <d v="2026-09-25T01:27:08"/>
    <d v="2026-09-25T03:12:48"/>
    <n v="106"/>
    <x v="207"/>
    <s v="A220-300"/>
    <s v="BCS3"/>
    <s v="Complete"/>
    <s v="a3355e"/>
  </r>
  <r>
    <x v="1"/>
    <s v="B6 283"/>
    <s v="JBU283"/>
    <s v="JFK"/>
    <s v="KJFK"/>
    <s v="MCO"/>
    <s v="KMCO"/>
    <d v="2026-09-25T01:28:03"/>
    <d v="2026-09-25T03:40:48"/>
    <n v="133"/>
    <x v="205"/>
    <s v="A321"/>
    <s v="A321"/>
    <s v="Complete"/>
    <s v="ad8fa4"/>
  </r>
  <r>
    <x v="1"/>
    <s v="B6 33"/>
    <s v="JBU33"/>
    <s v="BOS"/>
    <s v="KBOS"/>
    <s v="CDG"/>
    <s v="LFPG"/>
    <d v="2026-09-25T01:28:35"/>
    <d v="2026-09-25T07:45:17"/>
    <n v="377"/>
    <x v="61"/>
    <s v="A321neo"/>
    <s v="A21N"/>
    <s v="Landing inferred"/>
    <s v="a4c98f"/>
  </r>
  <r>
    <x v="1"/>
    <s v="B6 381"/>
    <s v="JBU381"/>
    <s v="BOS"/>
    <s v="KBOS"/>
    <s v="RIC"/>
    <s v="KRIC"/>
    <d v="2026-09-25T01:31:03"/>
    <d v="2026-09-25T02:46:40"/>
    <n v="76"/>
    <x v="10"/>
    <s v="A220-300"/>
    <s v="BCS3"/>
    <s v="Landing inferred"/>
    <s v="a36b2d"/>
  </r>
  <r>
    <x v="1"/>
    <s v="B6 1012"/>
    <s v="JBU1012"/>
    <s v="ORD"/>
    <s v="KORD"/>
    <s v="BOS"/>
    <s v="KBOS"/>
    <d v="2026-09-25T01:33:03"/>
    <d v="2026-09-25T03:35:15"/>
    <n v="122"/>
    <x v="43"/>
    <s v="Unknown"/>
    <m/>
    <s v="Complete"/>
    <s v="a39fe4"/>
  </r>
  <r>
    <x v="1"/>
    <s v="B6 2186"/>
    <s v="JBU2186"/>
    <s v="PIT"/>
    <s v="KPIT"/>
    <s v="BOS"/>
    <s v="KBOS"/>
    <d v="2026-09-25T01:33:04"/>
    <d v="2026-09-25T02:57:31"/>
    <n v="84"/>
    <x v="133"/>
    <s v="A220-300"/>
    <s v="BCS3"/>
    <s v="Complete"/>
    <s v="a37fd3"/>
  </r>
  <r>
    <x v="1"/>
    <s v="B6 863"/>
    <s v="JBU863"/>
    <s v="FLL"/>
    <s v="KFLL"/>
    <s v="ORD"/>
    <s v="KORD"/>
    <d v="2026-09-25T01:33:58"/>
    <d v="2026-09-25T04:31:50"/>
    <n v="178"/>
    <x v="80"/>
    <s v="A320"/>
    <s v="A320"/>
    <s v="Complete"/>
    <s v="a8ab3c"/>
  </r>
  <r>
    <x v="1"/>
    <s v="B6 18"/>
    <s v="JBU18"/>
    <s v="FLL"/>
    <s v="KFLL"/>
    <m/>
    <m/>
    <d v="2026-09-25T01:35:15"/>
    <d v="2026-09-25T02:19:21"/>
    <n v="44"/>
    <x v="20"/>
    <s v="A320"/>
    <s v="A320"/>
    <s v="Landing inferred"/>
    <s v="a7b832"/>
  </r>
  <r>
    <x v="1"/>
    <s v="B6 470"/>
    <s v="JBU470"/>
    <s v="FLL"/>
    <s v="KFLL"/>
    <s v="BOS"/>
    <s v="KBOS"/>
    <d v="2026-09-25T01:37:15"/>
    <d v="2026-09-25T04:26:58"/>
    <n v="170"/>
    <x v="42"/>
    <s v="A320"/>
    <s v="A320"/>
    <s v="Complete"/>
    <s v="a854d0"/>
  </r>
  <r>
    <x v="1"/>
    <s v="B6 1854"/>
    <s v="JBU1854"/>
    <s v="DCA"/>
    <s v="KDCA"/>
    <s v="BOS"/>
    <s v="KBOS"/>
    <d v="2026-09-25T01:37:42"/>
    <d v="2026-09-25T02:46:26"/>
    <n v="69"/>
    <x v="196"/>
    <s v="A220-300"/>
    <s v="BCS3"/>
    <s v="Complete"/>
    <s v="a35c0b"/>
  </r>
  <r>
    <x v="1"/>
    <s v="B6 405"/>
    <s v="JBU405"/>
    <s v="JFK"/>
    <s v="KJFK"/>
    <s v="ORD"/>
    <s v="KORD"/>
    <d v="2026-09-25T01:38:03"/>
    <d v="2026-09-25T03:32:16"/>
    <n v="114"/>
    <x v="143"/>
    <s v="A220-300"/>
    <s v="BCS3"/>
    <s v="Complete"/>
    <s v="a34d52"/>
  </r>
  <r>
    <x v="1"/>
    <s v="B6 528"/>
    <s v="JBU528"/>
    <m/>
    <m/>
    <s v="JFK"/>
    <s v="KJFK"/>
    <d v="2026-09-25T01:41:31"/>
    <d v="2026-09-25T04:53:13"/>
    <n v="192"/>
    <x v="225"/>
    <s v="A321neo"/>
    <s v="A21N"/>
    <s v="Complete"/>
    <s v="a19d0d"/>
  </r>
  <r>
    <x v="1"/>
    <s v="B6 2008"/>
    <s v="JBU2008"/>
    <s v="FLL"/>
    <s v="KFLL"/>
    <s v="PIT"/>
    <s v="KPIT"/>
    <d v="2026-09-25T01:43:40"/>
    <d v="2026-09-25T04:08:17"/>
    <n v="145"/>
    <x v="249"/>
    <s v="A220-300"/>
    <s v="BCS3"/>
    <s v="Complete"/>
    <s v="a3711a"/>
  </r>
  <r>
    <x v="1"/>
    <s v="B6 2073"/>
    <s v="JBU2073"/>
    <s v="EWR"/>
    <s v="KEWR"/>
    <s v="LAX"/>
    <s v="KLAX"/>
    <d v="2026-09-25T01:46:36"/>
    <d v="2026-09-25T06:58:15"/>
    <n v="312"/>
    <x v="99"/>
    <s v="A321"/>
    <s v="A321"/>
    <s v="Complete"/>
    <s v="ad6bdc"/>
  </r>
  <r>
    <x v="1"/>
    <s v="B6 206"/>
    <s v="JBU206"/>
    <s v="BOS"/>
    <s v="KBOS"/>
    <s v="PQI"/>
    <s v="KPQI"/>
    <d v="2026-09-25T01:50:35"/>
    <d v="2026-09-25T02:39:45"/>
    <n v="49"/>
    <x v="36"/>
    <s v="A220-300"/>
    <s v="BCS3"/>
    <s v="Complete"/>
    <s v="a38836"/>
  </r>
  <r>
    <x v="1"/>
    <s v="B6 699"/>
    <s v="JBU699"/>
    <s v="LGA"/>
    <s v="KLGA"/>
    <s v="MCO"/>
    <s v="KMCO"/>
    <d v="2026-09-25T01:54:06"/>
    <d v="2026-09-25T04:01:13"/>
    <n v="127"/>
    <x v="130"/>
    <s v="A320"/>
    <s v="A320"/>
    <s v="Complete"/>
    <s v="a776b2"/>
  </r>
  <r>
    <x v="1"/>
    <s v="B6 514"/>
    <s v="JBU514"/>
    <s v="FLL"/>
    <s v="KFLL"/>
    <s v="ISP"/>
    <s v="KISP"/>
    <d v="2026-09-25T01:55:36"/>
    <d v="2026-09-25T04:30:41"/>
    <n v="155"/>
    <x v="33"/>
    <s v="A320"/>
    <s v="A320"/>
    <s v="Landing inferred"/>
    <s v="a7858e"/>
  </r>
  <r>
    <x v="1"/>
    <s v="B6 353"/>
    <s v="JBU353"/>
    <s v="BOS"/>
    <s v="KBOS"/>
    <s v="DUB"/>
    <s v="EIDW"/>
    <d v="2026-09-25T01:57:04"/>
    <d v="2026-09-25T07:27:45"/>
    <n v="331"/>
    <x v="95"/>
    <s v="A321neo"/>
    <s v="A21N"/>
    <s v="Complete"/>
    <s v="a1cb05"/>
  </r>
  <r>
    <x v="1"/>
    <s v="B6 2823"/>
    <s v="JBU2823"/>
    <s v="FLL"/>
    <s v="KFLL"/>
    <s v="MSY"/>
    <s v="KMSY"/>
    <d v="2026-09-25T01:57:39"/>
    <d v="2026-09-25T03:36:48"/>
    <n v="99"/>
    <x v="119"/>
    <s v="A320"/>
    <s v="A320"/>
    <s v="Complete"/>
    <s v="ab0416"/>
  </r>
  <r>
    <x v="1"/>
    <s v="B6 591"/>
    <s v="JBU591"/>
    <s v="BOS"/>
    <s v="KBOS"/>
    <s v="TPA"/>
    <s v="KTPA"/>
    <d v="2026-09-25T02:00:23"/>
    <d v="2026-09-25T04:39:16"/>
    <n v="159"/>
    <x v="218"/>
    <s v="A320"/>
    <s v="A320"/>
    <s v="Complete"/>
    <s v="a7167f"/>
  </r>
  <r>
    <x v="1"/>
    <s v="B6 706"/>
    <s v="JBU706"/>
    <s v="FLL"/>
    <s v="KFLL"/>
    <s v="EWR"/>
    <s v="KEWR"/>
    <d v="2026-09-25T02:00:34"/>
    <d v="2026-09-25T04:27:48"/>
    <n v="147"/>
    <x v="2"/>
    <s v="A320"/>
    <s v="A320"/>
    <s v="Complete"/>
    <s v="a8a3ce"/>
  </r>
  <r>
    <x v="1"/>
    <s v="B6 777"/>
    <s v="JBU777"/>
    <s v="BOS"/>
    <s v="KBOS"/>
    <s v="LAS"/>
    <s v="KLAS"/>
    <d v="2026-09-25T02:05:14"/>
    <d v="2026-09-25T07:11:29"/>
    <n v="306"/>
    <x v="120"/>
    <s v="A321"/>
    <s v="A321"/>
    <s v="Complete"/>
    <s v="adc9b6"/>
  </r>
  <r>
    <x v="1"/>
    <s v="B6 73"/>
    <s v="JBU73"/>
    <s v="JFK"/>
    <s v="KJFK"/>
    <s v="EDI"/>
    <s v="EGPH"/>
    <d v="2026-09-25T02:12:16"/>
    <d v="2026-09-25T08:10:53"/>
    <n v="359"/>
    <x v="137"/>
    <s v="A321neo"/>
    <s v="A21N"/>
    <s v="Complete"/>
    <s v="a1d2dc"/>
  </r>
  <r>
    <x v="1"/>
    <s v="B6 955"/>
    <s v="JBU955"/>
    <s v="JFK"/>
    <s v="KJFK"/>
    <s v="DCA"/>
    <s v="KDCA"/>
    <d v="2026-09-25T02:13:13"/>
    <d v="2026-09-25T03:01:54"/>
    <n v="49"/>
    <x v="50"/>
    <s v="A220-300"/>
    <s v="BCS3"/>
    <s v="Complete"/>
    <s v="a35fc2"/>
  </r>
  <r>
    <x v="1"/>
    <s v="B6 159"/>
    <s v="JBU159"/>
    <s v="BOS"/>
    <s v="KBOS"/>
    <s v="PHL"/>
    <s v="KPHL"/>
    <d v="2026-09-25T02:15:59"/>
    <d v="2026-09-25T03:21:52"/>
    <n v="66"/>
    <x v="189"/>
    <s v="A220-300"/>
    <s v="BCS3"/>
    <s v="Landing inferred"/>
    <s v="a35cba"/>
  </r>
  <r>
    <x v="1"/>
    <s v="B6 185"/>
    <s v="JBU185"/>
    <s v="JFK"/>
    <s v="KJFK"/>
    <s v="RDU"/>
    <s v="KRDU"/>
    <d v="2026-09-25T02:16:38"/>
    <d v="2026-09-25T03:34:31"/>
    <n v="78"/>
    <x v="18"/>
    <s v="A320"/>
    <s v="A320"/>
    <s v="Complete"/>
    <s v="a694dd"/>
  </r>
  <r>
    <x v="1"/>
    <s v="B6 2066"/>
    <s v="JBU2066"/>
    <s v="RSW"/>
    <s v="KRSW"/>
    <s v="BOS"/>
    <s v="KBOS"/>
    <d v="2026-09-25T02:17:00"/>
    <d v="2026-09-25T04:58:02"/>
    <n v="161"/>
    <x v="176"/>
    <s v="A220-300"/>
    <s v="BCS3"/>
    <s v="Complete"/>
    <s v="a392f2"/>
  </r>
  <r>
    <x v="1"/>
    <s v="B6 820"/>
    <s v="JBU820"/>
    <s v="JFK"/>
    <s v="KJFK"/>
    <s v="DTW"/>
    <s v="KDTW"/>
    <d v="2026-09-25T02:27:23"/>
    <d v="2026-09-25T03:48:53"/>
    <n v="81"/>
    <x v="58"/>
    <s v="A320"/>
    <s v="A320"/>
    <s v="Complete"/>
    <s v="a781d7"/>
  </r>
  <r>
    <x v="1"/>
    <s v="B6 7"/>
    <s v="JBU7"/>
    <s v="JFK"/>
    <s v="KJFK"/>
    <s v="LHR"/>
    <s v="EGLL"/>
    <d v="2026-09-25T02:28:27"/>
    <d v="2026-09-25T08:54:55"/>
    <n v="386"/>
    <x v="59"/>
    <s v="A321neo"/>
    <s v="A21N"/>
    <s v="Complete"/>
    <s v="a4c9d5"/>
  </r>
  <r>
    <x v="1"/>
    <s v="B6 1186"/>
    <s v="JBU1186"/>
    <s v="JFK"/>
    <s v="KJFK"/>
    <s v="ROC"/>
    <s v="KROC"/>
    <d v="2026-09-25T02:32:28"/>
    <d v="2026-09-25T03:21:26"/>
    <n v="49"/>
    <x v="102"/>
    <s v="A320"/>
    <s v="A320"/>
    <s v="Complete"/>
    <s v="a80d40"/>
  </r>
  <r>
    <x v="1"/>
    <s v="B6 1195"/>
    <s v="JBU1195"/>
    <s v="JFK"/>
    <s v="KJFK"/>
    <s v="PIT"/>
    <s v="KPIT"/>
    <d v="2026-09-25T02:39:06"/>
    <d v="2026-09-25T03:44:45"/>
    <n v="66"/>
    <x v="212"/>
    <s v="A220-300"/>
    <s v="BCS3"/>
    <s v="Complete"/>
    <s v="a34e01"/>
  </r>
  <r>
    <x v="1"/>
    <s v="B6 923"/>
    <s v="JBU923"/>
    <s v="JFK"/>
    <s v="KJFK"/>
    <s v="LAX"/>
    <s v="KLAX"/>
    <d v="2026-09-25T02:43:52"/>
    <d v="2026-09-25T07:53:29"/>
    <n v="310"/>
    <x v="147"/>
    <s v="A321"/>
    <s v="A321"/>
    <s v="Complete"/>
    <s v="ace063"/>
  </r>
  <r>
    <x v="1"/>
    <s v="B6 1079"/>
    <s v="JBU1079"/>
    <s v="BOS"/>
    <s v="KBOS"/>
    <s v="EDI"/>
    <s v="EGPH"/>
    <d v="2026-09-25T02:52:19"/>
    <d v="2026-09-25T08:32:10"/>
    <n v="340"/>
    <x v="250"/>
    <s v="A321neo"/>
    <s v="A21N"/>
    <s v="Complete"/>
    <s v="a1ce99"/>
  </r>
  <r>
    <x v="1"/>
    <s v="B6 1897"/>
    <s v="JBU1897"/>
    <s v="BOS"/>
    <s v="KBOS"/>
    <s v="ATL"/>
    <s v="KATL"/>
    <d v="2026-09-25T02:53:22"/>
    <d v="2026-09-25T05:03:28"/>
    <n v="130"/>
    <x v="62"/>
    <s v="A220-300"/>
    <s v="BCS3"/>
    <s v="Complete"/>
    <s v="a37fb0"/>
  </r>
  <r>
    <x v="1"/>
    <s v="B6 1516"/>
    <s v="JBU1516"/>
    <s v="JFK"/>
    <s v="KJFK"/>
    <s v="SYR"/>
    <s v="KSYR"/>
    <d v="2026-09-25T02:58:19"/>
    <d v="2026-09-25T03:40:46"/>
    <n v="42"/>
    <x v="142"/>
    <s v="A220-300"/>
    <s v="BCS3"/>
    <s v="Complete"/>
    <s v="a3298a"/>
  </r>
  <r>
    <x v="1"/>
    <s v="B6 1411"/>
    <s v="JBU1411"/>
    <s v="JFK"/>
    <s v="KJFK"/>
    <s v="LAS"/>
    <s v="KLAS"/>
    <d v="2026-09-25T03:05:13"/>
    <d v="2026-09-25T07:57:01"/>
    <n v="292"/>
    <x v="96"/>
    <s v="A321"/>
    <s v="A321"/>
    <s v="Complete"/>
    <s v="adcd6d"/>
  </r>
  <r>
    <x v="1"/>
    <s v="B6 102"/>
    <s v="JBU102"/>
    <s v="JFK"/>
    <s v="KJFK"/>
    <s v="BUF"/>
    <s v="KBUF"/>
    <d v="2026-09-25T03:06:12"/>
    <d v="2026-09-25T03:59:02"/>
    <n v="53"/>
    <x v="76"/>
    <s v="A220-300"/>
    <s v="BCS3"/>
    <s v="Landing inferred"/>
    <s v="a3556f"/>
  </r>
  <r>
    <x v="1"/>
    <s v="B6 8701"/>
    <s v="JBU8701"/>
    <s v="PHL"/>
    <s v="KPHL"/>
    <s v="BED"/>
    <s v="KBED"/>
    <d v="2026-09-25T03:12:33"/>
    <d v="2026-09-25T04:15:34"/>
    <n v="63"/>
    <x v="222"/>
    <s v="A320"/>
    <s v="A320"/>
    <s v="Complete"/>
    <s v="a6a00b"/>
  </r>
  <r>
    <x v="1"/>
    <s v="B6 1128"/>
    <s v="JBU1128"/>
    <s v="JFK"/>
    <s v="KJFK"/>
    <s v="PVD"/>
    <s v="KPVD"/>
    <d v="2026-09-25T03:15:48"/>
    <d v="2026-09-25T03:50:23"/>
    <n v="35"/>
    <x v="78"/>
    <s v="A320"/>
    <s v="A320"/>
    <s v="Complete"/>
    <s v="a72b6b"/>
  </r>
  <r>
    <x v="1"/>
    <s v="B6 308"/>
    <s v="JBU308"/>
    <s v="JFK"/>
    <s v="KJFK"/>
    <s v="PWM"/>
    <s v="KPWM"/>
    <d v="2026-09-25T03:19:31"/>
    <d v="2026-09-25T04:06:30"/>
    <n v="47"/>
    <x v="49"/>
    <s v="A320"/>
    <s v="A320"/>
    <s v="Complete"/>
    <s v="ab4f5d"/>
  </r>
  <r>
    <x v="1"/>
    <s v="B6 675"/>
    <s v="JBU675"/>
    <s v="JFK"/>
    <s v="KJFK"/>
    <s v="BDL"/>
    <s v="KBDL"/>
    <d v="2026-09-25T03:20:19"/>
    <d v="2026-09-25T03:51:26"/>
    <n v="31"/>
    <x v="75"/>
    <s v="A320"/>
    <s v="A320"/>
    <s v="Landing inferred"/>
    <s v="ab6800"/>
  </r>
  <r>
    <x v="1"/>
    <s v="B6 2261"/>
    <s v="JBU2261"/>
    <s v="BOS"/>
    <s v="KBOS"/>
    <s v="MAD"/>
    <s v="LEMD"/>
    <d v="2026-09-25T03:21:45"/>
    <d v="2026-09-25T09:38:23"/>
    <n v="377"/>
    <x v="85"/>
    <s v="A321neo"/>
    <s v="A21N"/>
    <s v="Complete"/>
    <s v="a4ccba"/>
  </r>
  <r>
    <x v="1"/>
    <s v="B6 1323"/>
    <s v="JBU1323"/>
    <s v="BOS"/>
    <s v="KBOS"/>
    <m/>
    <m/>
    <d v="2026-09-25T03:24:27"/>
    <d v="2026-09-25T04:17:44"/>
    <n v="53"/>
    <x v="91"/>
    <s v="A320"/>
    <s v="A320"/>
    <s v="Signal lost"/>
    <s v="a8a017"/>
  </r>
  <r>
    <x v="1"/>
    <s v="B6 2876"/>
    <s v="JBU2876"/>
    <s v="PVD"/>
    <s v="KPVD"/>
    <s v="MCO"/>
    <s v="KMCO"/>
    <d v="2026-09-25T03:38:07"/>
    <d v="2026-09-25T06:02:10"/>
    <n v="144"/>
    <x v="40"/>
    <s v="A320"/>
    <s v="A320"/>
    <s v="Complete"/>
    <s v="aaa02c"/>
  </r>
  <r>
    <x v="1"/>
    <s v="B6 188"/>
    <s v="JBU188"/>
    <s v="LAX"/>
    <s v="KLAX"/>
    <s v="BOS"/>
    <s v="KBOS"/>
    <d v="2026-09-25T03:38:08"/>
    <d v="2026-09-25T08:47:01"/>
    <n v="309"/>
    <x v="63"/>
    <s v="A321neo"/>
    <s v="A21N"/>
    <s v="Complete"/>
    <s v="a1de8d"/>
  </r>
  <r>
    <x v="1"/>
    <s v="B6 1318"/>
    <s v="JBU1318"/>
    <s v="JFK"/>
    <s v="KJFK"/>
    <s v="BOS"/>
    <s v="KBOS"/>
    <d v="2026-09-25T03:39:48"/>
    <d v="2026-09-25T04:19:13"/>
    <n v="39"/>
    <x v="251"/>
    <s v="A320"/>
    <s v="A320"/>
    <s v="Complete"/>
    <s v="a7ad0d"/>
  </r>
  <r>
    <x v="1"/>
    <s v="B6 778"/>
    <s v="JBU778"/>
    <s v="LAS"/>
    <s v="KLAS"/>
    <s v="BOS"/>
    <s v="KBOS"/>
    <d v="2026-09-25T03:45:56"/>
    <d v="2026-09-25T08:22:45"/>
    <n v="277"/>
    <x v="16"/>
    <s v="A321"/>
    <s v="A321"/>
    <s v="Complete"/>
    <s v="ad7ab8"/>
  </r>
  <r>
    <x v="1"/>
    <s v="B6 16"/>
    <s v="JBU16"/>
    <s v="SFO"/>
    <s v="KSFO"/>
    <s v="JFK"/>
    <s v="KJFK"/>
    <d v="2026-09-25T03:46:58"/>
    <d v="2026-09-25T08:46:17"/>
    <n v="299"/>
    <x v="86"/>
    <s v="A321"/>
    <s v="A321"/>
    <s v="Complete"/>
    <s v="ad646e"/>
  </r>
  <r>
    <x v="1"/>
    <s v="B6 1574"/>
    <s v="JBU1574"/>
    <s v="LAX"/>
    <s v="KLAX"/>
    <s v="EWR"/>
    <s v="KEWR"/>
    <d v="2026-09-25T04:07:04"/>
    <d v="2026-09-25T08:53:04"/>
    <n v="286"/>
    <x v="199"/>
    <s v="A321"/>
    <s v="A321"/>
    <s v="Complete"/>
    <s v="adb723"/>
  </r>
  <r>
    <x v="1"/>
    <s v="B6 2120"/>
    <s v="JBU2120"/>
    <s v="SAN"/>
    <s v="KSAN"/>
    <s v="SLC"/>
    <s v="KSLC"/>
    <d v="2026-09-25T04:07:16"/>
    <d v="2026-09-25T05:31:41"/>
    <n v="84"/>
    <x v="184"/>
    <s v="A320"/>
    <s v="A320"/>
    <s v="Complete"/>
    <s v="a7b0c4"/>
  </r>
  <r>
    <x v="1"/>
    <s v="B6 1536"/>
    <s v="JBU1536"/>
    <m/>
    <m/>
    <s v="JFK"/>
    <s v="KJFK"/>
    <d v="2026-09-25T04:08:01"/>
    <d v="2026-09-25T04:55:15"/>
    <n v="47"/>
    <x v="90"/>
    <s v="A320"/>
    <s v="A320"/>
    <s v="Complete"/>
    <s v="ab4ba6"/>
  </r>
  <r>
    <x v="1"/>
    <s v="B6 413"/>
    <s v="JBU413"/>
    <s v="BOS"/>
    <s v="KBOS"/>
    <s v="SFO"/>
    <s v="KSFO"/>
    <d v="2026-09-25T04:17:33"/>
    <d v="2026-09-25T10:05:07"/>
    <n v="348"/>
    <x v="89"/>
    <s v="A321"/>
    <s v="A321"/>
    <s v="Complete"/>
    <s v="ad2445"/>
  </r>
  <r>
    <x v="1"/>
    <s v="B6 193"/>
    <s v="JBU193"/>
    <s v="EWR"/>
    <s v="KEWR"/>
    <m/>
    <m/>
    <d v="2026-09-25T04:19:07"/>
    <d v="2026-09-25T05:06:53"/>
    <n v="48"/>
    <x v="169"/>
    <s v="A320"/>
    <s v="A320"/>
    <s v="Signal lost"/>
    <s v="a8712a"/>
  </r>
  <r>
    <x v="1"/>
    <s v="B6 359"/>
    <s v="JBU359"/>
    <s v="BUR"/>
    <s v="KBUR"/>
    <s v="JFK"/>
    <s v="KJFK"/>
    <d v="2026-09-25T04:31:40"/>
    <d v="2026-09-25T09:23:23"/>
    <n v="292"/>
    <x v="244"/>
    <s v="A220-300"/>
    <s v="BCS3"/>
    <s v="Complete"/>
    <s v="a35109"/>
  </r>
  <r>
    <x v="1"/>
    <s v="B6 1524"/>
    <s v="JBU1524"/>
    <s v="LAX"/>
    <s v="KLAX"/>
    <s v="JFK"/>
    <s v="KJFK"/>
    <d v="2026-09-25T04:32:15"/>
    <d v="2026-09-25T09:27:25"/>
    <n v="295"/>
    <x v="241"/>
    <s v="A321neo"/>
    <s v="A21N"/>
    <s v="Complete"/>
    <s v="a1d99b"/>
  </r>
  <r>
    <x v="1"/>
    <s v="B6 1190"/>
    <s v="JBU1190"/>
    <s v="SAN"/>
    <s v="KSAN"/>
    <s v="JFK"/>
    <s v="KJFK"/>
    <d v="2026-09-25T04:46:17"/>
    <d v="2026-09-25T09:34:39"/>
    <n v="288"/>
    <x v="203"/>
    <s v="A321"/>
    <s v="A321"/>
    <s v="Complete"/>
    <s v="addadb"/>
  </r>
  <r>
    <x v="1"/>
    <s v="B6 264"/>
    <s v="JBU264"/>
    <s v="SEA"/>
    <s v="KSEA"/>
    <s v="JFK"/>
    <s v="KJFK"/>
    <d v="2026-09-25T04:56:30"/>
    <d v="2026-09-25T09:38:37"/>
    <n v="282"/>
    <x v="213"/>
    <s v="A320"/>
    <s v="A320"/>
    <s v="Complete"/>
    <s v="a7a1e8"/>
  </r>
  <r>
    <x v="1"/>
    <s v="B6 1400"/>
    <s v="JBU1400"/>
    <s v="LAX"/>
    <s v="KLAX"/>
    <s v="FLL"/>
    <s v="KFLL"/>
    <d v="2026-09-25T05:00:26"/>
    <d v="2026-09-25T09:38:21"/>
    <n v="278"/>
    <x v="69"/>
    <s v="A321"/>
    <s v="A321"/>
    <s v="Complete"/>
    <s v="add734"/>
  </r>
  <r>
    <x v="1"/>
    <s v="B6 134"/>
    <s v="JBU134"/>
    <s v="SFO"/>
    <s v="KSFO"/>
    <s v="BOS"/>
    <s v="KBOS"/>
    <d v="2026-09-25T05:09:03"/>
    <d v="2026-09-25T10:21:53"/>
    <n v="313"/>
    <x v="56"/>
    <s v="A321"/>
    <s v="A321"/>
    <s v="Complete"/>
    <s v="adb35c"/>
  </r>
  <r>
    <x v="1"/>
    <s v="B6 66"/>
    <s v="JBU66"/>
    <s v="ABQ"/>
    <s v="KABQ"/>
    <s v="JFK"/>
    <s v="KJFK"/>
    <d v="2026-09-25T05:18:35"/>
    <d v="2026-09-25T08:59:44"/>
    <n v="221"/>
    <x v="154"/>
    <s v="A320"/>
    <s v="A320"/>
    <s v="Complete"/>
    <s v="aa7c64"/>
  </r>
  <r>
    <x v="1"/>
    <s v="B6 608"/>
    <s v="JBU608"/>
    <s v="LAS"/>
    <s v="KLAS"/>
    <s v="FLL"/>
    <s v="KFLL"/>
    <d v="2026-09-25T05:38:23"/>
    <d v="2026-09-25T10:06:46"/>
    <n v="268"/>
    <x v="84"/>
    <s v="A321"/>
    <s v="A321"/>
    <s v="Complete"/>
    <s v="adc238"/>
  </r>
  <r>
    <x v="1"/>
    <s v="B6 454"/>
    <s v="JBU454"/>
    <s v="ONT"/>
    <s v="KONT"/>
    <s v="JFK"/>
    <s v="KJFK"/>
    <d v="2026-09-25T05:50:37"/>
    <d v="2026-09-25T10:35:04"/>
    <n v="284"/>
    <x v="246"/>
    <s v="A220-300"/>
    <s v="BCS3"/>
    <s v="Complete"/>
    <s v="a38b61"/>
  </r>
  <r>
    <x v="1"/>
    <s v="B6 948"/>
    <s v="JBU948"/>
    <s v="LAS"/>
    <s v="KLAS"/>
    <s v="JFK"/>
    <s v="KJFK"/>
    <d v="2026-09-25T06:06:39"/>
    <d v="2026-09-25T10:32:35"/>
    <n v="266"/>
    <x v="235"/>
    <s v="A321"/>
    <s v="A321"/>
    <s v="Complete"/>
    <s v="ad1cde"/>
  </r>
  <r>
    <x v="1"/>
    <s v="B6 1488"/>
    <s v="JBU1488"/>
    <s v="LAX"/>
    <s v="KLAX"/>
    <s v="BOS"/>
    <s v="KBOS"/>
    <d v="2026-09-25T06:14:05"/>
    <d v="2026-09-25T11:17:06"/>
    <n v="303"/>
    <x v="131"/>
    <s v="A321"/>
    <s v="A321"/>
    <s v="Complete"/>
    <s v="ad2f71"/>
  </r>
  <r>
    <x v="1"/>
    <s v="B6 2120"/>
    <s v="JBU2120"/>
    <s v="SLC"/>
    <s v="KSLC"/>
    <s v="BOS"/>
    <s v="KBOS"/>
    <d v="2026-09-25T06:23:26"/>
    <d v="2026-09-25T10:26:00"/>
    <n v="243"/>
    <x v="184"/>
    <s v="A320"/>
    <s v="A320"/>
    <s v="Complete"/>
    <s v="a7b0c4"/>
  </r>
  <r>
    <x v="1"/>
    <s v="B6 604"/>
    <s v="JBU604"/>
    <s v="YVR"/>
    <s v="CYVR"/>
    <s v="JFK"/>
    <s v="KJFK"/>
    <d v="2026-09-25T06:31:52"/>
    <d v="2026-09-25T11:23:39"/>
    <n v="292"/>
    <x v="216"/>
    <s v="A321"/>
    <s v="A321"/>
    <s v="Complete"/>
    <s v="ad7e6f"/>
  </r>
  <r>
    <x v="1"/>
    <s v="B6 372"/>
    <s v="JBU372"/>
    <s v="SLC"/>
    <s v="KSLC"/>
    <s v="JFK"/>
    <s v="KJFK"/>
    <d v="2026-09-25T06:32:35"/>
    <d v="2026-09-25T10:23:03"/>
    <n v="230"/>
    <x v="160"/>
    <s v="A220-300"/>
    <s v="BCS3"/>
    <s v="Complete"/>
    <s v="a39243"/>
  </r>
  <r>
    <x v="1"/>
    <s v="B6 162"/>
    <s v="JBU162"/>
    <s v="SMF"/>
    <s v="KSMF"/>
    <s v="JFK"/>
    <s v="KJFK"/>
    <d v="2026-09-25T06:36:11"/>
    <d v="2026-09-25T11:28:22"/>
    <n v="292"/>
    <x v="109"/>
    <s v="A321"/>
    <s v="A321"/>
    <s v="Complete"/>
    <s v="ad846f"/>
  </r>
  <r>
    <x v="1"/>
    <s v="B6 278"/>
    <s v="JBU278"/>
    <s v="SFO"/>
    <s v="KSFO"/>
    <s v="FLL"/>
    <s v="KFLL"/>
    <d v="2026-09-25T06:53:24"/>
    <d v="2026-09-25T12:03:42"/>
    <n v="310"/>
    <x v="46"/>
    <s v="A321"/>
    <s v="A321"/>
    <s v="Complete"/>
    <s v="ad0074"/>
  </r>
  <r>
    <x v="1"/>
    <s v="B6 398"/>
    <s v="JBU398"/>
    <s v="SEA"/>
    <s v="KSEA"/>
    <s v="BOS"/>
    <s v="KBOS"/>
    <d v="2026-09-25T07:01:00"/>
    <d v="2026-09-25T11:52:42"/>
    <n v="292"/>
    <x v="164"/>
    <s v="A321"/>
    <s v="A321"/>
    <s v="Complete"/>
    <s v="adf128"/>
  </r>
  <r>
    <x v="1"/>
    <s v="B6 178"/>
    <s v="JBU178"/>
    <s v="LAS"/>
    <s v="KLAS"/>
    <s v="BOS"/>
    <s v="KBOS"/>
    <d v="2026-09-25T07:06:25"/>
    <d v="2026-09-25T11:45:29"/>
    <n v="279"/>
    <x v="98"/>
    <s v="A321"/>
    <s v="A321"/>
    <s v="Complete"/>
    <s v="ad1560"/>
  </r>
  <r>
    <x v="1"/>
    <s v="B6 616"/>
    <s v="JBU616"/>
    <s v="SFO"/>
    <s v="KSFO"/>
    <s v="JFK"/>
    <s v="KJFK"/>
    <d v="2026-09-25T07:32:47"/>
    <d v="2026-09-25T12:31:20"/>
    <n v="299"/>
    <x v="77"/>
    <s v="A321"/>
    <s v="A321"/>
    <s v="Complete"/>
    <s v="ad1927"/>
  </r>
  <r>
    <x v="1"/>
    <s v="B6 1224"/>
    <s v="JBU1224"/>
    <s v="LAX"/>
    <s v="KLAX"/>
    <s v="JFK"/>
    <s v="KJFK"/>
    <d v="2026-09-25T07:37:38"/>
    <d v="2026-09-25T12:29:28"/>
    <n v="292"/>
    <x v="121"/>
    <s v="A321"/>
    <s v="A321"/>
    <s v="Complete"/>
    <s v="ad27f3"/>
  </r>
  <r>
    <x v="1"/>
    <s v="B6 1621"/>
    <s v="JBU1621"/>
    <s v="LHR"/>
    <s v="EGLL"/>
    <s v="BOS"/>
    <s v="KBOS"/>
    <d v="2026-09-25T08:03:18"/>
    <d v="2026-09-25T15:21:13"/>
    <n v="438"/>
    <x v="3"/>
    <s v="A321neo"/>
    <s v="A21N"/>
    <s v="Complete"/>
    <s v="a4c96c"/>
  </r>
  <r>
    <x v="1"/>
    <s v="B6 332"/>
    <s v="JBU332"/>
    <s v="MXP"/>
    <s v="LIMC"/>
    <s v="BOS"/>
    <s v="KBOS"/>
    <d v="2026-09-25T08:45:03"/>
    <d v="2026-09-25T17:19:20"/>
    <n v="514"/>
    <x v="82"/>
    <s v="A321neo"/>
    <s v="A21N"/>
    <s v="Complete"/>
    <s v="a4c592"/>
  </r>
  <r>
    <x v="1"/>
    <s v="B6 768"/>
    <s v="JBU768"/>
    <s v="MCO"/>
    <s v="KMCO"/>
    <s v="MCO"/>
    <s v="KMCO"/>
    <d v="2026-09-25T09:05:55"/>
    <d v="2026-09-25T15:13:48"/>
    <n v="368"/>
    <x v="47"/>
    <s v="A320"/>
    <s v="A320"/>
    <s v="Complete"/>
    <s v="a68d6f"/>
  </r>
  <r>
    <x v="1"/>
    <s v="B6 717"/>
    <s v="JBU717"/>
    <s v="BOS"/>
    <s v="KBOS"/>
    <s v="JFK"/>
    <s v="KJFK"/>
    <d v="2026-09-25T09:16:59"/>
    <d v="2026-09-25T10:04:03"/>
    <n v="47"/>
    <x v="178"/>
    <s v="A220-300"/>
    <s v="BCS3"/>
    <s v="Complete"/>
    <s v="a36b50"/>
  </r>
  <r>
    <x v="1"/>
    <s v="B6 1024"/>
    <s v="JBU1024"/>
    <s v="LAX"/>
    <s v="KLAX"/>
    <s v="JFK"/>
    <s v="KJFK"/>
    <d v="2026-09-25T09:21:00"/>
    <d v="2026-09-25T14:12:58"/>
    <n v="292"/>
    <x v="126"/>
    <s v="A321"/>
    <s v="A321"/>
    <s v="Complete"/>
    <s v="ad7701"/>
  </r>
  <r>
    <x v="1"/>
    <s v="B6 562"/>
    <s v="JBU562"/>
    <s v="SJU"/>
    <s v="TJSJ"/>
    <s v="BOS"/>
    <s v="KBOS"/>
    <d v="2026-09-25T09:30:22"/>
    <d v="2026-09-25T13:01:25"/>
    <n v="211"/>
    <x v="165"/>
    <s v="A320"/>
    <s v="A320"/>
    <s v="Complete"/>
    <s v="aa4d77"/>
  </r>
  <r>
    <x v="1"/>
    <s v="B6 34"/>
    <s v="JBU34"/>
    <s v="CDG"/>
    <s v="LFPG"/>
    <s v="BOS"/>
    <s v="KBOS"/>
    <d v="2026-09-25T09:34:01"/>
    <d v="2026-09-25T17:11:56"/>
    <n v="458"/>
    <x v="111"/>
    <s v="A321neo"/>
    <s v="A21N"/>
    <s v="Complete"/>
    <s v="a4c9f8"/>
  </r>
  <r>
    <x v="1"/>
    <s v="B6 32"/>
    <s v="JBU32"/>
    <s v="AMS"/>
    <s v="EHAM"/>
    <s v="BOS"/>
    <s v="KBOS"/>
    <d v="2026-09-25T09:35:05"/>
    <d v="2026-09-25T17:07:42"/>
    <n v="453"/>
    <x v="32"/>
    <s v="A321neo"/>
    <s v="A21N"/>
    <s v="Complete"/>
    <s v="a4c5d8"/>
  </r>
  <r>
    <x v="1"/>
    <s v="B6 505"/>
    <s v="JBU505"/>
    <s v="JFK"/>
    <s v="KJFK"/>
    <m/>
    <m/>
    <d v="2026-09-25T09:50:22"/>
    <d v="2026-09-25T13:19:37"/>
    <n v="209"/>
    <x v="225"/>
    <s v="A321neo"/>
    <s v="A21N"/>
    <s v="Signal lost"/>
    <s v="a19d0d"/>
  </r>
  <r>
    <x v="1"/>
    <s v="B6 1515"/>
    <s v="JBU1515"/>
    <s v="SYR"/>
    <s v="KSYR"/>
    <s v="JFK"/>
    <s v="KJFK"/>
    <d v="2026-09-25T09:57:14"/>
    <d v="2026-09-25T10:42:01"/>
    <n v="45"/>
    <x v="142"/>
    <s v="A220-300"/>
    <s v="BCS3"/>
    <s v="Complete"/>
    <s v="a3298a"/>
  </r>
  <r>
    <x v="1"/>
    <s v="B6 207"/>
    <s v="JBU207"/>
    <s v="PQI"/>
    <s v="KPQI"/>
    <s v="BOS"/>
    <s v="KBOS"/>
    <d v="2026-09-25T09:58:12"/>
    <d v="2026-09-25T10:54:57"/>
    <n v="57"/>
    <x v="36"/>
    <s v="A220-300"/>
    <s v="BCS3"/>
    <s v="Complete"/>
    <s v="a38836"/>
  </r>
  <r>
    <x v="1"/>
    <s v="B6 577"/>
    <s v="JBU577"/>
    <s v="FLL"/>
    <s v="KFLL"/>
    <s v="SFO"/>
    <s v="KSFO"/>
    <d v="2026-09-25T10:00:36"/>
    <d v="2026-09-25T15:34:11"/>
    <n v="334"/>
    <x v="104"/>
    <s v="A321"/>
    <s v="A321"/>
    <s v="Complete"/>
    <s v="adbe91"/>
  </r>
  <r>
    <x v="1"/>
    <s v="B6 2904"/>
    <s v="JBU2904"/>
    <s v="SJU"/>
    <s v="TJSJ"/>
    <s v="JFK"/>
    <s v="KJFK"/>
    <d v="2026-09-25T10:01:58"/>
    <d v="2026-09-25T13:54:35"/>
    <n v="233"/>
    <x v="193"/>
    <s v="A321"/>
    <s v="A321"/>
    <s v="Complete"/>
    <s v="ad9712"/>
  </r>
  <r>
    <x v="1"/>
    <s v="B6 302"/>
    <s v="JBU302"/>
    <s v="FLL"/>
    <s v="KFLL"/>
    <s v="JFK"/>
    <s v="KJFK"/>
    <d v="2026-09-25T10:02:46"/>
    <d v="2026-09-25T12:33:16"/>
    <n v="150"/>
    <x v="167"/>
    <s v="A320"/>
    <s v="A320"/>
    <s v="Complete"/>
    <s v="a85c3e"/>
  </r>
  <r>
    <x v="1"/>
    <s v="B6 1484"/>
    <s v="JBU1484"/>
    <s v="RDU"/>
    <s v="KRDU"/>
    <s v="BOS"/>
    <s v="KBOS"/>
    <d v="2026-09-25T10:03:25"/>
    <d v="2026-09-25T11:30:07"/>
    <n v="87"/>
    <x v="155"/>
    <s v="A220-300"/>
    <s v="BCS3"/>
    <s v="Complete"/>
    <s v="a35854"/>
  </r>
  <r>
    <x v="1"/>
    <s v="B6 234"/>
    <s v="JBU234"/>
    <s v="SJU"/>
    <s v="TJSJ"/>
    <s v="MCO"/>
    <s v="KMCO"/>
    <d v="2026-09-25T10:04:22"/>
    <d v="2026-09-25T12:43:35"/>
    <n v="159"/>
    <x v="247"/>
    <s v="A320"/>
    <s v="A320"/>
    <s v="Complete"/>
    <s v="a6f2b7"/>
  </r>
  <r>
    <x v="1"/>
    <s v="B6 1198"/>
    <s v="JBU1198"/>
    <s v="PIT"/>
    <s v="KPIT"/>
    <s v="JFK"/>
    <s v="KJFK"/>
    <d v="2026-09-25T10:04:43"/>
    <d v="2026-09-25T11:12:13"/>
    <n v="68"/>
    <x v="212"/>
    <s v="A220-300"/>
    <s v="BCS3"/>
    <s v="Complete"/>
    <s v="a34e01"/>
  </r>
  <r>
    <x v="1"/>
    <s v="B6 354"/>
    <s v="JBU354"/>
    <s v="DUB"/>
    <s v="EIDW"/>
    <s v="BOS"/>
    <s v="KBOS"/>
    <d v="2026-09-25T10:04:44"/>
    <d v="2026-09-25T16:41:57"/>
    <n v="397"/>
    <x v="95"/>
    <s v="A321neo"/>
    <s v="A21N"/>
    <s v="Complete"/>
    <s v="a1cb05"/>
  </r>
  <r>
    <x v="1"/>
    <s v="B6 160"/>
    <s v="JBU160"/>
    <s v="PHL"/>
    <s v="KPHL"/>
    <s v="BOS"/>
    <s v="KBOS"/>
    <d v="2026-09-25T10:04:51"/>
    <d v="2026-09-25T10:51:53"/>
    <n v="47"/>
    <x v="189"/>
    <s v="A220-300"/>
    <s v="BCS3"/>
    <s v="Complete"/>
    <s v="a35cba"/>
  </r>
  <r>
    <x v="1"/>
    <s v="B6 2001"/>
    <s v="JBU2001"/>
    <s v="BUF"/>
    <s v="KBUF"/>
    <s v="JFK"/>
    <s v="KJFK"/>
    <d v="2026-09-25T10:05:35"/>
    <d v="2026-09-25T11:08:40"/>
    <n v="63"/>
    <x v="23"/>
    <s v="A220-300"/>
    <s v="BCS3"/>
    <s v="Complete"/>
    <s v="a34d98"/>
  </r>
  <r>
    <x v="1"/>
    <s v="B6 287"/>
    <s v="JBU287"/>
    <s v="BOS"/>
    <s v="KBOS"/>
    <s v="LAX"/>
    <s v="KLAX"/>
    <d v="2026-09-25T10:07:31"/>
    <d v="2026-09-25T15:50:16"/>
    <n v="343"/>
    <x v="16"/>
    <s v="A321"/>
    <s v="A321"/>
    <s v="Complete"/>
    <s v="ad7ab8"/>
  </r>
  <r>
    <x v="1"/>
    <s v="B6 1368"/>
    <s v="JBU1368"/>
    <s v="DJT"/>
    <s v="KPBI"/>
    <s v="HPN"/>
    <s v="KHPN"/>
    <d v="2026-09-25T10:10:21"/>
    <d v="2026-09-25T12:47:06"/>
    <n v="157"/>
    <x v="217"/>
    <s v="A320"/>
    <s v="A320"/>
    <s v="Landing inferred"/>
    <s v="aaf8f1"/>
  </r>
  <r>
    <x v="1"/>
    <s v="B6 1059"/>
    <s v="JBU1059"/>
    <s v="JFK"/>
    <s v="KJFK"/>
    <s v="KIN"/>
    <s v="MKJP"/>
    <d v="2026-09-25T10:10:51"/>
    <d v="2026-09-25T13:33:11"/>
    <n v="202"/>
    <x v="97"/>
    <s v="A320"/>
    <s v="A320"/>
    <s v="Complete"/>
    <s v="a98f6a"/>
  </r>
  <r>
    <x v="1"/>
    <s v="B6 1471"/>
    <s v="JBU1471"/>
    <s v="LGA"/>
    <s v="KLGA"/>
    <s v="FLL"/>
    <s v="KFLL"/>
    <d v="2026-09-25T10:10:55"/>
    <d v="2026-09-25T12:29:53"/>
    <n v="139"/>
    <x v="66"/>
    <s v="A320"/>
    <s v="A320"/>
    <s v="Complete"/>
    <s v="a8021b"/>
  </r>
  <r>
    <x v="1"/>
    <s v="B6 1419"/>
    <s v="JBU1419"/>
    <s v="DTW"/>
    <s v="KDTW"/>
    <s v="JFK"/>
    <s v="KJFK"/>
    <d v="2026-09-25T10:12:42"/>
    <d v="2026-09-25T11:35:02"/>
    <n v="82"/>
    <x v="58"/>
    <s v="A320"/>
    <s v="A320"/>
    <s v="Complete"/>
    <s v="a781d7"/>
  </r>
  <r>
    <x v="1"/>
    <s v="B6 379"/>
    <s v="JBU379"/>
    <s v="DCA"/>
    <s v="KDCA"/>
    <s v="FLL"/>
    <s v="KFLL"/>
    <d v="2026-09-25T10:12:52"/>
    <d v="2026-09-25T12:13:29"/>
    <n v="121"/>
    <x v="223"/>
    <s v="A320"/>
    <s v="A320"/>
    <s v="Complete"/>
    <s v="a976c7"/>
  </r>
  <r>
    <x v="1"/>
    <s v="B6 123"/>
    <s v="JBU123"/>
    <s v="JFK"/>
    <s v="KJFK"/>
    <s v="LAX"/>
    <s v="KLAX"/>
    <d v="2026-09-25T10:14:11"/>
    <d v="2026-09-25T15:29:10"/>
    <n v="315"/>
    <x v="110"/>
    <s v="A321"/>
    <s v="A321"/>
    <s v="Complete"/>
    <s v="adc5ff"/>
  </r>
  <r>
    <x v="1"/>
    <s v="B6 690"/>
    <s v="JBU690"/>
    <s v="FLL"/>
    <s v="KFLL"/>
    <s v="BOS"/>
    <s v="KBOS"/>
    <d v="2026-09-25T10:14:16"/>
    <d v="2026-09-25T13:09:26"/>
    <n v="175"/>
    <x v="226"/>
    <s v="A320"/>
    <s v="A320"/>
    <s v="Complete"/>
    <s v="a732d9"/>
  </r>
  <r>
    <x v="1"/>
    <s v="B6 2769"/>
    <s v="JBU2769"/>
    <s v="CLE"/>
    <s v="KCLE"/>
    <s v="JFK"/>
    <s v="KJFK"/>
    <d v="2026-09-25T10:15:04"/>
    <d v="2026-09-25T11:33:29"/>
    <n v="78"/>
    <x v="11"/>
    <s v="A220-300"/>
    <s v="BCS3"/>
    <s v="Complete"/>
    <s v="a387f0"/>
  </r>
  <r>
    <x v="1"/>
    <s v="B6 382"/>
    <s v="JBU382"/>
    <s v="RIC"/>
    <s v="KRIC"/>
    <s v="BOS"/>
    <s v="KBOS"/>
    <d v="2026-09-25T10:17:32"/>
    <d v="2026-09-25T11:26:23"/>
    <n v="69"/>
    <x v="10"/>
    <s v="A220-300"/>
    <s v="BCS3"/>
    <s v="Complete"/>
    <s v="a36b2d"/>
  </r>
  <r>
    <x v="1"/>
    <s v="B6 115"/>
    <s v="JBU115"/>
    <s v="JFK"/>
    <s v="KJFK"/>
    <s v="SFO"/>
    <s v="KSFO"/>
    <d v="2026-09-25T10:18:16"/>
    <d v="2026-09-25T16:02:04"/>
    <n v="344"/>
    <x v="93"/>
    <s v="A321"/>
    <s v="A321"/>
    <s v="Complete"/>
    <s v="adbaca"/>
  </r>
  <r>
    <x v="1"/>
    <s v="B6 307"/>
    <s v="JBU307"/>
    <s v="PWM"/>
    <s v="KPWM"/>
    <s v="JFK"/>
    <s v="KJFK"/>
    <d v="2026-09-25T10:20:31"/>
    <d v="2026-09-25T11:15:22"/>
    <n v="55"/>
    <x v="49"/>
    <s v="A320"/>
    <s v="A320"/>
    <s v="Complete"/>
    <s v="ab4f5d"/>
  </r>
  <r>
    <x v="1"/>
    <s v="B6 1896"/>
    <s v="JBU1896"/>
    <s v="ATL"/>
    <s v="KATL"/>
    <s v="BOS"/>
    <s v="KBOS"/>
    <d v="2026-09-25T10:21:04"/>
    <d v="2026-09-25T12:28:57"/>
    <n v="128"/>
    <x v="207"/>
    <s v="A220-300"/>
    <s v="BCS3"/>
    <s v="Complete"/>
    <s v="a3355e"/>
  </r>
  <r>
    <x v="1"/>
    <s v="B6 676"/>
    <s v="JBU676"/>
    <s v="BDL"/>
    <s v="KBDL"/>
    <s v="JFK"/>
    <s v="KJFK"/>
    <d v="2026-09-25T10:21:17"/>
    <d v="2026-09-25T10:55:12"/>
    <n v="34"/>
    <x v="75"/>
    <s v="A320"/>
    <s v="A320"/>
    <s v="Complete"/>
    <s v="ab6800"/>
  </r>
  <r>
    <x v="1"/>
    <s v="B6 927"/>
    <s v="JBU927"/>
    <s v="EWR"/>
    <s v="KEWR"/>
    <s v="MCO"/>
    <s v="KMCO"/>
    <d v="2026-09-25T10:21:33"/>
    <d v="2026-09-25T12:31:28"/>
    <n v="130"/>
    <x v="2"/>
    <s v="A320"/>
    <s v="A320"/>
    <s v="Complete"/>
    <s v="a8a3ce"/>
  </r>
  <r>
    <x v="1"/>
    <s v="B6 172"/>
    <s v="JBU172"/>
    <s v="FLL"/>
    <s v="KFLL"/>
    <s v="LGA"/>
    <s v="KLGA"/>
    <d v="2026-09-25T10:22:12"/>
    <d v="2026-09-25T12:58:04"/>
    <n v="156"/>
    <x v="185"/>
    <s v="A320"/>
    <s v="A320"/>
    <s v="Complete"/>
    <s v="a7bfa0"/>
  </r>
  <r>
    <x v="1"/>
    <s v="B6 569"/>
    <s v="JBU569"/>
    <s v="BOS"/>
    <s v="KBOS"/>
    <s v="FLL"/>
    <s v="KFLL"/>
    <d v="2026-09-25T10:27:33"/>
    <d v="2026-09-25T13:21:34"/>
    <n v="174"/>
    <x v="41"/>
    <s v="A320"/>
    <s v="A320"/>
    <s v="Complete"/>
    <s v="a85887"/>
  </r>
  <r>
    <x v="1"/>
    <s v="B6 753"/>
    <s v="JBU753"/>
    <s v="FLL"/>
    <s v="KFLL"/>
    <s v="SJU"/>
    <s v="TJSJ"/>
    <d v="2026-09-25T10:28:13"/>
    <d v="2026-09-25T12:41:14"/>
    <n v="133"/>
    <x v="158"/>
    <s v="A320"/>
    <s v="A320"/>
    <s v="Landing inferred"/>
    <s v="a8b8ba"/>
  </r>
  <r>
    <x v="1"/>
    <s v="B6 1537"/>
    <s v="JBU1537"/>
    <s v="JFK"/>
    <s v="KJFK"/>
    <m/>
    <m/>
    <d v="2026-09-25T10:28:22"/>
    <d v="2026-09-25T11:48:02"/>
    <n v="80"/>
    <x v="117"/>
    <s v="A321"/>
    <s v="A321"/>
    <s v="Signal lost"/>
    <s v="ad3581"/>
  </r>
  <r>
    <x v="1"/>
    <s v="B6 189"/>
    <s v="JBU189"/>
    <s v="JFK"/>
    <s v="KJFK"/>
    <s v="SAN"/>
    <s v="KSAN"/>
    <d v="2026-09-25T10:29:30"/>
    <d v="2026-09-25T15:36:20"/>
    <n v="307"/>
    <x v="108"/>
    <s v="A321"/>
    <s v="A321"/>
    <s v="Complete"/>
    <s v="adafb5"/>
  </r>
  <r>
    <x v="1"/>
    <s v="B6 1447"/>
    <s v="JBU1447"/>
    <s v="HPN"/>
    <s v="KHPN"/>
    <s v="TPA"/>
    <s v="KTPA"/>
    <d v="2026-09-25T10:31:46"/>
    <d v="2026-09-25T12:49:34"/>
    <n v="138"/>
    <x v="68"/>
    <s v="A320"/>
    <s v="A320"/>
    <s v="Complete"/>
    <s v="a7e5c1"/>
  </r>
  <r>
    <x v="1"/>
    <s v="B6 254"/>
    <s v="JBU254"/>
    <s v="DCA"/>
    <s v="KDCA"/>
    <s v="JFK"/>
    <s v="KJFK"/>
    <d v="2026-09-25T10:31:56"/>
    <d v="2026-09-25T11:19:04"/>
    <n v="47"/>
    <x v="39"/>
    <s v="Unknown"/>
    <m/>
    <s v="Complete"/>
    <s v="a39be7"/>
  </r>
  <r>
    <x v="1"/>
    <s v="B6 1408"/>
    <s v="JBU1408"/>
    <s v="CDG"/>
    <s v="LFPG"/>
    <s v="JFK"/>
    <s v="KJFK"/>
    <d v="2026-09-25T10:34:11"/>
    <d v="2026-09-25T18:42:43"/>
    <n v="489"/>
    <x v="61"/>
    <s v="A321neo"/>
    <s v="A21N"/>
    <s v="Complete"/>
    <s v="a4c98f"/>
  </r>
  <r>
    <x v="1"/>
    <s v="B6 1807"/>
    <s v="JBU1807"/>
    <s v="BOS"/>
    <s v="KBOS"/>
    <s v="BNA"/>
    <s v="KBNA"/>
    <d v="2026-09-25T10:34:29"/>
    <d v="2026-09-25T12:47:50"/>
    <n v="133"/>
    <x v="88"/>
    <s v="A220-300"/>
    <s v="BCS3"/>
    <s v="Complete"/>
    <s v="a37842"/>
  </r>
  <r>
    <x v="1"/>
    <s v="B6 1505"/>
    <s v="JBU1505"/>
    <s v="EWR"/>
    <s v="KEWR"/>
    <s v="FLL"/>
    <s v="KFLL"/>
    <d v="2026-09-25T10:34:52"/>
    <d v="2026-09-25T12:50:15"/>
    <n v="135"/>
    <x v="157"/>
    <s v="A320"/>
    <s v="A320"/>
    <s v="Complete"/>
    <s v="aacf19"/>
  </r>
  <r>
    <x v="1"/>
    <s v="B6 1197"/>
    <s v="JBU1197"/>
    <s v="PVD"/>
    <s v="KPVD"/>
    <s v="FLL"/>
    <s v="KFLL"/>
    <d v="2026-09-25T10:35:25"/>
    <d v="2026-09-25T13:11:14"/>
    <n v="156"/>
    <x v="172"/>
    <s v="A320"/>
    <s v="A320"/>
    <s v="Complete"/>
    <s v="aac7ab"/>
  </r>
  <r>
    <x v="1"/>
    <s v="B6 1585"/>
    <s v="JBU1585"/>
    <s v="BOS"/>
    <s v="KBOS"/>
    <s v="PIT"/>
    <s v="KPIT"/>
    <d v="2026-09-25T10:35:41"/>
    <d v="2026-09-25T11:58:43"/>
    <n v="83"/>
    <x v="133"/>
    <s v="A220-300"/>
    <s v="BCS3"/>
    <s v="Complete"/>
    <s v="a37fd3"/>
  </r>
  <r>
    <x v="1"/>
    <s v="B6 1080"/>
    <s v="JBU1080"/>
    <s v="EDI"/>
    <s v="EGPH"/>
    <s v="BOS"/>
    <s v="KBOS"/>
    <d v="2026-09-25T10:38:35"/>
    <d v="2026-09-25T17:41:50"/>
    <n v="423"/>
    <x v="137"/>
    <s v="A321neo"/>
    <s v="A21N"/>
    <s v="Complete"/>
    <s v="a1d2dc"/>
  </r>
  <r>
    <x v="1"/>
    <s v="B6 351"/>
    <s v="JBU351"/>
    <s v="BOS"/>
    <s v="KBOS"/>
    <s v="MCO"/>
    <s v="KMCO"/>
    <d v="2026-09-25T10:39:08"/>
    <d v="2026-09-25T13:16:44"/>
    <n v="158"/>
    <x v="128"/>
    <s v="A220-300"/>
    <s v="BCS3"/>
    <s v="Complete"/>
    <s v="a3514f"/>
  </r>
  <r>
    <x v="1"/>
    <s v="B6 165"/>
    <s v="JBU165"/>
    <s v="BOS"/>
    <s v="KBOS"/>
    <s v="RSW"/>
    <s v="KRSW"/>
    <d v="2026-09-25T10:43:19"/>
    <d v="2026-09-25T13:34:04"/>
    <n v="171"/>
    <x v="1"/>
    <s v="A321"/>
    <s v="A321"/>
    <s v="Complete"/>
    <s v="ad8836"/>
  </r>
  <r>
    <x v="1"/>
    <s v="B6 1602"/>
    <s v="JBU1602"/>
    <s v="JFK"/>
    <s v="KJFK"/>
    <s v="BUF"/>
    <s v="KBUF"/>
    <d v="2026-09-25T10:45:55"/>
    <d v="2026-09-25T11:38:06"/>
    <n v="52"/>
    <x v="244"/>
    <s v="A220-300"/>
    <s v="BCS3"/>
    <s v="Landing inferred"/>
    <s v="a35109"/>
  </r>
  <r>
    <x v="1"/>
    <s v="B6 691"/>
    <s v="JBU691"/>
    <s v="BOS"/>
    <s v="KBOS"/>
    <s v="TPA"/>
    <s v="KTPA"/>
    <d v="2026-09-25T10:50:33"/>
    <d v="2026-09-25T13:30:08"/>
    <n v="160"/>
    <x v="21"/>
    <s v="A320"/>
    <s v="A320"/>
    <s v="Complete"/>
    <s v="a9607d"/>
  </r>
  <r>
    <x v="1"/>
    <s v="B6 2265"/>
    <s v="JBU2265"/>
    <s v="MCO"/>
    <s v="KMCO"/>
    <m/>
    <m/>
    <d v="2026-09-25T10:52:10"/>
    <d v="2026-09-25T11:28:52"/>
    <n v="37"/>
    <x v="201"/>
    <s v="A320"/>
    <s v="A320"/>
    <s v="Signal lost"/>
    <s v="a894f2"/>
  </r>
  <r>
    <x v="1"/>
    <s v="B6 953"/>
    <s v="JBU953"/>
    <s v="JFK"/>
    <s v="KJFK"/>
    <s v="DJT"/>
    <s v="KPBI"/>
    <d v="2026-09-25T10:52:54"/>
    <d v="2026-09-25T13:08:05"/>
    <n v="135"/>
    <x v="252"/>
    <s v="A321neo"/>
    <s v="A21N"/>
    <s v="Complete"/>
    <s v="a1b2ee"/>
  </r>
  <r>
    <x v="1"/>
    <s v="B6 2718"/>
    <s v="JBU2718"/>
    <s v="JFK"/>
    <s v="KJFK"/>
    <s v="BOS"/>
    <s v="KBOS"/>
    <d v="2026-09-25T10:54:25"/>
    <d v="2026-09-25T11:32:08"/>
    <n v="38"/>
    <x v="253"/>
    <s v="A220-300"/>
    <s v="BCS3"/>
    <s v="Complete"/>
    <s v="a3871e"/>
  </r>
  <r>
    <x v="1"/>
    <s v="B6 169"/>
    <s v="JBU169"/>
    <s v="JFK"/>
    <s v="KJFK"/>
    <m/>
    <m/>
    <d v="2026-09-25T10:55:29"/>
    <d v="2026-09-25T12:14:40"/>
    <n v="79"/>
    <x v="190"/>
    <s v="A321neo"/>
    <s v="A21N"/>
    <s v="Signal lost"/>
    <s v="a1a3a9"/>
  </r>
  <r>
    <x v="1"/>
    <s v="B6 1"/>
    <s v="JBU1"/>
    <s v="JFK"/>
    <s v="KJFK"/>
    <s v="FLL"/>
    <s v="KFLL"/>
    <d v="2026-09-25T10:58:30"/>
    <d v="2026-09-25T13:17:52"/>
    <n v="139"/>
    <x v="135"/>
    <s v="A321neo"/>
    <s v="A21N"/>
    <s v="Complete"/>
    <s v="a1a0c4"/>
  </r>
  <r>
    <x v="1"/>
    <s v="B6 959"/>
    <s v="JBU959"/>
    <s v="BDL"/>
    <s v="KBDL"/>
    <s v="FLL"/>
    <s v="KFLL"/>
    <d v="2026-09-25T11:02:11"/>
    <d v="2026-09-25T13:35:12"/>
    <n v="153"/>
    <x v="45"/>
    <s v="A320"/>
    <s v="A320"/>
    <s v="Complete"/>
    <s v="a967eb"/>
  </r>
  <r>
    <x v="1"/>
    <s v="B6 411"/>
    <s v="JBU411"/>
    <s v="JFK"/>
    <s v="KJFK"/>
    <s v="LAS"/>
    <s v="KLAS"/>
    <d v="2026-09-25T11:02:33"/>
    <d v="2026-09-25T15:49:13"/>
    <n v="287"/>
    <x v="107"/>
    <s v="A321neo"/>
    <s v="A21N"/>
    <s v="Complete"/>
    <s v="a1d368"/>
  </r>
  <r>
    <x v="1"/>
    <s v="B6 1551"/>
    <s v="JBU1551"/>
    <s v="HPN"/>
    <s v="KHPN"/>
    <s v="RSW"/>
    <s v="KRSW"/>
    <d v="2026-09-25T11:02:57"/>
    <d v="2026-09-25T13:31:34"/>
    <n v="149"/>
    <x v="17"/>
    <s v="A320"/>
    <s v="A320"/>
    <s v="Complete"/>
    <s v="a6a3c2"/>
  </r>
  <r>
    <x v="1"/>
    <s v="B6 2289"/>
    <s v="JBU2289"/>
    <s v="CLE"/>
    <s v="KCLE"/>
    <s v="FLL"/>
    <s v="KFLL"/>
    <d v="2026-09-25T11:03:37"/>
    <d v="2026-09-25T13:19:22"/>
    <n v="136"/>
    <x v="8"/>
    <s v="A220-300"/>
    <s v="BCS3"/>
    <s v="Complete"/>
    <s v="a358bd"/>
  </r>
  <r>
    <x v="1"/>
    <s v="B6 1192"/>
    <s v="JBU1192"/>
    <s v="TPA"/>
    <s v="KTPA"/>
    <s v="BOS"/>
    <s v="KBOS"/>
    <d v="2026-09-25T11:04:08"/>
    <d v="2026-09-25T13:41:58"/>
    <n v="158"/>
    <x v="0"/>
    <s v="A321"/>
    <s v="A321"/>
    <s v="Complete"/>
    <s v="ad6f93"/>
  </r>
  <r>
    <x v="1"/>
    <s v="B6 2489"/>
    <s v="JBU2489"/>
    <s v="DTW"/>
    <s v="KDTW"/>
    <s v="FLL"/>
    <s v="KFLL"/>
    <d v="2026-09-25T11:04:28"/>
    <d v="2026-09-25T13:24:48"/>
    <n v="140"/>
    <x v="14"/>
    <s v="A320"/>
    <s v="A320"/>
    <s v="Complete"/>
    <s v="aa589c"/>
  </r>
  <r>
    <x v="1"/>
    <s v="B6 1285"/>
    <s v="JBU1285"/>
    <s v="ROC"/>
    <s v="KROC"/>
    <s v="JFK"/>
    <s v="KJFK"/>
    <d v="2026-09-25T11:06:25"/>
    <d v="2026-09-25T11:55:55"/>
    <n v="50"/>
    <x v="102"/>
    <s v="A320"/>
    <s v="A320"/>
    <s v="Complete"/>
    <s v="a80d40"/>
  </r>
  <r>
    <x v="1"/>
    <s v="B6 111"/>
    <s v="JBU111"/>
    <s v="BOS"/>
    <s v="KBOS"/>
    <s v="ORD"/>
    <s v="KORD"/>
    <d v="2026-09-25T11:06:47"/>
    <d v="2026-09-25T13:14:37"/>
    <n v="128"/>
    <x v="64"/>
    <s v="A220-300"/>
    <s v="BCS3"/>
    <s v="Complete"/>
    <s v="a33ca9"/>
  </r>
  <r>
    <x v="1"/>
    <s v="B6 2220"/>
    <s v="JBU2220"/>
    <s v="LHR"/>
    <s v="EGLL"/>
    <s v="JFK"/>
    <s v="KJFK"/>
    <d v="2026-09-25T11:08:12"/>
    <d v="2026-09-25T19:00:21"/>
    <n v="472"/>
    <x v="179"/>
    <s v="A321neo"/>
    <s v="A21N"/>
    <s v="Complete"/>
    <s v="a4b6b6"/>
  </r>
  <r>
    <x v="1"/>
    <s v="B6 594"/>
    <s v="JBU594"/>
    <m/>
    <m/>
    <s v="EWR"/>
    <s v="KEWR"/>
    <d v="2026-09-25T11:08:43"/>
    <d v="2026-09-25T13:13:16"/>
    <n v="125"/>
    <x v="91"/>
    <s v="A320"/>
    <s v="A320"/>
    <s v="Complete"/>
    <s v="a8a017"/>
  </r>
  <r>
    <x v="1"/>
    <s v="B6 2282"/>
    <s v="JBU2282"/>
    <s v="DFW"/>
    <s v="KDFW"/>
    <s v="FLL"/>
    <s v="KFLL"/>
    <d v="2026-09-25T11:10:27"/>
    <d v="2026-09-25T13:33:54"/>
    <n v="143"/>
    <x v="180"/>
    <s v="A320"/>
    <s v="A320"/>
    <s v="Complete"/>
    <s v="a6b4f7"/>
  </r>
  <r>
    <x v="1"/>
    <s v="B6 75"/>
    <s v="JBU75"/>
    <s v="JFK"/>
    <s v="KJFK"/>
    <s v="MSY"/>
    <s v="KMSY"/>
    <d v="2026-09-25T11:10:33"/>
    <d v="2026-09-25T13:41:07"/>
    <n v="151"/>
    <x v="166"/>
    <s v="A220-300"/>
    <s v="BCS3"/>
    <s v="Complete"/>
    <s v="a34d2f"/>
  </r>
  <r>
    <x v="1"/>
    <s v="B6 1577"/>
    <s v="JBU1577"/>
    <s v="BOS"/>
    <s v="KBOS"/>
    <s v="LAS"/>
    <s v="KLAS"/>
    <d v="2026-09-25T11:11:28"/>
    <d v="2026-09-25T16:16:00"/>
    <n v="305"/>
    <x v="63"/>
    <s v="A321neo"/>
    <s v="A21N"/>
    <s v="Complete"/>
    <s v="a1de8d"/>
  </r>
  <r>
    <x v="1"/>
    <s v="B6 814"/>
    <s v="JBU814"/>
    <s v="FLL"/>
    <s v="KFLL"/>
    <s v="HPN"/>
    <s v="KHPN"/>
    <d v="2026-09-25T11:11:31"/>
    <d v="2026-09-25T13:55:20"/>
    <n v="164"/>
    <x v="5"/>
    <s v="A320"/>
    <s v="A320"/>
    <s v="Landing inferred"/>
    <s v="a87898"/>
  </r>
  <r>
    <x v="1"/>
    <s v="B6 806"/>
    <s v="JBU806"/>
    <s v="BNA"/>
    <s v="KBNA"/>
    <s v="BOS"/>
    <s v="KBOS"/>
    <d v="2026-09-25T11:11:39"/>
    <d v="2026-09-25T13:18:55"/>
    <n v="127"/>
    <x v="148"/>
    <s v="A220-300"/>
    <s v="BCS3"/>
    <s v="Complete"/>
    <s v="a36b73"/>
  </r>
  <r>
    <x v="1"/>
    <s v="B6 1573"/>
    <s v="JBU1573"/>
    <s v="EWR"/>
    <s v="KEWR"/>
    <s v="LAX"/>
    <s v="KLAX"/>
    <d v="2026-09-25T11:13:37"/>
    <d v="2026-09-25T16:32:32"/>
    <n v="319"/>
    <x v="199"/>
    <s v="A321"/>
    <s v="A321"/>
    <s v="Complete"/>
    <s v="adb723"/>
  </r>
  <r>
    <x v="1"/>
    <s v="B6 1129"/>
    <s v="JBU1129"/>
    <s v="PVD"/>
    <s v="KPVD"/>
    <s v="JFK"/>
    <s v="KJFK"/>
    <d v="2026-09-25T11:16:41"/>
    <d v="2026-09-25T11:51:49"/>
    <n v="35"/>
    <x v="78"/>
    <s v="A320"/>
    <s v="A320"/>
    <s v="Complete"/>
    <s v="a72b6b"/>
  </r>
  <r>
    <x v="1"/>
    <s v="B6 852"/>
    <s v="JBU852"/>
    <s v="MCO"/>
    <s v="KMCO"/>
    <s v="BOS"/>
    <s v="KBOS"/>
    <d v="2026-09-25T11:17:48"/>
    <d v="2026-09-25T13:56:14"/>
    <n v="158"/>
    <x v="254"/>
    <s v="A220-300"/>
    <s v="BCS3"/>
    <s v="Complete"/>
    <s v="a37517"/>
  </r>
  <r>
    <x v="1"/>
    <s v="B6 1301"/>
    <s v="JBU1301"/>
    <s v="FLL"/>
    <s v="KFLL"/>
    <s v="LAX"/>
    <s v="KLAX"/>
    <d v="2026-09-25T11:17:57"/>
    <d v="2026-09-25T16:10:38"/>
    <n v="293"/>
    <x v="69"/>
    <s v="A321"/>
    <s v="A321"/>
    <s v="Complete"/>
    <s v="add734"/>
  </r>
  <r>
    <x v="1"/>
    <s v="B6 2625"/>
    <s v="JBU2625"/>
    <s v="RDU"/>
    <s v="KRDU"/>
    <s v="FLL"/>
    <s v="KFLL"/>
    <d v="2026-09-25T11:18:04"/>
    <d v="2026-09-25T12:46:45"/>
    <n v="89"/>
    <x v="233"/>
    <s v="A320"/>
    <s v="A320"/>
    <s v="Complete"/>
    <s v="aa099e"/>
  </r>
  <r>
    <x v="1"/>
    <s v="B6 1461"/>
    <s v="JBU1461"/>
    <s v="LGA"/>
    <s v="KLGA"/>
    <s v="DJT"/>
    <s v="KPBI"/>
    <d v="2026-09-25T11:18:51"/>
    <d v="2026-09-25T13:33:56"/>
    <n v="135"/>
    <x v="4"/>
    <s v="Unknown"/>
    <m/>
    <s v="Complete"/>
    <s v="a38fa4"/>
  </r>
  <r>
    <x v="1"/>
    <s v="B6 917"/>
    <s v="JBU917"/>
    <s v="BOS"/>
    <s v="KBOS"/>
    <s v="JFK"/>
    <s v="KJFK"/>
    <d v="2026-09-25T11:19:26"/>
    <d v="2026-09-25T12:02:42"/>
    <n v="43"/>
    <x v="125"/>
    <s v="A320"/>
    <s v="A320"/>
    <s v="Complete"/>
    <s v="a721a4"/>
  </r>
  <r>
    <x v="1"/>
    <s v="B6 85"/>
    <s v="JBU85"/>
    <s v="BUF"/>
    <s v="KBUF"/>
    <s v="MCO"/>
    <s v="KMCO"/>
    <d v="2026-09-25T11:19:43"/>
    <d v="2026-09-25T13:19:48"/>
    <n v="120"/>
    <x v="76"/>
    <s v="A220-300"/>
    <s v="BCS3"/>
    <s v="Complete"/>
    <s v="a3556f"/>
  </r>
  <r>
    <x v="1"/>
    <s v="B6 286"/>
    <s v="JBU286"/>
    <s v="RDU"/>
    <s v="KRDU"/>
    <s v="JFK"/>
    <s v="KJFK"/>
    <d v="2026-09-25T11:21:35"/>
    <d v="2026-09-25T12:24:25"/>
    <n v="63"/>
    <x v="18"/>
    <s v="A320"/>
    <s v="A320"/>
    <s v="Complete"/>
    <s v="a694dd"/>
  </r>
  <r>
    <x v="1"/>
    <s v="B6 226"/>
    <s v="JBU226"/>
    <s v="TPA"/>
    <s v="KTPA"/>
    <s v="JFK"/>
    <s v="KJFK"/>
    <d v="2026-09-25T11:21:50"/>
    <d v="2026-09-25T13:42:07"/>
    <n v="140"/>
    <x v="218"/>
    <s v="A320"/>
    <s v="A320"/>
    <s v="Complete"/>
    <s v="a7167f"/>
  </r>
  <r>
    <x v="1"/>
    <s v="B6 17"/>
    <s v="JBU17"/>
    <s v="JAX"/>
    <s v="KJAX"/>
    <s v="FLL"/>
    <s v="KFLL"/>
    <d v="2026-09-25T11:24:16"/>
    <d v="2026-09-25T12:10:44"/>
    <n v="46"/>
    <x v="20"/>
    <s v="A320"/>
    <s v="A320"/>
    <s v="Complete"/>
    <s v="a7b832"/>
  </r>
  <r>
    <x v="1"/>
    <s v="B6 2423"/>
    <s v="JBU2423"/>
    <s v="DCA"/>
    <s v="KDCA"/>
    <s v="MCO"/>
    <s v="KMCO"/>
    <d v="2026-09-25T11:24:33"/>
    <d v="2026-09-25T13:09:11"/>
    <n v="105"/>
    <x v="140"/>
    <s v="A320"/>
    <s v="A320"/>
    <s v="Complete"/>
    <s v="a97310"/>
  </r>
  <r>
    <x v="1"/>
    <s v="B6 523"/>
    <s v="JBU523"/>
    <s v="JFK"/>
    <s v="KJFK"/>
    <s v="LAX"/>
    <s v="KLAX"/>
    <d v="2026-09-25T11:24:41"/>
    <d v="2026-09-25T16:36:03"/>
    <n v="311"/>
    <x v="241"/>
    <s v="A321neo"/>
    <s v="A21N"/>
    <s v="Complete"/>
    <s v="a1d99b"/>
  </r>
  <r>
    <x v="1"/>
    <s v="B6 633"/>
    <s v="JBU633"/>
    <s v="BOS"/>
    <s v="KBOS"/>
    <s v="SFO"/>
    <s v="KSFO"/>
    <d v="2026-09-25T11:25:12"/>
    <d v="2026-09-25T17:29:51"/>
    <n v="365"/>
    <x v="101"/>
    <s v="A321neo"/>
    <s v="A21N"/>
    <s v="Complete"/>
    <s v="a1e411"/>
  </r>
  <r>
    <x v="1"/>
    <s v="B6 664"/>
    <s v="JBU664"/>
    <s v="ORD"/>
    <s v="KORD"/>
    <s v="FLL"/>
    <s v="KFLL"/>
    <d v="2026-09-25T11:26:06"/>
    <d v="2026-09-25T13:53:29"/>
    <n v="147"/>
    <x v="80"/>
    <s v="A320"/>
    <s v="A320"/>
    <s v="Complete"/>
    <s v="a8ab3c"/>
  </r>
  <r>
    <x v="1"/>
    <s v="B6 2380"/>
    <s v="JBU2380"/>
    <s v="IAH"/>
    <s v="KIAH"/>
    <s v="FLL"/>
    <s v="KFLL"/>
    <d v="2026-09-25T11:27:05"/>
    <d v="2026-09-25T13:30:53"/>
    <n v="124"/>
    <x v="24"/>
    <s v="A320"/>
    <s v="A320"/>
    <s v="Complete"/>
    <s v="a70f11"/>
  </r>
  <r>
    <x v="1"/>
    <s v="B6 20"/>
    <s v="JBU20"/>
    <s v="LHR"/>
    <s v="EGLL"/>
    <s v="JFK"/>
    <s v="KJFK"/>
    <d v="2026-09-25T11:29:43"/>
    <d v="2026-09-25T19:11:33"/>
    <n v="462"/>
    <x v="59"/>
    <s v="A321neo"/>
    <s v="A21N"/>
    <s v="Complete"/>
    <s v="a4c9d5"/>
  </r>
  <r>
    <x v="1"/>
    <s v="B6 513"/>
    <s v="JBU513"/>
    <s v="ISP"/>
    <s v="KISP"/>
    <s v="FLL"/>
    <s v="KFLL"/>
    <d v="2026-09-25T11:31:49"/>
    <d v="2026-09-25T14:08:11"/>
    <n v="156"/>
    <x v="33"/>
    <s v="A320"/>
    <s v="A320"/>
    <s v="Complete"/>
    <s v="a7858e"/>
  </r>
  <r>
    <x v="1"/>
    <s v="B6 1145"/>
    <s v="JBU1145"/>
    <s v="RIC"/>
    <s v="KRIC"/>
    <s v="FLL"/>
    <s v="KFLL"/>
    <d v="2026-09-25T11:32:28"/>
    <d v="2026-09-25T13:39:03"/>
    <n v="127"/>
    <x v="138"/>
    <s v="A320"/>
    <s v="A320"/>
    <s v="Complete"/>
    <s v="a683a8"/>
  </r>
  <r>
    <x v="1"/>
    <s v="B6 729"/>
    <s v="JBU729"/>
    <s v="MCO"/>
    <s v="KMCO"/>
    <s v="MCO"/>
    <s v="KMCO"/>
    <d v="2026-09-25T11:34:33"/>
    <d v="2026-09-25T17:40:17"/>
    <n v="366"/>
    <x v="72"/>
    <s v="A320"/>
    <s v="A320"/>
    <s v="Complete"/>
    <s v="a752ea"/>
  </r>
  <r>
    <x v="1"/>
    <s v="B6 2272"/>
    <s v="JBU2272"/>
    <s v="AUS"/>
    <s v="KAUS"/>
    <s v="FLL"/>
    <s v="KFLL"/>
    <d v="2026-09-25T11:37:39"/>
    <d v="2026-09-25T14:01:19"/>
    <n v="144"/>
    <x v="73"/>
    <s v="A320"/>
    <s v="A320"/>
    <s v="Complete"/>
    <s v="a73690"/>
  </r>
  <r>
    <x v="1"/>
    <s v="B6 1480"/>
    <s v="JBU1480"/>
    <s v="FLL"/>
    <s v="KFLL"/>
    <s v="DCA"/>
    <s v="KDCA"/>
    <d v="2026-09-25T11:37:52"/>
    <d v="2026-09-25T13:49:43"/>
    <n v="132"/>
    <x v="187"/>
    <s v="A320"/>
    <s v="A320"/>
    <s v="Complete"/>
    <s v="a8a785"/>
  </r>
  <r>
    <x v="1"/>
    <s v="B6 1236"/>
    <s v="JBU1236"/>
    <s v="DTW"/>
    <s v="KDTW"/>
    <s v="BOS"/>
    <s v="KBOS"/>
    <d v="2026-09-25T11:38:49"/>
    <d v="2026-09-25T13:16:11"/>
    <n v="97"/>
    <x v="132"/>
    <s v="A220-300"/>
    <s v="BCS3"/>
    <s v="Complete"/>
    <s v="a37c1c"/>
  </r>
  <r>
    <x v="1"/>
    <s v="B6 848"/>
    <s v="JBU848"/>
    <s v="CLT"/>
    <s v="KCLT"/>
    <s v="FLL"/>
    <s v="KFLL"/>
    <d v="2026-09-25T11:39:21"/>
    <d v="2026-09-25T12:59:04"/>
    <n v="80"/>
    <x v="53"/>
    <s v="A320"/>
    <s v="A320"/>
    <s v="Complete"/>
    <s v="a73dfe"/>
  </r>
  <r>
    <x v="1"/>
    <s v="B6 9011"/>
    <s v="JBU9011"/>
    <s v="JFK"/>
    <s v="KJFK"/>
    <s v="LAN"/>
    <s v="KLAN"/>
    <d v="2026-09-25T11:39:50"/>
    <d v="2026-09-25T13:05:10"/>
    <n v="85"/>
    <x v="214"/>
    <s v="A321"/>
    <s v="A321"/>
    <s v="Landing inferred"/>
    <s v="aca29a"/>
  </r>
  <r>
    <x v="1"/>
    <s v="B6 2601"/>
    <s v="JBU2601"/>
    <s v="HPN"/>
    <s v="KHPN"/>
    <s v="SJU"/>
    <s v="TJSJ"/>
    <d v="2026-09-25T11:41:09"/>
    <d v="2026-09-25T15:33:26"/>
    <n v="232"/>
    <x v="159"/>
    <s v="Unknown"/>
    <m/>
    <s v="Landing inferred"/>
    <s v="a39338"/>
  </r>
  <r>
    <x v="1"/>
    <s v="B6 72"/>
    <s v="JBU72"/>
    <s v="EDI"/>
    <s v="EGPH"/>
    <s v="JFK"/>
    <s v="KJFK"/>
    <d v="2026-09-25T11:43:50"/>
    <d v="2026-09-25T19:04:43"/>
    <n v="441"/>
    <x v="250"/>
    <s v="A321neo"/>
    <s v="A21N"/>
    <s v="Complete"/>
    <s v="a1ce99"/>
  </r>
  <r>
    <x v="1"/>
    <s v="B6 883"/>
    <s v="JBU883"/>
    <s v="JFK"/>
    <s v="KJFK"/>
    <s v="MCO"/>
    <s v="KMCO"/>
    <d v="2026-09-25T11:44:04"/>
    <d v="2026-09-25T13:47:44"/>
    <n v="124"/>
    <x v="234"/>
    <s v="A321"/>
    <s v="A321"/>
    <s v="Complete"/>
    <s v="ad56e0"/>
  </r>
  <r>
    <x v="1"/>
    <s v="B6 2024"/>
    <s v="JBU2024"/>
    <s v="MCO"/>
    <s v="KMCO"/>
    <s v="DCA"/>
    <s v="KDCA"/>
    <d v="2026-09-25T11:44:12"/>
    <d v="2026-09-25T13:36:47"/>
    <n v="113"/>
    <x v="204"/>
    <s v="A320"/>
    <s v="A320"/>
    <s v="Complete"/>
    <s v="a7faad"/>
  </r>
  <r>
    <x v="1"/>
    <s v="B6 280"/>
    <s v="JBU280"/>
    <s v="JFK"/>
    <s v="KJFK"/>
    <s v="JFK"/>
    <s v="KJFK"/>
    <d v="2026-09-25T11:45:55"/>
    <d v="2026-09-25T20:04:17"/>
    <n v="498"/>
    <x v="213"/>
    <s v="A320"/>
    <s v="A320"/>
    <s v="Complete"/>
    <s v="a7a1e8"/>
  </r>
  <r>
    <x v="1"/>
    <s v="B6 707"/>
    <s v="JBU707"/>
    <s v="FLL"/>
    <s v="KFLL"/>
    <s v="LAS"/>
    <s v="KLAS"/>
    <d v="2026-09-25T11:46:55"/>
    <d v="2026-09-25T16:22:43"/>
    <n v="276"/>
    <x v="84"/>
    <s v="A321"/>
    <s v="A321"/>
    <s v="Complete"/>
    <s v="adc238"/>
  </r>
  <r>
    <x v="1"/>
    <s v="B6 724"/>
    <s v="JBU724"/>
    <m/>
    <m/>
    <s v="BOS"/>
    <s v="KBOS"/>
    <d v="2026-09-25T11:47:40"/>
    <d v="2026-09-25T14:07:32"/>
    <n v="140"/>
    <x v="169"/>
    <s v="A320"/>
    <s v="A320"/>
    <s v="Complete"/>
    <s v="a8712a"/>
  </r>
  <r>
    <x v="1"/>
    <s v="B6 579"/>
    <s v="JBU579"/>
    <s v="DCA"/>
    <s v="KDCA"/>
    <s v="FLL"/>
    <s v="KFLL"/>
    <d v="2026-09-25T11:49:41"/>
    <d v="2026-09-25T13:51:26"/>
    <n v="122"/>
    <x v="50"/>
    <s v="A220-300"/>
    <s v="BCS3"/>
    <s v="Complete"/>
    <s v="a35fc2"/>
  </r>
  <r>
    <x v="1"/>
    <s v="B6 15"/>
    <s v="JBU15"/>
    <s v="JFK"/>
    <s v="KJFK"/>
    <s v="SFO"/>
    <s v="KSFO"/>
    <d v="2026-09-25T11:52:27"/>
    <d v="2026-09-25T17:27:47"/>
    <n v="335"/>
    <x v="86"/>
    <s v="A321"/>
    <s v="A321"/>
    <s v="Complete"/>
    <s v="ad646e"/>
  </r>
  <r>
    <x v="1"/>
    <s v="B6 1062"/>
    <s v="JBU1062"/>
    <s v="DJT"/>
    <s v="KPBI"/>
    <s v="LGA"/>
    <s v="KLGA"/>
    <d v="2026-09-25T11:55:23"/>
    <d v="2026-09-25T14:35:47"/>
    <n v="160"/>
    <x v="65"/>
    <s v="A220-300"/>
    <s v="BCS3"/>
    <s v="Complete"/>
    <s v="a386fb"/>
  </r>
  <r>
    <x v="1"/>
    <s v="B6 57"/>
    <s v="JBU57"/>
    <s v="JFK"/>
    <s v="KJFK"/>
    <m/>
    <m/>
    <d v="2026-09-25T11:55:35"/>
    <d v="2026-09-25T13:46:47"/>
    <n v="111"/>
    <x v="210"/>
    <s v="A321"/>
    <s v="A321"/>
    <s v="Signal lost"/>
    <s v="ac8289"/>
  </r>
  <r>
    <x v="1"/>
    <s v="B6 2179"/>
    <s v="JBU2179"/>
    <s v="FLL"/>
    <s v="KFLL"/>
    <s v="IAH"/>
    <s v="KIAH"/>
    <d v="2026-09-25T12:00:28"/>
    <d v="2026-09-25T14:11:41"/>
    <n v="131"/>
    <x v="7"/>
    <s v="A320"/>
    <s v="A320"/>
    <s v="Landing inferred"/>
    <s v="a6c3ca"/>
  </r>
  <r>
    <x v="1"/>
    <s v="B6 538"/>
    <s v="JBU538"/>
    <m/>
    <m/>
    <s v="JFK"/>
    <s v="KJFK"/>
    <d v="2026-09-25T12:00:38"/>
    <d v="2026-09-25T14:05:38"/>
    <n v="125"/>
    <x v="105"/>
    <s v="A220-300"/>
    <s v="BCS3"/>
    <s v="Complete"/>
    <s v="a36825"/>
  </r>
  <r>
    <x v="1"/>
    <s v="B6 1626"/>
    <s v="JBU1626"/>
    <s v="FLL"/>
    <s v="KFLL"/>
    <s v="RDU"/>
    <s v="KRDU"/>
    <d v="2026-09-25T12:01:28"/>
    <d v="2026-09-25T13:47:00"/>
    <n v="106"/>
    <x v="161"/>
    <s v="A320"/>
    <s v="A320"/>
    <s v="Complete"/>
    <s v="a87c4f"/>
  </r>
  <r>
    <x v="1"/>
    <s v="B6 1273"/>
    <s v="JBU1273"/>
    <s v="JFK"/>
    <s v="KJFK"/>
    <s v="CHS"/>
    <s v="KCHS"/>
    <d v="2026-09-25T12:03:43"/>
    <d v="2026-09-25T13:40:58"/>
    <n v="97"/>
    <x v="178"/>
    <s v="A220-300"/>
    <s v="BCS3"/>
    <s v="Landing inferred"/>
    <s v="a36b50"/>
  </r>
  <r>
    <x v="1"/>
    <s v="B6 861"/>
    <s v="JBU861"/>
    <s v="BOS"/>
    <s v="KBOS"/>
    <s v="SJU"/>
    <s v="TJSJ"/>
    <d v="2026-09-25T12:04:38"/>
    <d v="2026-09-25T17:36:04"/>
    <n v="331"/>
    <x v="251"/>
    <s v="A320"/>
    <s v="A320"/>
    <s v="Complete"/>
    <s v="a7ad0d"/>
  </r>
  <r>
    <x v="1"/>
    <s v="B6 346"/>
    <s v="JBU346"/>
    <s v="BCN"/>
    <s v="LEBL"/>
    <s v="BOS"/>
    <s v="KBOS"/>
    <d v="2026-09-25T12:08:00"/>
    <d v="2026-09-25T20:50:36"/>
    <n v="523"/>
    <x v="48"/>
    <s v="A321neo"/>
    <s v="A21N"/>
    <s v="Complete"/>
    <s v="a4cd23"/>
  </r>
  <r>
    <x v="1"/>
    <s v="B6 1797"/>
    <s v="JBU1797"/>
    <s v="ATL"/>
    <s v="KATL"/>
    <s v="FLL"/>
    <s v="KFLL"/>
    <d v="2026-09-25T12:08:48"/>
    <d v="2026-09-25T13:37:00"/>
    <n v="88"/>
    <x v="35"/>
    <s v="A220-300"/>
    <s v="BCS3"/>
    <s v="Complete"/>
    <s v="a38e69"/>
  </r>
  <r>
    <x v="1"/>
    <s v="B6 599"/>
    <s v="JBU599"/>
    <s v="LGA"/>
    <s v="KLGA"/>
    <s v="MCO"/>
    <s v="KMCO"/>
    <d v="2026-09-25T12:09:02"/>
    <d v="2026-09-25T14:11:31"/>
    <n v="122"/>
    <x v="31"/>
    <s v="A320"/>
    <s v="A320"/>
    <s v="Complete"/>
    <s v="a8c028"/>
  </r>
  <r>
    <x v="1"/>
    <s v="B6 2482"/>
    <s v="JBU2482"/>
    <s v="BNA"/>
    <s v="KBNA"/>
    <s v="FLL"/>
    <s v="KFLL"/>
    <d v="2026-09-25T12:09:15"/>
    <d v="2026-09-25T13:57:40"/>
    <n v="108"/>
    <x v="236"/>
    <s v="A320"/>
    <s v="A320"/>
    <s v="Complete"/>
    <s v="a8aef3"/>
  </r>
  <r>
    <x v="1"/>
    <s v="B6 1381"/>
    <s v="JBU1381"/>
    <s v="JFK"/>
    <s v="KJFK"/>
    <s v="IAH"/>
    <s v="KIAH"/>
    <d v="2026-09-25T12:09:44"/>
    <d v="2026-09-25T15:09:40"/>
    <n v="180"/>
    <x v="229"/>
    <s v="A220-300"/>
    <s v="BCS3"/>
    <s v="Landing inferred"/>
    <s v="a39948"/>
  </r>
  <r>
    <x v="1"/>
    <s v="B6 1067"/>
    <s v="JBU1067"/>
    <s v="HPN"/>
    <s v="KHPN"/>
    <s v="DJT"/>
    <s v="KPBI"/>
    <d v="2026-09-25T12:09:58"/>
    <d v="2026-09-25T14:23:40"/>
    <n v="134"/>
    <x v="67"/>
    <s v="A320"/>
    <s v="A320"/>
    <s v="Complete"/>
    <s v="a689b8"/>
  </r>
  <r>
    <x v="1"/>
    <s v="B6 2083"/>
    <s v="JBU2083"/>
    <s v="BOS"/>
    <s v="KBOS"/>
    <s v="RDU"/>
    <s v="KRDU"/>
    <d v="2026-09-25T12:13:04"/>
    <d v="2026-09-25T13:49:00"/>
    <n v="96"/>
    <x v="43"/>
    <s v="Unknown"/>
    <m/>
    <s v="Complete"/>
    <s v="a39fe4"/>
  </r>
  <r>
    <x v="1"/>
    <s v="B6 1822"/>
    <s v="JBU1822"/>
    <s v="MSY"/>
    <s v="KMSY"/>
    <s v="FLL"/>
    <s v="KFLL"/>
    <d v="2026-09-25T12:15:18"/>
    <d v="2026-09-25T13:46:55"/>
    <n v="92"/>
    <x v="119"/>
    <s v="A320"/>
    <s v="A320"/>
    <s v="Complete"/>
    <s v="ab0416"/>
  </r>
  <r>
    <x v="1"/>
    <s v="B6 686"/>
    <s v="JBU686"/>
    <s v="FLL"/>
    <s v="KFLL"/>
    <s v="EWR"/>
    <s v="KEWR"/>
    <d v="2026-09-25T12:15:41"/>
    <d v="2026-09-25T14:43:51"/>
    <n v="148"/>
    <x v="149"/>
    <s v="A320"/>
    <s v="A320"/>
    <s v="Complete"/>
    <s v="a88774"/>
  </r>
  <r>
    <x v="1"/>
    <s v="B6 323"/>
    <s v="JBU323"/>
    <s v="JFK"/>
    <s v="KJFK"/>
    <s v="LAX"/>
    <s v="KLAX"/>
    <d v="2026-09-25T12:15:46"/>
    <d v="2026-09-25T17:21:12"/>
    <n v="305"/>
    <x v="203"/>
    <s v="A321"/>
    <s v="A321"/>
    <s v="Complete"/>
    <s v="addadb"/>
  </r>
  <r>
    <x v="1"/>
    <s v="B6 1347"/>
    <s v="JBU1347"/>
    <s v="DCA"/>
    <s v="KDCA"/>
    <s v="SJU"/>
    <s v="TJSJ"/>
    <d v="2026-09-25T12:15:46"/>
    <d v="2026-09-25T15:47:29"/>
    <n v="212"/>
    <x v="9"/>
    <s v="A320"/>
    <s v="A320"/>
    <s v="Landing inferred"/>
    <s v="a83108"/>
  </r>
  <r>
    <x v="1"/>
    <s v="B6 1159"/>
    <s v="JBU1159"/>
    <s v="BOS"/>
    <s v="KBOS"/>
    <s v="PHL"/>
    <s v="KPHL"/>
    <d v="2026-09-25T12:18:09"/>
    <d v="2026-09-25T13:31:35"/>
    <n v="73"/>
    <x v="176"/>
    <s v="A220-300"/>
    <s v="BCS3"/>
    <s v="Complete"/>
    <s v="a392f2"/>
  </r>
  <r>
    <x v="1"/>
    <s v="B6 271"/>
    <s v="JBU271"/>
    <s v="LGA"/>
    <s v="KLGA"/>
    <s v="FLL"/>
    <s v="KFLL"/>
    <d v="2026-09-25T12:19:30"/>
    <d v="2026-09-25T14:43:29"/>
    <n v="144"/>
    <x v="219"/>
    <s v="A320"/>
    <s v="A320"/>
    <s v="Complete"/>
    <s v="a6587b"/>
  </r>
  <r>
    <x v="1"/>
    <s v="B6 1055"/>
    <s v="JBU1055"/>
    <s v="BOS"/>
    <s v="KBOS"/>
    <s v="DCA"/>
    <s v="KDCA"/>
    <d v="2026-09-25T12:20:53"/>
    <d v="2026-09-25T13:30:52"/>
    <n v="70"/>
    <x v="162"/>
    <s v="A220-300"/>
    <s v="BCS3"/>
    <s v="Complete"/>
    <s v="a338ac"/>
  </r>
  <r>
    <x v="1"/>
    <s v="B6 2260"/>
    <s v="JBU2260"/>
    <s v="MAD"/>
    <s v="LEMD"/>
    <s v="BOS"/>
    <s v="KBOS"/>
    <d v="2026-09-25T12:20:56"/>
    <d v="2026-09-25T20:13:31"/>
    <n v="473"/>
    <x v="85"/>
    <s v="A321neo"/>
    <s v="A21N"/>
    <s v="Complete"/>
    <s v="a4ccba"/>
  </r>
  <r>
    <x v="1"/>
    <s v="B6 2994"/>
    <s v="JBU2994"/>
    <s v="FLL"/>
    <s v="KFLL"/>
    <s v="BWI"/>
    <s v="KBWI"/>
    <d v="2026-09-25T12:27:55"/>
    <d v="2026-09-25T14:44:38"/>
    <n v="137"/>
    <x v="100"/>
    <s v="A220-300"/>
    <s v="BCS3"/>
    <s v="Complete"/>
    <s v="a383f3"/>
  </r>
  <r>
    <x v="1"/>
    <s v="B6 273"/>
    <s v="JBU273"/>
    <s v="JFK"/>
    <s v="KJFK"/>
    <s v="BNA"/>
    <s v="KBNA"/>
    <d v="2026-09-25T12:28:34"/>
    <d v="2026-09-25T14:16:20"/>
    <n v="108"/>
    <x v="160"/>
    <s v="A220-300"/>
    <s v="BCS3"/>
    <s v="Complete"/>
    <s v="a39243"/>
  </r>
  <r>
    <x v="1"/>
    <s v="B6 905"/>
    <s v="JBU905"/>
    <s v="JFK"/>
    <s v="KJFK"/>
    <s v="ORD"/>
    <s v="KORD"/>
    <d v="2026-09-25T12:30:14"/>
    <d v="2026-09-25T14:26:25"/>
    <n v="116"/>
    <x v="142"/>
    <s v="A220-300"/>
    <s v="BCS3"/>
    <s v="Complete"/>
    <s v="a3298a"/>
  </r>
  <r>
    <x v="1"/>
    <s v="B6 109"/>
    <s v="JBU109"/>
    <s v="BOS"/>
    <s v="KBOS"/>
    <m/>
    <m/>
    <d v="2026-09-25T12:30:48"/>
    <d v="2026-09-25T14:43:00"/>
    <n v="132"/>
    <x v="37"/>
    <s v="A220-300"/>
    <s v="BCS3"/>
    <s v="Landing inferred"/>
    <s v="a3401a"/>
  </r>
  <r>
    <x v="1"/>
    <s v="B6 2695"/>
    <s v="JBU2695"/>
    <s v="HPN"/>
    <s v="KHPN"/>
    <s v="MCO"/>
    <s v="KMCO"/>
    <d v="2026-09-25T12:30:53"/>
    <d v="2026-09-25T14:42:47"/>
    <n v="132"/>
    <x v="79"/>
    <s v="A320"/>
    <s v="A320"/>
    <s v="Complete"/>
    <s v="a9c5c5"/>
  </r>
  <r>
    <x v="1"/>
    <s v="B6 203"/>
    <s v="JBU203"/>
    <s v="BOS"/>
    <s v="KBOS"/>
    <s v="BDA"/>
    <s v="TXKF"/>
    <d v="2026-09-25T12:32:18"/>
    <d v="2026-09-25T14:22:50"/>
    <n v="111"/>
    <x v="177"/>
    <s v="A220-300"/>
    <s v="BCS3"/>
    <s v="Complete"/>
    <s v="a39925"/>
  </r>
  <r>
    <x v="1"/>
    <s v="B6 87"/>
    <s v="JBU87"/>
    <s v="ALB"/>
    <s v="KALB"/>
    <s v="FLL"/>
    <s v="KFLL"/>
    <d v="2026-09-25T12:32:25"/>
    <d v="2026-09-25T15:11:47"/>
    <n v="159"/>
    <x v="228"/>
    <s v="A320"/>
    <s v="A320"/>
    <s v="Complete"/>
    <s v="aac3f4"/>
  </r>
  <r>
    <x v="1"/>
    <s v="B6 687"/>
    <s v="JBU687"/>
    <s v="BOS"/>
    <s v="KBOS"/>
    <s v="LAX"/>
    <s v="KLAX"/>
    <d v="2026-09-25T12:33:19"/>
    <d v="2026-09-25T18:30:13"/>
    <n v="357"/>
    <x v="56"/>
    <s v="A321"/>
    <s v="A321"/>
    <s v="Complete"/>
    <s v="adb35c"/>
  </r>
  <r>
    <x v="1"/>
    <s v="B6 1799"/>
    <s v="JBU1799"/>
    <s v="ORF"/>
    <s v="KORF"/>
    <s v="FLL"/>
    <s v="KFLL"/>
    <d v="2026-09-25T12:37:06"/>
    <d v="2026-09-25T14:21:38"/>
    <n v="105"/>
    <x v="231"/>
    <s v="A320"/>
    <s v="A320"/>
    <s v="Complete"/>
    <s v="a7de53"/>
  </r>
  <r>
    <x v="1"/>
    <s v="B6 2229"/>
    <s v="JBU2229"/>
    <s v="BOS"/>
    <s v="KBOS"/>
    <s v="MKE"/>
    <s v="KMKE"/>
    <d v="2026-09-25T12:38:29"/>
    <d v="2026-09-25T14:45:23"/>
    <n v="127"/>
    <x v="38"/>
    <s v="A220-300"/>
    <s v="BCS3"/>
    <s v="Landing inferred"/>
    <s v="a350c3"/>
  </r>
  <r>
    <x v="1"/>
    <s v="B6 906"/>
    <s v="JBU906"/>
    <s v="ORD"/>
    <s v="KORD"/>
    <s v="JFK"/>
    <s v="KJFK"/>
    <d v="2026-09-25T12:38:36"/>
    <d v="2026-09-25T14:22:07"/>
    <n v="104"/>
    <x v="143"/>
    <s v="A220-300"/>
    <s v="BCS3"/>
    <s v="Complete"/>
    <s v="a34d52"/>
  </r>
  <r>
    <x v="1"/>
    <s v="B6 1601"/>
    <s v="JBU1601"/>
    <s v="JFK"/>
    <s v="KJFK"/>
    <s v="FLL"/>
    <s v="KFLL"/>
    <d v="2026-09-25T12:39:15"/>
    <d v="2026-09-25T14:54:56"/>
    <n v="136"/>
    <x v="49"/>
    <s v="A320"/>
    <s v="A320"/>
    <s v="Complete"/>
    <s v="ab4f5d"/>
  </r>
  <r>
    <x v="1"/>
    <s v="B6 69"/>
    <s v="JBU69"/>
    <s v="BOS"/>
    <s v="KBOS"/>
    <s v="FLL"/>
    <s v="KFLL"/>
    <d v="2026-09-25T12:42:04"/>
    <d v="2026-09-25T15:32:03"/>
    <n v="170"/>
    <x v="173"/>
    <s v="A320"/>
    <s v="A320"/>
    <s v="Complete"/>
    <s v="a6ab27"/>
  </r>
  <r>
    <x v="1"/>
    <s v="B6 1231"/>
    <s v="JBU1231"/>
    <s v="BOS"/>
    <s v="KBOS"/>
    <s v="VRB"/>
    <s v="KVRB"/>
    <d v="2026-09-25T12:43:31"/>
    <d v="2026-09-25T15:20:13"/>
    <n v="157"/>
    <x v="146"/>
    <s v="A220-300"/>
    <s v="BCS3"/>
    <s v="Landing inferred"/>
    <s v="a38af8"/>
  </r>
  <r>
    <x v="1"/>
    <s v="B6 837"/>
    <s v="JBU837"/>
    <s v="BOS"/>
    <s v="KBOS"/>
    <s v="DTW"/>
    <s v="KDTW"/>
    <d v="2026-09-25T12:46:04"/>
    <d v="2026-09-25T14:21:01"/>
    <n v="95"/>
    <x v="36"/>
    <s v="A220-300"/>
    <s v="BCS3"/>
    <s v="Complete"/>
    <s v="a38836"/>
  </r>
  <r>
    <x v="1"/>
    <s v="B6 2033"/>
    <s v="JBU2033"/>
    <s v="BOS"/>
    <s v="KBOS"/>
    <s v="IAH"/>
    <s v="KIAH"/>
    <d v="2026-09-25T12:48:32"/>
    <d v="2026-09-25T16:16:02"/>
    <n v="208"/>
    <x v="19"/>
    <s v="A320"/>
    <s v="A320"/>
    <s v="Landing inferred"/>
    <s v="a7da9c"/>
  </r>
  <r>
    <x v="1"/>
    <s v="B6 1241"/>
    <s v="JBU1241"/>
    <s v="BDL"/>
    <s v="KBDL"/>
    <s v="DJT"/>
    <s v="KPBI"/>
    <d v="2026-09-25T12:50:31"/>
    <d v="2026-09-25T15:13:43"/>
    <n v="143"/>
    <x v="171"/>
    <s v="A320"/>
    <s v="A320"/>
    <s v="Complete"/>
    <s v="a845f4"/>
  </r>
  <r>
    <x v="1"/>
    <s v="B6 2041"/>
    <s v="JBU2041"/>
    <s v="BOS"/>
    <s v="KBOS"/>
    <s v="CLE"/>
    <s v="KCLE"/>
    <d v="2026-09-25T12:55:45"/>
    <d v="2026-09-25T14:23:04"/>
    <n v="87"/>
    <x v="189"/>
    <s v="A220-300"/>
    <s v="BCS3"/>
    <s v="Complete"/>
    <s v="a35cba"/>
  </r>
  <r>
    <x v="1"/>
    <s v="B6 2121"/>
    <s v="JBU2121"/>
    <s v="HPN"/>
    <s v="KHPN"/>
    <m/>
    <m/>
    <d v="2026-09-25T12:56:36"/>
    <d v="2026-09-25T13:31:36"/>
    <n v="35"/>
    <x v="227"/>
    <s v="A220-300"/>
    <s v="BCS3"/>
    <s v="Landing inferred"/>
    <s v="a34978"/>
  </r>
  <r>
    <x v="1"/>
    <s v="B6 1002"/>
    <s v="JBU1002"/>
    <s v="FLL"/>
    <s v="KFLL"/>
    <s v="JFK"/>
    <s v="KJFK"/>
    <d v="2026-09-25T12:57:54"/>
    <d v="2026-09-25T15:35:01"/>
    <n v="157"/>
    <x v="255"/>
    <s v="A321"/>
    <s v="A321"/>
    <s v="Complete"/>
    <s v="ad4804"/>
  </r>
  <r>
    <x v="1"/>
    <s v="B6 21"/>
    <s v="JBU21"/>
    <s v="BOS"/>
    <s v="KBOS"/>
    <s v="DJT"/>
    <s v="KPBI"/>
    <d v="2026-09-25T12:58:43"/>
    <d v="2026-09-25T15:33:09"/>
    <n v="154"/>
    <x v="131"/>
    <s v="A321"/>
    <s v="A321"/>
    <s v="Complete"/>
    <s v="ad2f71"/>
  </r>
  <r>
    <x v="1"/>
    <s v="B6 1215"/>
    <s v="JBU1215"/>
    <s v="BOS"/>
    <s v="KBOS"/>
    <s v="BUF"/>
    <s v="KBUF"/>
    <d v="2026-09-25T13:00:10"/>
    <d v="2026-09-25T14:05:53"/>
    <n v="66"/>
    <x v="42"/>
    <s v="A320"/>
    <s v="A320"/>
    <s v="Landing inferred"/>
    <s v="a854d0"/>
  </r>
  <r>
    <x v="1"/>
    <s v="B6 8378"/>
    <s v="JBU8378"/>
    <s v="MCO"/>
    <s v="KMCO"/>
    <s v="PVD"/>
    <s v="KPVD"/>
    <d v="2026-09-25T13:03:39"/>
    <d v="2026-09-25T15:38:59"/>
    <n v="155"/>
    <x v="40"/>
    <s v="A320"/>
    <s v="A320"/>
    <s v="Complete"/>
    <s v="aaa02c"/>
  </r>
  <r>
    <x v="1"/>
    <s v="B6 1111"/>
    <s v="JBU1111"/>
    <s v="JFK"/>
    <s v="KJFK"/>
    <m/>
    <m/>
    <d v="2026-09-25T13:03:55"/>
    <d v="2026-09-25T16:24:58"/>
    <n v="201"/>
    <x v="75"/>
    <s v="A320"/>
    <s v="A320"/>
    <s v="Signal lost"/>
    <s v="ab6800"/>
  </r>
  <r>
    <x v="1"/>
    <s v="B6 310"/>
    <s v="JBU310"/>
    <m/>
    <m/>
    <s v="JFK"/>
    <s v="KJFK"/>
    <d v="2026-09-25T13:06:36"/>
    <d v="2026-09-25T14:27:46"/>
    <n v="81"/>
    <x v="29"/>
    <s v="A321"/>
    <s v="A321"/>
    <s v="Complete"/>
    <s v="ad4f72"/>
  </r>
  <r>
    <x v="1"/>
    <s v="B6 567"/>
    <s v="JBU567"/>
    <s v="BOS"/>
    <s v="KBOS"/>
    <s v="CHS"/>
    <s v="KCHS"/>
    <d v="2026-09-25T13:08:21"/>
    <d v="2026-09-25T15:13:58"/>
    <n v="126"/>
    <x v="155"/>
    <s v="A220-300"/>
    <s v="BCS3"/>
    <s v="Landing inferred"/>
    <s v="a35854"/>
  </r>
  <r>
    <x v="1"/>
    <s v="B6 716"/>
    <s v="JBU716"/>
    <s v="BUF"/>
    <s v="KBUF"/>
    <s v="BOS"/>
    <s v="KBOS"/>
    <d v="2026-09-25T13:08:26"/>
    <d v="2026-09-25T14:17:08"/>
    <n v="69"/>
    <x v="244"/>
    <s v="A220-300"/>
    <s v="BCS3"/>
    <s v="Complete"/>
    <s v="a35109"/>
  </r>
  <r>
    <x v="1"/>
    <s v="B6 2920"/>
    <s v="JBU2920"/>
    <s v="ALB"/>
    <s v="KALB"/>
    <s v="MCO"/>
    <s v="KMCO"/>
    <d v="2026-09-25T13:09:39"/>
    <d v="2026-09-25T15:36:35"/>
    <n v="147"/>
    <x v="242"/>
    <s v="A320"/>
    <s v="A320"/>
    <s v="Complete"/>
    <s v="a770a2"/>
  </r>
  <r>
    <x v="1"/>
    <s v="B6 2348"/>
    <s v="JBU2348"/>
    <s v="LAS"/>
    <s v="KLAS"/>
    <s v="JFK"/>
    <s v="KJFK"/>
    <d v="2026-09-25T13:10:22"/>
    <d v="2026-09-25T17:34:15"/>
    <n v="264"/>
    <x v="96"/>
    <s v="A321"/>
    <s v="A321"/>
    <s v="Complete"/>
    <s v="adcd6d"/>
  </r>
  <r>
    <x v="1"/>
    <s v="B6 2074"/>
    <s v="JBU2074"/>
    <s v="LAX"/>
    <s v="KLAX"/>
    <s v="EWR"/>
    <s v="KEWR"/>
    <d v="2026-09-25T13:12:46"/>
    <d v="2026-09-25T18:08:49"/>
    <n v="296"/>
    <x v="99"/>
    <s v="A321"/>
    <s v="A321"/>
    <s v="Complete"/>
    <s v="ad6bdc"/>
  </r>
  <r>
    <x v="1"/>
    <s v="B6 1286"/>
    <s v="JBU1286"/>
    <s v="PIT"/>
    <s v="KPIT"/>
    <s v="BOS"/>
    <s v="KBOS"/>
    <d v="2026-09-25T13:14:16"/>
    <d v="2026-09-25T14:43:21"/>
    <n v="89"/>
    <x v="133"/>
    <s v="A220-300"/>
    <s v="BCS3"/>
    <s v="Complete"/>
    <s v="a37fd3"/>
  </r>
  <r>
    <x v="1"/>
    <s v="B6 2154"/>
    <s v="JBU2154"/>
    <s v="SJU"/>
    <s v="TJSJ"/>
    <s v="FLL"/>
    <s v="KFLL"/>
    <d v="2026-09-25T13:14:53"/>
    <d v="2026-09-25T15:30:18"/>
    <n v="135"/>
    <x v="256"/>
    <s v="A320"/>
    <s v="A320"/>
    <s v="Complete"/>
    <s v="a86605"/>
  </r>
  <r>
    <x v="1"/>
    <s v="B6 105"/>
    <s v="JBU105"/>
    <s v="EWR"/>
    <s v="KEWR"/>
    <s v="FLL"/>
    <s v="KFLL"/>
    <d v="2026-09-25T13:15:26"/>
    <d v="2026-09-25T15:36:14"/>
    <n v="141"/>
    <x v="245"/>
    <s v="A320"/>
    <s v="A320"/>
    <s v="Complete"/>
    <s v="a7a956"/>
  </r>
  <r>
    <x v="1"/>
    <s v="B6 2005"/>
    <s v="JBU2005"/>
    <s v="PIT"/>
    <s v="KPIT"/>
    <s v="FLL"/>
    <s v="KFLL"/>
    <d v="2026-09-25T13:15:33"/>
    <d v="2026-09-25T15:19:50"/>
    <n v="124"/>
    <x v="249"/>
    <s v="A220-300"/>
    <s v="BCS3"/>
    <s v="Complete"/>
    <s v="a3711a"/>
  </r>
  <r>
    <x v="1"/>
    <s v="B6 1906"/>
    <s v="JBU1906"/>
    <s v="TPA"/>
    <s v="KTPA"/>
    <s v="FLL"/>
    <s v="KFLL"/>
    <d v="2026-09-25T13:16:35"/>
    <d v="2026-09-25T14:03:03"/>
    <n v="46"/>
    <x v="12"/>
    <s v="A320"/>
    <s v="A320"/>
    <s v="Complete"/>
    <s v="a8222c"/>
  </r>
  <r>
    <x v="1"/>
    <s v="B6 662"/>
    <s v="JBU662"/>
    <s v="JFK"/>
    <s v="KJFK"/>
    <s v="JFK"/>
    <s v="KJFK"/>
    <d v="2026-09-25T13:17:16"/>
    <d v="2026-09-26T00:26:16"/>
    <n v="669"/>
    <x v="186"/>
    <s v="A321neo"/>
    <s v="A21N"/>
    <s v="Complete"/>
    <s v="a1b2a8"/>
  </r>
  <r>
    <x v="1"/>
    <s v="B6 1281"/>
    <s v="JBU1281"/>
    <s v="BOS"/>
    <s v="KBOS"/>
    <s v="RIC"/>
    <s v="KRIC"/>
    <d v="2026-09-25T13:18:59"/>
    <d v="2026-09-25T14:32:33"/>
    <n v="74"/>
    <x v="10"/>
    <s v="A220-300"/>
    <s v="BCS3"/>
    <s v="Landing inferred"/>
    <s v="a36b2d"/>
  </r>
  <r>
    <x v="1"/>
    <s v="B6 1107"/>
    <s v="JBU1107"/>
    <s v="JFK"/>
    <s v="KJFK"/>
    <s v="LHR"/>
    <s v="EGLL"/>
    <d v="2026-09-25T13:21:42"/>
    <d v="2026-09-25T19:42:02"/>
    <n v="380"/>
    <x v="60"/>
    <s v="A321neo"/>
    <s v="A21N"/>
    <s v="Complete"/>
    <s v="a4c2ad"/>
  </r>
  <r>
    <x v="1"/>
    <s v="B6 94"/>
    <s v="JBU94"/>
    <s v="MCO"/>
    <s v="KMCO"/>
    <s v="HPN"/>
    <s v="KHPN"/>
    <d v="2026-09-25T13:22:49"/>
    <d v="2026-09-25T15:45:39"/>
    <n v="143"/>
    <x v="200"/>
    <s v="A320"/>
    <s v="A320"/>
    <s v="Landing inferred"/>
    <s v="a73a47"/>
  </r>
  <r>
    <x v="1"/>
    <s v="B6 116"/>
    <s v="JBU116"/>
    <s v="SFO"/>
    <s v="KSFO"/>
    <s v="JFK"/>
    <s v="KJFK"/>
    <d v="2026-09-25T13:23:36"/>
    <d v="2026-09-25T18:26:43"/>
    <n v="303"/>
    <x v="89"/>
    <s v="A321"/>
    <s v="A321"/>
    <s v="Complete"/>
    <s v="ad2445"/>
  </r>
  <r>
    <x v="1"/>
    <s v="B6 2091"/>
    <s v="JBU2091"/>
    <s v="JFK"/>
    <s v="KJFK"/>
    <s v="ACK"/>
    <s v="KACK"/>
    <d v="2026-09-25T13:23:37"/>
    <d v="2026-09-25T14:02:01"/>
    <n v="38"/>
    <x v="11"/>
    <s v="A220-300"/>
    <s v="BCS3"/>
    <s v="Landing inferred"/>
    <s v="a387f0"/>
  </r>
  <r>
    <x v="1"/>
    <s v="B6 1097"/>
    <s v="JBU1097"/>
    <s v="BOS"/>
    <s v="KBOS"/>
    <s v="ATL"/>
    <s v="KATL"/>
    <d v="2026-09-25T13:24:11"/>
    <d v="2026-09-25T15:34:54"/>
    <n v="131"/>
    <x v="253"/>
    <s v="A220-300"/>
    <s v="BCS3"/>
    <s v="Complete"/>
    <s v="a3871e"/>
  </r>
  <r>
    <x v="1"/>
    <s v="B6 393"/>
    <s v="JBU393"/>
    <s v="BOS"/>
    <s v="KBOS"/>
    <s v="DEN"/>
    <s v="KDEN"/>
    <d v="2026-09-25T13:25:20"/>
    <d v="2026-09-25T17:24:08"/>
    <n v="239"/>
    <x v="196"/>
    <s v="A220-300"/>
    <s v="BCS3"/>
    <s v="Complete"/>
    <s v="a35c0b"/>
  </r>
  <r>
    <x v="1"/>
    <s v="B6 117"/>
    <s v="JBU117"/>
    <s v="JFK"/>
    <s v="KJFK"/>
    <s v="POS"/>
    <s v="TTPP"/>
    <d v="2026-09-25T13:27:01"/>
    <d v="2026-09-25T18:00:21"/>
    <n v="273"/>
    <x v="57"/>
    <s v="A321neo"/>
    <s v="A21N"/>
    <s v="Complete"/>
    <s v="a1a435"/>
  </r>
  <r>
    <x v="1"/>
    <s v="B6 1077"/>
    <s v="JBU1077"/>
    <s v="MCO"/>
    <s v="KMCO"/>
    <s v="SJU"/>
    <s v="TJSJ"/>
    <d v="2026-09-25T13:27:12"/>
    <d v="2026-09-25T17:54:06"/>
    <n v="267"/>
    <x v="25"/>
    <s v="A320"/>
    <s v="A320"/>
    <s v="Landing inferred"/>
    <s v="a8299a"/>
  </r>
  <r>
    <x v="1"/>
    <s v="B6 1188"/>
    <s v="JBU1188"/>
    <s v="JFK"/>
    <s v="KJFK"/>
    <s v="JFK"/>
    <s v="KJFK"/>
    <d v="2026-09-25T13:28:06"/>
    <d v="2026-09-25T23:11:10"/>
    <n v="583"/>
    <x v="113"/>
    <s v="A321"/>
    <s v="A321"/>
    <s v="Complete"/>
    <s v="ad3cdf"/>
  </r>
  <r>
    <x v="1"/>
    <s v="B6 1340"/>
    <s v="JBU1340"/>
    <s v="CLE"/>
    <s v="KCLE"/>
    <s v="BOS"/>
    <s v="KBOS"/>
    <d v="2026-09-25T13:29:39"/>
    <d v="2026-09-25T14:59:44"/>
    <n v="90"/>
    <x v="215"/>
    <s v="A220-300"/>
    <s v="BCS3"/>
    <s v="Complete"/>
    <s v="a398bc"/>
  </r>
  <r>
    <x v="1"/>
    <s v="B6 979"/>
    <s v="JBU979"/>
    <s v="FLL"/>
    <s v="KFLL"/>
    <s v="DFW"/>
    <s v="KDFW"/>
    <d v="2026-09-25T13:29:47"/>
    <d v="2026-09-25T16:08:41"/>
    <n v="159"/>
    <x v="183"/>
    <s v="A320"/>
    <s v="A320"/>
    <s v="Complete"/>
    <s v="a7f6f6"/>
  </r>
  <r>
    <x v="1"/>
    <s v="B6 2283"/>
    <s v="JBU2283"/>
    <s v="BOS"/>
    <s v="KBOS"/>
    <s v="RDU"/>
    <s v="KRDU"/>
    <d v="2026-09-25T13:30:08"/>
    <d v="2026-09-25T15:10:01"/>
    <n v="100"/>
    <x v="237"/>
    <s v="A320"/>
    <s v="A320"/>
    <s v="Complete"/>
    <s v="a7d32e"/>
  </r>
  <r>
    <x v="1"/>
    <s v="B6 2547"/>
    <s v="JBU2547"/>
    <s v="MCO"/>
    <s v="KMCO"/>
    <s v="FLL"/>
    <s v="KFLL"/>
    <d v="2026-09-25T13:31:26"/>
    <d v="2026-09-25T14:10:02"/>
    <n v="39"/>
    <x v="170"/>
    <s v="A320"/>
    <s v="A320"/>
    <s v="Complete"/>
    <s v="a69894"/>
  </r>
  <r>
    <x v="1"/>
    <s v="B6 288"/>
    <s v="JBU288"/>
    <s v="LAX"/>
    <s v="KLAX"/>
    <s v="BOS"/>
    <s v="KBOS"/>
    <d v="2026-09-25T13:35:43"/>
    <d v="2026-09-25T18:46:32"/>
    <n v="311"/>
    <x v="147"/>
    <s v="A321"/>
    <s v="A321"/>
    <s v="Complete"/>
    <s v="ace063"/>
  </r>
  <r>
    <x v="1"/>
    <s v="B6 1042"/>
    <s v="JBU1042"/>
    <s v="MCO"/>
    <s v="KMCO"/>
    <s v="ROC"/>
    <s v="KROC"/>
    <d v="2026-09-25T13:38:16"/>
    <d v="2026-09-25T15:54:08"/>
    <n v="136"/>
    <x v="130"/>
    <s v="A320"/>
    <s v="A320"/>
    <s v="Complete"/>
    <s v="a776b2"/>
  </r>
  <r>
    <x v="1"/>
    <s v="B6 375"/>
    <s v="JBU375"/>
    <s v="PHL"/>
    <s v="KPHL"/>
    <s v="FLL"/>
    <s v="KFLL"/>
    <d v="2026-09-25T13:39:12"/>
    <d v="2026-09-25T15:48:41"/>
    <n v="129"/>
    <x v="114"/>
    <s v="A320"/>
    <s v="A320"/>
    <s v="Complete"/>
    <s v="a7bbe9"/>
  </r>
  <r>
    <x v="1"/>
    <s v="B6 124"/>
    <s v="JBU124"/>
    <s v="LAX"/>
    <s v="KLAX"/>
    <s v="JFK"/>
    <s v="KJFK"/>
    <d v="2026-09-25T13:39:15"/>
    <d v="2026-09-25T18:53:04"/>
    <n v="314"/>
    <x v="182"/>
    <s v="A321"/>
    <s v="A321"/>
    <s v="Complete"/>
    <s v="adde95"/>
  </r>
  <r>
    <x v="1"/>
    <s v="B6 350"/>
    <s v="JBU350"/>
    <s v="JFK"/>
    <s v="KJFK"/>
    <s v="JFK"/>
    <s v="KJFK"/>
    <d v="2026-09-25T13:39:19"/>
    <d v="2026-09-26T00:27:53"/>
    <n v="649"/>
    <x v="154"/>
    <s v="A320"/>
    <s v="A320"/>
    <s v="Complete"/>
    <s v="aa7c64"/>
  </r>
  <r>
    <x v="1"/>
    <s v="B6 1018"/>
    <s v="JBU1018"/>
    <s v="JFK"/>
    <s v="KJFK"/>
    <s v="BOS"/>
    <s v="KBOS"/>
    <d v="2026-09-25T13:40:30"/>
    <d v="2026-09-25T14:21:36"/>
    <n v="41"/>
    <x v="39"/>
    <s v="Unknown"/>
    <m/>
    <s v="Complete"/>
    <s v="a39be7"/>
  </r>
  <r>
    <x v="1"/>
    <s v="B6 9004"/>
    <s v="JBU9004"/>
    <s v="FLL"/>
    <s v="KFLL"/>
    <s v="GSO"/>
    <s v="KGSO"/>
    <d v="2026-09-25T13:41:40"/>
    <d v="2026-09-25T15:30:52"/>
    <n v="109"/>
    <x v="181"/>
    <s v="A321"/>
    <s v="A321"/>
    <s v="Complete"/>
    <s v="ad5329"/>
  </r>
  <r>
    <x v="1"/>
    <s v="B6 374"/>
    <s v="JBU374"/>
    <s v="SYR"/>
    <s v="KSYR"/>
    <s v="BOS"/>
    <s v="KBOS"/>
    <d v="2026-09-25T13:42:13"/>
    <d v="2026-09-25T14:31:11"/>
    <n v="49"/>
    <x v="175"/>
    <s v="A220-300"/>
    <s v="BCS3"/>
    <s v="Complete"/>
    <s v="a38ad5"/>
  </r>
  <r>
    <x v="1"/>
    <s v="B6 223"/>
    <s v="JBU223"/>
    <s v="JFK"/>
    <s v="KJFK"/>
    <s v="LAX"/>
    <s v="KLAX"/>
    <d v="2026-09-25T13:43:53"/>
    <d v="2026-09-25T18:54:05"/>
    <n v="310"/>
    <x v="235"/>
    <s v="A321"/>
    <s v="A321"/>
    <s v="Complete"/>
    <s v="ad1cde"/>
  </r>
  <r>
    <x v="1"/>
    <s v="B6 1869"/>
    <s v="JBU1869"/>
    <s v="JFK"/>
    <s v="KJFK"/>
    <m/>
    <m/>
    <d v="2026-09-25T13:45:01"/>
    <d v="2026-09-25T15:05:38"/>
    <n v="81"/>
    <x v="212"/>
    <s v="A220-300"/>
    <s v="BCS3"/>
    <s v="Signal lost"/>
    <s v="a34e01"/>
  </r>
  <r>
    <x v="1"/>
    <s v="B6 384"/>
    <s v="JBU384"/>
    <s v="MCO"/>
    <s v="KMCO"/>
    <s v="JFK"/>
    <s v="KJFK"/>
    <d v="2026-09-25T13:47:37"/>
    <d v="2026-09-25T15:56:46"/>
    <n v="129"/>
    <x v="205"/>
    <s v="A321"/>
    <s v="A321"/>
    <s v="Complete"/>
    <s v="ad8fa4"/>
  </r>
  <r>
    <x v="1"/>
    <s v="B6 503"/>
    <s v="JBU503"/>
    <s v="JFK"/>
    <s v="KJFK"/>
    <s v="SJU"/>
    <s v="TJSJ"/>
    <d v="2026-09-25T13:49:01"/>
    <d v="2026-09-25T17:31:09"/>
    <n v="222"/>
    <x v="197"/>
    <s v="A321"/>
    <s v="A321"/>
    <s v="Landing inferred"/>
    <s v="aded77"/>
  </r>
  <r>
    <x v="1"/>
    <s v="B6 2801"/>
    <s v="JBU2801"/>
    <s v="FLL"/>
    <s v="KFLL"/>
    <s v="LAX"/>
    <s v="KLAX"/>
    <d v="2026-09-25T13:50:18"/>
    <d v="2026-09-25T18:43:29"/>
    <n v="293"/>
    <x v="46"/>
    <s v="A321"/>
    <s v="A321"/>
    <s v="Complete"/>
    <s v="ad0074"/>
  </r>
  <r>
    <x v="1"/>
    <s v="B6 8359"/>
    <s v="JBU8359"/>
    <s v="LGA"/>
    <s v="KLGA"/>
    <s v="JFK"/>
    <s v="KJFK"/>
    <d v="2026-09-25T13:50:33"/>
    <d v="2026-09-25T14:14:58"/>
    <n v="24"/>
    <x v="129"/>
    <s v="A320"/>
    <s v="A320"/>
    <s v="Complete"/>
    <s v="aafca8"/>
  </r>
  <r>
    <x v="1"/>
    <s v="B6 2355"/>
    <s v="JBU2355"/>
    <s v="BOS"/>
    <s v="KBOS"/>
    <s v="DCA"/>
    <s v="KDCA"/>
    <d v="2026-09-25T13:51:40"/>
    <d v="2026-09-25T15:04:05"/>
    <n v="72"/>
    <x v="207"/>
    <s v="A220-300"/>
    <s v="BCS3"/>
    <s v="Complete"/>
    <s v="a3355e"/>
  </r>
  <r>
    <x v="1"/>
    <s v="B6 2371"/>
    <s v="JBU2371"/>
    <s v="FLL"/>
    <s v="KFLL"/>
    <s v="AUS"/>
    <s v="KAUS"/>
    <d v="2026-09-25T13:54:30"/>
    <d v="2026-09-25T16:22:55"/>
    <n v="148"/>
    <x v="223"/>
    <s v="A320"/>
    <s v="A320"/>
    <s v="Complete"/>
    <s v="a976c7"/>
  </r>
  <r>
    <x v="1"/>
    <s v="B6 1851"/>
    <s v="JBU1851"/>
    <s v="JFK"/>
    <s v="KJFK"/>
    <s v="JFK"/>
    <s v="KJFK"/>
    <d v="2026-09-25T13:54:33"/>
    <d v="2026-09-25T23:00:29"/>
    <n v="546"/>
    <x v="153"/>
    <s v="A321"/>
    <s v="A321"/>
    <s v="Complete"/>
    <s v="ad935b"/>
  </r>
  <r>
    <x v="1"/>
    <s v="B6 1742"/>
    <s v="JBU1742"/>
    <s v="SJU"/>
    <s v="TJSJ"/>
    <s v="VQQ"/>
    <s v="KVQQ"/>
    <d v="2026-09-25T13:55:00"/>
    <d v="2026-09-25T16:35:42"/>
    <n v="161"/>
    <x v="158"/>
    <s v="A320"/>
    <s v="A320"/>
    <s v="Landing inferred"/>
    <s v="a8b8ba"/>
  </r>
  <r>
    <x v="1"/>
    <s v="B6 1017"/>
    <s v="JBU1017"/>
    <s v="BOS"/>
    <s v="KBOS"/>
    <s v="JFK"/>
    <s v="KJFK"/>
    <d v="2026-09-25T13:55:38"/>
    <d v="2026-09-25T14:48:11"/>
    <n v="53"/>
    <x v="116"/>
    <s v="A220-300"/>
    <s v="BCS3"/>
    <s v="Complete"/>
    <s v="a38367"/>
  </r>
  <r>
    <x v="1"/>
    <s v="B6 872"/>
    <s v="JBU872"/>
    <s v="FLL"/>
    <s v="KFLL"/>
    <s v="LGA"/>
    <s v="KLGA"/>
    <d v="2026-09-25T13:56:27"/>
    <d v="2026-09-25T16:37:51"/>
    <n v="161"/>
    <x v="20"/>
    <s v="A320"/>
    <s v="A320"/>
    <s v="Complete"/>
    <s v="a7b832"/>
  </r>
  <r>
    <x v="1"/>
    <s v="B6 215"/>
    <s v="JBU215"/>
    <s v="JFK"/>
    <s v="KJFK"/>
    <s v="SFO"/>
    <s v="KSFO"/>
    <d v="2026-09-25T13:57:04"/>
    <d v="2026-09-25T19:40:41"/>
    <n v="344"/>
    <x v="216"/>
    <s v="A321"/>
    <s v="A321"/>
    <s v="Complete"/>
    <s v="ad7e6f"/>
  </r>
  <r>
    <x v="1"/>
    <s v="B6 2821"/>
    <s v="JBU2821"/>
    <s v="MCO"/>
    <s v="KMCO"/>
    <s v="LAS"/>
    <s v="KLAS"/>
    <d v="2026-09-25T13:58:04"/>
    <d v="2026-09-25T18:19:58"/>
    <n v="262"/>
    <x v="211"/>
    <s v="A321"/>
    <s v="A321"/>
    <s v="Complete"/>
    <s v="ad9e73"/>
  </r>
  <r>
    <x v="1"/>
    <s v="B6 2909"/>
    <s v="JBU2909"/>
    <s v="BOS"/>
    <s v="KBOS"/>
    <s v="JAX"/>
    <s v="KJAX"/>
    <d v="2026-09-25T13:59:02"/>
    <d v="2026-09-25T16:13:57"/>
    <n v="135"/>
    <x v="55"/>
    <s v="A320"/>
    <s v="A320"/>
    <s v="Landing inferred"/>
    <s v="a96ba2"/>
  </r>
  <r>
    <x v="1"/>
    <s v="B6 255"/>
    <s v="JBU255"/>
    <s v="JFK"/>
    <s v="KJFK"/>
    <s v="JFK"/>
    <s v="KJFK"/>
    <d v="2026-09-25T14:00:25"/>
    <d v="2026-09-25T21:45:16"/>
    <n v="465"/>
    <x v="26"/>
    <s v="A320"/>
    <s v="A320"/>
    <s v="Complete"/>
    <s v="a67883"/>
  </r>
  <r>
    <x v="1"/>
    <s v="B6 813"/>
    <s v="JBU813"/>
    <s v="HPN"/>
    <s v="KHPN"/>
    <s v="FLL"/>
    <s v="KFLL"/>
    <d v="2026-09-25T14:01:07"/>
    <d v="2026-09-25T16:23:37"/>
    <n v="143"/>
    <x v="217"/>
    <s v="A320"/>
    <s v="A320"/>
    <s v="Complete"/>
    <s v="aaf8f1"/>
  </r>
  <r>
    <x v="1"/>
    <s v="B6 183"/>
    <s v="JBU183"/>
    <s v="JFK"/>
    <s v="KJFK"/>
    <s v="MCO"/>
    <s v="KMCO"/>
    <d v="2026-09-25T14:06:12"/>
    <d v="2026-09-25T16:12:39"/>
    <n v="126"/>
    <x v="109"/>
    <s v="A321"/>
    <s v="A321"/>
    <s v="Complete"/>
    <s v="ad846f"/>
  </r>
  <r>
    <x v="1"/>
    <s v="B6 658"/>
    <s v="JBU658"/>
    <s v="LAS"/>
    <s v="KLAS"/>
    <s v="FLL"/>
    <s v="KFLL"/>
    <d v="2026-09-25T14:07:59"/>
    <d v="2026-09-25T18:21:56"/>
    <n v="254"/>
    <x v="120"/>
    <s v="A321"/>
    <s v="A321"/>
    <s v="Complete"/>
    <s v="adc9b6"/>
  </r>
  <r>
    <x v="1"/>
    <s v="B6 270"/>
    <s v="JBU270"/>
    <s v="FLL"/>
    <s v="KFLL"/>
    <s v="BOS"/>
    <s v="KBOS"/>
    <d v="2026-09-25T14:11:04"/>
    <d v="2026-09-25T17:03:45"/>
    <n v="173"/>
    <x v="70"/>
    <s v="A321"/>
    <s v="A321"/>
    <s v="Complete"/>
    <s v="ade609"/>
  </r>
  <r>
    <x v="1"/>
    <s v="B6 2028"/>
    <s v="JBU2028"/>
    <s v="MCO"/>
    <s v="KMCO"/>
    <s v="EWR"/>
    <s v="KEWR"/>
    <d v="2026-09-25T14:14:33"/>
    <d v="2026-09-25T16:25:36"/>
    <n v="131"/>
    <x v="2"/>
    <s v="A320"/>
    <s v="A320"/>
    <s v="Complete"/>
    <s v="a8a3ce"/>
  </r>
  <r>
    <x v="1"/>
    <s v="B6 1439"/>
    <s v="JBU1439"/>
    <s v="BOS"/>
    <s v="KBOS"/>
    <s v="AUS"/>
    <s v="KAUS"/>
    <d v="2026-09-25T14:14:51"/>
    <d v="2026-09-25T18:03:18"/>
    <n v="228"/>
    <x v="141"/>
    <s v="A220-300"/>
    <s v="BCS3"/>
    <s v="Complete"/>
    <s v="a3795a"/>
  </r>
  <r>
    <x v="1"/>
    <s v="B6 627"/>
    <s v="JBU627"/>
    <s v="JFK"/>
    <s v="KJFK"/>
    <s v="JFK"/>
    <s v="KJFK"/>
    <d v="2026-09-25T14:15:53"/>
    <d v="2026-09-25T22:44:43"/>
    <n v="509"/>
    <x v="23"/>
    <s v="A220-300"/>
    <s v="BCS3"/>
    <s v="Complete"/>
    <s v="a34d98"/>
  </r>
  <r>
    <x v="1"/>
    <s v="B6 552"/>
    <s v="JBU552"/>
    <s v="MCO"/>
    <s v="KMCO"/>
    <s v="BOS"/>
    <s v="KBOS"/>
    <d v="2026-09-25T14:16:18"/>
    <d v="2026-09-25T16:49:09"/>
    <n v="153"/>
    <x v="248"/>
    <s v="A321"/>
    <s v="A321"/>
    <s v="Complete"/>
    <s v="ade9c0"/>
  </r>
  <r>
    <x v="1"/>
    <s v="B6 737"/>
    <s v="JBU737"/>
    <s v="BDL"/>
    <s v="KBDL"/>
    <s v="MCO"/>
    <s v="KMCO"/>
    <d v="2026-09-25T14:16:36"/>
    <d v="2026-09-25T16:35:44"/>
    <n v="139"/>
    <x v="145"/>
    <s v="A320"/>
    <s v="A320"/>
    <s v="Complete"/>
    <s v="aaf183"/>
  </r>
  <r>
    <x v="1"/>
    <s v="B6 1806"/>
    <s v="JBU1806"/>
    <s v="BNA"/>
    <s v="KBNA"/>
    <s v="BOS"/>
    <s v="KBOS"/>
    <d v="2026-09-25T14:17:31"/>
    <d v="2026-09-25T16:28:55"/>
    <n v="131"/>
    <x v="88"/>
    <s v="A220-300"/>
    <s v="BCS3"/>
    <s v="Complete"/>
    <s v="a37842"/>
  </r>
  <r>
    <x v="1"/>
    <s v="B6 9010"/>
    <s v="JBU9010"/>
    <s v="FLL"/>
    <s v="KFLL"/>
    <s v="MEM"/>
    <s v="KMEM"/>
    <d v="2026-09-25T14:19:01"/>
    <d v="2026-09-25T16:16:22"/>
    <n v="117"/>
    <x v="257"/>
    <s v="A320"/>
    <s v="A320"/>
    <s v="Landing inferred"/>
    <s v="a74f33"/>
  </r>
  <r>
    <x v="1"/>
    <s v="B6 1889"/>
    <s v="JBU1889"/>
    <s v="EWR"/>
    <s v="KEWR"/>
    <s v="SJU"/>
    <s v="TJSJ"/>
    <d v="2026-09-25T14:19:02"/>
    <d v="2026-09-25T18:02:43"/>
    <n v="224"/>
    <x v="220"/>
    <s v="A320"/>
    <s v="A320"/>
    <s v="Landing inferred"/>
    <s v="a8bc71"/>
  </r>
  <r>
    <x v="1"/>
    <s v="B6 588"/>
    <s v="JBU588"/>
    <s v="MCO"/>
    <s v="KMCO"/>
    <s v="ORH"/>
    <s v="KORH"/>
    <d v="2026-09-25T14:21:12"/>
    <d v="2026-09-25T16:50:39"/>
    <n v="149"/>
    <x v="247"/>
    <s v="A320"/>
    <s v="A320"/>
    <s v="Complete"/>
    <s v="a6f2b7"/>
  </r>
  <r>
    <x v="1"/>
    <s v="B6 135"/>
    <s v="JBU135"/>
    <s v="JFK"/>
    <s v="KJFK"/>
    <s v="PHX"/>
    <s v="KPHX"/>
    <d v="2026-09-25T14:21:25"/>
    <d v="2026-09-25T19:00:30"/>
    <n v="279"/>
    <x v="167"/>
    <s v="A320"/>
    <s v="A320"/>
    <s v="Complete"/>
    <s v="a85c3e"/>
  </r>
  <r>
    <x v="1"/>
    <s v="B6 1520"/>
    <s v="JBU1520"/>
    <s v="ATL"/>
    <s v="KATL"/>
    <s v="JFK"/>
    <s v="KJFK"/>
    <d v="2026-09-25T14:23:03"/>
    <d v="2026-09-25T16:09:54"/>
    <n v="107"/>
    <x v="62"/>
    <s v="A220-300"/>
    <s v="BCS3"/>
    <s v="Complete"/>
    <s v="a37fb0"/>
  </r>
  <r>
    <x v="1"/>
    <s v="B6 1737"/>
    <s v="JBU1737"/>
    <s v="JFK"/>
    <s v="KJFK"/>
    <m/>
    <m/>
    <d v="2026-09-25T14:23:37"/>
    <d v="2026-09-25T16:17:52"/>
    <n v="114"/>
    <x v="209"/>
    <s v="A321"/>
    <s v="A321"/>
    <s v="Signal lost"/>
    <s v="ad734a"/>
  </r>
  <r>
    <x v="1"/>
    <s v="B6 9013"/>
    <s v="JBU9013"/>
    <s v="JFK"/>
    <s v="KJFK"/>
    <s v="GSP"/>
    <s v="KGSP"/>
    <d v="2026-09-25T14:24:36"/>
    <d v="2026-09-25T15:47:53"/>
    <n v="83"/>
    <x v="240"/>
    <s v="A321"/>
    <s v="A321"/>
    <s v="Landing inferred"/>
    <s v="ad2baa"/>
  </r>
  <r>
    <x v="1"/>
    <s v="B6 9001"/>
    <s v="JBU9001"/>
    <s v="BOS"/>
    <s v="KBOS"/>
    <m/>
    <m/>
    <d v="2026-09-25T14:26:47"/>
    <d v="2026-09-25T16:54:25"/>
    <n v="148"/>
    <x v="194"/>
    <s v="A321"/>
    <s v="A321"/>
    <s v="Complete"/>
    <s v="acf54f"/>
  </r>
  <r>
    <x v="1"/>
    <s v="B6 499"/>
    <s v="JBU499"/>
    <s v="LGA"/>
    <s v="KLGA"/>
    <s v="MCO"/>
    <s v="KMCO"/>
    <d v="2026-09-25T14:29:42"/>
    <d v="2026-09-25T16:39:09"/>
    <n v="129"/>
    <x v="185"/>
    <s v="A320"/>
    <s v="A320"/>
    <s v="Complete"/>
    <s v="a7bfa0"/>
  </r>
  <r>
    <x v="1"/>
    <s v="B6 904"/>
    <s v="JBU904"/>
    <s v="SJU"/>
    <s v="TJSJ"/>
    <s v="JFK"/>
    <s v="KJFK"/>
    <d v="2026-09-25T14:31:47"/>
    <d v="2026-09-25T17:50:25"/>
    <n v="199"/>
    <x v="136"/>
    <s v="A321neo"/>
    <s v="A21N"/>
    <s v="Complete"/>
    <s v="a1a3cc"/>
  </r>
  <r>
    <x v="1"/>
    <s v="B6 511"/>
    <s v="JBU511"/>
    <s v="JFK"/>
    <s v="KJFK"/>
    <s v="LAS"/>
    <s v="KLAS"/>
    <d v="2026-09-25T14:32:32"/>
    <d v="2026-09-25T19:30:11"/>
    <n v="298"/>
    <x v="78"/>
    <s v="A320"/>
    <s v="A320"/>
    <s v="Complete"/>
    <s v="a72b6b"/>
  </r>
  <r>
    <x v="1"/>
    <s v="B6 2276"/>
    <s v="JBU2276"/>
    <s v="FLL"/>
    <s v="KFLL"/>
    <s v="PHL"/>
    <s v="KPHL"/>
    <d v="2026-09-25T14:32:41"/>
    <d v="2026-09-25T17:06:44"/>
    <n v="154"/>
    <x v="172"/>
    <s v="A320"/>
    <s v="A320"/>
    <s v="Complete"/>
    <s v="aac7ab"/>
  </r>
  <r>
    <x v="1"/>
    <s v="B6 1375"/>
    <s v="JBU1375"/>
    <s v="FLL"/>
    <s v="KFLL"/>
    <s v="KIN"/>
    <s v="MKJP"/>
    <d v="2026-09-25T14:36:03"/>
    <d v="2026-09-25T16:04:04"/>
    <n v="88"/>
    <x v="221"/>
    <s v="A320"/>
    <s v="A320"/>
    <s v="Complete"/>
    <s v="aaf53a"/>
  </r>
  <r>
    <x v="1"/>
    <s v="B6 341"/>
    <s v="JBU341"/>
    <s v="JFK"/>
    <s v="KJFK"/>
    <s v="SAV"/>
    <s v="KSAV"/>
    <d v="2026-09-25T14:39:07"/>
    <d v="2026-09-25T16:20:31"/>
    <n v="101"/>
    <x v="139"/>
    <s v="A220-300"/>
    <s v="BCS3"/>
    <s v="Landing inferred"/>
    <s v="a38b84"/>
  </r>
  <r>
    <x v="1"/>
    <s v="B6 833"/>
    <s v="JBU833"/>
    <s v="BOS"/>
    <s v="KBOS"/>
    <s v="SFO"/>
    <s v="KSFO"/>
    <d v="2026-09-25T14:40:29"/>
    <d v="2026-09-25T20:35:54"/>
    <n v="355"/>
    <x v="163"/>
    <s v="A321neo"/>
    <s v="A21N"/>
    <s v="Complete"/>
    <s v="a1cf6b"/>
  </r>
  <r>
    <x v="1"/>
    <s v="B6 401"/>
    <s v="JBU401"/>
    <s v="BOS"/>
    <s v="KBOS"/>
    <s v="MSY"/>
    <s v="KMSY"/>
    <d v="2026-09-25T14:41:42"/>
    <d v="2026-09-25T17:40:28"/>
    <n v="179"/>
    <x v="226"/>
    <s v="A320"/>
    <s v="A320"/>
    <s v="Complete"/>
    <s v="a732d9"/>
  </r>
  <r>
    <x v="1"/>
    <s v="B6 2352"/>
    <s v="JBU2352"/>
    <s v="BOS"/>
    <s v="KBOS"/>
    <s v="ACK"/>
    <s v="KACK"/>
    <d v="2026-09-25T14:44:19"/>
    <d v="2026-09-25T15:08:33"/>
    <n v="24"/>
    <x v="132"/>
    <s v="A220-300"/>
    <s v="BCS3"/>
    <s v="Landing inferred"/>
    <s v="a37c1c"/>
  </r>
  <r>
    <x v="1"/>
    <s v="B6 882"/>
    <s v="JBU882"/>
    <s v="JFK"/>
    <s v="KJFK"/>
    <s v="JFK"/>
    <s v="KJFK"/>
    <d v="2026-09-25T14:44:32"/>
    <d v="2026-09-26T02:16:38"/>
    <n v="692"/>
    <x v="102"/>
    <s v="A320"/>
    <s v="A320"/>
    <s v="Complete"/>
    <s v="a80d40"/>
  </r>
  <r>
    <x v="1"/>
    <s v="B6 40"/>
    <s v="JBU40"/>
    <s v="SJU"/>
    <s v="TJSJ"/>
    <s v="FLL"/>
    <s v="KFLL"/>
    <d v="2026-09-25T14:44:55"/>
    <d v="2026-09-25T21:57:53"/>
    <n v="433"/>
    <x v="144"/>
    <s v="A320"/>
    <s v="A320"/>
    <s v="Complete"/>
    <s v="a79e31"/>
  </r>
  <r>
    <x v="1"/>
    <s v="B6 1177"/>
    <s v="JBU1177"/>
    <s v="BOS"/>
    <s v="KBOS"/>
    <s v="LAS"/>
    <s v="KLAS"/>
    <d v="2026-09-25T14:45:03"/>
    <d v="2026-09-25T20:00:06"/>
    <n v="315"/>
    <x v="202"/>
    <s v="A321"/>
    <s v="A321"/>
    <s v="Complete"/>
    <s v="adabfe"/>
  </r>
  <r>
    <x v="1"/>
    <s v="B6 1160"/>
    <s v="JBU1160"/>
    <s v="PHL"/>
    <s v="KPHL"/>
    <s v="BOS"/>
    <s v="KBOS"/>
    <d v="2026-09-25T14:45:07"/>
    <d v="2026-09-25T15:35:28"/>
    <n v="50"/>
    <x v="176"/>
    <s v="A220-300"/>
    <s v="BCS3"/>
    <s v="Complete"/>
    <s v="a392f2"/>
  </r>
  <r>
    <x v="1"/>
    <s v="B6 2285"/>
    <s v="JBU2285"/>
    <s v="JFK"/>
    <s v="KJFK"/>
    <s v="RDU"/>
    <s v="KRDU"/>
    <d v="2026-09-25T14:45:50"/>
    <d v="2026-09-25T15:55:31"/>
    <n v="70"/>
    <x v="246"/>
    <s v="A220-300"/>
    <s v="BCS3"/>
    <s v="Complete"/>
    <s v="a38b61"/>
  </r>
  <r>
    <x v="1"/>
    <s v="B6 2493"/>
    <s v="JBU2493"/>
    <s v="ACK"/>
    <s v="KACK"/>
    <s v="DCA"/>
    <s v="KDCA"/>
    <d v="2026-09-25T14:46:03"/>
    <d v="2026-09-25T15:51:29"/>
    <n v="65"/>
    <x v="227"/>
    <s v="A220-300"/>
    <s v="BCS3"/>
    <s v="Complete"/>
    <s v="a34978"/>
  </r>
  <r>
    <x v="1"/>
    <s v="B6 279"/>
    <s v="JBU279"/>
    <s v="JFK"/>
    <s v="KJFK"/>
    <s v="FLL"/>
    <s v="KFLL"/>
    <d v="2026-09-25T14:47:03"/>
    <d v="2026-09-25T21:26:52"/>
    <n v="400"/>
    <x v="18"/>
    <s v="A320"/>
    <s v="A320"/>
    <s v="Complete"/>
    <s v="a694dd"/>
  </r>
  <r>
    <x v="1"/>
    <s v="B6 112"/>
    <s v="JBU112"/>
    <s v="ORD"/>
    <s v="KORD"/>
    <s v="BOS"/>
    <s v="KBOS"/>
    <d v="2026-09-25T14:47:19"/>
    <d v="2026-09-25T16:48:51"/>
    <n v="122"/>
    <x v="64"/>
    <s v="A220-300"/>
    <s v="BCS3"/>
    <s v="Complete"/>
    <s v="a33ca9"/>
  </r>
  <r>
    <x v="1"/>
    <s v="B6 1552"/>
    <s v="JBU1552"/>
    <s v="RSW"/>
    <s v="KRSW"/>
    <s v="HPN"/>
    <s v="KHPN"/>
    <d v="2026-09-25T14:48:06"/>
    <d v="2026-09-25T17:25:15"/>
    <n v="157"/>
    <x v="17"/>
    <s v="A320"/>
    <s v="A320"/>
    <s v="Landing inferred"/>
    <s v="a6a3c2"/>
  </r>
  <r>
    <x v="1"/>
    <s v="B6 854"/>
    <s v="JBU854"/>
    <s v="DJT"/>
    <s v="KPBI"/>
    <s v="JFK"/>
    <s v="KJFK"/>
    <d v="2026-09-25T14:49:02"/>
    <d v="2026-09-25T17:06:33"/>
    <n v="138"/>
    <x v="252"/>
    <s v="A321neo"/>
    <s v="A21N"/>
    <s v="Complete"/>
    <s v="a1b2ee"/>
  </r>
  <r>
    <x v="1"/>
    <s v="B6 1698"/>
    <s v="JBU1698"/>
    <s v="FLL"/>
    <s v="KFLL"/>
    <s v="ATL"/>
    <s v="KATL"/>
    <d v="2026-09-25T14:49:30"/>
    <d v="2026-09-25T16:15:38"/>
    <n v="86"/>
    <x v="8"/>
    <s v="A220-300"/>
    <s v="BCS3"/>
    <s v="Complete"/>
    <s v="a358bd"/>
  </r>
  <r>
    <x v="1"/>
    <s v="B6 438"/>
    <s v="JBU438"/>
    <s v="MCO"/>
    <s v="KMCO"/>
    <s v="BDL"/>
    <s v="KBDL"/>
    <d v="2026-09-25T14:50:13"/>
    <d v="2026-09-25T17:10:32"/>
    <n v="140"/>
    <x v="140"/>
    <s v="A320"/>
    <s v="A320"/>
    <s v="Landing inferred"/>
    <s v="a97310"/>
  </r>
  <r>
    <x v="1"/>
    <s v="B6 434"/>
    <s v="JBU434"/>
    <s v="SFO"/>
    <s v="KSFO"/>
    <s v="BOS"/>
    <s v="KBOS"/>
    <d v="2026-09-25T14:52:01"/>
    <d v="2026-09-25T20:08:48"/>
    <n v="317"/>
    <x v="123"/>
    <s v="A321"/>
    <s v="A321"/>
    <s v="Complete"/>
    <s v="ad2095"/>
  </r>
  <r>
    <x v="1"/>
    <s v="B6 651"/>
    <s v="JBU651"/>
    <s v="BOS"/>
    <s v="KBOS"/>
    <s v="MCO"/>
    <s v="KMCO"/>
    <d v="2026-09-25T14:52:38"/>
    <d v="2026-09-25T17:24:33"/>
    <n v="152"/>
    <x v="6"/>
    <s v="A321neo"/>
    <s v="A21N"/>
    <s v="Complete"/>
    <s v="a1a0a1"/>
  </r>
  <r>
    <x v="1"/>
    <s v="B6 2334"/>
    <s v="JBU2334"/>
    <s v="DJT"/>
    <s v="KPBI"/>
    <s v="DCA"/>
    <s v="KDCA"/>
    <d v="2026-09-25T14:52:41"/>
    <d v="2026-09-25T16:51:02"/>
    <n v="118"/>
    <x v="4"/>
    <s v="Unknown"/>
    <m/>
    <s v="Complete"/>
    <s v="a38fa4"/>
  </r>
  <r>
    <x v="1"/>
    <s v="B6 276"/>
    <s v="JBU276"/>
    <m/>
    <m/>
    <s v="BDL"/>
    <s v="KBDL"/>
    <d v="2026-09-25T14:53:23"/>
    <d v="2026-09-25T16:26:24"/>
    <n v="93"/>
    <x v="151"/>
    <s v="A320"/>
    <s v="A320"/>
    <s v="Landing inferred"/>
    <s v="a898a9"/>
  </r>
  <r>
    <x v="1"/>
    <s v="B6 133"/>
    <s v="JBU133"/>
    <s v="MCO"/>
    <s v="KMCO"/>
    <s v="SJU"/>
    <s v="TJSJ"/>
    <d v="2026-09-25T14:57:30"/>
    <d v="2026-09-25T17:24:15"/>
    <n v="147"/>
    <x v="124"/>
    <s v="A320"/>
    <s v="A320"/>
    <s v="Landing inferred"/>
    <s v="a98445"/>
  </r>
  <r>
    <x v="1"/>
    <s v="B6 1365"/>
    <s v="JBU1365"/>
    <s v="TPA"/>
    <s v="KTPA"/>
    <m/>
    <m/>
    <d v="2026-09-25T15:00:39"/>
    <d v="2026-09-25T15:38:28"/>
    <n v="38"/>
    <x v="68"/>
    <s v="A320"/>
    <s v="A320"/>
    <s v="Signal lost"/>
    <s v="a7e5c1"/>
  </r>
  <r>
    <x v="1"/>
    <s v="B6 385"/>
    <s v="JBU385"/>
    <s v="BOS"/>
    <s v="KBOS"/>
    <s v="PIT"/>
    <s v="KPIT"/>
    <d v="2026-09-25T15:00:44"/>
    <d v="2026-09-25T16:20:26"/>
    <n v="80"/>
    <x v="148"/>
    <s v="A220-300"/>
    <s v="BCS3"/>
    <s v="Complete"/>
    <s v="a36b73"/>
  </r>
  <r>
    <x v="1"/>
    <s v="B6 2084"/>
    <s v="JBU2084"/>
    <s v="RDU"/>
    <s v="KRDU"/>
    <s v="BOS"/>
    <s v="KBOS"/>
    <d v="2026-09-25T15:01:34"/>
    <d v="2026-09-25T16:31:00"/>
    <n v="89"/>
    <x v="43"/>
    <s v="Unknown"/>
    <m/>
    <s v="Complete"/>
    <s v="a39fe4"/>
  </r>
  <r>
    <x v="1"/>
    <s v="B6 219"/>
    <s v="JBU219"/>
    <s v="BOS"/>
    <s v="KBOS"/>
    <s v="SAN"/>
    <s v="KSAN"/>
    <d v="2026-09-25T15:04:05"/>
    <d v="2026-09-25T20:42:10"/>
    <n v="338"/>
    <x v="258"/>
    <s v="A321neo"/>
    <s v="A21N"/>
    <s v="Complete"/>
    <s v="a1ddbb"/>
  </r>
  <r>
    <x v="1"/>
    <s v="B6 1060"/>
    <s v="JBU1060"/>
    <s v="KIN"/>
    <s v="MKJP"/>
    <s v="JFK"/>
    <s v="KJFK"/>
    <d v="2026-09-25T15:05:52"/>
    <d v="2026-09-25T18:32:41"/>
    <n v="207"/>
    <x v="97"/>
    <s v="A320"/>
    <s v="A320"/>
    <s v="Complete"/>
    <s v="a98f6a"/>
  </r>
  <r>
    <x v="1"/>
    <s v="B6 266"/>
    <s v="JBU266"/>
    <s v="RSW"/>
    <s v="KRSW"/>
    <s v="BOS"/>
    <s v="KBOS"/>
    <d v="2026-09-25T15:05:54"/>
    <d v="2026-09-25T17:58:24"/>
    <n v="173"/>
    <x v="1"/>
    <s v="A321"/>
    <s v="A321"/>
    <s v="Complete"/>
    <s v="ad8836"/>
  </r>
  <r>
    <x v="1"/>
    <s v="B6 2433"/>
    <s v="JBU2433"/>
    <s v="DCA"/>
    <s v="KDCA"/>
    <s v="DJT"/>
    <s v="KPBI"/>
    <d v="2026-09-25T15:06:22"/>
    <d v="2026-09-25T17:02:25"/>
    <n v="116"/>
    <x v="204"/>
    <s v="A320"/>
    <s v="A320"/>
    <s v="Complete"/>
    <s v="a7faad"/>
  </r>
  <r>
    <x v="1"/>
    <s v="B6 692"/>
    <s v="JBU692"/>
    <s v="TPA"/>
    <s v="KTPA"/>
    <s v="BOS"/>
    <s v="KBOS"/>
    <d v="2026-09-25T15:07:35"/>
    <d v="2026-09-25T17:54:17"/>
    <n v="167"/>
    <x v="21"/>
    <s v="A320"/>
    <s v="A320"/>
    <s v="Complete"/>
    <s v="a9607d"/>
  </r>
  <r>
    <x v="1"/>
    <s v="B6 2922"/>
    <s v="JBU2922"/>
    <s v="FLL"/>
    <s v="KFLL"/>
    <s v="JFK"/>
    <s v="KJFK"/>
    <d v="2026-09-25T15:09:35"/>
    <d v="2026-09-25T19:47:32"/>
    <n v="278"/>
    <x v="233"/>
    <s v="A320"/>
    <s v="A320"/>
    <s v="Complete"/>
    <s v="aa099e"/>
  </r>
  <r>
    <x v="1"/>
    <s v="B6 8604"/>
    <s v="JBU8604"/>
    <s v="MCO"/>
    <s v="KMCO"/>
    <s v="BHM"/>
    <s v="KBHM"/>
    <d v="2026-09-25T15:09:43"/>
    <d v="2026-09-25T16:26:43"/>
    <n v="77"/>
    <x v="239"/>
    <s v="A320"/>
    <s v="A320"/>
    <s v="Landing inferred"/>
    <s v="a7e20a"/>
  </r>
  <r>
    <x v="1"/>
    <s v="B6 373"/>
    <s v="JBU373"/>
    <s v="BOS"/>
    <s v="KBOS"/>
    <m/>
    <m/>
    <d v="2026-09-25T15:10:52"/>
    <d v="2026-09-25T17:27:12"/>
    <n v="136"/>
    <x v="165"/>
    <s v="A320"/>
    <s v="A320"/>
    <s v="Signal lost"/>
    <s v="aa4d77"/>
  </r>
  <r>
    <x v="1"/>
    <s v="B6 2548"/>
    <s v="JBU2548"/>
    <s v="FLL"/>
    <s v="KFLL"/>
    <s v="MCO"/>
    <s v="KMCO"/>
    <d v="2026-09-25T15:11:02"/>
    <d v="2026-09-25T15:44:29"/>
    <n v="33"/>
    <x v="12"/>
    <s v="A320"/>
    <s v="A320"/>
    <s v="Complete"/>
    <s v="a8222c"/>
  </r>
  <r>
    <x v="1"/>
    <s v="B6 423"/>
    <s v="JBU423"/>
    <s v="JFK"/>
    <s v="KJFK"/>
    <s v="LAX"/>
    <s v="KLAX"/>
    <d v="2026-09-25T15:12:53"/>
    <d v="2026-09-25T20:24:04"/>
    <n v="311"/>
    <x v="77"/>
    <s v="A321"/>
    <s v="A321"/>
    <s v="Complete"/>
    <s v="ad1927"/>
  </r>
  <r>
    <x v="1"/>
    <s v="B6 2474"/>
    <s v="JBU2474"/>
    <s v="CHS"/>
    <s v="KCHS"/>
    <s v="JFK"/>
    <s v="KJFK"/>
    <d v="2026-09-25T15:13:43"/>
    <d v="2026-09-25T16:44:22"/>
    <n v="91"/>
    <x v="178"/>
    <s v="A220-300"/>
    <s v="BCS3"/>
    <s v="Complete"/>
    <s v="a36b50"/>
  </r>
  <r>
    <x v="1"/>
    <s v="B6 1157"/>
    <s v="JBU1157"/>
    <s v="FLL"/>
    <s v="KFLL"/>
    <m/>
    <m/>
    <d v="2026-09-25T15:14:30"/>
    <d v="2026-09-25T16:41:44"/>
    <n v="87"/>
    <x v="24"/>
    <s v="A320"/>
    <s v="A320"/>
    <s v="Signal lost"/>
    <s v="a70f11"/>
  </r>
  <r>
    <x v="1"/>
    <s v="B6 2454"/>
    <s v="JBU2454"/>
    <s v="DCA"/>
    <s v="KDCA"/>
    <s v="BOS"/>
    <s v="KBOS"/>
    <d v="2026-09-25T15:14:36"/>
    <d v="2026-09-25T16:18:54"/>
    <n v="64"/>
    <x v="162"/>
    <s v="A220-300"/>
    <s v="BCS3"/>
    <s v="Complete"/>
    <s v="a338ac"/>
  </r>
  <r>
    <x v="1"/>
    <s v="B6 1487"/>
    <s v="JBU1487"/>
    <s v="BOS"/>
    <s v="KBOS"/>
    <s v="LAX"/>
    <s v="KLAX"/>
    <d v="2026-09-25T15:17:28"/>
    <d v="2026-09-25T20:56:59"/>
    <n v="340"/>
    <x v="106"/>
    <s v="A321"/>
    <s v="A321"/>
    <s v="Complete"/>
    <s v="ada5ee"/>
  </r>
  <r>
    <x v="1"/>
    <s v="B6 1167"/>
    <s v="JBU1167"/>
    <s v="HPN"/>
    <s v="KHPN"/>
    <s v="DJT"/>
    <s v="KPBI"/>
    <d v="2026-09-25T15:17:30"/>
    <d v="2026-09-25T17:29:30"/>
    <n v="132"/>
    <x v="5"/>
    <s v="A320"/>
    <s v="A320"/>
    <s v="Complete"/>
    <s v="a87898"/>
  </r>
  <r>
    <x v="1"/>
    <s v="B6 522"/>
    <s v="JBU522"/>
    <s v="MCO"/>
    <s v="KMCO"/>
    <s v="MCO"/>
    <s v="KMCO"/>
    <d v="2026-09-25T15:19:26"/>
    <d v="2026-09-25T20:08:10"/>
    <n v="289"/>
    <x v="128"/>
    <s v="A220-300"/>
    <s v="BCS3"/>
    <s v="Complete"/>
    <s v="a3514f"/>
  </r>
  <r>
    <x v="1"/>
    <s v="B6 1783"/>
    <s v="JBU1783"/>
    <s v="FLL"/>
    <s v="KFLL"/>
    <s v="FLL"/>
    <s v="KFLL"/>
    <d v="2026-09-25T15:20:41"/>
    <d v="2026-09-25T21:39:22"/>
    <n v="379"/>
    <x v="41"/>
    <s v="A320"/>
    <s v="A320"/>
    <s v="Complete"/>
    <s v="a85887"/>
  </r>
  <r>
    <x v="1"/>
    <s v="B6 316"/>
    <s v="JBU316"/>
    <s v="SFO"/>
    <s v="KSFO"/>
    <s v="JFK"/>
    <s v="KJFK"/>
    <d v="2026-09-25T15:21:30"/>
    <d v="2026-09-25T20:29:52"/>
    <n v="308"/>
    <x v="122"/>
    <s v="A321"/>
    <s v="A321"/>
    <s v="Complete"/>
    <s v="acf906"/>
  </r>
  <r>
    <x v="1"/>
    <s v="B6 791"/>
    <s v="JBU791"/>
    <s v="BOS"/>
    <s v="KBOS"/>
    <s v="TPA"/>
    <s v="KTPA"/>
    <d v="2026-09-25T15:22:02"/>
    <d v="2026-09-25T18:00:53"/>
    <n v="159"/>
    <x v="0"/>
    <s v="A321"/>
    <s v="A321"/>
    <s v="Complete"/>
    <s v="ad6f93"/>
  </r>
  <r>
    <x v="1"/>
    <s v="B6 8803"/>
    <s v="JBU8803"/>
    <s v="LAN"/>
    <s v="KLAN"/>
    <s v="FLL"/>
    <s v="KFLL"/>
    <d v="2026-09-25T15:23:30"/>
    <d v="2026-09-25T17:45:53"/>
    <n v="142"/>
    <x v="214"/>
    <s v="A321"/>
    <s v="A321"/>
    <s v="Complete"/>
    <s v="aca29a"/>
  </r>
  <r>
    <x v="1"/>
    <s v="B6 2089"/>
    <s v="JBU2089"/>
    <s v="FLL"/>
    <s v="KFLL"/>
    <s v="FLL"/>
    <s v="KFLL"/>
    <d v="2026-09-25T15:23:34"/>
    <d v="2026-09-25T21:33:21"/>
    <n v="370"/>
    <x v="138"/>
    <s v="A320"/>
    <s v="A320"/>
    <s v="Complete"/>
    <s v="a683a8"/>
  </r>
  <r>
    <x v="1"/>
    <s v="B6 176"/>
    <s v="JBU176"/>
    <s v="MSY"/>
    <s v="KMSY"/>
    <s v="JFK"/>
    <s v="KJFK"/>
    <d v="2026-09-25T15:24:04"/>
    <d v="2026-09-25T18:12:12"/>
    <n v="168"/>
    <x v="166"/>
    <s v="A220-300"/>
    <s v="BCS3"/>
    <s v="Complete"/>
    <s v="a34d2f"/>
  </r>
  <r>
    <x v="1"/>
    <s v="B6 1553"/>
    <s v="JBU1553"/>
    <s v="FLL"/>
    <s v="KFLL"/>
    <s v="SJU"/>
    <s v="TJSJ"/>
    <d v="2026-09-25T15:26:44"/>
    <d v="2026-09-25T17:39:09"/>
    <n v="132"/>
    <x v="66"/>
    <s v="A320"/>
    <s v="A320"/>
    <s v="Landing inferred"/>
    <s v="a8021b"/>
  </r>
  <r>
    <x v="1"/>
    <s v="B6 92"/>
    <s v="JBU92"/>
    <s v="ACK"/>
    <s v="KACK"/>
    <s v="JFK"/>
    <s v="KJFK"/>
    <d v="2026-09-25T15:27:43"/>
    <d v="2026-09-25T16:06:28"/>
    <n v="39"/>
    <x v="11"/>
    <s v="A220-300"/>
    <s v="BCS3"/>
    <s v="Complete"/>
    <s v="a387f0"/>
  </r>
  <r>
    <x v="1"/>
    <s v="B6 1117"/>
    <s v="JBU1117"/>
    <s v="BOS"/>
    <s v="KBOS"/>
    <s v="JFK"/>
    <s v="KJFK"/>
    <d v="2026-09-25T15:29:45"/>
    <d v="2026-09-25T16:18:29"/>
    <n v="49"/>
    <x v="254"/>
    <s v="A220-300"/>
    <s v="BCS3"/>
    <s v="Complete"/>
    <s v="a37517"/>
  </r>
  <r>
    <x v="1"/>
    <s v="B6 2549"/>
    <s v="JBU2549"/>
    <s v="FLL"/>
    <s v="KFLL"/>
    <m/>
    <m/>
    <d v="2026-09-25T15:32:18"/>
    <d v="2026-09-25T16:00:27"/>
    <n v="28"/>
    <x v="53"/>
    <s v="A320"/>
    <s v="A320"/>
    <s v="Signal lost"/>
    <s v="a73dfe"/>
  </r>
  <r>
    <x v="1"/>
    <s v="B6 2040"/>
    <s v="JBU2040"/>
    <s v="CLE"/>
    <s v="KCLE"/>
    <s v="BOS"/>
    <s v="KBOS"/>
    <d v="2026-09-25T15:32:48"/>
    <d v="2026-09-25T16:57:38"/>
    <n v="85"/>
    <x v="189"/>
    <s v="A220-300"/>
    <s v="BCS3"/>
    <s v="Complete"/>
    <s v="a35cba"/>
  </r>
  <r>
    <x v="1"/>
    <s v="B6 663"/>
    <s v="JBU663"/>
    <s v="FLL"/>
    <s v="KFLL"/>
    <s v="ORD"/>
    <s v="KORD"/>
    <d v="2026-09-25T15:37:21"/>
    <d v="2026-09-25T18:29:07"/>
    <n v="172"/>
    <x v="80"/>
    <s v="A320"/>
    <s v="A320"/>
    <s v="Complete"/>
    <s v="a8ab3c"/>
  </r>
  <r>
    <x v="1"/>
    <s v="B6 1078"/>
    <s v="JBU1078"/>
    <s v="SJU"/>
    <s v="TJSJ"/>
    <s v="MCO"/>
    <s v="KMCO"/>
    <d v="2026-09-25T15:38:38"/>
    <d v="2026-09-25T20:18:24"/>
    <n v="280"/>
    <x v="92"/>
    <s v="A320"/>
    <s v="A320"/>
    <s v="Complete"/>
    <s v="a849ab"/>
  </r>
  <r>
    <x v="1"/>
    <s v="B6 544"/>
    <s v="JBU544"/>
    <s v="DJT"/>
    <s v="KPBI"/>
    <s v="ISP"/>
    <s v="KISP"/>
    <d v="2026-09-25T15:39:01"/>
    <d v="2026-09-25T17:59:03"/>
    <n v="140"/>
    <x v="67"/>
    <s v="A320"/>
    <s v="A320"/>
    <s v="Landing inferred"/>
    <s v="a689b8"/>
  </r>
  <r>
    <x v="1"/>
    <s v="B6 119"/>
    <s v="JBU119"/>
    <s v="JFK"/>
    <s v="KJFK"/>
    <s v="ATL"/>
    <s v="KATL"/>
    <d v="2026-09-25T15:39:37"/>
    <d v="2026-09-25T17:24:42"/>
    <n v="105"/>
    <x v="105"/>
    <s v="A220-300"/>
    <s v="BCS3"/>
    <s v="Complete"/>
    <s v="a36825"/>
  </r>
  <r>
    <x v="1"/>
    <s v="B6 524"/>
    <s v="JBU524"/>
    <s v="LAX"/>
    <s v="KLAX"/>
    <s v="JFK"/>
    <s v="KJFK"/>
    <d v="2026-09-25T15:39:47"/>
    <d v="2026-09-25T20:50:41"/>
    <n v="311"/>
    <x v="134"/>
    <s v="A321"/>
    <s v="A321"/>
    <s v="Complete"/>
    <s v="ade252"/>
  </r>
  <r>
    <x v="1"/>
    <s v="B6 2829"/>
    <s v="JBU2829"/>
    <s v="BOS"/>
    <s v="KBOS"/>
    <m/>
    <m/>
    <d v="2026-09-25T15:42:11"/>
    <d v="2026-09-25T16:18:02"/>
    <n v="36"/>
    <x v="164"/>
    <s v="A321"/>
    <s v="A321"/>
    <s v="Signal lost"/>
    <s v="adf128"/>
  </r>
  <r>
    <x v="1"/>
    <s v="B6 1282"/>
    <s v="JBU1282"/>
    <s v="RIC"/>
    <s v="KRIC"/>
    <s v="BOS"/>
    <s v="KBOS"/>
    <d v="2026-09-25T15:42:44"/>
    <d v="2026-09-25T16:51:54"/>
    <n v="69"/>
    <x v="10"/>
    <s v="A220-300"/>
    <s v="BCS3"/>
    <s v="Complete"/>
    <s v="a36b2d"/>
  </r>
  <r>
    <x v="1"/>
    <s v="B6 121"/>
    <s v="JBU121"/>
    <s v="JFK"/>
    <s v="KJFK"/>
    <s v="FLL"/>
    <s v="KFLL"/>
    <d v="2026-09-25T15:42:45"/>
    <d v="2026-09-25T20:56:52"/>
    <n v="314"/>
    <x v="125"/>
    <s v="A320"/>
    <s v="A320"/>
    <s v="Complete"/>
    <s v="a721a4"/>
  </r>
  <r>
    <x v="1"/>
    <s v="B6 2129"/>
    <s v="JBU2129"/>
    <s v="JFK"/>
    <s v="KJFK"/>
    <s v="RSW"/>
    <s v="KRSW"/>
    <d v="2026-09-25T15:43:48"/>
    <d v="2026-09-25T18:11:32"/>
    <n v="148"/>
    <x v="22"/>
    <s v="A320"/>
    <s v="A320"/>
    <s v="Complete"/>
    <s v="a7456c"/>
  </r>
  <r>
    <x v="1"/>
    <s v="B6 274"/>
    <s v="JBU274"/>
    <s v="BNA"/>
    <s v="KBNA"/>
    <s v="JFK"/>
    <s v="KJFK"/>
    <d v="2026-09-25T15:44:22"/>
    <d v="2026-09-25T17:45:07"/>
    <n v="121"/>
    <x v="160"/>
    <s v="A220-300"/>
    <s v="BCS3"/>
    <s v="Complete"/>
    <s v="a39243"/>
  </r>
  <r>
    <x v="1"/>
    <s v="B6 2102"/>
    <s v="JBU2102"/>
    <s v="FLL"/>
    <s v="KFLL"/>
    <s v="JFK"/>
    <s v="KJFK"/>
    <d v="2026-09-25T15:45:16"/>
    <d v="2026-09-25T18:15:30"/>
    <n v="150"/>
    <x v="135"/>
    <s v="A321neo"/>
    <s v="A21N"/>
    <s v="Complete"/>
    <s v="a1a0c4"/>
  </r>
  <r>
    <x v="1"/>
    <s v="B6 1293"/>
    <s v="JBU1293"/>
    <s v="BOS"/>
    <s v="KBOS"/>
    <s v="ILM"/>
    <s v="KILM"/>
    <d v="2026-09-25T15:45:46"/>
    <d v="2026-09-25T17:25:29"/>
    <n v="100"/>
    <x v="244"/>
    <s v="A220-300"/>
    <s v="BCS3"/>
    <s v="Landing inferred"/>
    <s v="a35109"/>
  </r>
  <r>
    <x v="1"/>
    <s v="B6 1052"/>
    <s v="JBU1052"/>
    <s v="JFK"/>
    <s v="KJFK"/>
    <s v="JFK"/>
    <s v="KJFK"/>
    <d v="2026-09-25T15:49:12"/>
    <d v="2026-09-26T00:36:40"/>
    <n v="527"/>
    <x v="193"/>
    <s v="A321"/>
    <s v="A321"/>
    <s v="Complete"/>
    <s v="ad9712"/>
  </r>
  <r>
    <x v="1"/>
    <s v="B6 1473"/>
    <s v="JBU1473"/>
    <s v="FLL"/>
    <s v="KFLL"/>
    <m/>
    <m/>
    <d v="2026-09-25T15:49:51"/>
    <d v="2026-09-25T16:18:51"/>
    <n v="29"/>
    <x v="50"/>
    <s v="A220-300"/>
    <s v="BCS3"/>
    <s v="Signal lost"/>
    <s v="a35fc2"/>
  </r>
  <r>
    <x v="1"/>
    <s v="B6 1310"/>
    <s v="JBU1310"/>
    <s v="JAX"/>
    <s v="KJAX"/>
    <s v="BOS"/>
    <s v="KBOS"/>
    <d v="2026-09-25T15:50:11"/>
    <d v="2026-09-25T18:08:08"/>
    <n v="138"/>
    <x v="37"/>
    <s v="A220-300"/>
    <s v="BCS3"/>
    <s v="Complete"/>
    <s v="a3401a"/>
  </r>
  <r>
    <x v="1"/>
    <s v="B6 1611"/>
    <s v="JBU1611"/>
    <s v="FLL"/>
    <s v="KFLL"/>
    <m/>
    <m/>
    <d v="2026-09-25T15:51:00"/>
    <d v="2026-09-25T16:19:28"/>
    <n v="28"/>
    <x v="33"/>
    <s v="A320"/>
    <s v="A320"/>
    <s v="Signal lost"/>
    <s v="a7858e"/>
  </r>
  <r>
    <x v="1"/>
    <s v="B6 2761"/>
    <s v="JBU2761"/>
    <s v="FLL"/>
    <s v="KFLL"/>
    <s v="FLL"/>
    <s v="KFLL"/>
    <d v="2026-09-25T15:52:27"/>
    <d v="2026-09-25T22:28:33"/>
    <n v="396"/>
    <x v="231"/>
    <s v="A320"/>
    <s v="A320"/>
    <s v="Complete"/>
    <s v="a7de53"/>
  </r>
  <r>
    <x v="1"/>
    <s v="B6 790"/>
    <s v="JBU790"/>
    <s v="FLL"/>
    <s v="KFLL"/>
    <s v="DTW"/>
    <s v="KDTW"/>
    <d v="2026-09-25T15:53:35"/>
    <d v="2026-09-25T18:32:58"/>
    <n v="159"/>
    <x v="170"/>
    <s v="A320"/>
    <s v="A320"/>
    <s v="Complete"/>
    <s v="a69894"/>
  </r>
  <r>
    <x v="1"/>
    <s v="B6 2230"/>
    <s v="JBU2230"/>
    <s v="MKE"/>
    <s v="KMKE"/>
    <s v="BOS"/>
    <s v="KBOS"/>
    <d v="2026-09-25T15:53:55"/>
    <d v="2026-09-25T17:52:25"/>
    <n v="119"/>
    <x v="38"/>
    <s v="A220-300"/>
    <s v="BCS3"/>
    <s v="Complete"/>
    <s v="a350c3"/>
  </r>
  <r>
    <x v="1"/>
    <s v="B6 1449"/>
    <s v="JBU1449"/>
    <s v="FLL"/>
    <s v="KFLL"/>
    <s v="FLL"/>
    <s v="KFLL"/>
    <d v="2026-09-25T15:56:39"/>
    <d v="2026-09-25T21:21:01"/>
    <n v="324"/>
    <x v="119"/>
    <s v="A320"/>
    <s v="A320"/>
    <s v="Complete"/>
    <s v="ab0416"/>
  </r>
  <r>
    <x v="1"/>
    <s v="B6 204"/>
    <s v="JBU204"/>
    <s v="BDA"/>
    <s v="TXKF"/>
    <s v="BOS"/>
    <s v="KBOS"/>
    <d v="2026-09-25T15:58:46"/>
    <d v="2026-09-25T17:54:30"/>
    <n v="116"/>
    <x v="177"/>
    <s v="A220-300"/>
    <s v="BCS3"/>
    <s v="Complete"/>
    <s v="a39925"/>
  </r>
  <r>
    <x v="1"/>
    <s v="B6 225"/>
    <s v="JBU225"/>
    <s v="JFK"/>
    <s v="KJFK"/>
    <s v="TPA"/>
    <s v="KTPA"/>
    <d v="2026-09-25T15:59:35"/>
    <d v="2026-09-25T18:12:07"/>
    <n v="133"/>
    <x v="58"/>
    <s v="A320"/>
    <s v="A320"/>
    <s v="Complete"/>
    <s v="a781d7"/>
  </r>
  <r>
    <x v="1"/>
    <s v="B6 2995"/>
    <s v="JBU2995"/>
    <s v="BWI"/>
    <s v="KBWI"/>
    <s v="FLL"/>
    <s v="KFLL"/>
    <d v="2026-09-25T16:01:00"/>
    <d v="2026-09-25T18:01:03"/>
    <n v="120"/>
    <x v="100"/>
    <s v="A220-300"/>
    <s v="BCS3"/>
    <s v="Complete"/>
    <s v="a383f3"/>
  </r>
  <r>
    <x v="1"/>
    <s v="B6 39"/>
    <s v="JBU39"/>
    <s v="FLL"/>
    <s v="KFLL"/>
    <s v="FLL"/>
    <s v="KFLL"/>
    <d v="2026-09-25T16:03:51"/>
    <d v="2026-09-26T00:01:25"/>
    <n v="478"/>
    <x v="157"/>
    <s v="A320"/>
    <s v="A320"/>
    <s v="Complete"/>
    <s v="aacf19"/>
  </r>
  <r>
    <x v="1"/>
    <s v="B6 8384"/>
    <s v="JBU8384"/>
    <s v="RIC"/>
    <s v="KRIC"/>
    <s v="BOS"/>
    <s v="KBOS"/>
    <d v="2026-09-25T16:05:33"/>
    <d v="2026-09-25T17:23:53"/>
    <n v="78"/>
    <x v="259"/>
    <s v="A220-300"/>
    <s v="BCS3"/>
    <s v="Complete"/>
    <s v="a37f8d"/>
  </r>
  <r>
    <x v="1"/>
    <s v="B6 1457"/>
    <s v="JBU1457"/>
    <s v="JFK"/>
    <s v="KJFK"/>
    <m/>
    <m/>
    <d v="2026-09-25T16:06:03"/>
    <d v="2026-09-25T17:52:41"/>
    <n v="107"/>
    <x v="218"/>
    <s v="A320"/>
    <s v="A320"/>
    <s v="Signal lost"/>
    <s v="a7167f"/>
  </r>
  <r>
    <x v="1"/>
    <s v="B6 194"/>
    <s v="JBU194"/>
    <s v="MCO"/>
    <s v="KMCO"/>
    <s v="HPN"/>
    <s v="KHPN"/>
    <d v="2026-09-25T16:06:19"/>
    <d v="2026-09-25T18:28:34"/>
    <n v="142"/>
    <x v="31"/>
    <s v="A320"/>
    <s v="A320"/>
    <s v="Landing inferred"/>
    <s v="a8c028"/>
  </r>
  <r>
    <x v="1"/>
    <s v="B6 1366"/>
    <s v="JBU1366"/>
    <s v="FLL"/>
    <s v="KFLL"/>
    <s v="TPA"/>
    <s v="KTPA"/>
    <d v="2026-09-25T16:06:35"/>
    <d v="2026-09-25T20:05:37"/>
    <n v="239"/>
    <x v="180"/>
    <s v="A320"/>
    <s v="A320"/>
    <s v="Complete"/>
    <s v="a6b4f7"/>
  </r>
  <r>
    <x v="1"/>
    <s v="B6 380"/>
    <s v="JBU380"/>
    <s v="FLL"/>
    <s v="KFLL"/>
    <s v="JFK"/>
    <s v="KJFK"/>
    <d v="2026-09-25T16:07:21"/>
    <d v="2026-09-25T23:04:58"/>
    <n v="418"/>
    <x v="14"/>
    <s v="A320"/>
    <s v="A320"/>
    <s v="Complete"/>
    <s v="aa589c"/>
  </r>
  <r>
    <x v="1"/>
    <s v="B6 1005"/>
    <s v="JBU1005"/>
    <s v="FLL"/>
    <s v="KFLL"/>
    <s v="TPA"/>
    <s v="KTPA"/>
    <d v="2026-09-25T16:08:36"/>
    <d v="2026-09-25T16:44:27"/>
    <n v="36"/>
    <x v="236"/>
    <s v="A320"/>
    <s v="A320"/>
    <s v="Complete"/>
    <s v="a8aef3"/>
  </r>
  <r>
    <x v="1"/>
    <s v="B6 267"/>
    <s v="JBU267"/>
    <s v="BOS"/>
    <s v="KBOS"/>
    <s v="CHS"/>
    <s v="KCHS"/>
    <d v="2026-09-25T16:09:38"/>
    <d v="2026-09-25T18:08:59"/>
    <n v="119"/>
    <x v="133"/>
    <s v="A220-300"/>
    <s v="BCS3"/>
    <s v="Landing inferred"/>
    <s v="a37fd3"/>
  </r>
  <r>
    <x v="1"/>
    <s v="B6 1336"/>
    <s v="JBU1336"/>
    <s v="DTW"/>
    <s v="KDTW"/>
    <s v="BOS"/>
    <s v="KBOS"/>
    <d v="2026-09-25T16:09:47"/>
    <d v="2026-09-25T17:44:31"/>
    <n v="95"/>
    <x v="36"/>
    <s v="A220-300"/>
    <s v="BCS3"/>
    <s v="Complete"/>
    <s v="a38836"/>
  </r>
  <r>
    <x v="1"/>
    <s v="B6 932"/>
    <s v="JBU932"/>
    <s v="IAH"/>
    <s v="KIAH"/>
    <s v="BOS"/>
    <s v="KBOS"/>
    <d v="2026-09-25T16:11:13"/>
    <d v="2026-09-25T19:42:53"/>
    <n v="212"/>
    <x v="7"/>
    <s v="A320"/>
    <s v="A320"/>
    <s v="Complete"/>
    <s v="a6c3ca"/>
  </r>
  <r>
    <x v="1"/>
    <s v="B6 681"/>
    <s v="JBU681"/>
    <s v="FLL"/>
    <s v="KFLL"/>
    <s v="BNA"/>
    <s v="KBNA"/>
    <d v="2026-09-25T16:11:22"/>
    <d v="2026-09-25T19:24:34"/>
    <n v="193"/>
    <x v="73"/>
    <s v="A320"/>
    <s v="A320"/>
    <s v="Complete"/>
    <s v="a73690"/>
  </r>
  <r>
    <x v="1"/>
    <s v="B6 2184"/>
    <s v="JBU2184"/>
    <s v="RDU"/>
    <s v="KRDU"/>
    <s v="BOS"/>
    <s v="KBOS"/>
    <d v="2026-09-25T16:12:16"/>
    <d v="2026-09-25T17:37:00"/>
    <n v="85"/>
    <x v="161"/>
    <s v="A320"/>
    <s v="A320"/>
    <s v="Complete"/>
    <s v="a87c4f"/>
  </r>
  <r>
    <x v="1"/>
    <s v="B6 749"/>
    <s v="JBU749"/>
    <s v="FLL"/>
    <s v="KFLL"/>
    <s v="CLT"/>
    <s v="KCLT"/>
    <d v="2026-09-25T16:13:40"/>
    <d v="2026-09-25T17:51:41"/>
    <n v="98"/>
    <x v="219"/>
    <s v="A320"/>
    <s v="A320"/>
    <s v="Complete"/>
    <s v="a6587b"/>
  </r>
  <r>
    <x v="1"/>
    <s v="B6 1006"/>
    <s v="JBU1006"/>
    <s v="ORD"/>
    <s v="KORD"/>
    <s v="JFK"/>
    <s v="KJFK"/>
    <d v="2026-09-25T16:15:04"/>
    <d v="2026-09-25T18:05:00"/>
    <n v="110"/>
    <x v="142"/>
    <s v="A220-300"/>
    <s v="BCS3"/>
    <s v="Complete"/>
    <s v="a3298a"/>
  </r>
  <r>
    <x v="1"/>
    <s v="B6 1497"/>
    <s v="JBU1497"/>
    <s v="JFK"/>
    <s v="KJFK"/>
    <s v="DEN"/>
    <s v="KDEN"/>
    <d v="2026-09-25T16:17:12"/>
    <d v="2026-09-25T20:00:05"/>
    <n v="223"/>
    <x v="116"/>
    <s v="A220-300"/>
    <s v="BCS3"/>
    <s v="Complete"/>
    <s v="a38367"/>
  </r>
  <r>
    <x v="1"/>
    <s v="B6 1255"/>
    <s v="JBU1255"/>
    <s v="FLL"/>
    <s v="KFLL"/>
    <m/>
    <m/>
    <d v="2026-09-25T16:18:18"/>
    <d v="2026-09-25T17:46:44"/>
    <n v="88"/>
    <x v="27"/>
    <s v="A321neo"/>
    <s v="A21N"/>
    <s v="Signal lost"/>
    <s v="a1a458"/>
  </r>
  <r>
    <x v="1"/>
    <s v="B6 1923"/>
    <s v="JBU1923"/>
    <s v="DCA"/>
    <s v="KDCA"/>
    <s v="MCO"/>
    <s v="KMCO"/>
    <d v="2026-09-25T16:18:20"/>
    <d v="2026-09-25T18:05:35"/>
    <n v="107"/>
    <x v="187"/>
    <s v="A320"/>
    <s v="A320"/>
    <s v="Complete"/>
    <s v="a8a785"/>
  </r>
  <r>
    <x v="1"/>
    <s v="B6 1414"/>
    <s v="JBU1414"/>
    <s v="DCA"/>
    <s v="KDCA"/>
    <m/>
    <m/>
    <d v="2026-09-25T16:19:40"/>
    <d v="2026-09-25T17:18:24"/>
    <n v="59"/>
    <x v="207"/>
    <s v="A220-300"/>
    <s v="BCS3"/>
    <s v="Landing inferred"/>
    <s v="a3355e"/>
  </r>
  <r>
    <x v="1"/>
    <s v="B6 477"/>
    <s v="JBU477"/>
    <s v="JFK"/>
    <s v="KJFK"/>
    <m/>
    <m/>
    <d v="2026-09-25T16:20:46"/>
    <d v="2026-09-25T18:06:56"/>
    <n v="106"/>
    <x v="143"/>
    <s v="A220-300"/>
    <s v="BCS3"/>
    <s v="Landing inferred"/>
    <s v="a34d52"/>
  </r>
  <r>
    <x v="1"/>
    <s v="B6 915"/>
    <s v="JBU915"/>
    <s v="BOS"/>
    <s v="KBOS"/>
    <s v="BUF"/>
    <s v="KBUF"/>
    <d v="2026-09-25T16:22:15"/>
    <d v="2026-09-25T17:29:37"/>
    <n v="67"/>
    <x v="175"/>
    <s v="A220-300"/>
    <s v="BCS3"/>
    <s v="Landing inferred"/>
    <s v="a38ad5"/>
  </r>
  <r>
    <x v="1"/>
    <s v="B6 211"/>
    <s v="JBU211"/>
    <s v="JFK"/>
    <s v="KJFK"/>
    <s v="LAS"/>
    <s v="KLAS"/>
    <d v="2026-09-25T16:22:20"/>
    <d v="2026-09-25T21:19:53"/>
    <n v="298"/>
    <x v="121"/>
    <s v="A321"/>
    <s v="A321"/>
    <s v="Complete"/>
    <s v="ad27f3"/>
  </r>
  <r>
    <x v="1"/>
    <s v="B6 2432"/>
    <s v="JBU2432"/>
    <s v="LGA"/>
    <s v="KLGA"/>
    <s v="ACK"/>
    <s v="KACK"/>
    <d v="2026-09-25T16:30:08"/>
    <d v="2026-09-25T17:07:36"/>
    <n v="37"/>
    <x v="65"/>
    <s v="A220-300"/>
    <s v="BCS3"/>
    <s v="Landing inferred"/>
    <s v="a386fb"/>
  </r>
  <r>
    <x v="1"/>
    <s v="B6 1603"/>
    <s v="JBU1603"/>
    <s v="JFK"/>
    <s v="KJFK"/>
    <s v="SJU"/>
    <s v="TJSJ"/>
    <d v="2026-09-25T16:31:21"/>
    <d v="2026-09-25T21:47:19"/>
    <n v="316"/>
    <x v="243"/>
    <s v="A320"/>
    <s v="A320"/>
    <s v="Complete"/>
    <s v="a85119"/>
  </r>
  <r>
    <x v="1"/>
    <s v="B6 9007"/>
    <s v="JBU9007"/>
    <s v="JFK"/>
    <s v="KJFK"/>
    <s v="COU"/>
    <s v="KCOU"/>
    <d v="2026-09-25T16:32:18"/>
    <d v="2026-09-25T18:46:58"/>
    <n v="135"/>
    <x v="127"/>
    <s v="A321"/>
    <s v="A321"/>
    <s v="Landing inferred"/>
    <s v="ad8bed"/>
  </r>
  <r>
    <x v="1"/>
    <s v="B6 2087"/>
    <s v="JBU2087"/>
    <s v="PVD"/>
    <s v="KPVD"/>
    <s v="DJT"/>
    <s v="KPBI"/>
    <d v="2026-09-25T16:33:03"/>
    <d v="2026-09-25T19:04:04"/>
    <n v="151"/>
    <x v="40"/>
    <s v="A320"/>
    <s v="A320"/>
    <s v="Complete"/>
    <s v="aaa02c"/>
  </r>
  <r>
    <x v="1"/>
    <s v="B6 2094"/>
    <s v="JBU2094"/>
    <s v="FLL"/>
    <s v="KFLL"/>
    <s v="BWI"/>
    <s v="KBWI"/>
    <d v="2026-09-25T16:33:27"/>
    <d v="2026-09-25T18:49:17"/>
    <n v="136"/>
    <x v="35"/>
    <s v="A220-300"/>
    <s v="BCS3"/>
    <s v="Complete"/>
    <s v="a38e69"/>
  </r>
  <r>
    <x v="1"/>
    <s v="B6 2020"/>
    <s v="JBU2020"/>
    <s v="FLL"/>
    <s v="KFLL"/>
    <s v="ORH"/>
    <s v="KORH"/>
    <d v="2026-09-25T16:35:19"/>
    <d v="2026-09-25T19:06:52"/>
    <n v="152"/>
    <x v="81"/>
    <s v="A320"/>
    <s v="A320"/>
    <s v="Complete"/>
    <s v="a83e86"/>
  </r>
  <r>
    <x v="1"/>
    <s v="B6 249"/>
    <s v="JBU249"/>
    <s v="BOS"/>
    <s v="KBOS"/>
    <s v="SAV"/>
    <s v="KSAV"/>
    <d v="2026-09-25T16:35:44"/>
    <d v="2026-09-25T18:44:41"/>
    <n v="129"/>
    <x v="39"/>
    <s v="Unknown"/>
    <m/>
    <s v="Landing inferred"/>
    <s v="a39be7"/>
  </r>
  <r>
    <x v="1"/>
    <s v="B6 2201"/>
    <s v="JBU2201"/>
    <s v="JFK"/>
    <s v="KJFK"/>
    <s v="FLL"/>
    <s v="KFLL"/>
    <d v="2026-09-25T16:37:40"/>
    <d v="2026-09-25T18:54:49"/>
    <n v="137"/>
    <x v="29"/>
    <s v="A321"/>
    <s v="A321"/>
    <s v="Complete"/>
    <s v="ad4f72"/>
  </r>
  <r>
    <x v="1"/>
    <s v="B6 1575"/>
    <s v="JBU1575"/>
    <s v="FLL"/>
    <s v="KFLL"/>
    <s v="KIN"/>
    <s v="MKJP"/>
    <d v="2026-09-25T16:39:09"/>
    <d v="2026-09-25T18:04:37"/>
    <n v="85"/>
    <x v="45"/>
    <s v="A320"/>
    <s v="A320"/>
    <s v="Complete"/>
    <s v="a967eb"/>
  </r>
  <r>
    <x v="1"/>
    <s v="B6 589"/>
    <s v="JBU589"/>
    <s v="FLL"/>
    <s v="KFLL"/>
    <s v="FLL"/>
    <s v="KFLL"/>
    <d v="2026-09-25T16:41:24"/>
    <d v="2026-09-25T22:14:31"/>
    <n v="333"/>
    <x v="118"/>
    <s v="A320"/>
    <s v="A320"/>
    <s v="Complete"/>
    <s v="a707a3"/>
  </r>
  <r>
    <x v="1"/>
    <s v="B6 1133"/>
    <s v="JBU1133"/>
    <s v="MCO"/>
    <s v="KMCO"/>
    <s v="SJU"/>
    <s v="TJSJ"/>
    <d v="2026-09-25T16:42:02"/>
    <d v="2026-09-25T19:09:53"/>
    <n v="148"/>
    <x v="260"/>
    <s v="A320"/>
    <s v="A320"/>
    <s v="Complete"/>
    <s v="aa600a"/>
  </r>
  <r>
    <x v="1"/>
    <s v="B6 41"/>
    <s v="JBU41"/>
    <s v="FLL"/>
    <s v="KFLL"/>
    <s v="SJU"/>
    <s v="TJSJ"/>
    <d v="2026-09-25T16:42:30"/>
    <d v="2026-09-26T09:59:44"/>
    <n v="1037"/>
    <x v="228"/>
    <s v="A320"/>
    <s v="A320"/>
    <s v="Complete"/>
    <s v="aac3f4"/>
  </r>
  <r>
    <x v="1"/>
    <s v="B6 2656"/>
    <s v="JBU2656"/>
    <s v="MCO"/>
    <s v="KMCO"/>
    <s v="SYR"/>
    <s v="KSYR"/>
    <d v="2026-09-25T16:43:16"/>
    <d v="2026-09-25T19:14:40"/>
    <n v="151"/>
    <x v="76"/>
    <s v="A220-300"/>
    <s v="BCS3"/>
    <s v="Complete"/>
    <s v="a3556f"/>
  </r>
  <r>
    <x v="1"/>
    <s v="B6 1251"/>
    <s v="JBU1251"/>
    <s v="HPN"/>
    <s v="KHPN"/>
    <s v="RSW"/>
    <s v="KRSW"/>
    <d v="2026-09-25T16:45:02"/>
    <d v="2026-09-25T19:12:25"/>
    <n v="147"/>
    <x v="200"/>
    <s v="A320"/>
    <s v="A320"/>
    <s v="Complete"/>
    <s v="a73a47"/>
  </r>
  <r>
    <x v="1"/>
    <s v="B6 896"/>
    <s v="JBU896"/>
    <s v="ATL"/>
    <s v="KATL"/>
    <s v="BOS"/>
    <s v="KBOS"/>
    <d v="2026-09-25T16:45:03"/>
    <d v="2026-09-25T19:00:41"/>
    <n v="136"/>
    <x v="253"/>
    <s v="A220-300"/>
    <s v="BCS3"/>
    <s v="Complete"/>
    <s v="a3871e"/>
  </r>
  <r>
    <x v="1"/>
    <s v="B6 1901"/>
    <s v="JBU1901"/>
    <m/>
    <m/>
    <s v="JFK"/>
    <s v="KJFK"/>
    <d v="2026-09-25T16:45:26"/>
    <d v="2026-09-25T17:46:40"/>
    <n v="61"/>
    <x v="28"/>
    <s v="A220-300"/>
    <s v="BCS3"/>
    <s v="Complete"/>
    <s v="a38019"/>
  </r>
  <r>
    <x v="1"/>
    <s v="B6 1680"/>
    <s v="JBU1680"/>
    <s v="FLL"/>
    <s v="KFLL"/>
    <s v="DCA"/>
    <s v="KDCA"/>
    <d v="2026-09-25T16:47:16"/>
    <d v="2026-09-25T18:50:07"/>
    <n v="123"/>
    <x v="249"/>
    <s v="A220-300"/>
    <s v="BCS3"/>
    <s v="Complete"/>
    <s v="a3711a"/>
  </r>
  <r>
    <x v="1"/>
    <s v="B6 272"/>
    <s v="JBU272"/>
    <s v="FLL"/>
    <s v="KFLL"/>
    <s v="LGA"/>
    <s v="KLGA"/>
    <d v="2026-09-25T16:49:53"/>
    <d v="2026-09-25T19:17:57"/>
    <n v="148"/>
    <x v="49"/>
    <s v="A320"/>
    <s v="A320"/>
    <s v="Complete"/>
    <s v="ab4f5d"/>
  </r>
  <r>
    <x v="1"/>
    <s v="B6 468"/>
    <s v="JBU468"/>
    <s v="DJT"/>
    <s v="KPBI"/>
    <s v="DJT"/>
    <s v="KPBI"/>
    <d v="2026-09-25T16:50:27"/>
    <d v="2026-09-25T22:48:01"/>
    <n v="358"/>
    <x v="171"/>
    <s v="A320"/>
    <s v="A320"/>
    <s v="Complete"/>
    <s v="a845f4"/>
  </r>
  <r>
    <x v="1"/>
    <s v="B6 568"/>
    <s v="JBU568"/>
    <s v="CHS"/>
    <s v="KCHS"/>
    <s v="BOS"/>
    <s v="KBOS"/>
    <d v="2026-09-25T16:50:42"/>
    <d v="2026-09-25T18:54:02"/>
    <n v="123"/>
    <x v="155"/>
    <s v="A220-300"/>
    <s v="BCS3"/>
    <s v="Complete"/>
    <s v="a35854"/>
  </r>
  <r>
    <x v="1"/>
    <s v="B6 22"/>
    <s v="JBU22"/>
    <s v="DJT"/>
    <s v="KPBI"/>
    <s v="BOS"/>
    <s v="KBOS"/>
    <d v="2026-09-25T16:52:16"/>
    <d v="2026-09-25T19:35:47"/>
    <n v="164"/>
    <x v="131"/>
    <s v="A321"/>
    <s v="A321"/>
    <s v="Complete"/>
    <s v="ad2f71"/>
  </r>
  <r>
    <x v="1"/>
    <s v="B6 1382"/>
    <s v="JBU1382"/>
    <s v="IAH"/>
    <s v="KIAH"/>
    <s v="JFK"/>
    <s v="KJFK"/>
    <d v="2026-09-25T16:54:37"/>
    <d v="2026-09-25T20:11:07"/>
    <n v="197"/>
    <x v="229"/>
    <s v="A220-300"/>
    <s v="BCS3"/>
    <s v="Complete"/>
    <s v="a39948"/>
  </r>
  <r>
    <x v="1"/>
    <s v="B6 2072"/>
    <s v="JBU2072"/>
    <s v="FLL"/>
    <s v="KFLL"/>
    <s v="FLL"/>
    <s v="KFLL"/>
    <d v="2026-09-25T16:55:47"/>
    <d v="2026-09-25T22:37:20"/>
    <n v="342"/>
    <x v="94"/>
    <s v="A220-300"/>
    <s v="BCS3"/>
    <s v="Complete"/>
    <s v="a3845c"/>
  </r>
  <r>
    <x v="1"/>
    <s v="B6 1043"/>
    <s v="JBU1043"/>
    <s v="ROC"/>
    <s v="KROC"/>
    <s v="MCO"/>
    <s v="KMCO"/>
    <d v="2026-09-25T17:02:17"/>
    <d v="2026-09-25T19:09:52"/>
    <n v="128"/>
    <x v="130"/>
    <s v="A320"/>
    <s v="A320"/>
    <s v="Complete"/>
    <s v="a776b2"/>
  </r>
  <r>
    <x v="1"/>
    <s v="B6 2925"/>
    <s v="JBU2925"/>
    <s v="RDU"/>
    <s v="KRDU"/>
    <s v="FLL"/>
    <s v="KFLL"/>
    <d v="2026-09-25T17:02:47"/>
    <d v="2026-09-25T18:35:36"/>
    <n v="93"/>
    <x v="237"/>
    <s v="A320"/>
    <s v="A320"/>
    <s v="Complete"/>
    <s v="a7d32e"/>
  </r>
  <r>
    <x v="1"/>
    <s v="B6 2537"/>
    <s v="JBU2537"/>
    <s v="SJU"/>
    <s v="TJSJ"/>
    <s v="SJU"/>
    <s v="TJSJ"/>
    <d v="2026-09-25T17:04:16"/>
    <d v="2026-09-25T19:45:03"/>
    <n v="161"/>
    <x v="159"/>
    <s v="Unknown"/>
    <m/>
    <s v="Landing inferred"/>
    <s v="a39338"/>
  </r>
  <r>
    <x v="1"/>
    <s v="B6 509"/>
    <s v="JBU509"/>
    <s v="BOS"/>
    <s v="KBOS"/>
    <s v="JAX"/>
    <s v="KJAX"/>
    <d v="2026-09-25T17:04:43"/>
    <d v="2026-09-25T19:15:50"/>
    <n v="131"/>
    <x v="169"/>
    <s v="A320"/>
    <s v="A320"/>
    <s v="Landing inferred"/>
    <s v="a8712a"/>
  </r>
  <r>
    <x v="1"/>
    <s v="B6 83"/>
    <s v="JBU83"/>
    <s v="JFK"/>
    <s v="KJFK"/>
    <s v="MCO"/>
    <s v="KMCO"/>
    <d v="2026-09-25T17:10:04"/>
    <d v="2026-09-25T19:12:09"/>
    <n v="122"/>
    <x v="255"/>
    <s v="A321"/>
    <s v="A321"/>
    <s v="Complete"/>
    <s v="ad4804"/>
  </r>
  <r>
    <x v="1"/>
    <s v="B6 1004"/>
    <s v="JBU1004"/>
    <s v="SJU"/>
    <s v="TJSJ"/>
    <s v="JFK"/>
    <s v="KJFK"/>
    <d v="2026-09-25T17:10:23"/>
    <d v="2026-09-25T21:14:38"/>
    <n v="244"/>
    <x v="192"/>
    <s v="A321"/>
    <s v="A321"/>
    <s v="Complete"/>
    <s v="adf4e9"/>
  </r>
  <r>
    <x v="1"/>
    <s v="B6 546"/>
    <s v="JBU546"/>
    <s v="MCO"/>
    <s v="KMCO"/>
    <s v="ISP"/>
    <s v="KISP"/>
    <d v="2026-09-25T17:14:04"/>
    <d v="2026-09-25T19:30:37"/>
    <n v="137"/>
    <x v="191"/>
    <s v="A320"/>
    <s v="A320"/>
    <s v="Landing inferred"/>
    <s v="a64d4d"/>
  </r>
  <r>
    <x v="1"/>
    <s v="B6 1013"/>
    <s v="JBU1013"/>
    <s v="MCO"/>
    <s v="KMCO"/>
    <s v="FLL"/>
    <s v="KFLL"/>
    <d v="2026-09-25T17:15:59"/>
    <d v="2026-09-25T21:39:21"/>
    <n v="263"/>
    <x v="12"/>
    <s v="A320"/>
    <s v="A320"/>
    <s v="Complete"/>
    <s v="a8222c"/>
  </r>
  <r>
    <x v="1"/>
    <s v="B6 2118"/>
    <s v="JBU2118"/>
    <s v="FLL"/>
    <s v="KFLL"/>
    <s v="JAX"/>
    <s v="KJAX"/>
    <d v="2026-09-25T17:18:54"/>
    <d v="2026-09-25T18:08:53"/>
    <n v="50"/>
    <x v="245"/>
    <s v="A320"/>
    <s v="A320"/>
    <s v="Landing inferred"/>
    <s v="a7a956"/>
  </r>
  <r>
    <x v="1"/>
    <s v="B6 1734"/>
    <s v="JBU1734"/>
    <s v="SFO"/>
    <s v="KSFO"/>
    <s v="BOS"/>
    <s v="KBOS"/>
    <d v="2026-09-25T17:18:55"/>
    <d v="2026-09-25T22:53:57"/>
    <n v="335"/>
    <x v="104"/>
    <s v="A321"/>
    <s v="A321"/>
    <s v="Complete"/>
    <s v="adbe91"/>
  </r>
  <r>
    <x v="1"/>
    <s v="B6 2110"/>
    <s v="JBU2110"/>
    <m/>
    <m/>
    <s v="JFK"/>
    <s v="KJFK"/>
    <d v="2026-09-25T17:19:57"/>
    <d v="2026-09-25T19:26:06"/>
    <n v="126"/>
    <x v="30"/>
    <s v="A320"/>
    <s v="A320"/>
    <s v="Complete"/>
    <s v="ab355c"/>
  </r>
  <r>
    <x v="1"/>
    <s v="B6 1254"/>
    <s v="JBU1254"/>
    <s v="DCA"/>
    <s v="KDCA"/>
    <s v="BOS"/>
    <s v="KBOS"/>
    <d v="2026-09-25T17:22:04"/>
    <d v="2026-09-25T18:30:34"/>
    <n v="68"/>
    <x v="227"/>
    <s v="A220-300"/>
    <s v="BCS3"/>
    <s v="Complete"/>
    <s v="a34978"/>
  </r>
  <r>
    <x v="1"/>
    <s v="B6 424"/>
    <s v="JBU424"/>
    <s v="LAX"/>
    <s v="KLAX"/>
    <s v="JFK"/>
    <s v="KJFK"/>
    <d v="2026-09-25T17:23:06"/>
    <d v="2026-09-25T22:27:09"/>
    <n v="304"/>
    <x v="110"/>
    <s v="A321"/>
    <s v="A321"/>
    <s v="Complete"/>
    <s v="adc5ff"/>
  </r>
  <r>
    <x v="1"/>
    <s v="B6 9006"/>
    <s v="JBU9006"/>
    <s v="MCO"/>
    <s v="KMCO"/>
    <m/>
    <m/>
    <d v="2026-09-25T17:23:13"/>
    <d v="2026-09-25T18:45:17"/>
    <n v="82"/>
    <x v="112"/>
    <s v="A321"/>
    <s v="A321"/>
    <s v="Signal lost"/>
    <s v="ad4bcb"/>
  </r>
  <r>
    <x v="1"/>
    <s v="B6 482"/>
    <s v="JBU482"/>
    <s v="DFW"/>
    <s v="KDFW"/>
    <s v="FLL"/>
    <s v="KFLL"/>
    <d v="2026-09-25T17:25:18"/>
    <d v="2026-09-25T19:45:04"/>
    <n v="140"/>
    <x v="183"/>
    <s v="A320"/>
    <s v="A320"/>
    <s v="Complete"/>
    <s v="a7f6f6"/>
  </r>
  <r>
    <x v="1"/>
    <s v="B6 2182"/>
    <s v="JBU2182"/>
    <s v="FLL"/>
    <s v="KFLL"/>
    <s v="DFW"/>
    <s v="KDFW"/>
    <d v="2026-09-25T17:27:28"/>
    <d v="2026-09-25T20:04:46"/>
    <n v="157"/>
    <x v="256"/>
    <s v="A320"/>
    <s v="A320"/>
    <s v="Complete"/>
    <s v="a86605"/>
  </r>
  <r>
    <x v="1"/>
    <s v="B6 2780"/>
    <s v="JBU2780"/>
    <s v="IAH"/>
    <s v="KIAH"/>
    <s v="FLL"/>
    <s v="KFLL"/>
    <d v="2026-09-25T17:28:07"/>
    <d v="2026-09-25T19:31:00"/>
    <n v="123"/>
    <x v="19"/>
    <s v="A320"/>
    <s v="A320"/>
    <s v="Complete"/>
    <s v="a7da9c"/>
  </r>
  <r>
    <x v="1"/>
    <s v="B6 1118"/>
    <s v="JBU1118"/>
    <s v="JFK"/>
    <s v="KJFK"/>
    <s v="BOS"/>
    <s v="KBOS"/>
    <d v="2026-09-25T17:29:53"/>
    <d v="2026-09-25T18:10:07"/>
    <n v="40"/>
    <x v="62"/>
    <s v="A220-300"/>
    <s v="BCS3"/>
    <s v="Complete"/>
    <s v="a37fb0"/>
  </r>
  <r>
    <x v="1"/>
    <s v="B6 281"/>
    <s v="JBU281"/>
    <s v="JFK"/>
    <s v="KJFK"/>
    <m/>
    <m/>
    <d v="2026-09-25T17:31:11"/>
    <d v="2026-09-25T20:30:31"/>
    <n v="179"/>
    <x v="11"/>
    <s v="A220-300"/>
    <s v="BCS3"/>
    <s v="Signal lost"/>
    <s v="a387f0"/>
  </r>
  <r>
    <x v="1"/>
    <s v="B6 855"/>
    <s v="JBU855"/>
    <s v="BOS"/>
    <s v="KBOS"/>
    <s v="DCA"/>
    <s v="KDCA"/>
    <d v="2026-09-25T17:31:58"/>
    <d v="2026-09-25T18:43:36"/>
    <n v="72"/>
    <x v="176"/>
    <s v="A220-300"/>
    <s v="BCS3"/>
    <s v="Complete"/>
    <s v="a392f2"/>
  </r>
  <r>
    <x v="1"/>
    <s v="B6 2266"/>
    <s v="JBU2266"/>
    <m/>
    <m/>
    <s v="MCO"/>
    <s v="KMCO"/>
    <d v="2026-09-25T17:36:35"/>
    <d v="2026-09-25T18:27:10"/>
    <n v="51"/>
    <x v="201"/>
    <s v="A320"/>
    <s v="A320"/>
    <s v="Complete"/>
    <s v="a894f2"/>
  </r>
  <r>
    <x v="1"/>
    <s v="B6 2097"/>
    <s v="JBU2097"/>
    <s v="ATL"/>
    <s v="KATL"/>
    <s v="FLL"/>
    <s v="KFLL"/>
    <d v="2026-09-25T17:38:27"/>
    <d v="2026-09-25T18:58:21"/>
    <n v="80"/>
    <x v="8"/>
    <s v="A220-300"/>
    <s v="BCS3"/>
    <s v="Complete"/>
    <s v="a358bd"/>
  </r>
  <r>
    <x v="1"/>
    <s v="B6 936"/>
    <s v="JBU936"/>
    <s v="SJU"/>
    <s v="TJSJ"/>
    <s v="CPX"/>
    <s v="TJCP"/>
    <d v="2026-09-25T17:39:21"/>
    <d v="2026-09-25T17:49:33"/>
    <n v="10"/>
    <x v="251"/>
    <s v="A320"/>
    <s v="A320"/>
    <s v="Landing inferred"/>
    <s v="a7ad0d"/>
  </r>
  <r>
    <x v="1"/>
    <s v="B6 578"/>
    <s v="JBU578"/>
    <s v="SFO"/>
    <s v="KSFO"/>
    <s v="FLL"/>
    <s v="KFLL"/>
    <d v="2026-09-25T17:41:15"/>
    <d v="2026-09-25T22:43:24"/>
    <n v="302"/>
    <x v="93"/>
    <s v="A321"/>
    <s v="A321"/>
    <s v="Complete"/>
    <s v="adbaca"/>
  </r>
  <r>
    <x v="1"/>
    <s v="B6 127"/>
    <s v="JBU127"/>
    <s v="EWR"/>
    <s v="KEWR"/>
    <s v="MCO"/>
    <s v="KMCO"/>
    <d v="2026-09-25T17:44:00"/>
    <d v="2026-09-25T19:47:57"/>
    <n v="124"/>
    <x v="91"/>
    <s v="A320"/>
    <s v="A320"/>
    <s v="Complete"/>
    <s v="a8a017"/>
  </r>
  <r>
    <x v="1"/>
    <s v="B6 436"/>
    <s v="JBU436"/>
    <m/>
    <m/>
    <s v="JFK"/>
    <s v="KJFK"/>
    <d v="2026-09-25T17:46:00"/>
    <d v="2026-09-25T19:10:18"/>
    <n v="84"/>
    <x v="117"/>
    <s v="A321"/>
    <s v="A321"/>
    <s v="Complete"/>
    <s v="ad3581"/>
  </r>
  <r>
    <x v="1"/>
    <s v="B6 1859"/>
    <s v="JBU1859"/>
    <s v="BOS"/>
    <s v="KBOS"/>
    <s v="PHL"/>
    <s v="KPHL"/>
    <d v="2026-09-25T17:47:17"/>
    <d v="2026-09-25T18:53:24"/>
    <n v="66"/>
    <x v="215"/>
    <s v="A220-300"/>
    <s v="BCS3"/>
    <s v="Complete"/>
    <s v="a398bc"/>
  </r>
  <r>
    <x v="1"/>
    <s v="B6 190"/>
    <s v="JBU190"/>
    <s v="SAN"/>
    <s v="KSAN"/>
    <s v="JFK"/>
    <s v="KJFK"/>
    <d v="2026-09-25T17:47:43"/>
    <d v="2026-09-25T22:46:03"/>
    <n v="298"/>
    <x v="108"/>
    <s v="A321"/>
    <s v="A321"/>
    <s v="Complete"/>
    <s v="adafb5"/>
  </r>
  <r>
    <x v="1"/>
    <s v="B6 1700"/>
    <s v="JBU1700"/>
    <s v="LAX"/>
    <s v="KLAX"/>
    <s v="FLL"/>
    <s v="KFLL"/>
    <d v="2026-09-25T17:48:38"/>
    <d v="2026-09-25T22:27:09"/>
    <n v="279"/>
    <x v="16"/>
    <s v="A321"/>
    <s v="A321"/>
    <s v="Complete"/>
    <s v="ad7ab8"/>
  </r>
  <r>
    <x v="1"/>
    <s v="B6 2786"/>
    <s v="JBU2786"/>
    <s v="RDU"/>
    <s v="KRDU"/>
    <s v="JFK"/>
    <s v="KJFK"/>
    <d v="2026-09-25T17:51:02"/>
    <d v="2026-09-25T18:59:07"/>
    <n v="68"/>
    <x v="246"/>
    <s v="A220-300"/>
    <s v="BCS3"/>
    <s v="Complete"/>
    <s v="a38b61"/>
  </r>
  <r>
    <x v="1"/>
    <s v="B6 1397"/>
    <s v="JBU1397"/>
    <s v="BOS"/>
    <s v="KBOS"/>
    <s v="ATL"/>
    <s v="KATL"/>
    <d v="2026-09-25T17:51:11"/>
    <d v="2026-09-25T19:55:49"/>
    <n v="125"/>
    <x v="162"/>
    <s v="A220-300"/>
    <s v="BCS3"/>
    <s v="Complete"/>
    <s v="a338ac"/>
  </r>
  <r>
    <x v="1"/>
    <s v="B6 1578"/>
    <s v="JBU1578"/>
    <s v="LAS"/>
    <s v="KLAS"/>
    <s v="BOS"/>
    <s v="KBOS"/>
    <d v="2026-09-25T17:52:13"/>
    <d v="2026-09-25T22:39:03"/>
    <n v="287"/>
    <x v="107"/>
    <s v="A321neo"/>
    <s v="A21N"/>
    <s v="Complete"/>
    <s v="a1d368"/>
  </r>
  <r>
    <x v="1"/>
    <s v="B6 831"/>
    <s v="JBU831"/>
    <s v="ACK"/>
    <s v="KACK"/>
    <s v="LGA"/>
    <s v="KLGA"/>
    <d v="2026-09-25T17:52:28"/>
    <d v="2026-09-25T18:48:58"/>
    <n v="56"/>
    <x v="132"/>
    <s v="A220-300"/>
    <s v="BCS3"/>
    <s v="Complete"/>
    <s v="a37c1c"/>
  </r>
  <r>
    <x v="1"/>
    <s v="B6 407"/>
    <s v="JBU407"/>
    <s v="BOS"/>
    <s v="KBOS"/>
    <s v="BNA"/>
    <s v="KBNA"/>
    <d v="2026-09-25T17:53:22"/>
    <d v="2026-09-25T20:03:58"/>
    <n v="131"/>
    <x v="88"/>
    <s v="A220-300"/>
    <s v="BCS3"/>
    <s v="Complete"/>
    <s v="a37842"/>
  </r>
  <r>
    <x v="1"/>
    <s v="B6 2324"/>
    <s v="JBU2324"/>
    <s v="MCO"/>
    <s v="KMCO"/>
    <s v="DCA"/>
    <s v="KDCA"/>
    <d v="2026-09-25T17:53:32"/>
    <d v="2026-09-25T19:39:47"/>
    <n v="106"/>
    <x v="242"/>
    <s v="A320"/>
    <s v="A320"/>
    <s v="Complete"/>
    <s v="a770a2"/>
  </r>
  <r>
    <x v="1"/>
    <s v="B6 2076"/>
    <s v="JBU2076"/>
    <s v="TPA"/>
    <s v="KTPA"/>
    <s v="FLL"/>
    <s v="KFLL"/>
    <d v="2026-09-25T17:54:22"/>
    <d v="2026-09-25T18:32:20"/>
    <n v="38"/>
    <x v="236"/>
    <s v="A320"/>
    <s v="A320"/>
    <s v="Complete"/>
    <s v="a8aef3"/>
  </r>
  <r>
    <x v="1"/>
    <s v="B6 2379"/>
    <s v="JBU2379"/>
    <s v="FLL"/>
    <s v="KFLL"/>
    <s v="IAH"/>
    <s v="KIAH"/>
    <d v="2026-09-25T17:55:06"/>
    <d v="2026-09-25T20:11:49"/>
    <n v="137"/>
    <x v="217"/>
    <s v="A320"/>
    <s v="A320"/>
    <s v="Landing inferred"/>
    <s v="aaf8f1"/>
  </r>
  <r>
    <x v="1"/>
    <s v="B6 2117"/>
    <s v="JBU2117"/>
    <s v="JAX"/>
    <s v="KJAX"/>
    <s v="FLL"/>
    <s v="KFLL"/>
    <d v="2026-09-25T18:02:16"/>
    <d v="2026-09-25T18:52:52"/>
    <n v="51"/>
    <x v="158"/>
    <s v="A320"/>
    <s v="A320"/>
    <s v="Complete"/>
    <s v="a8b8ba"/>
  </r>
  <r>
    <x v="1"/>
    <s v="B6 1966"/>
    <s v="JBU1966"/>
    <m/>
    <m/>
    <s v="JFK"/>
    <s v="KJFK"/>
    <d v="2026-09-25T18:06:00"/>
    <d v="2026-09-25T23:32:13"/>
    <n v="326"/>
    <x v="230"/>
    <s v="A321neo"/>
    <s v="A21N"/>
    <s v="Complete"/>
    <s v="a198ed"/>
  </r>
  <r>
    <x v="1"/>
    <s v="B6 8801"/>
    <s v="JBU8801"/>
    <s v="MEM"/>
    <s v="KMEM"/>
    <s v="LAS"/>
    <s v="KLAS"/>
    <d v="2026-09-25T18:06:27"/>
    <d v="2026-09-25T22:02:44"/>
    <n v="236"/>
    <x v="257"/>
    <s v="A320"/>
    <s v="A320"/>
    <s v="Complete"/>
    <s v="a74f33"/>
  </r>
  <r>
    <x v="1"/>
    <s v="B6 1371"/>
    <s v="JBU1371"/>
    <s v="LGA"/>
    <s v="KLGA"/>
    <s v="FLL"/>
    <s v="KFLL"/>
    <d v="2026-09-25T18:07:53"/>
    <d v="2026-09-25T20:51:03"/>
    <n v="163"/>
    <x v="20"/>
    <s v="A320"/>
    <s v="A320"/>
    <s v="Complete"/>
    <s v="a7b832"/>
  </r>
  <r>
    <x v="1"/>
    <s v="B6 168"/>
    <s v="JBU168"/>
    <m/>
    <m/>
    <s v="JFK"/>
    <s v="KJFK"/>
    <d v="2026-09-25T18:08:15"/>
    <d v="2026-09-25T20:18:19"/>
    <n v="130"/>
    <x v="190"/>
    <s v="A321neo"/>
    <s v="A21N"/>
    <s v="Complete"/>
    <s v="a1a3a9"/>
  </r>
  <r>
    <x v="1"/>
    <s v="B6 8703"/>
    <s v="JBU8703"/>
    <s v="BED"/>
    <s v="KBED"/>
    <s v="IAD"/>
    <s v="KIAD"/>
    <d v="2026-09-25T18:09:33"/>
    <d v="2026-09-25T19:20:12"/>
    <n v="71"/>
    <x v="222"/>
    <s v="A320"/>
    <s v="A320"/>
    <s v="Complete"/>
    <s v="a6a00b"/>
  </r>
  <r>
    <x v="1"/>
    <s v="B6 342"/>
    <s v="JBU342"/>
    <s v="SAV"/>
    <s v="KSAV"/>
    <s v="JFK"/>
    <s v="KJFK"/>
    <d v="2026-09-25T18:14:37"/>
    <d v="2026-09-25T19:55:50"/>
    <n v="101"/>
    <x v="139"/>
    <s v="A220-300"/>
    <s v="BCS3"/>
    <s v="Complete"/>
    <s v="a38b84"/>
  </r>
  <r>
    <x v="1"/>
    <s v="B6 2902"/>
    <s v="JBU2902"/>
    <s v="JFK"/>
    <s v="KJFK"/>
    <s v="BUF"/>
    <s v="KBUF"/>
    <d v="2026-09-25T18:15:09"/>
    <d v="2026-09-25T19:06:14"/>
    <n v="51"/>
    <x v="254"/>
    <s v="A220-300"/>
    <s v="BCS3"/>
    <s v="Landing inferred"/>
    <s v="a37517"/>
  </r>
  <r>
    <x v="1"/>
    <s v="B6 781"/>
    <s v="JBU781"/>
    <s v="BOS"/>
    <s v="KBOS"/>
    <s v="RIC"/>
    <s v="KRIC"/>
    <d v="2026-09-25T18:17:05"/>
    <d v="2026-09-25T19:29:33"/>
    <n v="72"/>
    <x v="64"/>
    <s v="A220-300"/>
    <s v="BCS3"/>
    <s v="Landing inferred"/>
    <s v="a33ca9"/>
  </r>
  <r>
    <x v="1"/>
    <s v="B6 437"/>
    <s v="JBU437"/>
    <s v="BDL"/>
    <s v="KBDL"/>
    <s v="MCO"/>
    <s v="KMCO"/>
    <d v="2026-09-25T18:20:37"/>
    <d v="2026-09-25T20:42:12"/>
    <n v="142"/>
    <x v="151"/>
    <s v="A320"/>
    <s v="A320"/>
    <s v="Complete"/>
    <s v="a898a9"/>
  </r>
  <r>
    <x v="1"/>
    <s v="B6 916"/>
    <s v="JBU916"/>
    <s v="BUF"/>
    <s v="KBUF"/>
    <s v="BOS"/>
    <s v="KBOS"/>
    <d v="2026-09-25T18:23:07"/>
    <d v="2026-09-25T19:24:09"/>
    <n v="61"/>
    <x v="175"/>
    <s v="A220-300"/>
    <s v="BCS3"/>
    <s v="Complete"/>
    <s v="a38ad5"/>
  </r>
  <r>
    <x v="1"/>
    <s v="B6 2251"/>
    <s v="JBU2251"/>
    <s v="BOS"/>
    <s v="KBOS"/>
    <s v="MCO"/>
    <s v="KMCO"/>
    <d v="2026-09-25T18:23:19"/>
    <d v="2026-09-25T20:50:35"/>
    <n v="147"/>
    <x v="248"/>
    <s v="A321"/>
    <s v="A321"/>
    <s v="Complete"/>
    <s v="ade9c0"/>
  </r>
  <r>
    <x v="1"/>
    <s v="B6 2275"/>
    <s v="JBU2275"/>
    <s v="PHL"/>
    <s v="KPHL"/>
    <s v="FLL"/>
    <s v="KFLL"/>
    <d v="2026-09-25T18:24:23"/>
    <d v="2026-09-25T20:35:47"/>
    <n v="131"/>
    <x v="172"/>
    <s v="A320"/>
    <s v="A320"/>
    <s v="Complete"/>
    <s v="aac7ab"/>
  </r>
  <r>
    <x v="1"/>
    <s v="B6 1475"/>
    <s v="JBU1475"/>
    <s v="BDL"/>
    <s v="KBDL"/>
    <m/>
    <m/>
    <d v="2026-09-25T18:27:53"/>
    <d v="2026-09-25T22:14:40"/>
    <n v="227"/>
    <x v="140"/>
    <s v="A320"/>
    <s v="A320"/>
    <s v="Landing inferred"/>
    <s v="a97310"/>
  </r>
  <r>
    <x v="1"/>
    <s v="B6 1354"/>
    <s v="JBU1354"/>
    <s v="DCA"/>
    <s v="KDCA"/>
    <s v="BOS"/>
    <s v="KBOS"/>
    <d v="2026-09-25T18:28:08"/>
    <d v="2026-09-25T19:31:39"/>
    <n v="64"/>
    <x v="4"/>
    <s v="Unknown"/>
    <m/>
    <s v="Complete"/>
    <s v="a38fa4"/>
  </r>
  <r>
    <x v="1"/>
    <s v="B6 2383"/>
    <s v="JBU2383"/>
    <s v="BOS"/>
    <s v="KBOS"/>
    <s v="RDU"/>
    <s v="KRDU"/>
    <d v="2026-09-25T18:28:10"/>
    <d v="2026-09-25T19:57:54"/>
    <n v="90"/>
    <x v="43"/>
    <s v="Unknown"/>
    <m/>
    <s v="Complete"/>
    <s v="a39fe4"/>
  </r>
  <r>
    <x v="1"/>
    <s v="B6 386"/>
    <s v="JBU386"/>
    <s v="PIT"/>
    <s v="KPIT"/>
    <s v="BOS"/>
    <s v="KBOS"/>
    <d v="2026-09-25T18:29:23"/>
    <d v="2026-09-25T19:56:10"/>
    <n v="87"/>
    <x v="148"/>
    <s v="A220-300"/>
    <s v="BCS3"/>
    <s v="Complete"/>
    <s v="a36b73"/>
  </r>
  <r>
    <x v="1"/>
    <s v="B6 988"/>
    <s v="JBU988"/>
    <s v="LAX"/>
    <s v="KLAX"/>
    <s v="BOS"/>
    <s v="KBOS"/>
    <d v="2026-09-25T18:29:59"/>
    <d v="2026-09-25T23:52:14"/>
    <n v="322"/>
    <x v="199"/>
    <s v="A321"/>
    <s v="A321"/>
    <s v="Complete"/>
    <s v="adb723"/>
  </r>
  <r>
    <x v="1"/>
    <s v="B6 24"/>
    <s v="JBU24"/>
    <s v="DJT"/>
    <s v="KPBI"/>
    <s v="DCA"/>
    <s v="KDCA"/>
    <d v="2026-09-25T18:32:00"/>
    <d v="2026-09-25T20:35:48"/>
    <n v="124"/>
    <x v="204"/>
    <s v="A320"/>
    <s v="A320"/>
    <s v="Complete"/>
    <s v="a7faad"/>
  </r>
  <r>
    <x v="1"/>
    <s v="B6 1576"/>
    <s v="JBU1576"/>
    <s v="KIN"/>
    <s v="MKJP"/>
    <s v="FLL"/>
    <s v="KFLL"/>
    <d v="2026-09-25T18:33:17"/>
    <d v="2026-09-25T20:03:52"/>
    <n v="91"/>
    <x v="221"/>
    <s v="A320"/>
    <s v="A320"/>
    <s v="Complete"/>
    <s v="aaf53a"/>
  </r>
  <r>
    <x v="1"/>
    <s v="B6 367"/>
    <s v="JBU367"/>
    <s v="HPN"/>
    <s v="KHPN"/>
    <s v="DJT"/>
    <s v="KPBI"/>
    <d v="2026-09-25T18:34:56"/>
    <d v="2026-09-25T20:50:41"/>
    <n v="136"/>
    <x v="17"/>
    <s v="A320"/>
    <s v="A320"/>
    <s v="Complete"/>
    <s v="a6a3c2"/>
  </r>
  <r>
    <x v="1"/>
    <s v="B6 8777"/>
    <s v="JBU8777"/>
    <s v="GSO"/>
    <s v="KGSO"/>
    <s v="SDF"/>
    <s v="KSDF"/>
    <d v="2026-09-25T18:35:04"/>
    <d v="2026-09-25T19:37:31"/>
    <n v="62"/>
    <x v="181"/>
    <s v="A321"/>
    <s v="A321"/>
    <s v="Complete"/>
    <s v="ad5329"/>
  </r>
  <r>
    <x v="1"/>
    <s v="B6 1874"/>
    <s v="JBU1874"/>
    <s v="LAX"/>
    <s v="KLAX"/>
    <s v="EWR"/>
    <s v="KEWR"/>
    <d v="2026-09-25T18:39:20"/>
    <d v="2026-09-25T23:47:38"/>
    <n v="308"/>
    <x v="69"/>
    <s v="A321"/>
    <s v="A321"/>
    <s v="Complete"/>
    <s v="add734"/>
  </r>
  <r>
    <x v="1"/>
    <s v="B6 1290"/>
    <s v="JBU1290"/>
    <s v="ILM"/>
    <s v="KILM"/>
    <s v="BOS"/>
    <s v="KBOS"/>
    <d v="2026-09-25T18:41:58"/>
    <d v="2026-09-26T00:41:32"/>
    <n v="360"/>
    <x v="244"/>
    <s v="A220-300"/>
    <s v="BCS3"/>
    <s v="Complete"/>
    <s v="a35109"/>
  </r>
  <r>
    <x v="1"/>
    <s v="B6 598"/>
    <s v="JBU598"/>
    <s v="MCO"/>
    <s v="KMCO"/>
    <s v="LGA"/>
    <s v="KLGA"/>
    <d v="2026-09-25T18:42:16"/>
    <d v="2026-09-25T20:56:26"/>
    <n v="134"/>
    <x v="79"/>
    <s v="A320"/>
    <s v="A320"/>
    <s v="Complete"/>
    <s v="a9c5c5"/>
  </r>
  <r>
    <x v="1"/>
    <s v="B6 605"/>
    <s v="JBU605"/>
    <s v="MCO"/>
    <s v="KMCO"/>
    <s v="SJU"/>
    <s v="TJSJ"/>
    <d v="2026-09-25T18:43:18"/>
    <d v="2026-09-25T22:38:50"/>
    <n v="236"/>
    <x v="261"/>
    <s v="A320"/>
    <s v="A320"/>
    <s v="Landing inferred"/>
    <s v="aa8b40"/>
  </r>
  <r>
    <x v="1"/>
    <s v="B6 708"/>
    <s v="JBU708"/>
    <s v="LAS"/>
    <s v="KLAS"/>
    <s v="FLL"/>
    <s v="KFLL"/>
    <d v="2026-09-25T18:44:46"/>
    <d v="2026-09-25T22:57:23"/>
    <n v="253"/>
    <x v="84"/>
    <s v="A321"/>
    <s v="A321"/>
    <s v="Complete"/>
    <s v="adc238"/>
  </r>
  <r>
    <x v="1"/>
    <s v="B6 120"/>
    <s v="JBU120"/>
    <s v="ATL"/>
    <s v="KATL"/>
    <s v="JFK"/>
    <s v="KJFK"/>
    <d v="2026-09-25T18:45:31"/>
    <d v="2026-09-25T21:43:13"/>
    <n v="178"/>
    <x v="105"/>
    <s v="A220-300"/>
    <s v="BCS3"/>
    <s v="Complete"/>
    <s v="a36825"/>
  </r>
  <r>
    <x v="1"/>
    <s v="B6 394"/>
    <s v="JBU394"/>
    <s v="DEN"/>
    <s v="KDEN"/>
    <s v="BOS"/>
    <s v="KBOS"/>
    <d v="2026-09-25T18:49:12"/>
    <d v="2026-09-26T00:30:57"/>
    <n v="342"/>
    <x v="196"/>
    <s v="A220-300"/>
    <s v="BCS3"/>
    <s v="Complete"/>
    <s v="a35c0b"/>
  </r>
  <r>
    <x v="1"/>
    <s v="B6 368"/>
    <s v="JBU368"/>
    <s v="DJT"/>
    <s v="KPBI"/>
    <s v="HPN"/>
    <s v="KHPN"/>
    <d v="2026-09-25T18:51:05"/>
    <d v="2026-09-25T21:14:39"/>
    <n v="144"/>
    <x v="5"/>
    <s v="A320"/>
    <s v="A320"/>
    <s v="Landing inferred"/>
    <s v="a87898"/>
  </r>
  <r>
    <x v="1"/>
    <s v="B6 9"/>
    <s v="JBU9"/>
    <s v="JFK"/>
    <s v="KJFK"/>
    <m/>
    <m/>
    <d v="2026-09-25T18:53:50"/>
    <d v="2026-09-25T19:33:12"/>
    <n v="39"/>
    <x v="205"/>
    <s v="A321"/>
    <s v="A321"/>
    <s v="Signal lost"/>
    <s v="ad8fa4"/>
  </r>
  <r>
    <x v="1"/>
    <s v="B6 1448"/>
    <s v="JBU1448"/>
    <s v="LAS"/>
    <s v="KLAS"/>
    <s v="JFK"/>
    <s v="KJFK"/>
    <d v="2026-09-25T18:57:01"/>
    <d v="2026-09-25T23:30:27"/>
    <n v="273"/>
    <x v="63"/>
    <s v="A321neo"/>
    <s v="A21N"/>
    <s v="Complete"/>
    <s v="a1de8d"/>
  </r>
  <r>
    <x v="1"/>
    <s v="B6 2052"/>
    <s v="JBU2052"/>
    <s v="MCO"/>
    <s v="KMCO"/>
    <s v="BOS"/>
    <s v="KBOS"/>
    <d v="2026-09-25T18:57:22"/>
    <d v="2026-09-25T21:39:34"/>
    <n v="162"/>
    <x v="109"/>
    <s v="A321"/>
    <s v="A321"/>
    <s v="Complete"/>
    <s v="ad846f"/>
  </r>
  <r>
    <x v="1"/>
    <s v="B6 934"/>
    <s v="JBU934"/>
    <s v="SJU"/>
    <s v="TJSJ"/>
    <s v="MCO"/>
    <s v="KMCO"/>
    <d v="2026-09-25T19:00:18"/>
    <d v="2026-09-25T21:39:50"/>
    <n v="160"/>
    <x v="197"/>
    <s v="A321"/>
    <s v="A321"/>
    <s v="Complete"/>
    <s v="aded77"/>
  </r>
  <r>
    <x v="1"/>
    <s v="B6 8806"/>
    <s v="JBU8806"/>
    <s v="GSP"/>
    <s v="KGSP"/>
    <s v="SWF"/>
    <s v="KSWF"/>
    <d v="2026-09-25T19:00:39"/>
    <d v="2026-09-25T20:36:52"/>
    <n v="96"/>
    <x v="240"/>
    <s v="A321"/>
    <s v="A321"/>
    <s v="Landing inferred"/>
    <s v="ad2baa"/>
  </r>
  <r>
    <x v="1"/>
    <s v="B6 435"/>
    <s v="JBU435"/>
    <m/>
    <m/>
    <s v="SJU"/>
    <s v="TJSJ"/>
    <d v="2026-09-25T19:01:32"/>
    <d v="2026-09-25T19:18:22"/>
    <n v="17"/>
    <x v="251"/>
    <s v="A320"/>
    <s v="A320"/>
    <s v="Landing inferred"/>
    <s v="a7ad0d"/>
  </r>
  <r>
    <x v="1"/>
    <s v="B6 1454"/>
    <s v="JBU1454"/>
    <s v="SJU"/>
    <s v="TJSJ"/>
    <s v="FLL"/>
    <s v="KFLL"/>
    <d v="2026-09-25T19:04:16"/>
    <d v="2026-09-25T21:33:22"/>
    <n v="149"/>
    <x v="66"/>
    <s v="A320"/>
    <s v="A320"/>
    <s v="Complete"/>
    <s v="a8021b"/>
  </r>
  <r>
    <x v="1"/>
    <s v="B6 1594"/>
    <s v="JBU1594"/>
    <s v="FLL"/>
    <s v="KFLL"/>
    <s v="FLL"/>
    <s v="KFLL"/>
    <d v="2026-09-25T19:04:19"/>
    <d v="2026-09-25T22:39:44"/>
    <n v="215"/>
    <x v="114"/>
    <s v="A320"/>
    <s v="A320"/>
    <s v="Complete"/>
    <s v="a7bbe9"/>
  </r>
  <r>
    <x v="1"/>
    <s v="B6 269"/>
    <s v="JBU269"/>
    <s v="BOS"/>
    <s v="KBOS"/>
    <s v="FLL"/>
    <s v="KFLL"/>
    <d v="2026-09-25T19:06:55"/>
    <d v="2026-09-25T21:49:59"/>
    <n v="163"/>
    <x v="70"/>
    <s v="A321"/>
    <s v="A321"/>
    <s v="Complete"/>
    <s v="ade609"/>
  </r>
  <r>
    <x v="1"/>
    <s v="B6 920"/>
    <s v="JBU920"/>
    <s v="JFK"/>
    <s v="KJFK"/>
    <s v="DTW"/>
    <s v="KDTW"/>
    <d v="2026-09-25T19:08:27"/>
    <d v="2026-09-25T20:29:54"/>
    <n v="81"/>
    <x v="15"/>
    <s v="A320"/>
    <s v="A320"/>
    <s v="Complete"/>
    <s v="a78945"/>
  </r>
  <r>
    <x v="1"/>
    <s v="B6 8704"/>
    <s v="JBU8704"/>
    <m/>
    <m/>
    <s v="MDW"/>
    <s v="KMDW"/>
    <d v="2026-09-25T19:09:54"/>
    <d v="2026-09-25T19:57:45"/>
    <n v="48"/>
    <x v="194"/>
    <s v="A321"/>
    <s v="A321"/>
    <s v="Complete"/>
    <s v="acf54f"/>
  </r>
  <r>
    <x v="1"/>
    <s v="B6 1075"/>
    <s v="JBU1075"/>
    <s v="MCO"/>
    <s v="KMCO"/>
    <s v="PVD"/>
    <s v="KPVD"/>
    <d v="2026-09-25T19:09:55"/>
    <d v="2026-09-25T21:39:19"/>
    <n v="149"/>
    <x v="72"/>
    <s v="A320"/>
    <s v="A320"/>
    <s v="Complete"/>
    <s v="a752ea"/>
  </r>
  <r>
    <x v="1"/>
    <s v="B6 2722"/>
    <s v="JBU2722"/>
    <s v="MSY"/>
    <s v="KMSY"/>
    <s v="FLL"/>
    <s v="KFLL"/>
    <d v="2026-09-25T19:11:04"/>
    <d v="2026-09-25T20:42:27"/>
    <n v="91"/>
    <x v="226"/>
    <s v="A320"/>
    <s v="A320"/>
    <s v="Complete"/>
    <s v="a732d9"/>
  </r>
  <r>
    <x v="1"/>
    <s v="B6 1151"/>
    <s v="JBU1151"/>
    <s v="ACK"/>
    <s v="KACK"/>
    <s v="BOS"/>
    <s v="KBOS"/>
    <d v="2026-09-25T19:12:30"/>
    <d v="2026-09-25T19:39:32"/>
    <n v="27"/>
    <x v="65"/>
    <s v="A220-300"/>
    <s v="BCS3"/>
    <s v="Complete"/>
    <s v="a386fb"/>
  </r>
  <r>
    <x v="1"/>
    <s v="B6 2143"/>
    <s v="JBU2143"/>
    <s v="EWR"/>
    <s v="KEWR"/>
    <s v="DJT"/>
    <s v="KPBI"/>
    <d v="2026-09-25T19:13:09"/>
    <d v="2026-09-25T21:27:41"/>
    <n v="135"/>
    <x v="2"/>
    <s v="A320"/>
    <s v="A320"/>
    <s v="Complete"/>
    <s v="a8a3ce"/>
  </r>
  <r>
    <x v="1"/>
    <s v="B6 68"/>
    <s v="JBU68"/>
    <s v="CHS"/>
    <s v="KCHS"/>
    <s v="BOS"/>
    <s v="KBOS"/>
    <d v="2026-09-25T19:14:00"/>
    <d v="2026-09-26T21:09:32"/>
    <n v="1556"/>
    <x v="133"/>
    <s v="A220-300"/>
    <s v="BCS3"/>
    <s v="Complete"/>
    <s v="a37fd3"/>
  </r>
  <r>
    <x v="1"/>
    <s v="B6 606"/>
    <s v="JBU606"/>
    <s v="SJU"/>
    <s v="TJSJ"/>
    <s v="MCO"/>
    <s v="KMCO"/>
    <d v="2026-09-25T19:15:39"/>
    <d v="2026-09-25T23:49:19"/>
    <n v="274"/>
    <x v="124"/>
    <s v="A320"/>
    <s v="A320"/>
    <s v="Complete"/>
    <s v="a98445"/>
  </r>
  <r>
    <x v="1"/>
    <s v="B6 2321"/>
    <s v="JBU2321"/>
    <s v="BOS"/>
    <s v="KBOS"/>
    <s v="DJT"/>
    <s v="KPBI"/>
    <d v="2026-09-25T19:17:14"/>
    <d v="2026-09-25T21:51:58"/>
    <n v="155"/>
    <x v="54"/>
    <s v="A320"/>
    <s v="A320"/>
    <s v="Complete"/>
    <s v="a7946a"/>
  </r>
  <r>
    <x v="1"/>
    <s v="B6 1084"/>
    <s v="JBU1084"/>
    <s v="MCO"/>
    <s v="KMCO"/>
    <s v="JFK"/>
    <s v="KJFK"/>
    <d v="2026-09-25T19:18:01"/>
    <d v="2026-09-25T21:43:22"/>
    <n v="145"/>
    <x v="234"/>
    <s v="A321"/>
    <s v="A321"/>
    <s v="Complete"/>
    <s v="ad56e0"/>
  </r>
  <r>
    <x v="1"/>
    <s v="B6 400"/>
    <s v="JBU400"/>
    <s v="FLL"/>
    <s v="KFLL"/>
    <s v="BOS"/>
    <s v="KBOS"/>
    <d v="2026-09-25T19:18:50"/>
    <d v="2026-09-26T01:19:45"/>
    <n v="361"/>
    <x v="173"/>
    <s v="A320"/>
    <s v="A320"/>
    <s v="Complete"/>
    <s v="a6ab27"/>
  </r>
  <r>
    <x v="1"/>
    <s v="B6 483"/>
    <s v="JBU483"/>
    <s v="JFK"/>
    <s v="KJFK"/>
    <s v="MCO"/>
    <s v="KMCO"/>
    <d v="2026-09-25T19:19:18"/>
    <d v="2026-09-25T21:26:41"/>
    <n v="127"/>
    <x v="224"/>
    <s v="A321neo"/>
    <s v="A21N"/>
    <s v="Complete"/>
    <s v="a19910"/>
  </r>
  <r>
    <x v="1"/>
    <s v="B6 53"/>
    <s v="JBU53"/>
    <s v="JFK"/>
    <s v="KJFK"/>
    <s v="DJT"/>
    <s v="KPBI"/>
    <d v="2026-09-25T19:22:23"/>
    <d v="2026-09-25T21:33:28"/>
    <n v="131"/>
    <x v="252"/>
    <s v="A321neo"/>
    <s v="A21N"/>
    <s v="Complete"/>
    <s v="a1b2ee"/>
  </r>
  <r>
    <x v="1"/>
    <s v="B6 1990"/>
    <s v="JBU1990"/>
    <s v="SJU"/>
    <s v="TJSJ"/>
    <s v="EWR"/>
    <s v="KEWR"/>
    <d v="2026-09-25T19:23:02"/>
    <d v="2026-09-25T23:27:13"/>
    <n v="244"/>
    <x v="220"/>
    <s v="A320"/>
    <s v="A320"/>
    <s v="Complete"/>
    <s v="a8bc71"/>
  </r>
  <r>
    <x v="1"/>
    <s v="B6 1148"/>
    <s v="JBU1148"/>
    <s v="CLT"/>
    <s v="KCLT"/>
    <s v="FLL"/>
    <s v="KFLL"/>
    <d v="2026-09-25T19:23:33"/>
    <d v="2026-09-25T20:50:31"/>
    <n v="87"/>
    <x v="219"/>
    <s v="A320"/>
    <s v="A320"/>
    <s v="Complete"/>
    <s v="a6587b"/>
  </r>
  <r>
    <x v="1"/>
    <s v="B6 545"/>
    <s v="JBU545"/>
    <s v="ISP"/>
    <s v="KISP"/>
    <s v="DJT"/>
    <s v="KPBI"/>
    <d v="2026-09-25T19:25:12"/>
    <d v="2026-09-25T21:43:06"/>
    <n v="138"/>
    <x v="67"/>
    <s v="A320"/>
    <s v="A320"/>
    <s v="Complete"/>
    <s v="a689b8"/>
  </r>
  <r>
    <x v="1"/>
    <s v="B6 592"/>
    <s v="JBU592"/>
    <s v="TPA"/>
    <s v="KTPA"/>
    <s v="BOS"/>
    <s v="KBOS"/>
    <d v="2026-09-25T19:27:18"/>
    <d v="2026-09-25T22:59:18"/>
    <n v="212"/>
    <x v="58"/>
    <s v="A320"/>
    <s v="A320"/>
    <s v="Complete"/>
    <s v="a781d7"/>
  </r>
  <r>
    <x v="1"/>
    <s v="B6 641"/>
    <s v="JBU641"/>
    <s v="BOS"/>
    <s v="KBOS"/>
    <s v="CLE"/>
    <s v="KCLE"/>
    <d v="2026-09-25T19:28:35"/>
    <d v="2026-09-25T20:56:42"/>
    <n v="88"/>
    <x v="189"/>
    <s v="A220-300"/>
    <s v="BCS3"/>
    <s v="Complete"/>
    <s v="a35cba"/>
  </r>
  <r>
    <x v="1"/>
    <s v="B6 2582"/>
    <s v="JBU2582"/>
    <s v="BNA"/>
    <s v="KBNA"/>
    <s v="FLL"/>
    <s v="KFLL"/>
    <d v="2026-09-25T19:29:05"/>
    <d v="2026-09-25T21:19:53"/>
    <n v="111"/>
    <x v="73"/>
    <s v="A320"/>
    <s v="A320"/>
    <s v="Complete"/>
    <s v="a73690"/>
  </r>
  <r>
    <x v="1"/>
    <s v="B6 1743"/>
    <s v="JBU1743"/>
    <s v="JAX"/>
    <s v="KJAX"/>
    <s v="SJU"/>
    <s v="TJSJ"/>
    <d v="2026-09-25T19:29:38"/>
    <d v="2026-09-26T12:33:06"/>
    <n v="1023"/>
    <x v="245"/>
    <s v="A320"/>
    <s v="A320"/>
    <s v="Complete"/>
    <s v="a7a956"/>
  </r>
  <r>
    <x v="1"/>
    <s v="B6 419"/>
    <s v="JBU419"/>
    <s v="JFK"/>
    <s v="KJFK"/>
    <s v="ATL"/>
    <s v="KATL"/>
    <d v="2026-09-25T19:34:38"/>
    <d v="2026-09-25T21:20:13"/>
    <n v="106"/>
    <x v="28"/>
    <s v="A220-300"/>
    <s v="BCS3"/>
    <s v="Complete"/>
    <s v="a38019"/>
  </r>
  <r>
    <x v="1"/>
    <s v="B6 8443"/>
    <s v="JBU8443"/>
    <s v="PVD"/>
    <s v="KPVD"/>
    <s v="MCO"/>
    <s v="KMCO"/>
    <d v="2026-09-25T19:38:44"/>
    <d v="2026-09-25T21:57:03"/>
    <n v="138"/>
    <x v="238"/>
    <s v="A220-300"/>
    <s v="BCS3"/>
    <s v="Complete"/>
    <s v="a3311b"/>
  </r>
  <r>
    <x v="1"/>
    <s v="B6 595"/>
    <s v="JBU595"/>
    <s v="HPN"/>
    <s v="KHPN"/>
    <s v="MCO"/>
    <s v="KMCO"/>
    <d v="2026-09-25T19:40:39"/>
    <d v="2026-09-25T21:47:27"/>
    <n v="127"/>
    <x v="31"/>
    <s v="A320"/>
    <s v="A320"/>
    <s v="Complete"/>
    <s v="a8c028"/>
  </r>
  <r>
    <x v="1"/>
    <s v="B6 685"/>
    <s v="JBU685"/>
    <s v="EWR"/>
    <s v="KEWR"/>
    <s v="FLL"/>
    <s v="KFLL"/>
    <d v="2026-09-25T19:45:27"/>
    <d v="2026-09-25T22:08:21"/>
    <n v="143"/>
    <x v="149"/>
    <s v="A320"/>
    <s v="A320"/>
    <s v="Complete"/>
    <s v="a88774"/>
  </r>
  <r>
    <x v="1"/>
    <s v="B6 1238"/>
    <s v="JBU1238"/>
    <s v="AUS"/>
    <s v="KAUS"/>
    <s v="BOS"/>
    <s v="KBOS"/>
    <d v="2026-09-25T19:46:56"/>
    <d v="2026-09-25T23:33:52"/>
    <n v="227"/>
    <x v="141"/>
    <s v="A220-300"/>
    <s v="BCS3"/>
    <s v="Complete"/>
    <s v="a3795a"/>
  </r>
  <r>
    <x v="1"/>
    <s v="B6 789"/>
    <s v="JBU789"/>
    <s v="DTW"/>
    <s v="KDTW"/>
    <s v="FLL"/>
    <s v="KFLL"/>
    <d v="2026-09-25T19:47:31"/>
    <d v="2026-09-25T22:14:23"/>
    <n v="147"/>
    <x v="170"/>
    <s v="A320"/>
    <s v="A320"/>
    <s v="Complete"/>
    <s v="a69894"/>
  </r>
  <r>
    <x v="1"/>
    <s v="B6 224"/>
    <s v="JBU224"/>
    <s v="LAX"/>
    <s v="KLAX"/>
    <s v="JFK"/>
    <s v="KJFK"/>
    <d v="2026-09-25T19:49:16"/>
    <d v="2026-09-26T00:58:17"/>
    <n v="309"/>
    <x v="241"/>
    <s v="A321neo"/>
    <s v="A21N"/>
    <s v="Complete"/>
    <s v="a1d99b"/>
  </r>
  <r>
    <x v="1"/>
    <s v="B6 1873"/>
    <s v="JBU1873"/>
    <s v="EWR"/>
    <s v="KEWR"/>
    <s v="LAX"/>
    <s v="KLAX"/>
    <d v="2026-09-25T19:49:36"/>
    <d v="2026-09-26T01:09:36"/>
    <n v="320"/>
    <x v="99"/>
    <s v="A321"/>
    <s v="A321"/>
    <s v="Complete"/>
    <s v="ad6bdc"/>
  </r>
  <r>
    <x v="1"/>
    <s v="B6 2031"/>
    <s v="JBU2031"/>
    <s v="SJU"/>
    <s v="TJSJ"/>
    <m/>
    <m/>
    <d v="2026-09-25T19:51:20"/>
    <d v="2026-09-25T20:01:07"/>
    <n v="10"/>
    <x v="25"/>
    <s v="A320"/>
    <s v="A320"/>
    <s v="Signal lost"/>
    <s v="a8299a"/>
  </r>
  <r>
    <x v="1"/>
    <s v="B6 1523"/>
    <s v="JBU1523"/>
    <s v="JFK"/>
    <s v="KJFK"/>
    <s v="LAX"/>
    <s v="KLAX"/>
    <d v="2026-09-25T19:53:25"/>
    <d v="2026-09-26T01:12:54"/>
    <n v="319"/>
    <x v="96"/>
    <s v="A321"/>
    <s v="A321"/>
    <s v="Complete"/>
    <s v="adcd6d"/>
  </r>
  <r>
    <x v="1"/>
    <s v="B6 58"/>
    <s v="JBU58"/>
    <m/>
    <m/>
    <s v="JFK"/>
    <s v="KJFK"/>
    <d v="2026-09-25T19:54:10"/>
    <d v="2026-09-25T22:08:20"/>
    <n v="134"/>
    <x v="210"/>
    <s v="A321"/>
    <s v="A321"/>
    <s v="Complete"/>
    <s v="ac8289"/>
  </r>
  <r>
    <x v="1"/>
    <s v="B6 2018"/>
    <s v="JBU2018"/>
    <s v="POS"/>
    <s v="TTPP"/>
    <s v="JFK"/>
    <s v="KJFK"/>
    <d v="2026-09-25T19:55:01"/>
    <d v="2026-09-26T01:06:22"/>
    <n v="311"/>
    <x v="57"/>
    <s v="A321neo"/>
    <s v="A21N"/>
    <s v="Complete"/>
    <s v="a1a435"/>
  </r>
  <r>
    <x v="1"/>
    <s v="B6 1355"/>
    <s v="JBU1355"/>
    <s v="BOS"/>
    <s v="KBOS"/>
    <s v="DCA"/>
    <s v="KDCA"/>
    <d v="2026-09-25T19:56:20"/>
    <d v="2026-09-25T23:10:31"/>
    <n v="194"/>
    <x v="10"/>
    <s v="A220-300"/>
    <s v="BCS3"/>
    <s v="Complete"/>
    <s v="a36b2d"/>
  </r>
  <r>
    <x v="1"/>
    <s v="B6 1785"/>
    <s v="JBU1785"/>
    <s v="BOS"/>
    <s v="KBOS"/>
    <s v="PIT"/>
    <s v="KPIT"/>
    <d v="2026-09-25T19:58:33"/>
    <d v="2026-09-25T21:19:55"/>
    <n v="81"/>
    <x v="38"/>
    <s v="A220-300"/>
    <s v="BCS3"/>
    <s v="Complete"/>
    <s v="a350c3"/>
  </r>
  <r>
    <x v="1"/>
    <s v="B6 2122"/>
    <s v="JBU2122"/>
    <s v="DCA"/>
    <s v="KDCA"/>
    <s v="HPN"/>
    <s v="KHPN"/>
    <d v="2026-09-25T19:59:13"/>
    <d v="2026-09-25T22:57:40"/>
    <n v="178"/>
    <x v="176"/>
    <s v="A220-300"/>
    <s v="BCS3"/>
    <s v="Landing inferred"/>
    <s v="a392f2"/>
  </r>
  <r>
    <x v="1"/>
    <s v="B6 1178"/>
    <s v="JBU1178"/>
    <s v="LAS"/>
    <s v="KLAS"/>
    <s v="BOS"/>
    <s v="KBOS"/>
    <d v="2026-09-25T20:00:30"/>
    <d v="2026-09-26T00:44:38"/>
    <n v="284"/>
    <x v="211"/>
    <s v="A321"/>
    <s v="A321"/>
    <s v="Complete"/>
    <s v="ad9e73"/>
  </r>
  <r>
    <x v="1"/>
    <s v="B6 1034"/>
    <s v="JBU1034"/>
    <s v="SFO"/>
    <s v="KSFO"/>
    <s v="BOS"/>
    <s v="KBOS"/>
    <d v="2026-09-25T20:00:33"/>
    <d v="2026-09-26T01:08:57"/>
    <n v="308"/>
    <x v="101"/>
    <s v="A321neo"/>
    <s v="A21N"/>
    <s v="Complete"/>
    <s v="a1e411"/>
  </r>
  <r>
    <x v="1"/>
    <s v="B6 1333"/>
    <s v="JBU1333"/>
    <s v="MCO"/>
    <s v="KMCO"/>
    <s v="SJU"/>
    <s v="TJSJ"/>
    <d v="2026-09-25T20:02:22"/>
    <d v="2026-09-25T22:27:21"/>
    <n v="145"/>
    <x v="47"/>
    <s v="A320"/>
    <s v="A320"/>
    <s v="Landing inferred"/>
    <s v="a68d6f"/>
  </r>
  <r>
    <x v="1"/>
    <s v="B6 163"/>
    <s v="JBU163"/>
    <s v="JFK"/>
    <s v="KJFK"/>
    <s v="JFK"/>
    <s v="KJFK"/>
    <d v="2026-09-25T20:02:24"/>
    <d v="2026-09-26T20:32:27"/>
    <n v="1470"/>
    <x v="142"/>
    <s v="A220-300"/>
    <s v="BCS3"/>
    <s v="Complete"/>
    <s v="a3298a"/>
  </r>
  <r>
    <x v="1"/>
    <s v="B6 101"/>
    <s v="JBU101"/>
    <s v="FLL"/>
    <s v="KFLL"/>
    <s v="LAX"/>
    <s v="KLAX"/>
    <d v="2026-09-25T20:02:27"/>
    <d v="2026-09-26T01:12:02"/>
    <n v="310"/>
    <x v="120"/>
    <s v="A321"/>
    <s v="A321"/>
    <s v="Complete"/>
    <s v="adc9b6"/>
  </r>
  <r>
    <x v="1"/>
    <s v="B6 803"/>
    <s v="JBU803"/>
    <s v="JFK"/>
    <s v="KJFK"/>
    <s v="JFK"/>
    <s v="KJFK"/>
    <d v="2026-09-25T20:03:03"/>
    <d v="2026-09-26T21:50:35"/>
    <n v="1548"/>
    <x v="136"/>
    <s v="A321neo"/>
    <s v="A21N"/>
    <s v="Complete"/>
    <s v="a1a3cc"/>
  </r>
  <r>
    <x v="1"/>
    <s v="B6 1256"/>
    <s v="JBU1256"/>
    <m/>
    <m/>
    <s v="FLL"/>
    <s v="KFLL"/>
    <d v="2026-09-25T20:03:44"/>
    <d v="2026-09-25T21:40:11"/>
    <n v="96"/>
    <x v="225"/>
    <s v="A321neo"/>
    <s v="A21N"/>
    <s v="Complete"/>
    <s v="a19d0d"/>
  </r>
  <r>
    <x v="1"/>
    <s v="B6 216"/>
    <s v="JBU216"/>
    <s v="SFO"/>
    <s v="KSFO"/>
    <s v="JFK"/>
    <s v="KJFK"/>
    <d v="2026-09-25T20:04:37"/>
    <d v="2026-09-26T01:20:56"/>
    <n v="316"/>
    <x v="86"/>
    <s v="A321"/>
    <s v="A321"/>
    <s v="Complete"/>
    <s v="ad646e"/>
  </r>
  <r>
    <x v="1"/>
    <s v="B6 1738"/>
    <s v="JBU1738"/>
    <s v="FLL"/>
    <s v="KFLL"/>
    <s v="SYR"/>
    <s v="KSYR"/>
    <d v="2026-09-25T20:04:42"/>
    <d v="2026-09-25T22:41:14"/>
    <n v="157"/>
    <x v="236"/>
    <s v="A320"/>
    <s v="A320"/>
    <s v="Complete"/>
    <s v="a8aef3"/>
  </r>
  <r>
    <x v="1"/>
    <s v="B6 2595"/>
    <s v="JBU2595"/>
    <s v="BWI"/>
    <s v="KBWI"/>
    <s v="FLL"/>
    <s v="KFLL"/>
    <d v="2026-09-25T20:05:33"/>
    <d v="2026-09-25T22:08:27"/>
    <n v="123"/>
    <x v="35"/>
    <s v="A220-300"/>
    <s v="BCS3"/>
    <s v="Complete"/>
    <s v="a38e69"/>
  </r>
  <r>
    <x v="1"/>
    <s v="B6 399"/>
    <s v="JBU399"/>
    <s v="LGA"/>
    <s v="KLGA"/>
    <s v="MCO"/>
    <s v="KMCO"/>
    <d v="2026-09-25T20:07:10"/>
    <d v="2026-09-25T22:14:38"/>
    <n v="127"/>
    <x v="132"/>
    <s v="A220-300"/>
    <s v="BCS3"/>
    <s v="Complete"/>
    <s v="a37c1c"/>
  </r>
  <r>
    <x v="1"/>
    <s v="B6 618"/>
    <s v="JBU618"/>
    <s v="JFK"/>
    <s v="KJFK"/>
    <s v="BOS"/>
    <s v="KBOS"/>
    <d v="2026-09-25T20:07:12"/>
    <d v="2026-09-25T20:50:36"/>
    <n v="43"/>
    <x v="262"/>
    <s v="A220-300"/>
    <s v="BCS3"/>
    <s v="Complete"/>
    <s v="a33843"/>
  </r>
  <r>
    <x v="1"/>
    <s v="B6 2088"/>
    <s v="JBU2088"/>
    <s v="LAX"/>
    <s v="KLAX"/>
    <s v="BOS"/>
    <s v="KBOS"/>
    <d v="2026-09-25T20:07:46"/>
    <d v="2026-09-26T01:17:24"/>
    <n v="310"/>
    <x v="56"/>
    <s v="A321"/>
    <s v="A321"/>
    <s v="Complete"/>
    <s v="adb35c"/>
  </r>
  <r>
    <x v="1"/>
    <s v="B6 2065"/>
    <s v="JBU2065"/>
    <s v="BOS"/>
    <s v="KBOS"/>
    <s v="RSW"/>
    <s v="KRSW"/>
    <d v="2026-09-25T20:07:57"/>
    <d v="2026-09-25T22:59:29"/>
    <n v="172"/>
    <x v="36"/>
    <s v="A220-300"/>
    <s v="BCS3"/>
    <s v="Complete"/>
    <s v="a38836"/>
  </r>
  <r>
    <x v="1"/>
    <s v="B6 864"/>
    <s v="JBU864"/>
    <s v="ORD"/>
    <s v="KORD"/>
    <s v="FLL"/>
    <s v="KFLL"/>
    <d v="2026-09-25T20:08:46"/>
    <d v="2026-09-25T22:33:10"/>
    <n v="144"/>
    <x v="80"/>
    <s v="A320"/>
    <s v="A320"/>
    <s v="Complete"/>
    <s v="a8ab3c"/>
  </r>
  <r>
    <x v="1"/>
    <s v="B6 1158"/>
    <s v="JBU1158"/>
    <m/>
    <m/>
    <s v="FLL"/>
    <s v="KFLL"/>
    <d v="2026-09-25T20:09:51"/>
    <d v="2026-09-25T21:49:56"/>
    <n v="100"/>
    <x v="24"/>
    <s v="A320"/>
    <s v="A320"/>
    <s v="Complete"/>
    <s v="a70f11"/>
  </r>
  <r>
    <x v="1"/>
    <s v="B6 677"/>
    <s v="JBU677"/>
    <s v="JFK"/>
    <s v="KJFK"/>
    <m/>
    <m/>
    <d v="2026-09-25T20:11:06"/>
    <d v="2026-09-25T21:58:01"/>
    <n v="107"/>
    <x v="160"/>
    <s v="A220-300"/>
    <s v="BCS3"/>
    <s v="Landing inferred"/>
    <s v="a39243"/>
  </r>
  <r>
    <x v="1"/>
    <s v="B6 1376"/>
    <s v="JBU1376"/>
    <s v="KIN"/>
    <s v="MKJP"/>
    <s v="FLL"/>
    <s v="KFLL"/>
    <d v="2026-09-25T20:11:07"/>
    <d v="2026-09-25T21:46:35"/>
    <n v="95"/>
    <x v="45"/>
    <s v="A320"/>
    <s v="A320"/>
    <s v="Complete"/>
    <s v="a967eb"/>
  </r>
  <r>
    <x v="1"/>
    <s v="B6 2901"/>
    <s v="JBU2901"/>
    <s v="BUF"/>
    <s v="KBUF"/>
    <s v="JFK"/>
    <s v="KJFK"/>
    <d v="2026-09-25T20:11:23"/>
    <d v="2026-09-25T21:20:05"/>
    <n v="69"/>
    <x v="254"/>
    <s v="A220-300"/>
    <s v="BCS3"/>
    <s v="Complete"/>
    <s v="a37517"/>
  </r>
  <r>
    <x v="1"/>
    <s v="B6 150"/>
    <s v="JBU150"/>
    <s v="SAV"/>
    <s v="KSAV"/>
    <s v="BOS"/>
    <s v="KBOS"/>
    <d v="2026-09-25T20:13:30"/>
    <d v="2026-09-25T22:14:17"/>
    <n v="121"/>
    <x v="39"/>
    <s v="Unknown"/>
    <m/>
    <s v="Complete"/>
    <s v="a39be7"/>
  </r>
  <r>
    <x v="1"/>
    <s v="B6 2726"/>
    <s v="JBU2726"/>
    <s v="TPA"/>
    <s v="KTPA"/>
    <s v="JFK"/>
    <s v="KJFK"/>
    <d v="2026-09-25T20:14:53"/>
    <d v="2026-09-25T22:33:28"/>
    <n v="139"/>
    <x v="0"/>
    <s v="A321"/>
    <s v="A321"/>
    <s v="Complete"/>
    <s v="ad6f93"/>
  </r>
  <r>
    <x v="1"/>
    <s v="B6 2655"/>
    <s v="JBU2655"/>
    <s v="SYR"/>
    <s v="KSYR"/>
    <s v="MCO"/>
    <s v="KMCO"/>
    <d v="2026-09-25T20:18:25"/>
    <d v="2026-09-25T22:29:39"/>
    <n v="131"/>
    <x v="76"/>
    <s v="A220-300"/>
    <s v="BCS3"/>
    <s v="Complete"/>
    <s v="a3556f"/>
  </r>
  <r>
    <x v="1"/>
    <s v="B6 8581"/>
    <s v="JBU8581"/>
    <m/>
    <m/>
    <s v="MCO"/>
    <s v="KMCO"/>
    <d v="2026-09-25T20:23:52"/>
    <d v="2026-09-25T22:34:57"/>
    <n v="131"/>
    <x v="263"/>
    <s v="A320"/>
    <s v="A320"/>
    <s v="Complete"/>
    <s v="a825e3"/>
  </r>
  <r>
    <x v="1"/>
    <s v="B6 1860"/>
    <s v="JBU1860"/>
    <s v="PHL"/>
    <s v="KPHL"/>
    <s v="BOS"/>
    <s v="KBOS"/>
    <d v="2026-09-25T20:23:56"/>
    <d v="2026-09-25T21:14:22"/>
    <n v="50"/>
    <x v="215"/>
    <s v="A220-300"/>
    <s v="BCS3"/>
    <s v="Complete"/>
    <s v="a398bc"/>
  </r>
  <r>
    <x v="1"/>
    <s v="B6 478"/>
    <s v="JBU478"/>
    <m/>
    <m/>
    <s v="JFK"/>
    <s v="KJFK"/>
    <d v="2026-09-25T20:23:57"/>
    <d v="2026-09-25T22:26:29"/>
    <n v="123"/>
    <x v="143"/>
    <s v="A220-300"/>
    <s v="BCS3"/>
    <s v="Complete"/>
    <s v="a34d52"/>
  </r>
  <r>
    <x v="1"/>
    <s v="B6 415"/>
    <s v="JBU415"/>
    <s v="JFK"/>
    <s v="KJFK"/>
    <s v="SFO"/>
    <s v="KSFO"/>
    <d v="2026-09-25T20:29:41"/>
    <d v="2026-09-26T02:04:53"/>
    <n v="335"/>
    <x v="89"/>
    <s v="A321"/>
    <s v="A321"/>
    <s v="Complete"/>
    <s v="ad2445"/>
  </r>
  <r>
    <x v="1"/>
    <s v="B6 2459"/>
    <s v="JBU2459"/>
    <s v="BOS"/>
    <s v="KBOS"/>
    <m/>
    <m/>
    <d v="2026-09-25T20:29:43"/>
    <d v="2026-09-25T21:34:01"/>
    <n v="64"/>
    <x v="259"/>
    <s v="A220-300"/>
    <s v="BCS3"/>
    <s v="Landing inferred"/>
    <s v="a37f8d"/>
  </r>
  <r>
    <x v="1"/>
    <s v="B6 1211"/>
    <s v="JBU1211"/>
    <s v="JFK"/>
    <s v="KJFK"/>
    <s v="LAS"/>
    <s v="KLAS"/>
    <d v="2026-09-25T20:35:42"/>
    <d v="2026-09-26T01:29:21"/>
    <n v="294"/>
    <x v="168"/>
    <s v="A321"/>
    <s v="A321"/>
    <s v="Complete"/>
    <s v="ada227"/>
  </r>
  <r>
    <x v="1"/>
    <s v="B6 733"/>
    <s v="JBU733"/>
    <s v="BOS"/>
    <s v="KBOS"/>
    <s v="SFO"/>
    <s v="KSFO"/>
    <d v="2026-09-25T20:35:43"/>
    <d v="2026-09-26T02:17:53"/>
    <n v="342"/>
    <x v="147"/>
    <s v="A321"/>
    <s v="A321"/>
    <s v="Complete"/>
    <s v="ace063"/>
  </r>
  <r>
    <x v="1"/>
    <s v="B6 1453"/>
    <s v="JBU1453"/>
    <m/>
    <m/>
    <s v="SJU"/>
    <s v="TJSJ"/>
    <d v="2026-09-25T20:35:45"/>
    <d v="2026-09-25T22:33:29"/>
    <n v="118"/>
    <x v="158"/>
    <s v="A320"/>
    <s v="A320"/>
    <s v="Landing inferred"/>
    <s v="a8b8ba"/>
  </r>
  <r>
    <x v="1"/>
    <s v="B6 1187"/>
    <s v="JBU1187"/>
    <s v="BOS"/>
    <s v="KBOS"/>
    <s v="LAX"/>
    <s v="KLAX"/>
    <d v="2026-09-25T20:42:10"/>
    <d v="2026-09-26T02:20:52"/>
    <n v="339"/>
    <x v="137"/>
    <s v="A321neo"/>
    <s v="A21N"/>
    <s v="Complete"/>
    <s v="a1d2dc"/>
  </r>
  <r>
    <x v="1"/>
    <s v="B6 547"/>
    <s v="JBU547"/>
    <m/>
    <m/>
    <s v="MCO"/>
    <s v="KMCO"/>
    <d v="2026-09-25T20:42:11"/>
    <d v="2026-09-25T22:43:35"/>
    <n v="121"/>
    <x v="191"/>
    <s v="A320"/>
    <s v="A320"/>
    <s v="Complete"/>
    <s v="a64d4d"/>
  </r>
  <r>
    <x v="1"/>
    <s v="B6 810"/>
    <s v="JBU810"/>
    <s v="JAX"/>
    <s v="KJAX"/>
    <s v="BOS"/>
    <s v="KBOS"/>
    <d v="2026-09-25T20:42:50"/>
    <d v="2026-09-25T22:58:08"/>
    <n v="135"/>
    <x v="169"/>
    <s v="A320"/>
    <s v="A320"/>
    <s v="Complete"/>
    <s v="a8712a"/>
  </r>
  <r>
    <x v="1"/>
    <s v="B6 1813"/>
    <s v="JBU1813"/>
    <s v="BOS"/>
    <s v="KBOS"/>
    <s v="ORF"/>
    <s v="KORF"/>
    <d v="2026-09-25T20:43:21"/>
    <d v="2026-09-25T21:58:03"/>
    <n v="75"/>
    <x v="62"/>
    <s v="A220-300"/>
    <s v="BCS3"/>
    <s v="Landing inferred"/>
    <s v="a37fb0"/>
  </r>
  <r>
    <x v="1"/>
    <s v="B6 1579"/>
    <s v="JBU1579"/>
    <s v="DCA"/>
    <s v="KDCA"/>
    <s v="FLL"/>
    <s v="KFLL"/>
    <d v="2026-09-25T20:50:30"/>
    <d v="2026-09-25T22:51:24"/>
    <n v="121"/>
    <x v="249"/>
    <s v="A220-300"/>
    <s v="BCS3"/>
    <s v="Complete"/>
    <s v="a3711a"/>
  </r>
  <r>
    <x v="1"/>
    <s v="B6 1130"/>
    <s v="JBU1130"/>
    <s v="FLL"/>
    <s v="KFLL"/>
    <s v="CHS"/>
    <s v="KCHS"/>
    <d v="2026-09-25T20:50:31"/>
    <d v="2026-09-25T22:09:00"/>
    <n v="78"/>
    <x v="237"/>
    <s v="A320"/>
    <s v="A320"/>
    <s v="Landing inferred"/>
    <s v="a7d32e"/>
  </r>
  <r>
    <x v="1"/>
    <s v="B6 319"/>
    <s v="JBU319"/>
    <s v="BOS"/>
    <s v="KBOS"/>
    <s v="SAN"/>
    <s v="KSAN"/>
    <d v="2026-09-25T20:50:31"/>
    <d v="2026-09-26T02:26:33"/>
    <n v="336"/>
    <x v="98"/>
    <s v="A321"/>
    <s v="A321"/>
    <s v="Complete"/>
    <s v="ad1560"/>
  </r>
  <r>
    <x v="1"/>
    <s v="B6 471"/>
    <s v="JBU471"/>
    <s v="LGA"/>
    <s v="KLGA"/>
    <s v="FLL"/>
    <s v="KFLL"/>
    <d v="2026-09-25T20:50:32"/>
    <d v="2026-09-25T23:06:23"/>
    <n v="136"/>
    <x v="49"/>
    <s v="A320"/>
    <s v="A320"/>
    <s v="Complete"/>
    <s v="ab4f5d"/>
  </r>
  <r>
    <x v="1"/>
    <s v="B6 1485"/>
    <s v="JBU1485"/>
    <s v="JFK"/>
    <s v="KJFK"/>
    <s v="RDU"/>
    <s v="KRDU"/>
    <d v="2026-09-25T20:50:32"/>
    <d v="2026-09-25T22:01:51"/>
    <n v="71"/>
    <x v="246"/>
    <s v="A220-300"/>
    <s v="BCS3"/>
    <s v="Complete"/>
    <s v="a38b61"/>
  </r>
  <r>
    <x v="1"/>
    <s v="B6 698"/>
    <s v="JBU698"/>
    <s v="MCO"/>
    <s v="KMCO"/>
    <s v="LGA"/>
    <s v="KLGA"/>
    <d v="2026-09-25T20:50:34"/>
    <d v="2026-09-25T23:09:59"/>
    <n v="139"/>
    <x v="185"/>
    <s v="A320"/>
    <s v="A320"/>
    <s v="Complete"/>
    <s v="a7bfa0"/>
  </r>
  <r>
    <x v="1"/>
    <s v="B6 154"/>
    <s v="JBU154"/>
    <m/>
    <m/>
    <s v="FLL"/>
    <s v="KFLL"/>
    <d v="2026-09-25T20:50:36"/>
    <d v="2026-09-25T23:05:11"/>
    <n v="135"/>
    <x v="260"/>
    <s v="A320"/>
    <s v="A320"/>
    <s v="Complete"/>
    <s v="aa600a"/>
  </r>
  <r>
    <x v="1"/>
    <s v="B6 324"/>
    <s v="JBU324"/>
    <s v="LAX"/>
    <s v="KLAX"/>
    <s v="ALB"/>
    <s v="KALB"/>
    <d v="2026-09-25T20:50:49"/>
    <d v="2026-09-26T02:27:08"/>
    <n v="336"/>
    <x v="203"/>
    <s v="A321"/>
    <s v="A321"/>
    <s v="Landing inferred"/>
    <s v="addadb"/>
  </r>
  <r>
    <x v="1"/>
    <s v="B6 2119"/>
    <s v="JBU2119"/>
    <m/>
    <m/>
    <s v="FLL"/>
    <s v="KFLL"/>
    <d v="2026-09-25T20:56:22"/>
    <d v="2026-09-25T23:24:21"/>
    <n v="148"/>
    <x v="81"/>
    <s v="A320"/>
    <s v="A320"/>
    <s v="Complete"/>
    <s v="a83e86"/>
  </r>
  <r>
    <x v="1"/>
    <s v="B6 1200"/>
    <s v="JBU1200"/>
    <s v="LAX"/>
    <s v="KLAX"/>
    <s v="FLL"/>
    <s v="KFLL"/>
    <d v="2026-09-25T20:56:24"/>
    <d v="2026-09-26T01:21:29"/>
    <n v="265"/>
    <x v="46"/>
    <s v="A321"/>
    <s v="A321"/>
    <s v="Complete"/>
    <s v="ad0074"/>
  </r>
  <r>
    <x v="1"/>
    <s v="B6 9002"/>
    <s v="JBU9002"/>
    <s v="MDW"/>
    <s v="KMDW"/>
    <s v="BOS"/>
    <s v="KBOS"/>
    <d v="2026-09-25T20:56:24"/>
    <d v="2026-09-25T22:51:27"/>
    <n v="115"/>
    <x v="194"/>
    <s v="A321"/>
    <s v="A321"/>
    <s v="Complete"/>
    <s v="acf54f"/>
  </r>
  <r>
    <x v="1"/>
    <s v="B6 782"/>
    <s v="JBU782"/>
    <s v="RIC"/>
    <s v="KRIC"/>
    <s v="BOS"/>
    <s v="KBOS"/>
    <d v="2026-09-25T20:56:29"/>
    <d v="2026-09-25T22:08:21"/>
    <n v="72"/>
    <x v="64"/>
    <s v="A220-300"/>
    <s v="BCS3"/>
    <s v="Complete"/>
    <s v="a33ca9"/>
  </r>
  <r>
    <x v="1"/>
    <s v="B6 317"/>
    <s v="JBU317"/>
    <s v="BOS"/>
    <s v="KBOS"/>
    <s v="JFK"/>
    <s v="KJFK"/>
    <d v="2026-09-25T21:02:14"/>
    <d v="2026-09-25T21:54:20"/>
    <n v="52"/>
    <x v="37"/>
    <s v="A220-300"/>
    <s v="BCS3"/>
    <s v="Complete"/>
    <s v="a3401a"/>
  </r>
  <r>
    <x v="1"/>
    <s v="B6 1201"/>
    <s v="JBU1201"/>
    <s v="JFK"/>
    <s v="KJFK"/>
    <s v="FLL"/>
    <s v="KFLL"/>
    <d v="2026-09-25T21:02:16"/>
    <d v="2026-09-25T23:20:30"/>
    <n v="138"/>
    <x v="264"/>
    <s v="A220-300"/>
    <s v="BCS3"/>
    <s v="Complete"/>
    <s v="a36799"/>
  </r>
  <r>
    <x v="1"/>
    <s v="B6 1972"/>
    <s v="JBU1972"/>
    <s v="AUS"/>
    <s v="KAUS"/>
    <s v="FLL"/>
    <s v="KFLL"/>
    <d v="2026-09-25T21:02:47"/>
    <d v="2026-09-25T23:19:18"/>
    <n v="137"/>
    <x v="223"/>
    <s v="A320"/>
    <s v="A320"/>
    <s v="Complete"/>
    <s v="a976c7"/>
  </r>
  <r>
    <x v="1"/>
    <s v="B6 1474"/>
    <s v="JBU1474"/>
    <m/>
    <m/>
    <s v="FLL"/>
    <s v="KFLL"/>
    <d v="2026-09-25T21:02:49"/>
    <d v="2026-09-25T21:43:11"/>
    <n v="40"/>
    <x v="212"/>
    <s v="A220-300"/>
    <s v="BCS3"/>
    <s v="Complete"/>
    <s v="a34e01"/>
  </r>
  <r>
    <x v="1"/>
    <s v="B6 1237"/>
    <s v="JBU1237"/>
    <s v="BOS"/>
    <s v="KBOS"/>
    <s v="DTW"/>
    <s v="KDTW"/>
    <d v="2026-09-25T21:08:11"/>
    <d v="2026-09-25T22:41:17"/>
    <n v="93"/>
    <x v="21"/>
    <s v="A320"/>
    <s v="A320"/>
    <s v="Complete"/>
    <s v="a9607d"/>
  </r>
  <r>
    <x v="1"/>
    <s v="B6 1252"/>
    <s v="JBU1252"/>
    <s v="RSW"/>
    <s v="KRSW"/>
    <s v="HPN"/>
    <s v="KHPN"/>
    <d v="2026-09-25T21:08:17"/>
    <d v="2026-09-25T23:39:13"/>
    <n v="151"/>
    <x v="22"/>
    <s v="A320"/>
    <s v="A320"/>
    <s v="Landing inferred"/>
    <s v="a7456c"/>
  </r>
  <r>
    <x v="1"/>
    <s v="B6 1112"/>
    <s v="JBU1112"/>
    <m/>
    <m/>
    <s v="JFK"/>
    <s v="KJFK"/>
    <d v="2026-09-25T21:08:32"/>
    <d v="2026-09-25T23:18:22"/>
    <n v="130"/>
    <x v="75"/>
    <s v="A320"/>
    <s v="A320"/>
    <s v="Complete"/>
    <s v="ab6800"/>
  </r>
  <r>
    <x v="1"/>
    <s v="B6 623"/>
    <s v="JBU623"/>
    <s v="JFK"/>
    <s v="KJFK"/>
    <s v="LAX"/>
    <s v="KLAX"/>
    <d v="2026-09-25T21:08:40"/>
    <d v="2026-09-26T02:26:25"/>
    <n v="318"/>
    <x v="87"/>
    <s v="A321neo"/>
    <s v="A21N"/>
    <s v="Complete"/>
    <s v="a1cf48"/>
  </r>
  <r>
    <x v="1"/>
    <s v="B6 2919"/>
    <s v="JBU2919"/>
    <s v="MCO"/>
    <s v="KMCO"/>
    <s v="ALB"/>
    <s v="KALB"/>
    <d v="2026-09-25T21:08:55"/>
    <d v="2026-09-25T23:40:38"/>
    <n v="152"/>
    <x v="130"/>
    <s v="A320"/>
    <s v="A320"/>
    <s v="Landing inferred"/>
    <s v="a776b2"/>
  </r>
  <r>
    <x v="1"/>
    <s v="B6 670"/>
    <s v="JBU670"/>
    <s v="MCO"/>
    <s v="KMCO"/>
    <s v="RIC"/>
    <s v="KRIC"/>
    <d v="2026-09-25T21:14:10"/>
    <d v="2026-09-25T22:54:20"/>
    <n v="100"/>
    <x v="201"/>
    <s v="A320"/>
    <s v="A320"/>
    <s v="Landing inferred"/>
    <s v="a894f2"/>
  </r>
  <r>
    <x v="1"/>
    <s v="B6 1955"/>
    <s v="JBU1955"/>
    <s v="BOS"/>
    <s v="KBOS"/>
    <s v="DCA"/>
    <s v="KDCA"/>
    <d v="2026-09-25T21:14:11"/>
    <d v="2026-09-25T22:48:56"/>
    <n v="95"/>
    <x v="148"/>
    <s v="A220-300"/>
    <s v="BCS3"/>
    <s v="Complete"/>
    <s v="a36b73"/>
  </r>
  <r>
    <x v="1"/>
    <s v="B6 2384"/>
    <s v="JBU2384"/>
    <m/>
    <m/>
    <s v="BOS"/>
    <s v="KBOS"/>
    <d v="2026-09-25T21:14:12"/>
    <d v="2026-09-25T22:39:26"/>
    <n v="85"/>
    <x v="43"/>
    <s v="Unknown"/>
    <m/>
    <s v="Complete"/>
    <s v="a39fe4"/>
  </r>
  <r>
    <x v="1"/>
    <s v="B6 1168"/>
    <s v="JBU1168"/>
    <s v="DJT"/>
    <s v="KPBI"/>
    <s v="HPN"/>
    <s v="KHPN"/>
    <d v="2026-09-25T21:19:51"/>
    <d v="2026-09-25T23:43:45"/>
    <n v="144"/>
    <x v="40"/>
    <s v="A320"/>
    <s v="A320"/>
    <s v="Landing inferred"/>
    <s v="aaa02c"/>
  </r>
  <r>
    <x v="1"/>
    <s v="B6 1538"/>
    <s v="JBU1538"/>
    <s v="JFK"/>
    <s v="KJFK"/>
    <m/>
    <m/>
    <d v="2026-09-25T21:19:51"/>
    <d v="2026-09-25T21:51:57"/>
    <n v="32"/>
    <x v="178"/>
    <s v="A220-300"/>
    <s v="BCS3"/>
    <s v="Landing inferred"/>
    <s v="a36b50"/>
  </r>
  <r>
    <x v="1"/>
    <s v="B6 1396"/>
    <s v="JBU1396"/>
    <s v="ATL"/>
    <s v="KATL"/>
    <s v="BOS"/>
    <s v="KBOS"/>
    <d v="2026-09-25T21:19:52"/>
    <d v="2026-09-25T23:39:07"/>
    <n v="139"/>
    <x v="162"/>
    <s v="A220-300"/>
    <s v="BCS3"/>
    <s v="Complete"/>
    <s v="a338ac"/>
  </r>
  <r>
    <x v="1"/>
    <s v="B6 1152"/>
    <s v="JBU1152"/>
    <s v="MCO"/>
    <s v="KMCO"/>
    <s v="BOS"/>
    <s v="KBOS"/>
    <d v="2026-09-25T21:19:55"/>
    <d v="2026-09-25T23:57:08"/>
    <n v="157"/>
    <x v="255"/>
    <s v="A321"/>
    <s v="A321"/>
    <s v="Complete"/>
    <s v="ad4804"/>
  </r>
  <r>
    <x v="1"/>
    <s v="B6 2068"/>
    <s v="JBU2068"/>
    <m/>
    <m/>
    <s v="JFK"/>
    <s v="KJFK"/>
    <d v="2026-09-25T21:20:06"/>
    <d v="2026-09-25T23:21:10"/>
    <n v="121"/>
    <x v="50"/>
    <s v="A220-300"/>
    <s v="BCS3"/>
    <s v="Complete"/>
    <s v="a35fc2"/>
  </r>
  <r>
    <x v="1"/>
    <s v="B6 406"/>
    <s v="JBU406"/>
    <m/>
    <m/>
    <s v="BOS"/>
    <s v="KBOS"/>
    <d v="2026-09-25T21:26:37"/>
    <d v="2026-09-25T23:35:51"/>
    <n v="129"/>
    <x v="88"/>
    <s v="A220-300"/>
    <s v="BCS3"/>
    <s v="Complete"/>
    <s v="a37842"/>
  </r>
  <r>
    <x v="1"/>
    <s v="B6 1173"/>
    <s v="JBU1173"/>
    <s v="JFK"/>
    <s v="KJFK"/>
    <s v="BNA"/>
    <s v="KBNA"/>
    <d v="2026-09-25T21:33:21"/>
    <d v="2026-09-25T23:17:42"/>
    <n v="104"/>
    <x v="30"/>
    <s v="A320"/>
    <s v="A320"/>
    <s v="Complete"/>
    <s v="ab355c"/>
  </r>
  <r>
    <x v="1"/>
    <s v="B6 358"/>
    <s v="JBU358"/>
    <s v="JFK"/>
    <s v="KJFK"/>
    <s v="BUR"/>
    <s v="KBUR"/>
    <d v="2026-09-25T21:39:11"/>
    <d v="2026-09-26T03:10:58"/>
    <n v="332"/>
    <x v="198"/>
    <s v="A220-300"/>
    <s v="BCS3"/>
    <s v="Complete"/>
    <s v="a349be"/>
  </r>
  <r>
    <x v="1"/>
    <s v="B6 2602"/>
    <s v="JBU2602"/>
    <m/>
    <m/>
    <s v="HPN"/>
    <s v="KHPN"/>
    <d v="2026-09-25T21:39:18"/>
    <d v="2026-09-26T01:33:04"/>
    <n v="234"/>
    <x v="159"/>
    <s v="Unknown"/>
    <m/>
    <s v="Landing inferred"/>
    <s v="a39338"/>
  </r>
  <r>
    <x v="1"/>
    <s v="B6 987"/>
    <s v="JBU987"/>
    <s v="ORH"/>
    <s v="KORH"/>
    <s v="MCO"/>
    <s v="KMCO"/>
    <d v="2026-09-25T21:40:01"/>
    <d v="2026-09-26T00:03:10"/>
    <n v="143"/>
    <x v="247"/>
    <s v="A320"/>
    <s v="A320"/>
    <s v="Complete"/>
    <s v="a6f2b7"/>
  </r>
  <r>
    <x v="1"/>
    <s v="B6 1736"/>
    <s v="JBU1736"/>
    <m/>
    <m/>
    <s v="JFK"/>
    <s v="KJFK"/>
    <d v="2026-09-25T21:40:26"/>
    <d v="2026-09-25T23:09:21"/>
    <n v="89"/>
    <x v="209"/>
    <s v="A321"/>
    <s v="A321"/>
    <s v="Complete"/>
    <s v="ad734a"/>
  </r>
  <r>
    <x v="1"/>
    <s v="B6 2832"/>
    <s v="JBU2832"/>
    <s v="LAS"/>
    <s v="KLAS"/>
    <s v="MCO"/>
    <s v="KMCO"/>
    <d v="2026-09-25T21:41:59"/>
    <d v="2026-09-26T01:53:08"/>
    <n v="251"/>
    <x v="202"/>
    <s v="A321"/>
    <s v="A321"/>
    <s v="Complete"/>
    <s v="adabfe"/>
  </r>
  <r>
    <x v="1"/>
    <s v="B6 8779"/>
    <s v="JBU8779"/>
    <m/>
    <m/>
    <m/>
    <m/>
    <d v="2026-09-25T21:42:10"/>
    <d v="2026-09-25T23:45:02"/>
    <n v="123"/>
    <x v="112"/>
    <s v="A321"/>
    <s v="A321"/>
    <s v="Complete"/>
    <s v="ad4bcb"/>
  </r>
  <r>
    <x v="1"/>
    <s v="B6 507"/>
    <s v="JBU507"/>
    <m/>
    <m/>
    <s v="LAS"/>
    <s v="KLAS"/>
    <d v="2026-09-25T21:42:38"/>
    <d v="2026-09-26T00:03:01"/>
    <n v="140"/>
    <x v="52"/>
    <s v="A321"/>
    <s v="A321"/>
    <s v="Complete"/>
    <s v="ad60b7"/>
  </r>
  <r>
    <x v="1"/>
    <s v="B6 472"/>
    <s v="JBU472"/>
    <s v="FLL"/>
    <s v="KFLL"/>
    <s v="LGA"/>
    <s v="KLGA"/>
    <d v="2026-09-25T21:44:07"/>
    <d v="2026-09-26T00:23:15"/>
    <n v="159"/>
    <x v="183"/>
    <s v="A320"/>
    <s v="A320"/>
    <s v="Complete"/>
    <s v="a7f6f6"/>
  </r>
  <r>
    <x v="1"/>
    <s v="B6 8781"/>
    <s v="JBU8781"/>
    <s v="COU"/>
    <s v="KCOU"/>
    <m/>
    <m/>
    <d v="2026-09-25T21:44:54"/>
    <d v="2026-09-25T22:30:19"/>
    <n v="45"/>
    <x v="127"/>
    <s v="A321"/>
    <s v="A321"/>
    <s v="Signal lost"/>
    <s v="ad8bed"/>
  </r>
  <r>
    <x v="1"/>
    <s v="B6 2984"/>
    <s v="JBU2984"/>
    <s v="MCO"/>
    <s v="KMCO"/>
    <s v="JFK"/>
    <s v="KJFK"/>
    <d v="2026-09-25T21:45:56"/>
    <d v="2026-09-26T19:20:01"/>
    <n v="1294"/>
    <x v="6"/>
    <s v="A321neo"/>
    <s v="A21N"/>
    <s v="Complete"/>
    <s v="a1a0a1"/>
  </r>
  <r>
    <x v="1"/>
    <s v="B6 2132"/>
    <s v="JBU2132"/>
    <m/>
    <m/>
    <s v="SJU"/>
    <s v="TJSJ"/>
    <d v="2026-09-25T21:47:48"/>
    <d v="2026-09-25T21:57:33"/>
    <n v="10"/>
    <x v="25"/>
    <s v="A320"/>
    <s v="A320"/>
    <s v="Landing inferred"/>
    <s v="a8299a"/>
  </r>
  <r>
    <x v="1"/>
    <s v="B6 2637"/>
    <s v="JBU2637"/>
    <s v="JFK"/>
    <s v="KJFK"/>
    <m/>
    <m/>
    <d v="2026-09-25T21:49:46"/>
    <d v="2026-09-25T23:07:44"/>
    <n v="78"/>
    <x v="129"/>
    <s v="A320"/>
    <s v="A320"/>
    <s v="Signal lost"/>
    <s v="aafca8"/>
  </r>
  <r>
    <x v="1"/>
    <s v="B6 1882"/>
    <s v="JBU1882"/>
    <s v="DFW"/>
    <s v="KDFW"/>
    <s v="FLL"/>
    <s v="KFLL"/>
    <d v="2026-09-25T21:49:50"/>
    <d v="2026-09-26T00:07:48"/>
    <n v="138"/>
    <x v="256"/>
    <s v="A320"/>
    <s v="A320"/>
    <s v="Complete"/>
    <s v="a86605"/>
  </r>
  <r>
    <x v="1"/>
    <s v="B6 1607"/>
    <s v="JBU1607"/>
    <s v="SJU"/>
    <s v="TJSJ"/>
    <s v="MCO"/>
    <s v="KMCO"/>
    <d v="2026-09-25T21:49:56"/>
    <d v="2026-09-26T21:16:17"/>
    <n v="1406"/>
    <x v="243"/>
    <s v="A320"/>
    <s v="A320"/>
    <s v="Complete"/>
    <s v="a85119"/>
  </r>
  <r>
    <x v="1"/>
    <s v="B6 1498"/>
    <s v="JBU1498"/>
    <s v="DEN"/>
    <s v="KDEN"/>
    <s v="JFK"/>
    <s v="KJFK"/>
    <d v="2026-09-25T21:49:58"/>
    <d v="2026-09-26T01:31:15"/>
    <n v="221"/>
    <x v="116"/>
    <s v="A220-300"/>
    <s v="BCS3"/>
    <s v="Complete"/>
    <s v="a38367"/>
  </r>
  <r>
    <x v="1"/>
    <s v="B6 1612"/>
    <s v="JBU1612"/>
    <m/>
    <m/>
    <s v="FLL"/>
    <s v="KFLL"/>
    <d v="2026-09-25T21:50:11"/>
    <d v="2026-09-25T22:26:29"/>
    <n v="36"/>
    <x v="33"/>
    <s v="A320"/>
    <s v="A320"/>
    <s v="Complete"/>
    <s v="a7858e"/>
  </r>
  <r>
    <x v="1"/>
    <s v="B6 263"/>
    <s v="JBU263"/>
    <s v="JFK"/>
    <s v="KJFK"/>
    <s v="SEA"/>
    <s v="KSEA"/>
    <d v="2026-09-25T21:50:38"/>
    <d v="2026-09-26T03:07:04"/>
    <n v="316"/>
    <x v="213"/>
    <s v="A320"/>
    <s v="A320"/>
    <s v="Complete"/>
    <s v="a7a1e8"/>
  </r>
  <r>
    <x v="1"/>
    <s v="B6 1202"/>
    <s v="JBU1202"/>
    <s v="JFK"/>
    <s v="KJFK"/>
    <s v="BUF"/>
    <s v="KBUF"/>
    <d v="2026-09-25T21:52:41"/>
    <d v="2026-09-25T22:47:57"/>
    <n v="55"/>
    <x v="229"/>
    <s v="A220-300"/>
    <s v="BCS3"/>
    <s v="Landing inferred"/>
    <s v="a39948"/>
  </r>
  <r>
    <x v="1"/>
    <s v="B6 136"/>
    <s v="JBU136"/>
    <s v="PHX"/>
    <s v="KPHX"/>
    <s v="JFK"/>
    <s v="KJFK"/>
    <d v="2026-09-25T21:54:11"/>
    <d v="2026-09-26T03:17:00"/>
    <n v="323"/>
    <x v="167"/>
    <s v="A320"/>
    <s v="A320"/>
    <s v="Complete"/>
    <s v="a85c3e"/>
  </r>
  <r>
    <x v="1"/>
    <s v="B6 811"/>
    <s v="JBU811"/>
    <s v="BOS"/>
    <s v="KBOS"/>
    <s v="ORD"/>
    <s v="KORD"/>
    <d v="2026-09-25T21:56:31"/>
    <d v="2026-09-26T00:06:09"/>
    <n v="130"/>
    <x v="227"/>
    <s v="A220-300"/>
    <s v="BCS3"/>
    <s v="Complete"/>
    <s v="a34978"/>
  </r>
  <r>
    <x v="1"/>
    <s v="B6 624"/>
    <s v="JBU624"/>
    <s v="LAX"/>
    <s v="KLAX"/>
    <s v="JFK"/>
    <s v="KJFK"/>
    <d v="2026-09-25T21:57:06"/>
    <d v="2026-09-26T03:24:38"/>
    <n v="328"/>
    <x v="235"/>
    <s v="A321"/>
    <s v="A321"/>
    <s v="Complete"/>
    <s v="ad1cde"/>
  </r>
  <r>
    <x v="1"/>
    <s v="B6 1014"/>
    <s v="JBU1014"/>
    <s v="CUN"/>
    <s v="MMUN"/>
    <s v="MCO"/>
    <s v="KMCO"/>
    <d v="2026-09-25T21:57:16"/>
    <d v="2026-09-25T23:35:47"/>
    <n v="99"/>
    <x v="68"/>
    <s v="A320"/>
    <s v="A320"/>
    <s v="Complete"/>
    <s v="a7e5c1"/>
  </r>
  <r>
    <x v="1"/>
    <s v="B6 387"/>
    <s v="JBU387"/>
    <s v="BOS"/>
    <s v="KBOS"/>
    <s v="LAX"/>
    <s v="KLAX"/>
    <d v="2026-09-25T22:08:20"/>
    <d v="2026-09-26T03:50:15"/>
    <n v="342"/>
    <x v="95"/>
    <s v="A321neo"/>
    <s v="A21N"/>
    <s v="Complete"/>
    <s v="a1cb05"/>
  </r>
  <r>
    <x v="1"/>
    <s v="B6 1586"/>
    <s v="JBU1586"/>
    <s v="MCO"/>
    <s v="KMCO"/>
    <s v="BUF"/>
    <s v="KBUF"/>
    <d v="2026-09-25T22:08:21"/>
    <d v="2026-09-26T00:19:50"/>
    <n v="131"/>
    <x v="128"/>
    <s v="A220-300"/>
    <s v="BCS3"/>
    <s v="Landing inferred"/>
    <s v="a3514f"/>
  </r>
  <r>
    <x v="1"/>
    <s v="B6 1947"/>
    <s v="JBU1947"/>
    <s v="MCO"/>
    <s v="KMCO"/>
    <s v="FLL"/>
    <s v="KFLL"/>
    <d v="2026-09-25T22:08:21"/>
    <d v="2026-09-25T22:44:58"/>
    <n v="37"/>
    <x v="151"/>
    <s v="A320"/>
    <s v="A320"/>
    <s v="Complete"/>
    <s v="a898a9"/>
  </r>
  <r>
    <x v="1"/>
    <s v="B6 2185"/>
    <s v="JBU2185"/>
    <s v="BOS"/>
    <s v="KBOS"/>
    <s v="PIT"/>
    <s v="KPIT"/>
    <d v="2026-09-25T22:08:21"/>
    <d v="2026-09-25T23:25:45"/>
    <n v="77"/>
    <x v="155"/>
    <s v="A220-300"/>
    <s v="BCS3"/>
    <s v="Complete"/>
    <s v="a35854"/>
  </r>
  <r>
    <x v="1"/>
    <s v="B6 1530"/>
    <s v="JBU1530"/>
    <s v="RSW"/>
    <s v="KRSW"/>
    <s v="JFK"/>
    <s v="KJFK"/>
    <d v="2026-09-25T22:08:21"/>
    <d v="2026-09-26T00:39:57"/>
    <n v="152"/>
    <x v="200"/>
    <s v="A320"/>
    <s v="A320"/>
    <s v="Complete"/>
    <s v="a73a47"/>
  </r>
  <r>
    <x v="1"/>
    <s v="B6 220"/>
    <s v="JBU220"/>
    <s v="SAN"/>
    <s v="KSAN"/>
    <s v="BOS"/>
    <s v="KBOS"/>
    <d v="2026-09-25T22:08:48"/>
    <d v="2026-09-26T03:18:48"/>
    <n v="310"/>
    <x v="258"/>
    <s v="A321neo"/>
    <s v="A21N"/>
    <s v="Complete"/>
    <s v="a1ddbb"/>
  </r>
  <r>
    <x v="1"/>
    <s v="B6 715"/>
    <s v="JBU715"/>
    <s v="BOS"/>
    <s v="KBOS"/>
    <s v="BUF"/>
    <s v="KBUF"/>
    <d v="2026-09-25T22:14:10"/>
    <d v="2026-09-25T23:17:56"/>
    <n v="64"/>
    <x v="253"/>
    <s v="A220-300"/>
    <s v="BCS3"/>
    <s v="Landing inferred"/>
    <s v="a3871e"/>
  </r>
  <r>
    <x v="1"/>
    <s v="B6 1761"/>
    <s v="JBU1761"/>
    <s v="LGA"/>
    <s v="KLGA"/>
    <s v="DJT"/>
    <s v="KPBI"/>
    <d v="2026-09-25T22:14:11"/>
    <d v="2026-09-26T00:27:09"/>
    <n v="133"/>
    <x v="79"/>
    <s v="A320"/>
    <s v="A320"/>
    <s v="Complete"/>
    <s v="a9c5c5"/>
  </r>
  <r>
    <x v="1"/>
    <s v="B6 2098"/>
    <s v="JBU2098"/>
    <s v="FLL"/>
    <s v="KFLL"/>
    <s v="ATL"/>
    <s v="KATL"/>
    <d v="2026-09-25T22:14:16"/>
    <d v="2026-09-25T23:40:16"/>
    <n v="86"/>
    <x v="19"/>
    <s v="A320"/>
    <s v="A320"/>
    <s v="Complete"/>
    <s v="a7da9c"/>
  </r>
  <r>
    <x v="1"/>
    <s v="B6 2180"/>
    <s v="JBU2180"/>
    <m/>
    <m/>
    <s v="FLL"/>
    <s v="KFLL"/>
    <d v="2026-09-25T22:14:16"/>
    <d v="2026-09-26T00:11:05"/>
    <n v="117"/>
    <x v="217"/>
    <s v="A320"/>
    <s v="A320"/>
    <s v="Complete"/>
    <s v="aaf8f1"/>
  </r>
  <r>
    <x v="1"/>
    <s v="B6 1348"/>
    <s v="JBU1348"/>
    <m/>
    <m/>
    <s v="DCA"/>
    <s v="KDCA"/>
    <d v="2026-09-25T22:14:18"/>
    <d v="2026-09-26T01:37:02"/>
    <n v="203"/>
    <x v="251"/>
    <s v="A320"/>
    <s v="A320"/>
    <s v="Complete"/>
    <s v="a7ad0d"/>
  </r>
  <r>
    <x v="1"/>
    <s v="B6 1142"/>
    <s v="JBU1142"/>
    <s v="DJT"/>
    <s v="KPBI"/>
    <m/>
    <m/>
    <d v="2026-09-25T22:14:30"/>
    <d v="2026-09-25T23:59:48"/>
    <n v="105"/>
    <x v="17"/>
    <s v="A320"/>
    <s v="A320"/>
    <s v="Signal lost"/>
    <s v="a6a3c2"/>
  </r>
  <r>
    <x v="1"/>
    <s v="B6 2510"/>
    <s v="JBU2510"/>
    <m/>
    <m/>
    <s v="JFK"/>
    <s v="KJFK"/>
    <d v="2026-09-25T22:14:35"/>
    <d v="2026-09-25T23:53:27"/>
    <n v="99"/>
    <x v="208"/>
    <s v="A321"/>
    <s v="A321"/>
    <s v="Complete"/>
    <s v="ac7b1b"/>
  </r>
  <r>
    <x v="1"/>
    <s v="B6 416"/>
    <s v="JBU416"/>
    <s v="SFO"/>
    <s v="KSFO"/>
    <s v="JFK"/>
    <s v="KJFK"/>
    <d v="2026-09-25T22:26:00"/>
    <d v="2026-09-26T03:49:59"/>
    <n v="324"/>
    <x v="216"/>
    <s v="A321"/>
    <s v="A321"/>
    <s v="Complete"/>
    <s v="ad7e6f"/>
  </r>
  <r>
    <x v="1"/>
    <s v="B6 924"/>
    <s v="JBU924"/>
    <s v="LAX"/>
    <s v="KLAX"/>
    <s v="JFK"/>
    <s v="KJFK"/>
    <d v="2026-09-25T22:26:00"/>
    <d v="2026-09-26T03:44:58"/>
    <n v="319"/>
    <x v="106"/>
    <s v="A321"/>
    <s v="A321"/>
    <s v="Complete"/>
    <s v="ada5ee"/>
  </r>
  <r>
    <x v="1"/>
    <s v="B6 348"/>
    <s v="JBU348"/>
    <s v="LAS"/>
    <s v="KLAS"/>
    <s v="BUF"/>
    <s v="KBUF"/>
    <d v="2026-09-25T22:26:01"/>
    <d v="2026-09-26T02:42:19"/>
    <n v="256"/>
    <x v="78"/>
    <s v="A320"/>
    <s v="A320"/>
    <s v="Landing inferred"/>
    <s v="a72b6b"/>
  </r>
  <r>
    <x v="1"/>
    <s v="B6 1023"/>
    <s v="JBU1023"/>
    <s v="JFK"/>
    <s v="KJFK"/>
    <s v="LAX"/>
    <s v="KLAX"/>
    <d v="2026-09-25T22:26:01"/>
    <d v="2026-09-26T03:36:29"/>
    <n v="310"/>
    <x v="250"/>
    <s v="A321neo"/>
    <s v="A21N"/>
    <s v="Complete"/>
    <s v="a1ce99"/>
  </r>
  <r>
    <x v="1"/>
    <s v="B6 640"/>
    <s v="JBU640"/>
    <s v="CLE"/>
    <s v="KCLE"/>
    <s v="BOS"/>
    <s v="KBOS"/>
    <d v="2026-09-25T22:26:02"/>
    <d v="2026-09-26T00:08:24"/>
    <n v="102"/>
    <x v="189"/>
    <s v="A220-300"/>
    <s v="BCS3"/>
    <s v="Complete"/>
    <s v="a35cba"/>
  </r>
  <r>
    <x v="1"/>
    <s v="B6 2448"/>
    <s v="JBU2448"/>
    <m/>
    <m/>
    <s v="FLL"/>
    <s v="KFLL"/>
    <d v="2026-09-25T22:26:02"/>
    <d v="2026-09-25T22:49:47"/>
    <n v="24"/>
    <x v="53"/>
    <s v="A320"/>
    <s v="A320"/>
    <s v="Complete"/>
    <s v="a73dfe"/>
  </r>
  <r>
    <x v="1"/>
    <s v="B6 355"/>
    <s v="JBU355"/>
    <s v="JFK"/>
    <s v="KJFK"/>
    <s v="ONT"/>
    <s v="KONT"/>
    <d v="2026-09-25T22:26:31"/>
    <d v="2026-09-26T03:47:29"/>
    <n v="321"/>
    <x v="105"/>
    <s v="A220-300"/>
    <s v="BCS3"/>
    <s v="Complete"/>
    <s v="a36825"/>
  </r>
  <r>
    <x v="1"/>
    <s v="B6 369"/>
    <s v="JBU369"/>
    <s v="BOS"/>
    <s v="KBOS"/>
    <s v="FLL"/>
    <s v="KFLL"/>
    <d v="2026-09-25T22:26:51"/>
    <d v="2026-09-26T01:05:51"/>
    <n v="159"/>
    <x v="184"/>
    <s v="A320"/>
    <s v="A320"/>
    <s v="Complete"/>
    <s v="a7b0c4"/>
  </r>
  <r>
    <x v="1"/>
    <s v="B6 467"/>
    <s v="JBU467"/>
    <s v="HPN"/>
    <s v="KHPN"/>
    <s v="DJT"/>
    <s v="KPBI"/>
    <d v="2026-09-25T22:27:02"/>
    <d v="2026-09-26T00:36:49"/>
    <n v="130"/>
    <x v="5"/>
    <s v="A320"/>
    <s v="A320"/>
    <s v="Complete"/>
    <s v="a87898"/>
  </r>
  <r>
    <x v="1"/>
    <s v="B6 1786"/>
    <s v="JBU1786"/>
    <s v="PIT"/>
    <s v="KPIT"/>
    <s v="BOS"/>
    <s v="KBOS"/>
    <d v="2026-09-25T22:27:17"/>
    <d v="2026-09-25T23:53:36"/>
    <n v="86"/>
    <x v="38"/>
    <s v="A220-300"/>
    <s v="BCS3"/>
    <s v="Complete"/>
    <s v="a350c3"/>
  </r>
  <r>
    <x v="1"/>
    <s v="B6 1234"/>
    <s v="JBU1234"/>
    <s v="SFO"/>
    <s v="KSFO"/>
    <s v="BOS"/>
    <s v="KBOS"/>
    <d v="2026-09-25T22:27:22"/>
    <d v="2026-09-26T03:44:52"/>
    <n v="317"/>
    <x v="163"/>
    <s v="A321neo"/>
    <s v="A21N"/>
    <s v="Complete"/>
    <s v="a1cf6b"/>
  </r>
  <r>
    <x v="1"/>
    <s v="B6 177"/>
    <s v="JBU177"/>
    <s v="BOS"/>
    <s v="KBOS"/>
    <s v="LAS"/>
    <s v="KLAS"/>
    <d v="2026-09-25T22:28:37"/>
    <d v="2026-09-26T03:36:36"/>
    <n v="308"/>
    <x v="123"/>
    <s v="A321"/>
    <s v="A321"/>
    <s v="Complete"/>
    <s v="ad2095"/>
  </r>
  <r>
    <x v="1"/>
    <s v="B6 138"/>
    <s v="JBU138"/>
    <m/>
    <m/>
    <s v="BDL"/>
    <s v="KBDL"/>
    <d v="2026-09-25T22:31:01"/>
    <d v="2026-09-25T23:15:48"/>
    <n v="45"/>
    <x v="150"/>
    <s v="A320"/>
    <s v="A320"/>
    <s v="Landing inferred"/>
    <s v="a8c796"/>
  </r>
  <r>
    <x v="1"/>
    <s v="B6 2255"/>
    <s v="JBU2255"/>
    <s v="BOS"/>
    <s v="KBOS"/>
    <s v="DCA"/>
    <s v="KDCA"/>
    <d v="2026-09-25T22:33:51"/>
    <d v="2026-09-25T23:45:04"/>
    <n v="71"/>
    <x v="175"/>
    <s v="A220-300"/>
    <s v="BCS3"/>
    <s v="Complete"/>
    <s v="a38ad5"/>
  </r>
  <r>
    <x v="1"/>
    <s v="B6 2523"/>
    <s v="JBU2523"/>
    <s v="DCA"/>
    <s v="KDCA"/>
    <s v="MCO"/>
    <s v="KMCO"/>
    <d v="2026-09-25T22:35:26"/>
    <d v="2026-09-26T00:21:08"/>
    <n v="106"/>
    <x v="242"/>
    <s v="A320"/>
    <s v="A320"/>
    <s v="Complete"/>
    <s v="a770a2"/>
  </r>
  <r>
    <x v="1"/>
    <s v="B6 1341"/>
    <s v="JBU1341"/>
    <s v="BOS"/>
    <s v="KBOS"/>
    <s v="CLE"/>
    <s v="KCLE"/>
    <d v="2026-09-25T22:36:02"/>
    <d v="2026-09-26T00:05:49"/>
    <n v="90"/>
    <x v="4"/>
    <s v="Unknown"/>
    <m/>
    <s v="Complete"/>
    <s v="a38fa4"/>
  </r>
  <r>
    <x v="1"/>
    <s v="B6 1300"/>
    <s v="JBU1300"/>
    <s v="LAX"/>
    <s v="KLAX"/>
    <s v="FLL"/>
    <s v="KFLL"/>
    <d v="2026-09-25T22:36:05"/>
    <d v="2026-09-26T03:04:19"/>
    <n v="268"/>
    <x v="77"/>
    <s v="A321"/>
    <s v="A321"/>
    <s v="Complete"/>
    <s v="ad1927"/>
  </r>
  <r>
    <x v="1"/>
    <s v="B6 1189"/>
    <s v="JBU1189"/>
    <s v="JFK"/>
    <s v="KJFK"/>
    <s v="SAN"/>
    <s v="KSAN"/>
    <d v="2026-09-25T22:37:45"/>
    <d v="2026-09-26T03:52:07"/>
    <n v="314"/>
    <x v="182"/>
    <s v="A321"/>
    <s v="A321"/>
    <s v="Complete"/>
    <s v="adde95"/>
  </r>
  <r>
    <x v="1"/>
    <s v="B6 1728"/>
    <s v="JBU1728"/>
    <s v="MCO"/>
    <s v="KMCO"/>
    <s v="EWR"/>
    <s v="KEWR"/>
    <d v="2026-09-25T22:37:57"/>
    <d v="2026-09-26T01:20:28"/>
    <n v="163"/>
    <x v="92"/>
    <s v="A320"/>
    <s v="A320"/>
    <s v="Complete"/>
    <s v="a849ab"/>
  </r>
  <r>
    <x v="1"/>
    <s v="B6 2134"/>
    <s v="JBU2134"/>
    <s v="SJU"/>
    <s v="TJSJ"/>
    <s v="MCO"/>
    <s v="KMCO"/>
    <d v="2026-09-25T22:40:25"/>
    <d v="2026-09-26T01:14:04"/>
    <n v="154"/>
    <x v="9"/>
    <s v="A320"/>
    <s v="A320"/>
    <s v="Complete"/>
    <s v="a83108"/>
  </r>
  <r>
    <x v="1"/>
    <s v="B6 1966"/>
    <s v="JBU1966"/>
    <s v="JFK"/>
    <s v="KJFK"/>
    <s v="JFK"/>
    <s v="KJFK"/>
    <d v="2026-09-25T22:42:42"/>
    <d v="2026-09-26T11:34:12"/>
    <n v="771"/>
    <x v="190"/>
    <s v="A321neo"/>
    <s v="A21N"/>
    <s v="Complete"/>
    <s v="a1a3a9"/>
  </r>
  <r>
    <x v="1"/>
    <s v="B6 561"/>
    <s v="JBU561"/>
    <s v="BOS"/>
    <s v="KBOS"/>
    <s v="SJU"/>
    <s v="TJSJ"/>
    <d v="2026-09-25T22:42:55"/>
    <d v="2026-09-26T02:48:53"/>
    <n v="246"/>
    <x v="161"/>
    <s v="A320"/>
    <s v="A320"/>
    <s v="Landing inferred"/>
    <s v="a87c4f"/>
  </r>
  <r>
    <x v="1"/>
    <s v="B6 161"/>
    <s v="JBU161"/>
    <s v="JFK"/>
    <s v="KJFK"/>
    <s v="SMF"/>
    <s v="KSMF"/>
    <d v="2026-09-25T22:43:51"/>
    <d v="2026-09-26T04:14:37"/>
    <n v="331"/>
    <x v="192"/>
    <s v="A321"/>
    <s v="A321"/>
    <s v="Complete"/>
    <s v="adf4e9"/>
  </r>
  <r>
    <x v="1"/>
    <s v="B6 1620"/>
    <s v="JBU1620"/>
    <s v="BOS"/>
    <s v="KBOS"/>
    <s v="LHR"/>
    <s v="EGLL"/>
    <d v="2026-09-25T22:43:59"/>
    <d v="2026-09-26T05:04:57"/>
    <n v="381"/>
    <x v="3"/>
    <s v="A321neo"/>
    <s v="A21N"/>
    <s v="Complete"/>
    <s v="a4c96c"/>
  </r>
  <r>
    <x v="1"/>
    <s v="B6 818"/>
    <s v="JBU818"/>
    <s v="JFK"/>
    <s v="KJFK"/>
    <s v="BOS"/>
    <s v="KBOS"/>
    <d v="2026-09-25T22:44:57"/>
    <d v="2026-09-25T23:28:23"/>
    <n v="43"/>
    <x v="166"/>
    <s v="A220-300"/>
    <s v="BCS3"/>
    <s v="Complete"/>
    <s v="a34d2f"/>
  </r>
  <r>
    <x v="1"/>
    <s v="B6 331"/>
    <s v="JBU331"/>
    <s v="BOS"/>
    <s v="KBOS"/>
    <s v="MXP"/>
    <s v="LIMC"/>
    <d v="2026-09-25T22:45:16"/>
    <d v="2026-09-26T05:49:47"/>
    <n v="425"/>
    <x v="32"/>
    <s v="A321neo"/>
    <s v="A21N"/>
    <s v="Landing inferred"/>
    <s v="a4c5d8"/>
  </r>
  <r>
    <x v="1"/>
    <s v="B6 106"/>
    <s v="JBU106"/>
    <s v="FLL"/>
    <s v="KFLL"/>
    <s v="EWR"/>
    <s v="KEWR"/>
    <d v="2026-09-25T22:47:00"/>
    <d v="2026-09-26T02:05:41"/>
    <n v="199"/>
    <x v="219"/>
    <s v="A320"/>
    <s v="A320"/>
    <s v="Complete"/>
    <s v="a6587b"/>
  </r>
  <r>
    <x v="1"/>
    <s v="B6 1880"/>
    <s v="JBU1880"/>
    <s v="FLL"/>
    <s v="KFLL"/>
    <s v="DCA"/>
    <s v="KDCA"/>
    <d v="2026-09-25T22:49:20"/>
    <d v="2026-09-26T00:55:30"/>
    <n v="126"/>
    <x v="125"/>
    <s v="A320"/>
    <s v="A320"/>
    <s v="Complete"/>
    <s v="a721a4"/>
  </r>
  <r>
    <x v="1"/>
    <s v="B6 70"/>
    <s v="JBU70"/>
    <s v="FLL"/>
    <s v="KFLL"/>
    <m/>
    <m/>
    <d v="2026-09-25T22:50:31"/>
    <d v="2026-09-25T23:59:44"/>
    <n v="69"/>
    <x v="66"/>
    <s v="A320"/>
    <s v="A320"/>
    <s v="Signal lost"/>
    <s v="a8021b"/>
  </r>
  <r>
    <x v="1"/>
    <s v="B6 516"/>
    <s v="JBU516"/>
    <s v="BUF"/>
    <s v="KBUF"/>
    <s v="BOS"/>
    <s v="KBOS"/>
    <d v="2026-09-25T22:51:28"/>
    <d v="2026-09-26T00:15:04"/>
    <n v="84"/>
    <x v="42"/>
    <s v="A320"/>
    <s v="A320"/>
    <s v="Complete"/>
    <s v="a854d0"/>
  </r>
  <r>
    <x v="1"/>
    <s v="B6 539"/>
    <s v="JBU539"/>
    <s v="JFK"/>
    <s v="KJFK"/>
    <m/>
    <m/>
    <d v="2026-09-25T22:54:52"/>
    <d v="2026-09-26T00:12:12"/>
    <n v="77"/>
    <x v="51"/>
    <s v="A220-300"/>
    <s v="BCS3"/>
    <s v="Signal lost"/>
    <s v="a35949"/>
  </r>
  <r>
    <x v="1"/>
    <s v="B6 560"/>
    <s v="JBU560"/>
    <s v="PHL"/>
    <s v="KPHL"/>
    <s v="BOS"/>
    <s v="KBOS"/>
    <d v="2026-09-25T22:57:16"/>
    <d v="2026-09-25T23:51:30"/>
    <n v="54"/>
    <x v="259"/>
    <s v="A220-300"/>
    <s v="BCS3"/>
    <s v="Complete"/>
    <s v="a37f8d"/>
  </r>
  <r>
    <x v="1"/>
    <s v="B6 603"/>
    <s v="JBU603"/>
    <s v="JFK"/>
    <s v="KJFK"/>
    <s v="YVR"/>
    <s v="CYVR"/>
    <d v="2026-09-25T22:57:40"/>
    <d v="2026-09-26T04:06:35"/>
    <n v="309"/>
    <x v="126"/>
    <s v="A321"/>
    <s v="A321"/>
    <s v="Landing inferred"/>
    <s v="ad7701"/>
  </r>
  <r>
    <x v="1"/>
    <s v="B6 914"/>
    <s v="JBU914"/>
    <s v="FLL"/>
    <s v="KFLL"/>
    <s v="HPN"/>
    <s v="KHPN"/>
    <d v="2026-09-25T23:00:39"/>
    <d v="2026-09-26T01:38:06"/>
    <n v="157"/>
    <x v="73"/>
    <s v="A320"/>
    <s v="A320"/>
    <s v="Landing inferred"/>
    <s v="a73690"/>
  </r>
  <r>
    <x v="1"/>
    <s v="B6 907"/>
    <s v="JBU907"/>
    <s v="BOS"/>
    <s v="KBOS"/>
    <s v="BNA"/>
    <s v="KBNA"/>
    <d v="2026-09-25T23:01:06"/>
    <d v="2026-09-26T01:13:50"/>
    <n v="133"/>
    <x v="65"/>
    <s v="A220-300"/>
    <s v="BCS3"/>
    <s v="Complete"/>
    <s v="a386fb"/>
  </r>
  <r>
    <x v="1"/>
    <s v="B6 819"/>
    <s v="JBU819"/>
    <s v="DTW"/>
    <s v="KDTW"/>
    <s v="JFK"/>
    <s v="KJFK"/>
    <d v="2026-09-25T23:04:41"/>
    <d v="2026-09-26T00:32:11"/>
    <n v="88"/>
    <x v="15"/>
    <s v="A320"/>
    <s v="A320"/>
    <s v="Complete"/>
    <s v="a78945"/>
  </r>
  <r>
    <x v="1"/>
    <s v="B6 330"/>
    <s v="JBU330"/>
    <m/>
    <m/>
    <m/>
    <m/>
    <d v="2026-09-25T23:07:00"/>
    <d v="2026-09-25T23:59:56"/>
    <n v="53"/>
    <x v="164"/>
    <s v="A321"/>
    <s v="A321"/>
    <s v="Signal lost"/>
    <s v="adf128"/>
  </r>
  <r>
    <x v="1"/>
    <s v="B6 248"/>
    <s v="JBU248"/>
    <s v="LAS"/>
    <s v="KLAS"/>
    <s v="JFK"/>
    <s v="KJFK"/>
    <d v="2026-09-25T23:11:08"/>
    <d v="2026-09-26T03:54:48"/>
    <n v="284"/>
    <x v="121"/>
    <s v="A321"/>
    <s v="A321"/>
    <s v="Complete"/>
    <s v="ad27f3"/>
  </r>
  <r>
    <x v="1"/>
    <s v="B6 615"/>
    <s v="JBU615"/>
    <s v="JFK"/>
    <s v="KJFK"/>
    <s v="SFO"/>
    <s v="KSFO"/>
    <d v="2026-09-25T23:11:26"/>
    <d v="2026-09-26T04:48:36"/>
    <n v="337"/>
    <x v="122"/>
    <s v="A321"/>
    <s v="A321"/>
    <s v="Complete"/>
    <s v="acf906"/>
  </r>
  <r>
    <x v="1"/>
    <s v="B6 1539"/>
    <s v="JBU1539"/>
    <m/>
    <m/>
    <s v="JFK"/>
    <s v="KJFK"/>
    <d v="2026-09-25T23:14:58"/>
    <d v="2026-09-26T19:33:27"/>
    <n v="1218"/>
    <x v="178"/>
    <s v="A220-300"/>
    <s v="BCS3"/>
    <s v="Complete"/>
    <s v="a36b50"/>
  </r>
  <r>
    <x v="1"/>
    <s v="B6 282"/>
    <s v="JBU282"/>
    <s v="IAH"/>
    <s v="KIAH"/>
    <m/>
    <m/>
    <d v="2026-09-25T23:16:57"/>
    <d v="2026-09-25T23:59:42"/>
    <n v="43"/>
    <x v="11"/>
    <s v="A220-300"/>
    <s v="BCS3"/>
    <s v="Signal lost"/>
    <s v="a387f0"/>
  </r>
  <r>
    <x v="1"/>
    <s v="B6 2783"/>
    <s v="JBU2783"/>
    <s v="BOS"/>
    <s v="KBOS"/>
    <s v="RDU"/>
    <s v="KRDU"/>
    <d v="2026-09-25T23:17:12"/>
    <d v="2026-09-26T00:52:05"/>
    <n v="95"/>
    <x v="265"/>
    <s v="A220-300"/>
    <s v="BCS3"/>
    <s v="Complete"/>
    <s v="a3549d"/>
  </r>
  <r>
    <x v="1"/>
    <s v="B6 65"/>
    <s v="JBU65"/>
    <s v="JFK"/>
    <s v="KJFK"/>
    <s v="ABQ"/>
    <s v="KABQ"/>
    <d v="2026-09-25T23:18:55"/>
    <d v="2026-09-26T03:19:57"/>
    <n v="241"/>
    <x v="233"/>
    <s v="A320"/>
    <s v="A320"/>
    <s v="Complete"/>
    <s v="aa099e"/>
  </r>
  <r>
    <x v="1"/>
    <s v="B6 2322"/>
    <s v="JBU2322"/>
    <s v="DJT"/>
    <s v="KPBI"/>
    <s v="BOS"/>
    <s v="KBOS"/>
    <d v="2026-09-25T23:19:33"/>
    <d v="2026-09-26T02:00:55"/>
    <n v="161"/>
    <x v="54"/>
    <s v="A320"/>
    <s v="A320"/>
    <s v="Complete"/>
    <s v="a7946a"/>
  </r>
  <r>
    <x v="1"/>
    <s v="B6 23"/>
    <s v="JBU23"/>
    <s v="DCA"/>
    <s v="KDCA"/>
    <m/>
    <m/>
    <d v="2026-09-25T23:19:52"/>
    <d v="2026-09-25T23:59:53"/>
    <n v="40"/>
    <x v="10"/>
    <s v="A220-300"/>
    <s v="BCS3"/>
    <s v="Signal lost"/>
    <s v="a36b2d"/>
  </r>
  <r>
    <x v="1"/>
    <s v="B6 1979"/>
    <s v="JBU1979"/>
    <s v="DCA"/>
    <s v="KDCA"/>
    <s v="FLL"/>
    <s v="KFLL"/>
    <d v="2026-09-25T23:21:55"/>
    <d v="2026-09-26T01:26:27"/>
    <n v="125"/>
    <x v="204"/>
    <s v="A320"/>
    <s v="A320"/>
    <s v="Complete"/>
    <s v="a7faad"/>
  </r>
  <r>
    <x v="1"/>
    <s v="B6 433"/>
    <s v="JBU433"/>
    <s v="MCO"/>
    <s v="KMCO"/>
    <s v="SJU"/>
    <s v="TJSJ"/>
    <d v="2026-09-25T23:21:57"/>
    <d v="2026-09-26T01:48:00"/>
    <n v="146"/>
    <x v="197"/>
    <s v="A321"/>
    <s v="A321"/>
    <s v="Landing inferred"/>
    <s v="aded77"/>
  </r>
  <r>
    <x v="1"/>
    <s v="B6 2876"/>
    <s v="JBU2876"/>
    <s v="PVD"/>
    <s v="KPVD"/>
    <s v="MCO"/>
    <s v="KMCO"/>
    <d v="2026-09-25T23:22:21"/>
    <d v="2026-09-26T01:43:50"/>
    <n v="141"/>
    <x v="72"/>
    <s v="A320"/>
    <s v="A320"/>
    <s v="Complete"/>
    <s v="a752ea"/>
  </r>
  <r>
    <x v="1"/>
    <s v="B6 1814"/>
    <s v="JBU1814"/>
    <s v="ORF"/>
    <s v="KORF"/>
    <s v="BOS"/>
    <s v="KBOS"/>
    <d v="2026-09-25T23:22:31"/>
    <d v="2026-09-26T00:37:05"/>
    <n v="75"/>
    <x v="62"/>
    <s v="A220-300"/>
    <s v="BCS3"/>
    <s v="Complete"/>
    <s v="a37fb0"/>
  </r>
  <r>
    <x v="1"/>
    <s v="B6 474"/>
    <s v="JBU474"/>
    <m/>
    <m/>
    <s v="BOS"/>
    <s v="KBOS"/>
    <d v="2026-09-25T23:23:40"/>
    <d v="2026-09-26T01:53:30"/>
    <n v="150"/>
    <x v="165"/>
    <s v="A320"/>
    <s v="A320"/>
    <s v="Complete"/>
    <s v="aa4d77"/>
  </r>
  <r>
    <x v="1"/>
    <s v="B6 1131"/>
    <s v="JBU1131"/>
    <s v="CHS"/>
    <s v="KCHS"/>
    <s v="FLL"/>
    <s v="KFLL"/>
    <d v="2026-09-25T23:37:59"/>
    <d v="2026-09-26T00:47:35"/>
    <n v="70"/>
    <x v="237"/>
    <s v="A320"/>
    <s v="A320"/>
    <s v="Complete"/>
    <s v="a7d32e"/>
  </r>
  <r>
    <x v="1"/>
    <s v="B6 548"/>
    <s v="JBU548"/>
    <s v="TPA"/>
    <s v="KTPA"/>
    <s v="HPN"/>
    <s v="KHPN"/>
    <d v="2026-09-25T23:39:15"/>
    <d v="2026-09-26T02:09:54"/>
    <n v="151"/>
    <x v="180"/>
    <s v="A320"/>
    <s v="A320"/>
    <s v="Landing inferred"/>
    <s v="a6b4f7"/>
  </r>
  <r>
    <x v="1"/>
    <s v="B6 451"/>
    <s v="JBU451"/>
    <s v="BOS"/>
    <s v="KBOS"/>
    <s v="MCO"/>
    <s v="KMCO"/>
    <d v="2026-09-25T23:39:39"/>
    <d v="2026-09-26T02:06:03"/>
    <n v="146"/>
    <x v="115"/>
    <s v="A220-300"/>
    <s v="BCS3"/>
    <s v="Complete"/>
    <s v="a38ef5"/>
  </r>
  <r>
    <x v="1"/>
    <s v="B6 71"/>
    <s v="JBU71"/>
    <s v="JFK"/>
    <s v="KJFK"/>
    <s v="SLC"/>
    <s v="KSLC"/>
    <d v="2026-09-25T23:40:33"/>
    <d v="2026-09-26T04:09:52"/>
    <n v="269"/>
    <x v="254"/>
    <s v="A220-300"/>
    <s v="BCS3"/>
    <s v="Complete"/>
    <s v="a37517"/>
  </r>
  <r>
    <x v="1"/>
    <s v="B6 462"/>
    <s v="JBU462"/>
    <s v="SJU"/>
    <s v="TJSJ"/>
    <s v="BOS"/>
    <s v="KBOS"/>
    <d v="2026-09-25T23:41:08"/>
    <d v="2026-09-26T03:52:13"/>
    <n v="251"/>
    <x v="140"/>
    <s v="A320"/>
    <s v="A320"/>
    <s v="Complete"/>
    <s v="a97310"/>
  </r>
  <r>
    <x v="1"/>
    <s v="B6 1801"/>
    <s v="JBU1801"/>
    <s v="JFK"/>
    <s v="KJFK"/>
    <s v="FLL"/>
    <s v="KFLL"/>
    <d v="2026-09-25T23:42:24"/>
    <d v="2026-09-26T01:57:47"/>
    <n v="135"/>
    <x v="234"/>
    <s v="A321"/>
    <s v="A321"/>
    <s v="Complete"/>
    <s v="ad56e0"/>
  </r>
  <r>
    <x v="1"/>
    <s v="B6 2144"/>
    <s v="JBU2144"/>
    <s v="DJT"/>
    <s v="KPBI"/>
    <s v="EWR"/>
    <s v="KEWR"/>
    <d v="2026-09-25T23:43:17"/>
    <d v="2026-09-26T02:34:24"/>
    <n v="171"/>
    <x v="67"/>
    <s v="A320"/>
    <s v="A320"/>
    <s v="Complete"/>
    <s v="a689b8"/>
  </r>
  <r>
    <x v="1"/>
    <s v="B6 2754"/>
    <s v="JBU2754"/>
    <s v="DCA"/>
    <s v="KDCA"/>
    <s v="BOS"/>
    <s v="KBOS"/>
    <d v="2026-09-25T23:43:40"/>
    <d v="2026-09-26T00:49:26"/>
    <n v="66"/>
    <x v="148"/>
    <s v="A220-300"/>
    <s v="BCS3"/>
    <s v="Complete"/>
    <s v="a36b73"/>
  </r>
  <r>
    <x v="1"/>
    <s v="B6 397"/>
    <s v="JBU397"/>
    <s v="BOS"/>
    <s v="KBOS"/>
    <s v="SEA"/>
    <s v="KSEA"/>
    <d v="2026-09-25T23:46:35"/>
    <d v="2026-09-26T05:07:22"/>
    <n v="321"/>
    <x v="131"/>
    <s v="A321"/>
    <s v="A321"/>
    <s v="Complete"/>
    <s v="ad2f71"/>
  </r>
  <r>
    <x v="1"/>
    <s v="B6 9008"/>
    <s v="JBU9008"/>
    <m/>
    <m/>
    <m/>
    <m/>
    <d v="2026-09-25T23:49:12"/>
    <d v="2026-09-25T23:59:50"/>
    <n v="11"/>
    <x v="112"/>
    <s v="A321"/>
    <s v="A321"/>
    <s v="Landing inferred"/>
    <s v="ad4bcb"/>
  </r>
  <r>
    <x v="1"/>
    <s v="B6 817"/>
    <s v="JBU817"/>
    <s v="BOS"/>
    <s v="KBOS"/>
    <s v="JFK"/>
    <s v="KJFK"/>
    <d v="2026-09-25T23:49:21"/>
    <d v="2026-09-26T00:44:58"/>
    <n v="56"/>
    <x v="262"/>
    <s v="A220-300"/>
    <s v="BCS3"/>
    <s v="Complete"/>
    <s v="a33843"/>
  </r>
  <r>
    <x v="1"/>
    <s v="B6 1136"/>
    <s v="JBU1136"/>
    <s v="DTW"/>
    <s v="KDTW"/>
    <s v="BOS"/>
    <s v="KBOS"/>
    <d v="2026-09-25T23:50:54"/>
    <d v="2026-09-26T01:26:20"/>
    <n v="95"/>
    <x v="21"/>
    <s v="A320"/>
    <s v="A320"/>
    <s v="Complete"/>
    <s v="a9607d"/>
  </r>
  <r>
    <x v="1"/>
    <s v="B6 1486"/>
    <s v="JBU1486"/>
    <s v="RDU"/>
    <s v="KRDU"/>
    <s v="JFK"/>
    <s v="KJFK"/>
    <d v="2026-09-25T23:53:08"/>
    <d v="2026-09-26T01:08:26"/>
    <n v="75"/>
    <x v="246"/>
    <s v="A220-300"/>
    <s v="BCS3"/>
    <s v="Complete"/>
    <s v="a38b61"/>
  </r>
  <r>
    <x v="1"/>
    <s v="B6 158"/>
    <s v="JBU158"/>
    <m/>
    <m/>
    <s v="BDL"/>
    <s v="KBDL"/>
    <d v="2026-09-25T23:54:07"/>
    <d v="2026-09-26T02:40:15"/>
    <n v="166"/>
    <x v="218"/>
    <s v="A320"/>
    <s v="A320"/>
    <s v="Landing inferred"/>
    <s v="a7167f"/>
  </r>
  <r>
    <x v="1"/>
    <s v="B6 1739"/>
    <s v="JBU1739"/>
    <s v="SYR"/>
    <s v="KSYR"/>
    <s v="FLL"/>
    <s v="KFLL"/>
    <d v="2026-09-25T23:56:12"/>
    <d v="2026-09-26T02:26:48"/>
    <n v="151"/>
    <x v="236"/>
    <s v="A320"/>
    <s v="A320"/>
    <s v="Complete"/>
    <s v="a8aef3"/>
  </r>
  <r>
    <x v="1"/>
    <s v="B6 1184"/>
    <s v="JBU1184"/>
    <s v="MCO"/>
    <s v="KMCO"/>
    <s v="JFK"/>
    <s v="KJFK"/>
    <d v="2026-09-25T23:58:39"/>
    <d v="2026-09-26T02:35:21"/>
    <n v="157"/>
    <x v="248"/>
    <s v="A321"/>
    <s v="A321"/>
    <s v="Complete"/>
    <s v="ade9c0"/>
  </r>
  <r>
    <x v="2"/>
    <s v="B6 1337"/>
    <s v="JBU1337"/>
    <s v="BOS"/>
    <s v="KBOS"/>
    <s v="DTW"/>
    <s v="KDTW"/>
    <d v="2026-09-26T00:05:39"/>
    <d v="2026-09-26T01:39:39"/>
    <n v="94"/>
    <x v="215"/>
    <s v="A220-300"/>
    <s v="BCS3"/>
    <s v="Complete"/>
    <s v="a398bc"/>
  </r>
  <r>
    <x v="2"/>
    <s v="B6 388"/>
    <s v="JBU388"/>
    <s v="DJT"/>
    <s v="KPBI"/>
    <s v="PVD"/>
    <s v="KPVD"/>
    <d v="2026-09-26T00:06:24"/>
    <d v="2026-09-26T02:41:45"/>
    <n v="155"/>
    <x v="171"/>
    <s v="A320"/>
    <s v="A320"/>
    <s v="Complete"/>
    <s v="a845f4"/>
  </r>
  <r>
    <x v="2"/>
    <s v="B6 1407"/>
    <s v="JBU1407"/>
    <s v="JFK"/>
    <s v="KJFK"/>
    <s v="CDG"/>
    <s v="LFPG"/>
    <d v="2026-09-26T00:07:59"/>
    <d v="2026-09-26T06:54:35"/>
    <n v="407"/>
    <x v="59"/>
    <s v="A321neo"/>
    <s v="A21N"/>
    <s v="Complete"/>
    <s v="a4c9d5"/>
  </r>
  <r>
    <x v="2"/>
    <s v="B6 1054"/>
    <s v="JBU1054"/>
    <s v="DJT"/>
    <s v="KPBI"/>
    <s v="JFK"/>
    <s v="KJFK"/>
    <d v="2026-09-26T00:09:43"/>
    <d v="2026-09-26T03:33:22"/>
    <n v="204"/>
    <x v="252"/>
    <s v="A321neo"/>
    <s v="A21N"/>
    <s v="Complete"/>
    <s v="a1b2ee"/>
  </r>
  <r>
    <x v="2"/>
    <s v="B6 2501"/>
    <s v="JBU2501"/>
    <s v="FLL"/>
    <s v="KFLL"/>
    <s v="LAX"/>
    <s v="KLAX"/>
    <d v="2026-09-26T00:09:52"/>
    <d v="2026-09-26T05:12:23"/>
    <n v="303"/>
    <x v="16"/>
    <s v="A321"/>
    <s v="A321"/>
    <s v="Complete"/>
    <s v="ad7ab8"/>
  </r>
  <r>
    <x v="2"/>
    <s v="B6 2779"/>
    <s v="JBU2779"/>
    <s v="FLL"/>
    <s v="KFLL"/>
    <s v="IAH"/>
    <s v="KIAH"/>
    <d v="2026-09-26T00:12:29"/>
    <d v="2026-09-26T02:31:08"/>
    <n v="139"/>
    <x v="149"/>
    <s v="A320"/>
    <s v="A320"/>
    <s v="Landing inferred"/>
    <s v="a88774"/>
  </r>
  <r>
    <x v="2"/>
    <s v="B6 88"/>
    <s v="JBU88"/>
    <s v="FLL"/>
    <s v="KFLL"/>
    <s v="ALB"/>
    <s v="KALB"/>
    <d v="2026-09-26T00:14:38"/>
    <d v="2026-09-26T03:00:28"/>
    <n v="166"/>
    <x v="151"/>
    <s v="A320"/>
    <s v="A320"/>
    <s v="Landing inferred"/>
    <s v="a898a9"/>
  </r>
  <r>
    <x v="2"/>
    <s v="B6 520"/>
    <s v="JBU520"/>
    <s v="ATL"/>
    <s v="KATL"/>
    <s v="JFK"/>
    <s v="KJFK"/>
    <d v="2026-09-26T00:14:56"/>
    <d v="2026-09-26T02:39:33"/>
    <n v="145"/>
    <x v="28"/>
    <s v="A220-300"/>
    <s v="BCS3"/>
    <s v="Complete"/>
    <s v="a38019"/>
  </r>
  <r>
    <x v="2"/>
    <s v="B6 866"/>
    <s v="JBU866"/>
    <s v="FLL"/>
    <s v="KFLL"/>
    <s v="BUF"/>
    <s v="KBUF"/>
    <d v="2026-09-26T00:16:56"/>
    <d v="2026-09-26T02:49:57"/>
    <n v="153"/>
    <x v="33"/>
    <s v="A320"/>
    <s v="A320"/>
    <s v="Landing inferred"/>
    <s v="a7858e"/>
  </r>
  <r>
    <x v="2"/>
    <s v="B6 2994"/>
    <s v="JBU2994"/>
    <s v="FLL"/>
    <s v="KFLL"/>
    <s v="BWI"/>
    <s v="KBWI"/>
    <d v="2026-09-26T00:18:34"/>
    <d v="2026-09-26T02:29:40"/>
    <n v="131"/>
    <x v="35"/>
    <s v="A220-300"/>
    <s v="BCS3"/>
    <s v="Complete"/>
    <s v="a38e69"/>
  </r>
  <r>
    <x v="2"/>
    <s v="B6 277"/>
    <s v="JBU277"/>
    <s v="FLL"/>
    <s v="KFLL"/>
    <s v="SFO"/>
    <s v="KSFO"/>
    <d v="2026-09-26T00:20:09"/>
    <d v="2026-09-26T06:03:29"/>
    <n v="343"/>
    <x v="93"/>
    <s v="A321"/>
    <s v="A321"/>
    <s v="Complete"/>
    <s v="adbaca"/>
  </r>
  <r>
    <x v="2"/>
    <s v="B6 678"/>
    <s v="JBU678"/>
    <s v="JAX"/>
    <s v="KJAX"/>
    <s v="JFK"/>
    <s v="KJFK"/>
    <d v="2026-09-26T00:21:44"/>
    <d v="2026-09-26T02:46:18"/>
    <n v="145"/>
    <x v="160"/>
    <s v="A220-300"/>
    <s v="BCS3"/>
    <s v="Complete"/>
    <s v="a39243"/>
  </r>
  <r>
    <x v="2"/>
    <s v="B6 2066"/>
    <s v="JBU2066"/>
    <s v="RSW"/>
    <s v="KRSW"/>
    <s v="BOS"/>
    <s v="KBOS"/>
    <d v="2026-09-26T00:21:55"/>
    <d v="2026-09-26T03:11:11"/>
    <n v="169"/>
    <x v="36"/>
    <s v="A220-300"/>
    <s v="BCS3"/>
    <s v="Complete"/>
    <s v="a38836"/>
  </r>
  <r>
    <x v="2"/>
    <s v="B6 2279"/>
    <s v="JBU2279"/>
    <s v="FLL"/>
    <s v="KFLL"/>
    <s v="DFW"/>
    <s v="KDFW"/>
    <d v="2026-09-26T00:22:33"/>
    <d v="2026-09-26T02:56:28"/>
    <n v="154"/>
    <x v="172"/>
    <s v="A320"/>
    <s v="A320"/>
    <s v="Complete"/>
    <s v="aac7ab"/>
  </r>
  <r>
    <x v="2"/>
    <s v="B6 1952"/>
    <s v="JBU1952"/>
    <s v="MCO"/>
    <s v="KMCO"/>
    <s v="BOS"/>
    <s v="KBOS"/>
    <d v="2026-09-26T00:24:03"/>
    <d v="2026-09-26T02:59:14"/>
    <n v="155"/>
    <x v="132"/>
    <s v="A220-300"/>
    <s v="BCS3"/>
    <s v="Complete"/>
    <s v="a37c1c"/>
  </r>
  <r>
    <x v="2"/>
    <s v="B6 2626"/>
    <s v="JBU2626"/>
    <s v="FLL"/>
    <s v="KFLL"/>
    <s v="RDU"/>
    <s v="KRDU"/>
    <d v="2026-09-26T00:24:54"/>
    <d v="2026-09-26T02:15:40"/>
    <n v="111"/>
    <x v="221"/>
    <s v="A320"/>
    <s v="A320"/>
    <s v="Complete"/>
    <s v="aaf53a"/>
  </r>
  <r>
    <x v="2"/>
    <s v="B6 969"/>
    <s v="JBU969"/>
    <s v="RIC"/>
    <s v="KRIC"/>
    <s v="MCO"/>
    <s v="KMCO"/>
    <d v="2026-09-26T00:26:26"/>
    <d v="2026-09-26T01:56:09"/>
    <n v="90"/>
    <x v="201"/>
    <s v="A320"/>
    <s v="A320"/>
    <s v="Complete"/>
    <s v="a894f2"/>
  </r>
  <r>
    <x v="2"/>
    <s v="B6 1905"/>
    <s v="JBU1905"/>
    <s v="FLL"/>
    <s v="KFLL"/>
    <s v="TPA"/>
    <s v="KTPA"/>
    <d v="2026-09-26T00:26:35"/>
    <d v="2026-09-26T01:04:31"/>
    <n v="38"/>
    <x v="157"/>
    <s v="A320"/>
    <s v="A320"/>
    <s v="Complete"/>
    <s v="aacf19"/>
  </r>
  <r>
    <x v="2"/>
    <s v="B6 460"/>
    <s v="JBU460"/>
    <s v="FLL"/>
    <s v="KFLL"/>
    <s v="BDL"/>
    <s v="KBDL"/>
    <d v="2026-09-26T00:27:38"/>
    <d v="2026-09-26T03:05:22"/>
    <n v="158"/>
    <x v="118"/>
    <s v="A320"/>
    <s v="A320"/>
    <s v="Landing inferred"/>
    <s v="a707a3"/>
  </r>
  <r>
    <x v="2"/>
    <s v="B6 933"/>
    <s v="JBU933"/>
    <s v="BOS"/>
    <s v="KBOS"/>
    <s v="SFO"/>
    <s v="KSFO"/>
    <d v="2026-09-26T00:28:13"/>
    <d v="2026-09-26T06:11:36"/>
    <n v="343"/>
    <x v="104"/>
    <s v="A321"/>
    <s v="A321"/>
    <s v="Complete"/>
    <s v="adbe91"/>
  </r>
  <r>
    <x v="2"/>
    <s v="B6 2271"/>
    <s v="JBU2271"/>
    <s v="FLL"/>
    <s v="KFLL"/>
    <s v="AUS"/>
    <s v="KAUS"/>
    <d v="2026-09-26T00:29:26"/>
    <d v="2026-09-26T02:57:47"/>
    <n v="148"/>
    <x v="170"/>
    <s v="A320"/>
    <s v="A320"/>
    <s v="Complete"/>
    <s v="a69894"/>
  </r>
  <r>
    <x v="2"/>
    <s v="B6 2186"/>
    <s v="JBU2186"/>
    <s v="PIT"/>
    <s v="KPIT"/>
    <s v="BOS"/>
    <s v="KBOS"/>
    <d v="2026-09-26T00:30:54"/>
    <d v="2026-09-26T01:52:12"/>
    <n v="81"/>
    <x v="155"/>
    <s v="A220-300"/>
    <s v="BCS3"/>
    <s v="Complete"/>
    <s v="a35854"/>
  </r>
  <r>
    <x v="2"/>
    <s v="B6 706"/>
    <s v="JBU706"/>
    <s v="FLL"/>
    <s v="KFLL"/>
    <s v="EWR"/>
    <s v="KEWR"/>
    <d v="2026-09-26T00:30:57"/>
    <d v="2026-09-26T03:01:54"/>
    <n v="151"/>
    <x v="144"/>
    <s v="A320"/>
    <s v="A320"/>
    <s v="Complete"/>
    <s v="a79e31"/>
  </r>
  <r>
    <x v="2"/>
    <s v="B6 1948"/>
    <s v="JBU1948"/>
    <s v="FLL"/>
    <s v="KFLL"/>
    <s v="MCO"/>
    <s v="KMCO"/>
    <d v="2026-09-26T00:32:13"/>
    <d v="2026-09-26T01:04:46"/>
    <n v="33"/>
    <x v="231"/>
    <s v="A320"/>
    <s v="A320"/>
    <s v="Complete"/>
    <s v="a7de53"/>
  </r>
  <r>
    <x v="2"/>
    <s v="B6 1146"/>
    <s v="JBU1146"/>
    <s v="FLL"/>
    <s v="KFLL"/>
    <s v="RIC"/>
    <s v="KRIC"/>
    <d v="2026-09-26T00:33:33"/>
    <d v="2026-09-26T02:24:06"/>
    <n v="111"/>
    <x v="226"/>
    <s v="A320"/>
    <s v="A320"/>
    <s v="Landing inferred"/>
    <s v="a732d9"/>
  </r>
  <r>
    <x v="2"/>
    <s v="B6 607"/>
    <s v="JBU607"/>
    <s v="FLL"/>
    <s v="KFLL"/>
    <s v="LAS"/>
    <s v="KLAS"/>
    <d v="2026-09-26T00:34:50"/>
    <d v="2026-09-26T05:18:50"/>
    <n v="284"/>
    <x v="84"/>
    <s v="A321"/>
    <s v="A321"/>
    <s v="Complete"/>
    <s v="adc238"/>
  </r>
  <r>
    <x v="2"/>
    <s v="B6 31"/>
    <s v="JBU31"/>
    <s v="BOS"/>
    <s v="KBOS"/>
    <s v="AMS"/>
    <s v="EHAM"/>
    <d v="2026-09-26T00:35:23"/>
    <d v="2026-09-26T06:45:34"/>
    <n v="370"/>
    <x v="85"/>
    <s v="A321neo"/>
    <s v="A21N"/>
    <s v="Complete"/>
    <s v="a4ccba"/>
  </r>
  <r>
    <x v="2"/>
    <s v="B6 514"/>
    <s v="JBU514"/>
    <s v="FLL"/>
    <s v="KFLL"/>
    <s v="ISP"/>
    <s v="KISP"/>
    <d v="2026-09-26T00:35:37"/>
    <d v="2026-09-26T03:25:19"/>
    <n v="170"/>
    <x v="223"/>
    <s v="A320"/>
    <s v="A320"/>
    <s v="Landing inferred"/>
    <s v="a976c7"/>
  </r>
  <r>
    <x v="2"/>
    <s v="B6 1196"/>
    <s v="JBU1196"/>
    <s v="FLL"/>
    <s v="KFLL"/>
    <s v="PVD"/>
    <s v="KPVD"/>
    <d v="2026-09-26T00:37:34"/>
    <d v="2026-09-26T03:37:07"/>
    <n v="180"/>
    <x v="13"/>
    <s v="A320"/>
    <s v="A320"/>
    <s v="Complete"/>
    <s v="a8913b"/>
  </r>
  <r>
    <x v="2"/>
    <s v="B6 2290"/>
    <s v="JBU2290"/>
    <s v="FLL"/>
    <s v="KFLL"/>
    <s v="DTW"/>
    <s v="KDTW"/>
    <d v="2026-09-26T00:38:53"/>
    <d v="2026-09-26T03:10:45"/>
    <n v="152"/>
    <x v="45"/>
    <s v="A320"/>
    <s v="A320"/>
    <s v="Complete"/>
    <s v="a967eb"/>
  </r>
  <r>
    <x v="2"/>
    <s v="B6 2725"/>
    <s v="JBU2725"/>
    <s v="JFK"/>
    <s v="KJFK"/>
    <s v="TPA"/>
    <s v="KTPA"/>
    <d v="2026-09-26T00:39:15"/>
    <d v="2026-09-26T02:50:21"/>
    <n v="131"/>
    <x v="0"/>
    <s v="A321"/>
    <s v="A321"/>
    <s v="Complete"/>
    <s v="ad6f93"/>
  </r>
  <r>
    <x v="2"/>
    <s v="B6 376"/>
    <s v="JBU376"/>
    <s v="FLL"/>
    <s v="KFLL"/>
    <s v="PHL"/>
    <s v="KPHL"/>
    <d v="2026-09-26T00:40:12"/>
    <d v="2026-09-26T03:12:27"/>
    <n v="152"/>
    <x v="138"/>
    <s v="A320"/>
    <s v="A320"/>
    <s v="Complete"/>
    <s v="a683a8"/>
  </r>
  <r>
    <x v="2"/>
    <s v="B6 381"/>
    <s v="JBU381"/>
    <s v="BOS"/>
    <s v="KBOS"/>
    <s v="RIC"/>
    <s v="KRIC"/>
    <d v="2026-09-26T00:40:18"/>
    <d v="2026-09-26T01:54:23"/>
    <n v="74"/>
    <x v="64"/>
    <s v="A220-300"/>
    <s v="BCS3"/>
    <s v="Landing inferred"/>
    <s v="a33ca9"/>
  </r>
  <r>
    <x v="2"/>
    <s v="B6 8379"/>
    <s v="JBU8379"/>
    <s v="JFK"/>
    <s v="KJFK"/>
    <s v="IAD"/>
    <s v="KIAD"/>
    <d v="2026-09-26T00:41:14"/>
    <d v="2026-09-26T01:28:48"/>
    <n v="48"/>
    <x v="179"/>
    <s v="A321neo"/>
    <s v="A21N"/>
    <s v="Complete"/>
    <s v="a4b6b6"/>
  </r>
  <r>
    <x v="2"/>
    <s v="B6 470"/>
    <s v="JBU470"/>
    <s v="FLL"/>
    <s v="KFLL"/>
    <s v="BOS"/>
    <s v="KBOS"/>
    <d v="2026-09-26T00:41:16"/>
    <d v="2026-09-26T03:31:09"/>
    <n v="170"/>
    <x v="24"/>
    <s v="A320"/>
    <s v="A320"/>
    <s v="Complete"/>
    <s v="a70f11"/>
  </r>
  <r>
    <x v="2"/>
    <s v="B6 2581"/>
    <s v="JBU2581"/>
    <s v="FLL"/>
    <s v="KFLL"/>
    <s v="BNA"/>
    <s v="KBNA"/>
    <d v="2026-09-26T00:42:03"/>
    <d v="2026-09-26T02:37:24"/>
    <n v="115"/>
    <x v="80"/>
    <s v="A320"/>
    <s v="A320"/>
    <s v="Complete"/>
    <s v="a8ab3c"/>
  </r>
  <r>
    <x v="2"/>
    <s v="B6 515"/>
    <s v="JBU515"/>
    <s v="JFK"/>
    <s v="KJFK"/>
    <s v="SFO"/>
    <s v="KSFO"/>
    <d v="2026-09-26T00:42:12"/>
    <d v="2026-09-26T06:23:59"/>
    <n v="342"/>
    <x v="110"/>
    <s v="A321"/>
    <s v="A321"/>
    <s v="Complete"/>
    <s v="adc5ff"/>
  </r>
  <r>
    <x v="2"/>
    <s v="B6 159"/>
    <s v="JBU159"/>
    <s v="BOS"/>
    <s v="KBOS"/>
    <s v="PHL"/>
    <s v="KPHL"/>
    <d v="2026-09-26T00:47:10"/>
    <d v="2026-09-26T01:48:48"/>
    <n v="62"/>
    <x v="196"/>
    <s v="A220-300"/>
    <s v="BCS3"/>
    <s v="Complete"/>
    <s v="a35c0b"/>
  </r>
  <r>
    <x v="2"/>
    <s v="B6 591"/>
    <s v="JBU591"/>
    <s v="BOS"/>
    <s v="KBOS"/>
    <s v="TPA"/>
    <s v="KTPA"/>
    <d v="2026-09-26T00:47:55"/>
    <d v="2026-09-26T03:28:46"/>
    <n v="161"/>
    <x v="58"/>
    <s v="A320"/>
    <s v="A320"/>
    <s v="Complete"/>
    <s v="a781d7"/>
  </r>
  <r>
    <x v="2"/>
    <s v="B6 528"/>
    <s v="JBU528"/>
    <m/>
    <m/>
    <s v="JFK"/>
    <s v="KJFK"/>
    <d v="2026-09-26T00:48:15"/>
    <d v="2026-09-26T04:33:27"/>
    <n v="225"/>
    <x v="27"/>
    <s v="A321neo"/>
    <s v="A21N"/>
    <s v="Complete"/>
    <s v="a1a458"/>
  </r>
  <r>
    <x v="2"/>
    <s v="B6 251"/>
    <s v="JBU251"/>
    <s v="BOS"/>
    <s v="KBOS"/>
    <s v="MCO"/>
    <s v="KMCO"/>
    <d v="2026-09-26T00:51:34"/>
    <d v="2026-09-26T03:22:33"/>
    <n v="151"/>
    <x v="152"/>
    <s v="A321"/>
    <s v="A321"/>
    <s v="Complete"/>
    <s v="ac89f7"/>
  </r>
  <r>
    <x v="2"/>
    <s v="B6 2702"/>
    <s v="JBU2702"/>
    <s v="FLL"/>
    <s v="KFLL"/>
    <s v="JFK"/>
    <s v="KJFK"/>
    <d v="2026-09-26T00:53:47"/>
    <d v="2026-09-26T04:02:24"/>
    <n v="189"/>
    <x v="29"/>
    <s v="A321"/>
    <s v="A321"/>
    <s v="Complete"/>
    <s v="ad4f72"/>
  </r>
  <r>
    <x v="2"/>
    <s v="B6 845"/>
    <s v="JBU845"/>
    <s v="BOS"/>
    <s v="KBOS"/>
    <s v="SYR"/>
    <s v="KSYR"/>
    <d v="2026-09-26T00:55:29"/>
    <d v="2026-09-26T01:39:54"/>
    <n v="44"/>
    <x v="244"/>
    <s v="A220-300"/>
    <s v="BCS3"/>
    <s v="Complete"/>
    <s v="a35109"/>
  </r>
  <r>
    <x v="2"/>
    <s v="B6 195"/>
    <s v="JBU195"/>
    <s v="HPN"/>
    <s v="KHPN"/>
    <s v="MCO"/>
    <s v="KMCO"/>
    <d v="2026-09-26T00:57:23"/>
    <d v="2026-09-26T02:59:53"/>
    <n v="123"/>
    <x v="22"/>
    <s v="A320"/>
    <s v="A320"/>
    <s v="Complete"/>
    <s v="a7456c"/>
  </r>
  <r>
    <x v="2"/>
    <s v="B6 2008"/>
    <s v="JBU2008"/>
    <s v="FLL"/>
    <s v="KFLL"/>
    <s v="PIT"/>
    <s v="KPIT"/>
    <d v="2026-09-26T00:57:45"/>
    <d v="2026-09-26T03:18:04"/>
    <n v="140"/>
    <x v="264"/>
    <s v="A220-300"/>
    <s v="BCS3"/>
    <s v="Complete"/>
    <s v="a36799"/>
  </r>
  <r>
    <x v="2"/>
    <s v="B6 8437"/>
    <s v="JBU8437"/>
    <s v="RIC"/>
    <s v="KRIC"/>
    <s v="FLL"/>
    <s v="KFLL"/>
    <d v="2026-09-26T00:58:03"/>
    <d v="2026-09-26T02:53:45"/>
    <n v="116"/>
    <x v="266"/>
    <s v="A320"/>
    <s v="A320"/>
    <s v="Complete"/>
    <s v="a6c781"/>
  </r>
  <r>
    <x v="2"/>
    <s v="B6 1697"/>
    <s v="JBU1697"/>
    <s v="ATL"/>
    <s v="KATL"/>
    <s v="FLL"/>
    <s v="KFLL"/>
    <d v="2026-09-26T00:58:16"/>
    <d v="2026-09-26T02:19:37"/>
    <n v="81"/>
    <x v="19"/>
    <s v="A320"/>
    <s v="A320"/>
    <s v="Complete"/>
    <s v="a7da9c"/>
  </r>
  <r>
    <x v="2"/>
    <s v="B6 1174"/>
    <s v="JBU1174"/>
    <s v="BNA"/>
    <s v="KBNA"/>
    <s v="JFK"/>
    <s v="KJFK"/>
    <d v="2026-09-26T00:58:56"/>
    <d v="2026-09-26T03:37:25"/>
    <n v="158"/>
    <x v="30"/>
    <s v="A320"/>
    <s v="A320"/>
    <s v="Complete"/>
    <s v="ab355c"/>
  </r>
  <r>
    <x v="2"/>
    <s v="B6 1827"/>
    <s v="JBU1827"/>
    <s v="EWR"/>
    <s v="KEWR"/>
    <s v="MCO"/>
    <s v="KMCO"/>
    <d v="2026-09-26T00:59:09"/>
    <d v="2026-09-26T03:02:18"/>
    <n v="123"/>
    <x v="220"/>
    <s v="A320"/>
    <s v="A320"/>
    <s v="Complete"/>
    <s v="a8bc71"/>
  </r>
  <r>
    <x v="2"/>
    <s v="B6 613"/>
    <s v="JBU613"/>
    <s v="HPN"/>
    <s v="KHPN"/>
    <s v="FLL"/>
    <s v="KFLL"/>
    <d v="2026-09-26T01:00:40"/>
    <d v="2026-09-26T03:26:10"/>
    <n v="146"/>
    <x v="40"/>
    <s v="A320"/>
    <s v="A320"/>
    <s v="Complete"/>
    <s v="aaa02c"/>
  </r>
  <r>
    <x v="2"/>
    <s v="B6 201"/>
    <s v="JBU201"/>
    <s v="BUF"/>
    <s v="KBUF"/>
    <s v="JFK"/>
    <s v="KJFK"/>
    <d v="2026-09-26T01:01:48"/>
    <d v="2026-09-26T02:37:31"/>
    <n v="96"/>
    <x v="229"/>
    <s v="A220-300"/>
    <s v="BCS3"/>
    <s v="Complete"/>
    <s v="a39948"/>
  </r>
  <r>
    <x v="2"/>
    <s v="B6 1902"/>
    <s v="JBU1902"/>
    <s v="FLL"/>
    <s v="KFLL"/>
    <s v="JFK"/>
    <s v="KJFK"/>
    <d v="2026-09-26T01:03:11"/>
    <d v="2026-09-26T04:46:07"/>
    <n v="223"/>
    <x v="249"/>
    <s v="A220-300"/>
    <s v="BCS3"/>
    <s v="Complete"/>
    <s v="a3711a"/>
  </r>
  <r>
    <x v="2"/>
    <s v="B6 777"/>
    <s v="JBU777"/>
    <s v="BOS"/>
    <s v="KBOS"/>
    <s v="LAS"/>
    <s v="KLAS"/>
    <d v="2026-09-26T01:03:47"/>
    <d v="2026-09-26T06:17:18"/>
    <n v="314"/>
    <x v="194"/>
    <s v="A321"/>
    <s v="A321"/>
    <s v="Complete"/>
    <s v="acf54f"/>
  </r>
  <r>
    <x v="2"/>
    <s v="B6 345"/>
    <s v="JBU345"/>
    <s v="BOS"/>
    <s v="KBOS"/>
    <s v="BCN"/>
    <s v="LEBL"/>
    <d v="2026-09-26T01:12:25"/>
    <d v="2026-09-26T07:50:52"/>
    <n v="398"/>
    <x v="48"/>
    <s v="A321neo"/>
    <s v="A21N"/>
    <s v="Complete"/>
    <s v="a4cd23"/>
  </r>
  <r>
    <x v="2"/>
    <s v="B6 1590"/>
    <s v="JBU1590"/>
    <s v="FLL"/>
    <s v="KFLL"/>
    <s v="CLE"/>
    <s v="KCLE"/>
    <d v="2026-09-26T01:13:23"/>
    <d v="2026-09-26T03:42:18"/>
    <n v="149"/>
    <x v="8"/>
    <s v="A220-300"/>
    <s v="BCS3"/>
    <s v="Complete"/>
    <s v="a358bd"/>
  </r>
  <r>
    <x v="2"/>
    <s v="B6 206"/>
    <s v="JBU206"/>
    <s v="BOS"/>
    <s v="KBOS"/>
    <s v="PQI"/>
    <s v="KPQI"/>
    <d v="2026-09-26T01:15:43"/>
    <d v="2026-09-26T02:09:05"/>
    <n v="53"/>
    <x v="162"/>
    <s v="A220-300"/>
    <s v="BCS3"/>
    <s v="Complete"/>
    <s v="a338ac"/>
  </r>
  <r>
    <x v="2"/>
    <s v="B6 1413"/>
    <s v="JBU1413"/>
    <m/>
    <m/>
    <s v="DCA"/>
    <s v="KDCA"/>
    <d v="2026-09-26T01:17:19"/>
    <d v="2026-09-26T02:25:33"/>
    <n v="68"/>
    <x v="207"/>
    <s v="A220-300"/>
    <s v="BCS3"/>
    <s v="Complete"/>
    <s v="a3355e"/>
  </r>
  <r>
    <x v="2"/>
    <s v="B6 1798"/>
    <s v="JBU1798"/>
    <s v="FLL"/>
    <s v="KFLL"/>
    <s v="ATL"/>
    <s v="KATL"/>
    <d v="2026-09-26T01:17:34"/>
    <d v="2026-09-26T02:43:56"/>
    <n v="86"/>
    <x v="100"/>
    <s v="A220-300"/>
    <s v="BCS3"/>
    <s v="Complete"/>
    <s v="a383f3"/>
  </r>
  <r>
    <x v="2"/>
    <s v="B6 371"/>
    <s v="JBU371"/>
    <s v="LGA"/>
    <s v="KLGA"/>
    <s v="FLL"/>
    <s v="KFLL"/>
    <d v="2026-09-26T01:18:54"/>
    <d v="2026-09-26T03:47:18"/>
    <n v="148"/>
    <x v="185"/>
    <s v="A320"/>
    <s v="A320"/>
    <s v="Complete"/>
    <s v="a7bfa0"/>
  </r>
  <r>
    <x v="2"/>
    <s v="B6 353"/>
    <s v="JBU353"/>
    <s v="BOS"/>
    <s v="KBOS"/>
    <s v="DUB"/>
    <s v="EIDW"/>
    <d v="2026-09-26T01:20:14"/>
    <d v="2026-09-26T06:50:18"/>
    <n v="330"/>
    <x v="107"/>
    <s v="A321neo"/>
    <s v="A21N"/>
    <s v="Complete"/>
    <s v="a1d368"/>
  </r>
  <r>
    <x v="2"/>
    <s v="B6 1897"/>
    <s v="JBU1897"/>
    <s v="BOS"/>
    <s v="KBOS"/>
    <s v="ATL"/>
    <s v="KATL"/>
    <d v="2026-09-26T01:22:30"/>
    <d v="2026-09-26T03:26:36"/>
    <n v="124"/>
    <x v="141"/>
    <s v="A220-300"/>
    <s v="BCS3"/>
    <s v="Complete"/>
    <s v="a3795a"/>
  </r>
  <r>
    <x v="2"/>
    <s v="B6 1098"/>
    <s v="JBU1098"/>
    <s v="MCO"/>
    <s v="KMCO"/>
    <s v="LGA"/>
    <s v="KLGA"/>
    <d v="2026-09-26T01:22:40"/>
    <d v="2026-09-26T03:40:18"/>
    <n v="138"/>
    <x v="91"/>
    <s v="A320"/>
    <s v="A320"/>
    <s v="Complete"/>
    <s v="a8a017"/>
  </r>
  <r>
    <x v="2"/>
    <s v="B6 1854"/>
    <s v="JBU1854"/>
    <s v="DCA"/>
    <s v="KDCA"/>
    <s v="BOS"/>
    <s v="KBOS"/>
    <d v="2026-09-26T01:23:41"/>
    <d v="2026-09-26T02:33:40"/>
    <n v="70"/>
    <x v="175"/>
    <s v="A220-300"/>
    <s v="BCS3"/>
    <s v="Complete"/>
    <s v="a38ad5"/>
  </r>
  <r>
    <x v="2"/>
    <s v="B6 2424"/>
    <s v="JBU2424"/>
    <s v="MCO"/>
    <s v="KMCO"/>
    <s v="DCA"/>
    <s v="KDCA"/>
    <d v="2026-09-26T01:24:27"/>
    <d v="2026-09-26T03:12:07"/>
    <n v="108"/>
    <x v="68"/>
    <s v="A320"/>
    <s v="A320"/>
    <s v="Complete"/>
    <s v="a7e5c1"/>
  </r>
  <r>
    <x v="2"/>
    <s v="B6 2149"/>
    <s v="JBU2149"/>
    <s v="FLL"/>
    <s v="KFLL"/>
    <s v="CLT"/>
    <s v="KCLT"/>
    <d v="2026-09-26T01:24:37"/>
    <d v="2026-09-26T03:02:32"/>
    <n v="98"/>
    <x v="260"/>
    <s v="A320"/>
    <s v="A320"/>
    <s v="Complete"/>
    <s v="aa600a"/>
  </r>
  <r>
    <x v="2"/>
    <s v="B6 2823"/>
    <s v="JBU2823"/>
    <s v="FLL"/>
    <s v="KFLL"/>
    <s v="MSY"/>
    <s v="KMSY"/>
    <d v="2026-09-26T01:25:35"/>
    <d v="2026-09-26T03:01:39"/>
    <n v="96"/>
    <x v="81"/>
    <s v="A320"/>
    <s v="A320"/>
    <s v="Complete"/>
    <s v="a83e86"/>
  </r>
  <r>
    <x v="2"/>
    <s v="B6 2073"/>
    <s v="JBU2073"/>
    <s v="EWR"/>
    <s v="KEWR"/>
    <s v="LAX"/>
    <s v="KLAX"/>
    <d v="2026-09-26T01:30:28"/>
    <d v="2026-09-26T06:47:36"/>
    <n v="317"/>
    <x v="69"/>
    <s v="A321"/>
    <s v="A321"/>
    <s v="Complete"/>
    <s v="add734"/>
  </r>
  <r>
    <x v="2"/>
    <s v="B6 1694"/>
    <s v="JBU1694"/>
    <s v="MCO"/>
    <s v="KMCO"/>
    <s v="HPN"/>
    <s v="KHPN"/>
    <d v="2026-09-26T01:34:29"/>
    <d v="2026-09-26T03:52:55"/>
    <n v="138"/>
    <x v="195"/>
    <s v="A320"/>
    <s v="A320"/>
    <s v="Landing inferred"/>
    <s v="a7a59f"/>
  </r>
  <r>
    <x v="2"/>
    <s v="B6 2080"/>
    <s v="JBU2080"/>
    <s v="FLL"/>
    <s v="KFLL"/>
    <s v="DCA"/>
    <s v="KDCA"/>
    <d v="2026-09-26T01:36:25"/>
    <d v="2026-09-26T03:47:42"/>
    <n v="131"/>
    <x v="212"/>
    <s v="A220-300"/>
    <s v="BCS3"/>
    <s v="Complete"/>
    <s v="a34e01"/>
  </r>
  <r>
    <x v="2"/>
    <s v="B6 1012"/>
    <s v="JBU1012"/>
    <s v="ORD"/>
    <s v="KORD"/>
    <s v="BOS"/>
    <s v="KBOS"/>
    <d v="2026-09-26T01:37:52"/>
    <d v="2026-09-26T03:43:01"/>
    <n v="125"/>
    <x v="227"/>
    <s v="A220-300"/>
    <s v="BCS3"/>
    <s v="Complete"/>
    <s v="a34978"/>
  </r>
  <r>
    <x v="2"/>
    <s v="B6 863"/>
    <s v="JBU863"/>
    <s v="FLL"/>
    <s v="KFLL"/>
    <s v="ORD"/>
    <s v="KORD"/>
    <d v="2026-09-26T01:38:54"/>
    <d v="2026-09-26T04:25:25"/>
    <n v="167"/>
    <x v="12"/>
    <s v="A320"/>
    <s v="A320"/>
    <s v="Complete"/>
    <s v="a8222c"/>
  </r>
  <r>
    <x v="2"/>
    <s v="B6 33"/>
    <s v="JBU33"/>
    <s v="BOS"/>
    <s v="KBOS"/>
    <s v="CDG"/>
    <s v="LFPG"/>
    <d v="2026-09-26T01:40:31"/>
    <d v="2026-09-26T08:07:36"/>
    <n v="387"/>
    <x v="111"/>
    <s v="A321neo"/>
    <s v="A21N"/>
    <s v="Landing inferred"/>
    <s v="a4c9f8"/>
  </r>
  <r>
    <x v="2"/>
    <s v="B6 18"/>
    <s v="JBU18"/>
    <s v="FLL"/>
    <s v="KFLL"/>
    <m/>
    <m/>
    <d v="2026-09-26T01:40:43"/>
    <d v="2026-09-26T02:29:30"/>
    <n v="49"/>
    <x v="18"/>
    <s v="A320"/>
    <s v="A320"/>
    <s v="Landing inferred"/>
    <s v="a694dd"/>
  </r>
  <r>
    <x v="2"/>
    <s v="B6 1468"/>
    <s v="JBU1468"/>
    <s v="DJT"/>
    <s v="KPBI"/>
    <s v="HPN"/>
    <s v="KHPN"/>
    <d v="2026-09-26T01:44:45"/>
    <d v="2026-09-26T04:14:33"/>
    <n v="150"/>
    <x v="79"/>
    <s v="A320"/>
    <s v="A320"/>
    <s v="Landing inferred"/>
    <s v="a9c5c5"/>
  </r>
  <r>
    <x v="2"/>
    <s v="B6 2128"/>
    <s v="JBU2128"/>
    <s v="MCO"/>
    <s v="KMCO"/>
    <s v="EWR"/>
    <s v="KEWR"/>
    <d v="2026-09-26T01:54:11"/>
    <d v="2026-09-26T04:04:15"/>
    <n v="130"/>
    <x v="247"/>
    <s v="A320"/>
    <s v="A320"/>
    <s v="Complete"/>
    <s v="a6f2b7"/>
  </r>
  <r>
    <x v="2"/>
    <s v="B6 8501"/>
    <s v="JBU8501"/>
    <s v="BOS"/>
    <s v="KBOS"/>
    <s v="JFK"/>
    <s v="KJFK"/>
    <d v="2026-09-26T02:04:41"/>
    <d v="2026-09-26T03:03:45"/>
    <n v="59"/>
    <x v="199"/>
    <s v="A321"/>
    <s v="A321"/>
    <s v="Complete"/>
    <s v="adb723"/>
  </r>
  <r>
    <x v="2"/>
    <s v="B6 2768"/>
    <s v="JBU2768"/>
    <s v="JFK"/>
    <s v="KJFK"/>
    <s v="CLE"/>
    <s v="KCLE"/>
    <d v="2026-09-26T02:07:22"/>
    <d v="2026-09-26T03:17:53"/>
    <n v="71"/>
    <x v="23"/>
    <s v="A220-300"/>
    <s v="BCS3"/>
    <s v="Complete"/>
    <s v="a34d98"/>
  </r>
  <r>
    <x v="2"/>
    <s v="B6 1223"/>
    <s v="JBU1223"/>
    <s v="JFK"/>
    <s v="KJFK"/>
    <s v="LAX"/>
    <s v="KLAX"/>
    <d v="2026-09-26T02:10:41"/>
    <d v="2026-09-26T07:31:09"/>
    <n v="320"/>
    <x v="108"/>
    <s v="A321"/>
    <s v="A321"/>
    <s v="Complete"/>
    <s v="adafb5"/>
  </r>
  <r>
    <x v="2"/>
    <s v="B6 699"/>
    <s v="JBU699"/>
    <s v="LGA"/>
    <s v="KLGA"/>
    <s v="MCO"/>
    <s v="KMCO"/>
    <d v="2026-09-26T02:18:54"/>
    <d v="2026-09-26T04:23:39"/>
    <n v="125"/>
    <x v="183"/>
    <s v="A320"/>
    <s v="A320"/>
    <s v="Complete"/>
    <s v="a7f6f6"/>
  </r>
  <r>
    <x v="2"/>
    <s v="B6 719"/>
    <s v="JBU719"/>
    <s v="JFK"/>
    <s v="KJFK"/>
    <s v="ATL"/>
    <s v="KATL"/>
    <d v="2026-09-26T02:30:42"/>
    <d v="2026-09-26T04:10:24"/>
    <n v="100"/>
    <x v="50"/>
    <s v="A220-300"/>
    <s v="BCS3"/>
    <s v="Complete"/>
    <s v="a35fc2"/>
  </r>
  <r>
    <x v="2"/>
    <s v="B6 2261"/>
    <s v="JBU2261"/>
    <s v="BOS"/>
    <s v="KBOS"/>
    <s v="MAD"/>
    <s v="LEMD"/>
    <d v="2026-09-26T02:33:38"/>
    <d v="2026-09-26T08:54:28"/>
    <n v="381"/>
    <x v="74"/>
    <s v="A321neo"/>
    <s v="A21N"/>
    <s v="Complete"/>
    <s v="a4bef6"/>
  </r>
  <r>
    <x v="2"/>
    <s v="B6 283"/>
    <s v="JBU283"/>
    <s v="JFK"/>
    <s v="KJFK"/>
    <s v="MCO"/>
    <s v="KMCO"/>
    <d v="2026-09-26T02:33:54"/>
    <d v="2026-09-26T04:40:47"/>
    <n v="127"/>
    <x v="134"/>
    <s v="A321"/>
    <s v="A321"/>
    <s v="Complete"/>
    <s v="ade252"/>
  </r>
  <r>
    <x v="2"/>
    <s v="B6 1323"/>
    <s v="JBU1323"/>
    <s v="BOS"/>
    <s v="KBOS"/>
    <m/>
    <m/>
    <d v="2026-09-26T02:41:11"/>
    <d v="2026-09-26T04:50:50"/>
    <n v="130"/>
    <x v="169"/>
    <s v="A320"/>
    <s v="A320"/>
    <s v="Signal lost"/>
    <s v="a8712a"/>
  </r>
  <r>
    <x v="2"/>
    <s v="B6 413"/>
    <s v="JBU413"/>
    <s v="BOS"/>
    <s v="KBOS"/>
    <s v="SFO"/>
    <s v="KSFO"/>
    <d v="2026-09-26T02:49:03"/>
    <d v="2026-09-26T08:37:38"/>
    <n v="349"/>
    <x v="56"/>
    <s v="A321"/>
    <s v="A321"/>
    <s v="Complete"/>
    <s v="adb35c"/>
  </r>
  <r>
    <x v="2"/>
    <s v="B6 841"/>
    <s v="JBU841"/>
    <s v="JFK"/>
    <s v="KJFK"/>
    <s v="DUB"/>
    <s v="EIDW"/>
    <d v="2026-09-26T02:51:23"/>
    <d v="2026-09-26T08:38:15"/>
    <n v="347"/>
    <x v="83"/>
    <s v="A321neo"/>
    <s v="A21N"/>
    <s v="Complete"/>
    <s v="a1dab3"/>
  </r>
  <r>
    <x v="2"/>
    <s v="B6 7"/>
    <s v="JBU7"/>
    <s v="JFK"/>
    <s v="KJFK"/>
    <s v="LHR"/>
    <s v="EGLL"/>
    <d v="2026-09-26T02:52:16"/>
    <d v="2026-09-26T09:15:23"/>
    <n v="383"/>
    <x v="61"/>
    <s v="A321neo"/>
    <s v="A21N"/>
    <s v="Complete"/>
    <s v="a4c98f"/>
  </r>
  <r>
    <x v="2"/>
    <s v="B6 672"/>
    <s v="JBU672"/>
    <s v="FLL"/>
    <s v="KFLL"/>
    <s v="LGA"/>
    <s v="KLGA"/>
    <d v="2026-09-26T02:55:21"/>
    <d v="2026-09-26T06:01:28"/>
    <n v="186"/>
    <x v="41"/>
    <s v="A320"/>
    <s v="A320"/>
    <s v="Complete"/>
    <s v="a85887"/>
  </r>
  <r>
    <x v="2"/>
    <s v="B6 185"/>
    <s v="JBU185"/>
    <s v="JFK"/>
    <s v="KJFK"/>
    <s v="RDU"/>
    <s v="KRDU"/>
    <d v="2026-09-26T03:06:46"/>
    <d v="2026-09-26T04:18:35"/>
    <n v="72"/>
    <x v="200"/>
    <s v="A320"/>
    <s v="A320"/>
    <s v="Complete"/>
    <s v="a73a47"/>
  </r>
  <r>
    <x v="2"/>
    <s v="B6 1186"/>
    <s v="JBU1186"/>
    <s v="JFK"/>
    <s v="KJFK"/>
    <s v="ROC"/>
    <s v="KROC"/>
    <d v="2026-09-26T03:08:50"/>
    <d v="2026-09-26T03:56:08"/>
    <n v="47"/>
    <x v="15"/>
    <s v="A320"/>
    <s v="A320"/>
    <s v="Complete"/>
    <s v="a78945"/>
  </r>
  <r>
    <x v="2"/>
    <s v="B6 820"/>
    <s v="JBU820"/>
    <s v="JFK"/>
    <s v="KJFK"/>
    <s v="DTW"/>
    <s v="KDTW"/>
    <d v="2026-09-26T03:09:50"/>
    <d v="2026-09-26T04:28:49"/>
    <n v="79"/>
    <x v="14"/>
    <s v="A320"/>
    <s v="A320"/>
    <s v="Complete"/>
    <s v="aa589c"/>
  </r>
  <r>
    <x v="2"/>
    <s v="B6 1962"/>
    <s v="JBU1962"/>
    <s v="DJT"/>
    <s v="KPBI"/>
    <s v="LGA"/>
    <s v="KLGA"/>
    <d v="2026-09-26T03:10:00"/>
    <d v="2026-09-26T06:25:07"/>
    <n v="195"/>
    <x v="2"/>
    <s v="A320"/>
    <s v="A320"/>
    <s v="Complete"/>
    <s v="a8a3ce"/>
  </r>
  <r>
    <x v="2"/>
    <s v="B6 798"/>
    <s v="JBU798"/>
    <s v="MCO"/>
    <s v="KMCO"/>
    <s v="LGA"/>
    <s v="KLGA"/>
    <d v="2026-09-26T03:28:59"/>
    <d v="2026-09-26T06:29:00"/>
    <n v="180"/>
    <x v="238"/>
    <s v="A220-300"/>
    <s v="BCS3"/>
    <s v="Complete"/>
    <s v="a3311b"/>
  </r>
  <r>
    <x v="2"/>
    <s v="B6 1079"/>
    <s v="JBU1079"/>
    <s v="BOS"/>
    <s v="KBOS"/>
    <s v="EDI"/>
    <s v="EGPH"/>
    <d v="2026-09-26T03:35:46"/>
    <d v="2026-09-26T09:15:23"/>
    <n v="340"/>
    <x v="101"/>
    <s v="A321neo"/>
    <s v="A21N"/>
    <s v="Complete"/>
    <s v="a1e411"/>
  </r>
  <r>
    <x v="2"/>
    <s v="B6 675"/>
    <s v="JBU675"/>
    <s v="JFK"/>
    <s v="KJFK"/>
    <s v="BDL"/>
    <s v="KBDL"/>
    <d v="2026-09-26T03:39:52"/>
    <d v="2026-09-26T04:03:47"/>
    <n v="24"/>
    <x v="154"/>
    <s v="A320"/>
    <s v="A320"/>
    <s v="Landing inferred"/>
    <s v="aa7c64"/>
  </r>
  <r>
    <x v="2"/>
    <s v="B6 572"/>
    <s v="JBU572"/>
    <s v="FLL"/>
    <s v="KFLL"/>
    <s v="LGA"/>
    <s v="KLGA"/>
    <d v="2026-09-26T03:40:25"/>
    <d v="2026-09-26T06:35:17"/>
    <n v="175"/>
    <x v="53"/>
    <s v="A320"/>
    <s v="A320"/>
    <s v="Complete"/>
    <s v="a73dfe"/>
  </r>
  <r>
    <x v="2"/>
    <s v="B6 73"/>
    <s v="JBU73"/>
    <s v="JFK"/>
    <s v="KJFK"/>
    <s v="EDI"/>
    <s v="EGPH"/>
    <d v="2026-09-26T03:40:54"/>
    <d v="2026-09-26T09:42:03"/>
    <n v="361"/>
    <x v="241"/>
    <s v="A321neo"/>
    <s v="A21N"/>
    <s v="Complete"/>
    <s v="a1d99b"/>
  </r>
  <r>
    <x v="2"/>
    <s v="B6 348"/>
    <s v="JBU348"/>
    <s v="BUF"/>
    <s v="KBUF"/>
    <s v="JFK"/>
    <s v="KJFK"/>
    <d v="2026-09-26T03:45:54"/>
    <d v="2026-09-26T04:50:25"/>
    <n v="65"/>
    <x v="78"/>
    <s v="A320"/>
    <s v="A320"/>
    <s v="Complete"/>
    <s v="a72b6b"/>
  </r>
  <r>
    <x v="2"/>
    <s v="B6 778"/>
    <s v="JBU778"/>
    <s v="LAS"/>
    <s v="KLAS"/>
    <s v="BOS"/>
    <s v="KBOS"/>
    <d v="2026-09-26T03:47:01"/>
    <d v="2026-09-26T08:31:31"/>
    <n v="285"/>
    <x v="168"/>
    <s v="A321"/>
    <s v="A321"/>
    <s v="Complete"/>
    <s v="ada227"/>
  </r>
  <r>
    <x v="2"/>
    <s v="B6 923"/>
    <s v="JBU923"/>
    <s v="JFK"/>
    <s v="KJFK"/>
    <s v="LAX"/>
    <s v="KLAX"/>
    <d v="2026-09-26T03:48:12"/>
    <d v="2026-09-26T09:07:32"/>
    <n v="319"/>
    <x v="86"/>
    <s v="A321"/>
    <s v="A321"/>
    <s v="Complete"/>
    <s v="ad646e"/>
  </r>
  <r>
    <x v="2"/>
    <s v="B6 2954"/>
    <s v="JBU2954"/>
    <s v="DCA"/>
    <s v="KDCA"/>
    <s v="BOS"/>
    <s v="KBOS"/>
    <d v="2026-09-26T03:48:58"/>
    <d v="2026-09-26T04:54:37"/>
    <n v="66"/>
    <x v="207"/>
    <s v="A220-300"/>
    <s v="BCS3"/>
    <s v="Complete"/>
    <s v="a3355e"/>
  </r>
  <r>
    <x v="2"/>
    <s v="B6 2120"/>
    <s v="JBU2120"/>
    <s v="SAN"/>
    <s v="KSAN"/>
    <s v="BOS"/>
    <s v="KBOS"/>
    <d v="2026-09-26T03:50:31"/>
    <d v="2026-09-26T09:01:18"/>
    <n v="311"/>
    <x v="98"/>
    <s v="A321"/>
    <s v="A321"/>
    <s v="Complete"/>
    <s v="ad1560"/>
  </r>
  <r>
    <x v="2"/>
    <s v="B6 324"/>
    <s v="JBU324"/>
    <s v="ALB"/>
    <s v="KALB"/>
    <s v="JFK"/>
    <s v="KJFK"/>
    <d v="2026-09-26T03:50:38"/>
    <d v="2026-09-26T04:37:23"/>
    <n v="47"/>
    <x v="203"/>
    <s v="A321"/>
    <s v="A321"/>
    <s v="Complete"/>
    <s v="addadb"/>
  </r>
  <r>
    <x v="2"/>
    <s v="B6 1574"/>
    <s v="JBU1574"/>
    <s v="LAX"/>
    <s v="KLAX"/>
    <s v="EWR"/>
    <s v="KEWR"/>
    <d v="2026-09-26T03:53:41"/>
    <d v="2026-09-26T08:41:11"/>
    <n v="288"/>
    <x v="99"/>
    <s v="A321"/>
    <s v="A321"/>
    <s v="Complete"/>
    <s v="ad6bdc"/>
  </r>
  <r>
    <x v="2"/>
    <s v="B6 158"/>
    <s v="JBU158"/>
    <s v="BDL"/>
    <s v="KBDL"/>
    <s v="JFK"/>
    <s v="KJFK"/>
    <d v="2026-09-26T03:54:49"/>
    <d v="2026-09-26T04:31:31"/>
    <n v="37"/>
    <x v="218"/>
    <s v="A320"/>
    <s v="A320"/>
    <s v="Complete"/>
    <s v="a7167f"/>
  </r>
  <r>
    <x v="2"/>
    <s v="B6 16"/>
    <s v="JBU16"/>
    <s v="SFO"/>
    <s v="KSFO"/>
    <s v="JFK"/>
    <s v="KJFK"/>
    <d v="2026-09-26T03:57:51"/>
    <d v="2026-09-26T09:00:13"/>
    <n v="302"/>
    <x v="89"/>
    <s v="A321"/>
    <s v="A321"/>
    <s v="Complete"/>
    <s v="ad2445"/>
  </r>
  <r>
    <x v="2"/>
    <s v="B6 188"/>
    <s v="JBU188"/>
    <s v="LAX"/>
    <s v="KLAX"/>
    <s v="BOS"/>
    <s v="KBOS"/>
    <d v="2026-09-26T03:58:58"/>
    <d v="2026-09-26T09:07:12"/>
    <n v="308"/>
    <x v="137"/>
    <s v="A321neo"/>
    <s v="A21N"/>
    <s v="Complete"/>
    <s v="a1d2dc"/>
  </r>
  <r>
    <x v="2"/>
    <s v="B6 1524"/>
    <s v="JBU1524"/>
    <s v="LAX"/>
    <s v="KLAX"/>
    <s v="JFK"/>
    <s v="KJFK"/>
    <d v="2026-09-26T04:06:05"/>
    <d v="2026-09-26T09:09:19"/>
    <n v="303"/>
    <x v="87"/>
    <s v="A321neo"/>
    <s v="A21N"/>
    <s v="Complete"/>
    <s v="a1cf48"/>
  </r>
  <r>
    <x v="2"/>
    <s v="B6 193"/>
    <s v="JBU193"/>
    <s v="EWR"/>
    <s v="KEWR"/>
    <m/>
    <m/>
    <d v="2026-09-26T04:11:27"/>
    <d v="2026-09-26T05:26:59"/>
    <n v="76"/>
    <x v="219"/>
    <s v="A320"/>
    <s v="A320"/>
    <s v="Signal lost"/>
    <s v="a6587b"/>
  </r>
  <r>
    <x v="2"/>
    <s v="B6 1516"/>
    <s v="JBU1516"/>
    <s v="JFK"/>
    <s v="KJFK"/>
    <s v="SYR"/>
    <s v="KSYR"/>
    <d v="2026-09-26T04:15:29"/>
    <d v="2026-09-26T04:53:37"/>
    <n v="38"/>
    <x v="160"/>
    <s v="A220-300"/>
    <s v="BCS3"/>
    <s v="Complete"/>
    <s v="a39243"/>
  </r>
  <r>
    <x v="2"/>
    <s v="B6 102"/>
    <s v="JBU102"/>
    <s v="JFK"/>
    <s v="KJFK"/>
    <s v="BUF"/>
    <s v="KBUF"/>
    <d v="2026-09-26T04:16:33"/>
    <d v="2026-09-26T05:07:08"/>
    <n v="51"/>
    <x v="229"/>
    <s v="A220-300"/>
    <s v="BCS3"/>
    <s v="Landing inferred"/>
    <s v="a39948"/>
  </r>
  <r>
    <x v="2"/>
    <s v="B6 1195"/>
    <s v="JBU1195"/>
    <s v="JFK"/>
    <s v="KJFK"/>
    <s v="PIT"/>
    <s v="KPIT"/>
    <d v="2026-09-26T04:21:30"/>
    <d v="2026-09-26T05:18:47"/>
    <n v="57"/>
    <x v="28"/>
    <s v="A220-300"/>
    <s v="BCS3"/>
    <s v="Complete"/>
    <s v="a38019"/>
  </r>
  <r>
    <x v="2"/>
    <s v="B6 1411"/>
    <s v="JBU1411"/>
    <s v="JFK"/>
    <s v="KJFK"/>
    <s v="LAS"/>
    <s v="KLAS"/>
    <d v="2026-09-26T04:23:40"/>
    <d v="2026-09-26T09:07:17"/>
    <n v="284"/>
    <x v="199"/>
    <s v="A321"/>
    <s v="A321"/>
    <s v="Complete"/>
    <s v="adb723"/>
  </r>
  <r>
    <x v="2"/>
    <s v="B6 308"/>
    <s v="JBU308"/>
    <s v="JFK"/>
    <s v="KJFK"/>
    <s v="PWM"/>
    <s v="KPWM"/>
    <d v="2026-09-26T04:29:21"/>
    <d v="2026-09-26T05:16:48"/>
    <n v="47"/>
    <x v="167"/>
    <s v="A320"/>
    <s v="A320"/>
    <s v="Complete"/>
    <s v="a85c3e"/>
  </r>
  <r>
    <x v="2"/>
    <s v="B6 359"/>
    <s v="JBU359"/>
    <s v="BUR"/>
    <s v="KBUR"/>
    <s v="JFK"/>
    <s v="KJFK"/>
    <d v="2026-09-26T04:29:57"/>
    <d v="2026-09-26T09:27:38"/>
    <n v="298"/>
    <x v="198"/>
    <s v="A220-300"/>
    <s v="BCS3"/>
    <s v="Complete"/>
    <s v="a349be"/>
  </r>
  <r>
    <x v="2"/>
    <s v="B6 1536"/>
    <s v="JBU1536"/>
    <m/>
    <m/>
    <s v="JFK"/>
    <s v="KJFK"/>
    <d v="2026-09-26T04:40:01"/>
    <d v="2026-09-26T06:01:42"/>
    <n v="82"/>
    <x v="129"/>
    <s v="A320"/>
    <s v="A320"/>
    <s v="Complete"/>
    <s v="aafca8"/>
  </r>
  <r>
    <x v="2"/>
    <s v="B6 1128"/>
    <s v="JBU1128"/>
    <s v="JFK"/>
    <s v="KJFK"/>
    <s v="PVD"/>
    <s v="KPVD"/>
    <d v="2026-09-26T04:43:45"/>
    <d v="2026-09-26T05:17:17"/>
    <n v="34"/>
    <x v="102"/>
    <s v="A320"/>
    <s v="A320"/>
    <s v="Complete"/>
    <s v="a80d40"/>
  </r>
  <r>
    <x v="2"/>
    <s v="B6 8708"/>
    <s v="JBU8708"/>
    <s v="IAD"/>
    <s v="KIAD"/>
    <s v="BED"/>
    <s v="KBED"/>
    <d v="2026-09-26T04:44:00"/>
    <d v="2026-09-26T05:54:16"/>
    <n v="70"/>
    <x v="222"/>
    <s v="A320"/>
    <s v="A320"/>
    <s v="Complete"/>
    <s v="a6a00b"/>
  </r>
  <r>
    <x v="2"/>
    <s v="B6 264"/>
    <s v="JBU264"/>
    <s v="SEA"/>
    <s v="KSEA"/>
    <s v="JFK"/>
    <s v="KJFK"/>
    <d v="2026-09-26T04:52:30"/>
    <d v="2026-09-26T09:53:57"/>
    <n v="301"/>
    <x v="213"/>
    <s v="A320"/>
    <s v="A320"/>
    <s v="Complete"/>
    <s v="a7a1e8"/>
  </r>
  <r>
    <x v="2"/>
    <s v="B6 66"/>
    <s v="JBU66"/>
    <s v="ABQ"/>
    <s v="KABQ"/>
    <s v="JFK"/>
    <s v="KJFK"/>
    <d v="2026-09-26T05:00:18"/>
    <d v="2026-09-26T08:48:07"/>
    <n v="228"/>
    <x v="233"/>
    <s v="A320"/>
    <s v="A320"/>
    <s v="Complete"/>
    <s v="aa099e"/>
  </r>
  <r>
    <x v="2"/>
    <s v="B6 571"/>
    <s v="JBU571"/>
    <s v="LGA"/>
    <s v="KLGA"/>
    <s v="FLL"/>
    <s v="KFLL"/>
    <d v="2026-09-26T05:10:33"/>
    <d v="2026-09-26T07:28:18"/>
    <n v="138"/>
    <x v="91"/>
    <s v="A320"/>
    <s v="A320"/>
    <s v="Complete"/>
    <s v="a8a017"/>
  </r>
  <r>
    <x v="2"/>
    <s v="B6 134"/>
    <s v="JBU134"/>
    <s v="SFO"/>
    <s v="KSFO"/>
    <s v="BOS"/>
    <s v="KBOS"/>
    <d v="2026-09-26T05:10:57"/>
    <d v="2026-09-26T10:28:52"/>
    <n v="318"/>
    <x v="147"/>
    <s v="A321"/>
    <s v="A321"/>
    <s v="Complete"/>
    <s v="ace063"/>
  </r>
  <r>
    <x v="2"/>
    <s v="B6 1318"/>
    <s v="JBU1318"/>
    <s v="JFK"/>
    <s v="KJFK"/>
    <s v="BOS"/>
    <s v="KBOS"/>
    <d v="2026-09-26T05:15:23"/>
    <d v="2026-09-26T05:54:12"/>
    <n v="39"/>
    <x v="26"/>
    <s v="A320"/>
    <s v="A320"/>
    <s v="Complete"/>
    <s v="a67883"/>
  </r>
  <r>
    <x v="2"/>
    <s v="B6 608"/>
    <s v="JBU608"/>
    <s v="LAS"/>
    <s v="KLAS"/>
    <s v="FLL"/>
    <s v="KFLL"/>
    <d v="2026-09-26T05:17:06"/>
    <d v="2026-09-26T09:24:24"/>
    <n v="247"/>
    <x v="52"/>
    <s v="A321"/>
    <s v="A321"/>
    <s v="Complete"/>
    <s v="ad60b7"/>
  </r>
  <r>
    <x v="2"/>
    <s v="B6 1190"/>
    <s v="JBU1190"/>
    <s v="SAN"/>
    <s v="KSAN"/>
    <s v="JFK"/>
    <s v="KJFK"/>
    <d v="2026-09-26T05:17:14"/>
    <d v="2026-09-26T10:30:29"/>
    <n v="313"/>
    <x v="182"/>
    <s v="A321"/>
    <s v="A321"/>
    <s v="Complete"/>
    <s v="adde95"/>
  </r>
  <r>
    <x v="2"/>
    <s v="B6 1488"/>
    <s v="JBU1488"/>
    <s v="LAX"/>
    <s v="KLAX"/>
    <s v="BOS"/>
    <s v="KBOS"/>
    <d v="2026-09-26T05:26:48"/>
    <d v="2026-09-26T10:37:21"/>
    <n v="311"/>
    <x v="95"/>
    <s v="A321neo"/>
    <s v="A21N"/>
    <s v="Complete"/>
    <s v="a1cb05"/>
  </r>
  <r>
    <x v="2"/>
    <s v="B6 8400"/>
    <s v="JBU8400"/>
    <s v="IAD"/>
    <s v="KIAD"/>
    <s v="JFK"/>
    <s v="KJFK"/>
    <d v="2026-09-26T05:39:01"/>
    <d v="2026-09-26T06:25:12"/>
    <n v="46"/>
    <x v="179"/>
    <s v="A321neo"/>
    <s v="A21N"/>
    <s v="Complete"/>
    <s v="a4b6b6"/>
  </r>
  <r>
    <x v="2"/>
    <s v="B6 1024"/>
    <s v="JBU1024"/>
    <s v="LAX"/>
    <s v="KLAX"/>
    <s v="JFK"/>
    <s v="KJFK"/>
    <d v="2026-09-26T05:45:25"/>
    <d v="2026-09-26T10:43:34"/>
    <n v="298"/>
    <x v="250"/>
    <s v="A321neo"/>
    <s v="A21N"/>
    <s v="Complete"/>
    <s v="a1ce99"/>
  </r>
  <r>
    <x v="2"/>
    <s v="B6 1400"/>
    <s v="JBU1400"/>
    <s v="LAX"/>
    <s v="KLAX"/>
    <s v="FLL"/>
    <s v="KFLL"/>
    <d v="2026-09-26T05:50:12"/>
    <d v="2026-09-26T10:12:49"/>
    <n v="263"/>
    <x v="120"/>
    <s v="A321"/>
    <s v="A321"/>
    <s v="Complete"/>
    <s v="adc9b6"/>
  </r>
  <r>
    <x v="2"/>
    <s v="B6 454"/>
    <s v="JBU454"/>
    <s v="ONT"/>
    <s v="KONT"/>
    <s v="JFK"/>
    <s v="KJFK"/>
    <d v="2026-09-26T05:52:16"/>
    <d v="2026-09-26T10:47:20"/>
    <n v="295"/>
    <x v="105"/>
    <s v="A220-300"/>
    <s v="BCS3"/>
    <s v="Complete"/>
    <s v="a36825"/>
  </r>
  <r>
    <x v="2"/>
    <s v="B6 948"/>
    <s v="JBU948"/>
    <s v="LAS"/>
    <s v="KLAS"/>
    <s v="JFK"/>
    <s v="KJFK"/>
    <d v="2026-09-26T05:58:48"/>
    <d v="2026-09-26T10:36:34"/>
    <n v="278"/>
    <x v="123"/>
    <s v="A321"/>
    <s v="A321"/>
    <s v="Complete"/>
    <s v="ad2095"/>
  </r>
  <r>
    <x v="2"/>
    <s v="B6 372"/>
    <s v="JBU372"/>
    <s v="SLC"/>
    <s v="KSLC"/>
    <s v="JFK"/>
    <s v="KJFK"/>
    <d v="2026-09-26T06:03:52"/>
    <d v="2026-09-26T10:12:17"/>
    <n v="248"/>
    <x v="254"/>
    <s v="A220-300"/>
    <s v="BCS3"/>
    <s v="Complete"/>
    <s v="a37517"/>
  </r>
  <r>
    <x v="2"/>
    <s v="B6 278"/>
    <s v="JBU278"/>
    <s v="SFO"/>
    <s v="KSFO"/>
    <s v="FLL"/>
    <s v="KFLL"/>
    <d v="2026-09-26T06:32:02"/>
    <d v="2026-09-26T11:32:32"/>
    <n v="301"/>
    <x v="122"/>
    <s v="A321"/>
    <s v="A321"/>
    <s v="Complete"/>
    <s v="acf906"/>
  </r>
  <r>
    <x v="2"/>
    <s v="B6 604"/>
    <s v="JBU604"/>
    <s v="YVR"/>
    <s v="CYVR"/>
    <s v="JFK"/>
    <s v="KJFK"/>
    <d v="2026-09-26T06:36:08"/>
    <d v="2026-09-26T11:44:38"/>
    <n v="308"/>
    <x v="126"/>
    <s v="A321"/>
    <s v="A321"/>
    <s v="Complete"/>
    <s v="ad7701"/>
  </r>
  <r>
    <x v="2"/>
    <s v="B6 162"/>
    <s v="JBU162"/>
    <s v="SMF"/>
    <s v="KSMF"/>
    <s v="JFK"/>
    <s v="KJFK"/>
    <d v="2026-09-26T06:41:04"/>
    <d v="2026-09-26T11:46:04"/>
    <n v="305"/>
    <x v="192"/>
    <s v="A321"/>
    <s v="A321"/>
    <s v="Complete"/>
    <s v="adf4e9"/>
  </r>
  <r>
    <x v="2"/>
    <s v="B6 178"/>
    <s v="JBU178"/>
    <s v="LAS"/>
    <s v="KLAS"/>
    <s v="BOS"/>
    <s v="KBOS"/>
    <d v="2026-09-26T07:06:54"/>
    <d v="2026-09-26T11:49:46"/>
    <n v="283"/>
    <x v="84"/>
    <s v="A321"/>
    <s v="A321"/>
    <s v="Complete"/>
    <s v="adc238"/>
  </r>
  <r>
    <x v="2"/>
    <s v="B6 1224"/>
    <s v="JBU1224"/>
    <s v="LAX"/>
    <s v="KLAX"/>
    <s v="JFK"/>
    <s v="KJFK"/>
    <d v="2026-09-26T07:09:08"/>
    <d v="2026-09-26T12:14:16"/>
    <n v="305"/>
    <x v="16"/>
    <s v="A321"/>
    <s v="A321"/>
    <s v="Complete"/>
    <s v="ad7ab8"/>
  </r>
  <r>
    <x v="2"/>
    <s v="B6 2220"/>
    <s v="JBU2220"/>
    <s v="LHR"/>
    <s v="EGLL"/>
    <s v="JFK"/>
    <s v="KJFK"/>
    <d v="2026-09-26T07:20:44"/>
    <d v="2026-09-26T15:08:53"/>
    <n v="468"/>
    <x v="60"/>
    <s v="A321neo"/>
    <s v="A21N"/>
    <s v="Complete"/>
    <s v="a4c2ad"/>
  </r>
  <r>
    <x v="2"/>
    <s v="B6 398"/>
    <s v="JBU398"/>
    <s v="SEA"/>
    <s v="KSEA"/>
    <s v="BOS"/>
    <s v="KBOS"/>
    <d v="2026-09-26T07:37:49"/>
    <d v="2026-09-26T12:34:37"/>
    <n v="297"/>
    <x v="131"/>
    <s v="A321"/>
    <s v="A321"/>
    <s v="Complete"/>
    <s v="ad2f71"/>
  </r>
  <r>
    <x v="2"/>
    <s v="B6 1621"/>
    <s v="JBU1621"/>
    <s v="LHR"/>
    <s v="EGLL"/>
    <s v="BOS"/>
    <s v="KBOS"/>
    <d v="2026-09-26T07:53:05"/>
    <d v="2026-09-26T15:24:08"/>
    <n v="451"/>
    <x v="3"/>
    <s v="A321neo"/>
    <s v="A21N"/>
    <s v="Complete"/>
    <s v="a4c96c"/>
  </r>
  <r>
    <x v="2"/>
    <s v="B6 2916"/>
    <s v="JBU2916"/>
    <s v="SFO"/>
    <s v="KSFO"/>
    <s v="JFK"/>
    <s v="KJFK"/>
    <d v="2026-09-26T08:12:17"/>
    <d v="2026-09-26T13:17:52"/>
    <n v="306"/>
    <x v="93"/>
    <s v="A321"/>
    <s v="A321"/>
    <s v="Complete"/>
    <s v="adbaca"/>
  </r>
  <r>
    <x v="2"/>
    <s v="B6 332"/>
    <s v="JBU332"/>
    <s v="MXP"/>
    <s v="LIMC"/>
    <s v="BOS"/>
    <s v="KBOS"/>
    <d v="2026-09-26T08:59:43"/>
    <d v="2026-09-26T17:51:28"/>
    <n v="532"/>
    <x v="32"/>
    <s v="A321neo"/>
    <s v="A21N"/>
    <s v="Complete"/>
    <s v="a4c5d8"/>
  </r>
  <r>
    <x v="2"/>
    <s v="B6 768"/>
    <s v="JBU768"/>
    <s v="MCO"/>
    <s v="KMCO"/>
    <s v="MCO"/>
    <s v="KMCO"/>
    <d v="2026-09-26T09:04:58"/>
    <d v="2026-09-26T15:30:14"/>
    <n v="385"/>
    <x v="124"/>
    <s v="A320"/>
    <s v="A320"/>
    <s v="Complete"/>
    <s v="a98445"/>
  </r>
  <r>
    <x v="2"/>
    <s v="B6 717"/>
    <s v="JBU717"/>
    <s v="BOS"/>
    <s v="KBOS"/>
    <s v="JFK"/>
    <s v="KJFK"/>
    <d v="2026-09-26T09:19:55"/>
    <d v="2026-09-26T10:14:43"/>
    <n v="55"/>
    <x v="88"/>
    <s v="A220-300"/>
    <s v="BCS3"/>
    <s v="Complete"/>
    <s v="a37842"/>
  </r>
  <r>
    <x v="2"/>
    <s v="B6 34"/>
    <s v="JBU34"/>
    <s v="CDG"/>
    <s v="LFPG"/>
    <s v="BOS"/>
    <s v="KBOS"/>
    <d v="2026-09-26T09:30:01"/>
    <d v="2026-09-26T17:20:44"/>
    <n v="471"/>
    <x v="59"/>
    <s v="A321neo"/>
    <s v="A21N"/>
    <s v="Complete"/>
    <s v="a4c9d5"/>
  </r>
  <r>
    <x v="2"/>
    <s v="B6 32"/>
    <s v="JBU32"/>
    <s v="AMS"/>
    <s v="EHAM"/>
    <s v="BOS"/>
    <s v="KBOS"/>
    <d v="2026-09-26T09:31:28"/>
    <d v="2026-09-26T17:13:24"/>
    <n v="462"/>
    <x v="85"/>
    <s v="A321neo"/>
    <s v="A21N"/>
    <s v="Complete"/>
    <s v="a4ccba"/>
  </r>
  <r>
    <x v="2"/>
    <s v="B6 207"/>
    <s v="JBU207"/>
    <s v="PQI"/>
    <s v="KPQI"/>
    <s v="BOS"/>
    <s v="KBOS"/>
    <d v="2026-09-26T09:47:23"/>
    <d v="2026-09-26T10:44:02"/>
    <n v="57"/>
    <x v="162"/>
    <s v="A220-300"/>
    <s v="BCS3"/>
    <s v="Complete"/>
    <s v="a338ac"/>
  </r>
  <r>
    <x v="2"/>
    <s v="B6 505"/>
    <s v="JBU505"/>
    <s v="JFK"/>
    <s v="KJFK"/>
    <m/>
    <m/>
    <d v="2026-09-26T09:50:00"/>
    <d v="2026-09-26T13:09:28"/>
    <n v="199"/>
    <x v="27"/>
    <s v="A321neo"/>
    <s v="A21N"/>
    <s v="Signal lost"/>
    <s v="a1a458"/>
  </r>
  <r>
    <x v="2"/>
    <s v="B6 1515"/>
    <s v="JBU1515"/>
    <s v="SYR"/>
    <s v="KSYR"/>
    <s v="JFK"/>
    <s v="KJFK"/>
    <d v="2026-09-26T09:53:18"/>
    <d v="2026-09-26T10:48:50"/>
    <n v="56"/>
    <x v="160"/>
    <s v="A220-300"/>
    <s v="BCS3"/>
    <s v="Complete"/>
    <s v="a39243"/>
  </r>
  <r>
    <x v="2"/>
    <s v="B6 354"/>
    <s v="JBU354"/>
    <s v="DUB"/>
    <s v="EIDW"/>
    <s v="BOS"/>
    <s v="KBOS"/>
    <d v="2026-09-26T09:54:22"/>
    <d v="2026-09-26T16:46:01"/>
    <n v="412"/>
    <x v="107"/>
    <s v="A321neo"/>
    <s v="A21N"/>
    <s v="Complete"/>
    <s v="a1d368"/>
  </r>
  <r>
    <x v="2"/>
    <s v="B6 2001"/>
    <s v="JBU2001"/>
    <s v="BUF"/>
    <s v="KBUF"/>
    <s v="JFK"/>
    <s v="KJFK"/>
    <d v="2026-09-26T09:56:27"/>
    <d v="2026-09-26T11:03:44"/>
    <n v="67"/>
    <x v="229"/>
    <s v="A220-300"/>
    <s v="BCS3"/>
    <s v="Complete"/>
    <s v="a39948"/>
  </r>
  <r>
    <x v="2"/>
    <s v="B6 2769"/>
    <s v="JBU2769"/>
    <s v="CLE"/>
    <s v="KCLE"/>
    <s v="JFK"/>
    <s v="KJFK"/>
    <d v="2026-09-26T09:57:00"/>
    <d v="2026-09-26T11:16:37"/>
    <n v="80"/>
    <x v="23"/>
    <s v="A220-300"/>
    <s v="BCS3"/>
    <s v="Complete"/>
    <s v="a34d98"/>
  </r>
  <r>
    <x v="2"/>
    <s v="B6 234"/>
    <s v="JBU234"/>
    <s v="SJU"/>
    <s v="TJSJ"/>
    <s v="MCO"/>
    <s v="KMCO"/>
    <d v="2026-09-26T09:59:16"/>
    <d v="2026-09-26T14:04:34"/>
    <n v="245"/>
    <x v="174"/>
    <s v="A320"/>
    <s v="A320"/>
    <s v="Complete"/>
    <s v="aa4252"/>
  </r>
  <r>
    <x v="2"/>
    <s v="B6 562"/>
    <s v="JBU562"/>
    <s v="SJU"/>
    <s v="TJSJ"/>
    <s v="BOS"/>
    <s v="KBOS"/>
    <d v="2026-09-26T10:01:43"/>
    <d v="2026-09-26T13:43:30"/>
    <n v="222"/>
    <x v="228"/>
    <s v="A320"/>
    <s v="A320"/>
    <s v="Complete"/>
    <s v="aac3f4"/>
  </r>
  <r>
    <x v="2"/>
    <s v="B6 1198"/>
    <s v="JBU1198"/>
    <s v="PIT"/>
    <s v="KPIT"/>
    <s v="JFK"/>
    <s v="KJFK"/>
    <d v="2026-09-26T10:04:17"/>
    <d v="2026-09-26T11:19:38"/>
    <n v="75"/>
    <x v="264"/>
    <s v="A220-300"/>
    <s v="BCS3"/>
    <s v="Complete"/>
    <s v="a36799"/>
  </r>
  <r>
    <x v="2"/>
    <s v="B6 1419"/>
    <s v="JBU1419"/>
    <s v="DTW"/>
    <s v="KDTW"/>
    <s v="JFK"/>
    <s v="KJFK"/>
    <d v="2026-09-26T10:04:36"/>
    <d v="2026-09-26T11:29:43"/>
    <n v="85"/>
    <x v="14"/>
    <s v="A320"/>
    <s v="A320"/>
    <s v="Complete"/>
    <s v="aa589c"/>
  </r>
  <r>
    <x v="2"/>
    <s v="B6 302"/>
    <s v="JBU302"/>
    <s v="FLL"/>
    <s v="KFLL"/>
    <s v="JFK"/>
    <s v="KJFK"/>
    <d v="2026-09-26T10:04:41"/>
    <d v="2026-09-26T12:35:33"/>
    <n v="151"/>
    <x v="266"/>
    <s v="A320"/>
    <s v="A320"/>
    <s v="Complete"/>
    <s v="a6c781"/>
  </r>
  <r>
    <x v="2"/>
    <s v="B6 690"/>
    <s v="JBU690"/>
    <s v="FLL"/>
    <s v="KFLL"/>
    <s v="BOS"/>
    <s v="KBOS"/>
    <d v="2026-09-26T10:07:55"/>
    <d v="2026-09-26T12:58:48"/>
    <n v="171"/>
    <x v="237"/>
    <s v="A320"/>
    <s v="A320"/>
    <s v="Complete"/>
    <s v="a7d32e"/>
  </r>
  <r>
    <x v="2"/>
    <s v="B6 379"/>
    <s v="JBU379"/>
    <s v="DCA"/>
    <s v="KDCA"/>
    <s v="FLL"/>
    <s v="KFLL"/>
    <d v="2026-09-26T10:08:06"/>
    <d v="2026-09-26T12:05:29"/>
    <n v="117"/>
    <x v="125"/>
    <s v="A320"/>
    <s v="A320"/>
    <s v="Complete"/>
    <s v="a721a4"/>
  </r>
  <r>
    <x v="2"/>
    <s v="B6 1484"/>
    <s v="JBU1484"/>
    <s v="RDU"/>
    <s v="KRDU"/>
    <s v="BOS"/>
    <s v="KBOS"/>
    <d v="2026-09-26T10:08:44"/>
    <d v="2026-09-26T11:36:50"/>
    <n v="88"/>
    <x v="265"/>
    <s v="A220-300"/>
    <s v="BCS3"/>
    <s v="Complete"/>
    <s v="a3549d"/>
  </r>
  <r>
    <x v="2"/>
    <s v="B6 927"/>
    <s v="JBU927"/>
    <s v="EWR"/>
    <s v="KEWR"/>
    <s v="MCO"/>
    <s v="KMCO"/>
    <d v="2026-09-26T10:09:19"/>
    <d v="2026-09-26T12:14:23"/>
    <n v="125"/>
    <x v="247"/>
    <s v="A320"/>
    <s v="A320"/>
    <s v="Complete"/>
    <s v="a6f2b7"/>
  </r>
  <r>
    <x v="2"/>
    <s v="B6 1368"/>
    <s v="JBU1368"/>
    <s v="DJT"/>
    <s v="KPBI"/>
    <s v="HPN"/>
    <s v="KHPN"/>
    <d v="2026-09-26T10:09:21"/>
    <d v="2026-09-26T12:36:22"/>
    <n v="147"/>
    <x v="5"/>
    <s v="A320"/>
    <s v="A320"/>
    <s v="Landing inferred"/>
    <s v="a87898"/>
  </r>
  <r>
    <x v="2"/>
    <s v="B6 884"/>
    <s v="JBU884"/>
    <s v="MCO"/>
    <s v="KMCO"/>
    <s v="JFK"/>
    <s v="KJFK"/>
    <d v="2026-09-26T10:09:44"/>
    <d v="2026-09-26T12:18:45"/>
    <n v="129"/>
    <x v="224"/>
    <s v="A321neo"/>
    <s v="A21N"/>
    <s v="Complete"/>
    <s v="a19910"/>
  </r>
  <r>
    <x v="2"/>
    <s v="B6 382"/>
    <s v="JBU382"/>
    <s v="RIC"/>
    <s v="KRIC"/>
    <s v="BOS"/>
    <s v="KBOS"/>
    <d v="2026-09-26T10:09:57"/>
    <d v="2026-09-26T11:21:41"/>
    <n v="72"/>
    <x v="64"/>
    <s v="A220-300"/>
    <s v="BCS3"/>
    <s v="Complete"/>
    <s v="a33ca9"/>
  </r>
  <r>
    <x v="2"/>
    <s v="B6 307"/>
    <s v="JBU307"/>
    <s v="PWM"/>
    <s v="KPWM"/>
    <s v="JFK"/>
    <s v="KJFK"/>
    <d v="2026-09-26T10:10:02"/>
    <d v="2026-09-26T11:21:25"/>
    <n v="71"/>
    <x v="167"/>
    <s v="A320"/>
    <s v="A320"/>
    <s v="Complete"/>
    <s v="a85c3e"/>
  </r>
  <r>
    <x v="2"/>
    <s v="B6 287"/>
    <s v="JBU287"/>
    <s v="BOS"/>
    <s v="KBOS"/>
    <s v="LAX"/>
    <s v="KLAX"/>
    <d v="2026-09-26T10:12:06"/>
    <d v="2026-09-26T15:44:23"/>
    <n v="332"/>
    <x v="211"/>
    <s v="A321"/>
    <s v="A321"/>
    <s v="Complete"/>
    <s v="ad9e73"/>
  </r>
  <r>
    <x v="2"/>
    <s v="B6 160"/>
    <s v="JBU160"/>
    <s v="PHL"/>
    <s v="KPHL"/>
    <s v="BOS"/>
    <s v="KBOS"/>
    <d v="2026-09-26T10:13:19"/>
    <d v="2026-09-26T11:05:10"/>
    <n v="52"/>
    <x v="196"/>
    <s v="A220-300"/>
    <s v="BCS3"/>
    <s v="Complete"/>
    <s v="a35c0b"/>
  </r>
  <r>
    <x v="2"/>
    <s v="B6 15"/>
    <s v="JBU15"/>
    <s v="JFK"/>
    <s v="KJFK"/>
    <s v="SFO"/>
    <s v="KSFO"/>
    <d v="2026-09-26T10:13:25"/>
    <d v="2026-09-26T15:49:52"/>
    <n v="336"/>
    <x v="235"/>
    <s v="A321"/>
    <s v="A321"/>
    <s v="Complete"/>
    <s v="ad1cde"/>
  </r>
  <r>
    <x v="2"/>
    <s v="B6 1896"/>
    <s v="JBU1896"/>
    <s v="ATL"/>
    <s v="KATL"/>
    <s v="BOS"/>
    <s v="KBOS"/>
    <d v="2026-09-26T10:14:41"/>
    <d v="2026-09-26T12:39:21"/>
    <n v="145"/>
    <x v="50"/>
    <s v="A220-300"/>
    <s v="BCS3"/>
    <s v="Complete"/>
    <s v="a35fc2"/>
  </r>
  <r>
    <x v="2"/>
    <s v="B6 1471"/>
    <s v="JBU1471"/>
    <s v="LGA"/>
    <s v="KLGA"/>
    <s v="FLL"/>
    <s v="KFLL"/>
    <d v="2026-09-26T10:16:04"/>
    <d v="2026-09-26T12:28:58"/>
    <n v="133"/>
    <x v="41"/>
    <s v="A320"/>
    <s v="A320"/>
    <s v="Complete"/>
    <s v="a85887"/>
  </r>
  <r>
    <x v="2"/>
    <s v="B6 172"/>
    <s v="JBU172"/>
    <s v="FLL"/>
    <s v="KFLL"/>
    <s v="LGA"/>
    <s v="KLGA"/>
    <d v="2026-09-26T10:16:08"/>
    <d v="2026-09-26T12:41:43"/>
    <n v="146"/>
    <x v="256"/>
    <s v="A320"/>
    <s v="A320"/>
    <s v="Complete"/>
    <s v="a86605"/>
  </r>
  <r>
    <x v="2"/>
    <s v="B6 730"/>
    <s v="JBU730"/>
    <s v="MCO"/>
    <s v="KMCO"/>
    <s v="MCO"/>
    <s v="KMCO"/>
    <d v="2026-09-26T10:18:50"/>
    <d v="2026-09-26T17:18:10"/>
    <n v="419"/>
    <x v="183"/>
    <s v="A320"/>
    <s v="A320"/>
    <s v="Complete"/>
    <s v="a7f6f6"/>
  </r>
  <r>
    <x v="2"/>
    <s v="B6 165"/>
    <s v="JBU165"/>
    <s v="BOS"/>
    <s v="KBOS"/>
    <s v="RSW"/>
    <s v="KRSW"/>
    <d v="2026-09-26T10:24:22"/>
    <d v="2026-09-26T13:22:19"/>
    <n v="178"/>
    <x v="39"/>
    <s v="Unknown"/>
    <m/>
    <s v="Complete"/>
    <s v="a39be7"/>
  </r>
  <r>
    <x v="2"/>
    <s v="B6 189"/>
    <s v="JBU189"/>
    <s v="JFK"/>
    <s v="KJFK"/>
    <s v="SAN"/>
    <s v="KSAN"/>
    <d v="2026-09-26T10:27:02"/>
    <d v="2026-09-26T15:44:41"/>
    <n v="318"/>
    <x v="121"/>
    <s v="A321"/>
    <s v="A321"/>
    <s v="Complete"/>
    <s v="ad27f3"/>
  </r>
  <r>
    <x v="2"/>
    <s v="B6 676"/>
    <s v="JBU676"/>
    <s v="BDL"/>
    <s v="KBDL"/>
    <s v="JFK"/>
    <s v="KJFK"/>
    <d v="2026-09-26T10:29:40"/>
    <d v="2026-09-26T11:12:14"/>
    <n v="43"/>
    <x v="118"/>
    <s v="A320"/>
    <s v="A320"/>
    <s v="Complete"/>
    <s v="a707a3"/>
  </r>
  <r>
    <x v="2"/>
    <s v="B6 1447"/>
    <s v="JBU1447"/>
    <s v="HPN"/>
    <s v="KHPN"/>
    <s v="TPA"/>
    <s v="KTPA"/>
    <d v="2026-09-26T10:30:24"/>
    <d v="2026-09-26T12:45:55"/>
    <n v="136"/>
    <x v="79"/>
    <s v="A320"/>
    <s v="A320"/>
    <s v="Complete"/>
    <s v="a9c5c5"/>
  </r>
  <r>
    <x v="2"/>
    <s v="B6 1537"/>
    <s v="JBU1537"/>
    <s v="JFK"/>
    <s v="KJFK"/>
    <m/>
    <m/>
    <d v="2026-09-26T10:31:51"/>
    <d v="2026-09-26T11:48:15"/>
    <n v="76"/>
    <x v="29"/>
    <s v="A321"/>
    <s v="A321"/>
    <s v="Signal lost"/>
    <s v="ad4f72"/>
  </r>
  <r>
    <x v="2"/>
    <s v="B6 351"/>
    <s v="JBU351"/>
    <s v="BOS"/>
    <s v="KBOS"/>
    <s v="MCO"/>
    <s v="KMCO"/>
    <d v="2026-09-26T10:32:13"/>
    <d v="2026-09-26T14:35:48"/>
    <n v="244"/>
    <x v="189"/>
    <s v="A220-300"/>
    <s v="BCS3"/>
    <s v="Complete"/>
    <s v="a35cba"/>
  </r>
  <r>
    <x v="2"/>
    <s v="B6 577"/>
    <s v="JBU577"/>
    <s v="FLL"/>
    <s v="KFLL"/>
    <s v="SFO"/>
    <s v="KSFO"/>
    <d v="2026-09-26T10:33:19"/>
    <d v="2026-09-26T16:12:28"/>
    <n v="339"/>
    <x v="46"/>
    <s v="A321"/>
    <s v="A321"/>
    <s v="Complete"/>
    <s v="ad0074"/>
  </r>
  <r>
    <x v="2"/>
    <s v="B6 569"/>
    <s v="JBU569"/>
    <s v="BOS"/>
    <s v="KBOS"/>
    <s v="FLL"/>
    <s v="KFLL"/>
    <d v="2026-09-26T10:33:33"/>
    <d v="2026-09-26T13:24:35"/>
    <n v="171"/>
    <x v="140"/>
    <s v="A320"/>
    <s v="A320"/>
    <s v="Complete"/>
    <s v="a97310"/>
  </r>
  <r>
    <x v="2"/>
    <s v="B6 1197"/>
    <s v="JBU1197"/>
    <s v="PVD"/>
    <s v="KPVD"/>
    <s v="FLL"/>
    <s v="KFLL"/>
    <d v="2026-09-26T10:35:06"/>
    <d v="2026-09-26T13:13:03"/>
    <n v="158"/>
    <x v="171"/>
    <s v="A320"/>
    <s v="A320"/>
    <s v="Complete"/>
    <s v="a845f4"/>
  </r>
  <r>
    <x v="2"/>
    <s v="B6 2266"/>
    <s v="JBU2266"/>
    <s v="MCO"/>
    <s v="KMCO"/>
    <s v="MCO"/>
    <s v="KMCO"/>
    <d v="2026-09-26T10:36:27"/>
    <d v="2026-09-26T19:45:46"/>
    <n v="549"/>
    <x v="9"/>
    <s v="A320"/>
    <s v="A320"/>
    <s v="Complete"/>
    <s v="a83108"/>
  </r>
  <r>
    <x v="2"/>
    <s v="B6 1807"/>
    <s v="JBU1807"/>
    <s v="BOS"/>
    <s v="KBOS"/>
    <s v="BNA"/>
    <s v="KBNA"/>
    <d v="2026-09-26T10:38:44"/>
    <d v="2026-09-26T12:54:36"/>
    <n v="136"/>
    <x v="177"/>
    <s v="A220-300"/>
    <s v="BCS3"/>
    <s v="Complete"/>
    <s v="a39925"/>
  </r>
  <r>
    <x v="2"/>
    <s v="B6 753"/>
    <s v="JBU753"/>
    <s v="FLL"/>
    <s v="KFLL"/>
    <s v="SJU"/>
    <s v="TJSJ"/>
    <d v="2026-09-26T10:41:38"/>
    <d v="2026-09-26T12:55:23"/>
    <n v="134"/>
    <x v="119"/>
    <s v="A320"/>
    <s v="A320"/>
    <s v="Complete"/>
    <s v="ab0416"/>
  </r>
  <r>
    <x v="2"/>
    <s v="B6 209"/>
    <s v="JBU209"/>
    <s v="JFK"/>
    <s v="KJFK"/>
    <m/>
    <m/>
    <d v="2026-09-26T10:43:32"/>
    <d v="2026-09-26T11:59:44"/>
    <n v="76"/>
    <x v="30"/>
    <s v="A320"/>
    <s v="A320"/>
    <s v="Signal lost"/>
    <s v="ab355c"/>
  </r>
  <r>
    <x v="2"/>
    <s v="B6 842"/>
    <s v="JBU842"/>
    <s v="DUB"/>
    <s v="EIDW"/>
    <s v="JFK"/>
    <s v="KJFK"/>
    <d v="2026-09-26T10:43:37"/>
    <d v="2026-09-26T18:00:14"/>
    <n v="437"/>
    <x v="83"/>
    <s v="A321neo"/>
    <s v="A21N"/>
    <s v="Complete"/>
    <s v="a1dab3"/>
  </r>
  <r>
    <x v="2"/>
    <s v="B6 1408"/>
    <s v="JBU1408"/>
    <s v="CDG"/>
    <s v="LFPG"/>
    <s v="JFK"/>
    <s v="KJFK"/>
    <d v="2026-09-26T10:48:23"/>
    <d v="2026-09-26T19:12:18"/>
    <n v="504"/>
    <x v="111"/>
    <s v="A321neo"/>
    <s v="A21N"/>
    <s v="Complete"/>
    <s v="a4c9f8"/>
  </r>
  <r>
    <x v="2"/>
    <s v="B6 1505"/>
    <s v="JBU1505"/>
    <s v="EWR"/>
    <s v="KEWR"/>
    <s v="FLL"/>
    <s v="KFLL"/>
    <d v="2026-09-26T10:48:50"/>
    <d v="2026-09-26T13:08:34"/>
    <n v="140"/>
    <x v="144"/>
    <s v="A320"/>
    <s v="A320"/>
    <s v="Complete"/>
    <s v="a79e31"/>
  </r>
  <r>
    <x v="2"/>
    <s v="B6 1602"/>
    <s v="JBU1602"/>
    <s v="JFK"/>
    <s v="KJFK"/>
    <s v="BUF"/>
    <s v="KBUF"/>
    <d v="2026-09-26T10:49:12"/>
    <d v="2026-09-26T11:39:41"/>
    <n v="50"/>
    <x v="143"/>
    <s v="A220-300"/>
    <s v="BCS3"/>
    <s v="Landing inferred"/>
    <s v="a34d52"/>
  </r>
  <r>
    <x v="2"/>
    <s v="B6 1585"/>
    <s v="JBU1585"/>
    <s v="BOS"/>
    <s v="KBOS"/>
    <s v="PIT"/>
    <s v="KPIT"/>
    <d v="2026-09-26T10:49:57"/>
    <d v="2026-09-26T12:08:27"/>
    <n v="79"/>
    <x v="227"/>
    <s v="A220-300"/>
    <s v="BCS3"/>
    <s v="Complete"/>
    <s v="a34978"/>
  </r>
  <r>
    <x v="2"/>
    <s v="B6 1059"/>
    <s v="JBU1059"/>
    <s v="JFK"/>
    <s v="KJFK"/>
    <s v="KIN"/>
    <s v="MKJP"/>
    <d v="2026-09-26T10:50:34"/>
    <d v="2026-09-26T14:09:57"/>
    <n v="199"/>
    <x v="90"/>
    <s v="A320"/>
    <s v="A320"/>
    <s v="Complete"/>
    <s v="ab4ba6"/>
  </r>
  <r>
    <x v="2"/>
    <s v="B6 2904"/>
    <s v="JBU2904"/>
    <s v="SJU"/>
    <s v="TJSJ"/>
    <s v="JFK"/>
    <s v="KJFK"/>
    <d v="2026-09-26T10:53:14"/>
    <d v="2026-09-26T14:18:59"/>
    <n v="206"/>
    <x v="232"/>
    <s v="A320"/>
    <s v="A320"/>
    <s v="Complete"/>
    <s v="a6cb48"/>
  </r>
  <r>
    <x v="2"/>
    <s v="B6 2718"/>
    <s v="JBU2718"/>
    <s v="JFK"/>
    <s v="KJFK"/>
    <s v="BOS"/>
    <s v="KBOS"/>
    <d v="2026-09-26T10:54:59"/>
    <d v="2026-09-26T11:34:50"/>
    <n v="40"/>
    <x v="139"/>
    <s v="A220-300"/>
    <s v="BCS3"/>
    <s v="Complete"/>
    <s v="a38b84"/>
  </r>
  <r>
    <x v="2"/>
    <s v="B6 1129"/>
    <s v="JBU1129"/>
    <s v="PVD"/>
    <s v="KPVD"/>
    <s v="JFK"/>
    <s v="KJFK"/>
    <d v="2026-09-26T10:56:21"/>
    <d v="2026-09-26T11:40:31"/>
    <n v="44"/>
    <x v="13"/>
    <s v="A320"/>
    <s v="A320"/>
    <s v="Complete"/>
    <s v="a8913b"/>
  </r>
  <r>
    <x v="2"/>
    <s v="B6 953"/>
    <s v="JBU953"/>
    <s v="JFK"/>
    <s v="KJFK"/>
    <s v="DJT"/>
    <s v="KPBI"/>
    <d v="2026-09-26T10:56:31"/>
    <d v="2026-09-26T13:08:10"/>
    <n v="132"/>
    <x v="230"/>
    <s v="A321neo"/>
    <s v="A21N"/>
    <s v="Complete"/>
    <s v="a198ed"/>
  </r>
  <r>
    <x v="2"/>
    <s v="B6 806"/>
    <s v="JBU806"/>
    <s v="BNA"/>
    <s v="KBNA"/>
    <s v="BOS"/>
    <s v="KBOS"/>
    <d v="2026-09-26T10:58:32"/>
    <d v="2026-09-26T13:16:07"/>
    <n v="138"/>
    <x v="65"/>
    <s v="A220-300"/>
    <s v="BCS3"/>
    <s v="Complete"/>
    <s v="a386fb"/>
  </r>
  <r>
    <x v="2"/>
    <s v="B6 1192"/>
    <s v="JBU1192"/>
    <s v="TPA"/>
    <s v="KTPA"/>
    <s v="BOS"/>
    <s v="KBOS"/>
    <d v="2026-09-26T10:59:58"/>
    <d v="2026-09-26T13:36:41"/>
    <n v="157"/>
    <x v="0"/>
    <s v="A321"/>
    <s v="A321"/>
    <s v="Complete"/>
    <s v="ad6f93"/>
  </r>
  <r>
    <x v="2"/>
    <s v="B6 2005"/>
    <s v="JBU2005"/>
    <s v="PIT"/>
    <s v="KPIT"/>
    <s v="FLL"/>
    <s v="KFLL"/>
    <d v="2026-09-26T11:01:46"/>
    <d v="2026-09-26T13:03:59"/>
    <n v="122"/>
    <x v="28"/>
    <s v="A220-300"/>
    <s v="BCS3"/>
    <s v="Complete"/>
    <s v="a38019"/>
  </r>
  <r>
    <x v="2"/>
    <s v="B6 2289"/>
    <s v="JBU2289"/>
    <s v="CLE"/>
    <s v="KCLE"/>
    <s v="FLL"/>
    <s v="KFLL"/>
    <d v="2026-09-26T11:03:15"/>
    <d v="2026-09-26T13:26:49"/>
    <n v="144"/>
    <x v="8"/>
    <s v="A220-300"/>
    <s v="BCS3"/>
    <s v="Complete"/>
    <s v="a358bd"/>
  </r>
  <r>
    <x v="2"/>
    <s v="B6 2489"/>
    <s v="JBU2489"/>
    <s v="DTW"/>
    <s v="KDTW"/>
    <s v="FLL"/>
    <s v="KFLL"/>
    <d v="2026-09-26T11:03:28"/>
    <d v="2026-09-26T13:23:08"/>
    <n v="140"/>
    <x v="45"/>
    <s v="A320"/>
    <s v="A320"/>
    <s v="Complete"/>
    <s v="a967eb"/>
  </r>
  <r>
    <x v="2"/>
    <s v="B6 814"/>
    <s v="JBU814"/>
    <s v="FLL"/>
    <s v="KFLL"/>
    <s v="HPN"/>
    <s v="KHPN"/>
    <d v="2026-09-26T11:03:42"/>
    <d v="2026-09-26T13:36:58"/>
    <n v="153"/>
    <x v="184"/>
    <s v="A320"/>
    <s v="A320"/>
    <s v="Landing inferred"/>
    <s v="a7b0c4"/>
  </r>
  <r>
    <x v="2"/>
    <s v="B6 411"/>
    <s v="JBU411"/>
    <s v="JFK"/>
    <s v="KJFK"/>
    <s v="LAS"/>
    <s v="KLAS"/>
    <d v="2026-09-26T11:04:18"/>
    <d v="2026-09-26T15:56:55"/>
    <n v="293"/>
    <x v="87"/>
    <s v="A321neo"/>
    <s v="A21N"/>
    <s v="Complete"/>
    <s v="a1cf48"/>
  </r>
  <r>
    <x v="2"/>
    <s v="B6 1551"/>
    <s v="JBU1551"/>
    <s v="HPN"/>
    <s v="KHPN"/>
    <s v="RSW"/>
    <s v="KRSW"/>
    <d v="2026-09-26T11:04:22"/>
    <d v="2026-09-26T13:34:09"/>
    <n v="150"/>
    <x v="195"/>
    <s v="A320"/>
    <s v="A320"/>
    <s v="Complete"/>
    <s v="a7a59f"/>
  </r>
  <r>
    <x v="2"/>
    <s v="B6 2282"/>
    <s v="JBU2282"/>
    <s v="DFW"/>
    <s v="KDFW"/>
    <s v="FLL"/>
    <s v="KFLL"/>
    <d v="2026-09-26T11:05:37"/>
    <d v="2026-09-26T13:28:31"/>
    <n v="143"/>
    <x v="172"/>
    <s v="A320"/>
    <s v="A320"/>
    <s v="Complete"/>
    <s v="aac7ab"/>
  </r>
  <r>
    <x v="2"/>
    <s v="B6 1461"/>
    <s v="JBU1461"/>
    <s v="LGA"/>
    <s v="KLGA"/>
    <s v="DJT"/>
    <s v="KPBI"/>
    <d v="2026-09-26T11:06:15"/>
    <d v="2026-09-26T13:23:53"/>
    <n v="138"/>
    <x v="238"/>
    <s v="A220-300"/>
    <s v="BCS3"/>
    <s v="Complete"/>
    <s v="a3311b"/>
  </r>
  <r>
    <x v="2"/>
    <s v="B6 1301"/>
    <s v="JBU1301"/>
    <s v="FLL"/>
    <s v="KFLL"/>
    <s v="LAX"/>
    <s v="KLAX"/>
    <d v="2026-09-26T11:06:35"/>
    <d v="2026-09-26T16:19:19"/>
    <n v="313"/>
    <x v="77"/>
    <s v="A321"/>
    <s v="A321"/>
    <s v="Complete"/>
    <s v="ad1927"/>
  </r>
  <r>
    <x v="2"/>
    <s v="B6 111"/>
    <s v="JBU111"/>
    <s v="BOS"/>
    <s v="KBOS"/>
    <s v="ORD"/>
    <s v="KORD"/>
    <d v="2026-09-26T11:07:39"/>
    <d v="2026-09-26T13:07:57"/>
    <n v="120"/>
    <x v="36"/>
    <s v="A220-300"/>
    <s v="BCS3"/>
    <s v="Complete"/>
    <s v="a38836"/>
  </r>
  <r>
    <x v="2"/>
    <s v="B6 2423"/>
    <s v="JBU2423"/>
    <s v="DCA"/>
    <s v="KDCA"/>
    <s v="MCO"/>
    <s v="KMCO"/>
    <d v="2026-09-26T11:08:27"/>
    <d v="2026-09-26T12:58:53"/>
    <n v="110"/>
    <x v="68"/>
    <s v="A320"/>
    <s v="A320"/>
    <s v="Complete"/>
    <s v="a7e5c1"/>
  </r>
  <r>
    <x v="2"/>
    <s v="B6 691"/>
    <s v="JBU691"/>
    <s v="BOS"/>
    <s v="KBOS"/>
    <s v="TPA"/>
    <s v="KTPA"/>
    <d v="2026-09-26T11:08:49"/>
    <d v="2026-09-26T13:55:21"/>
    <n v="167"/>
    <x v="148"/>
    <s v="A220-300"/>
    <s v="BCS3"/>
    <s v="Complete"/>
    <s v="a36b73"/>
  </r>
  <r>
    <x v="2"/>
    <s v="B6 865"/>
    <s v="JBU865"/>
    <s v="BUF"/>
    <s v="KBUF"/>
    <s v="FLL"/>
    <s v="KFLL"/>
    <d v="2026-09-26T11:09:44"/>
    <d v="2026-09-26T13:36:07"/>
    <n v="146"/>
    <x v="33"/>
    <s v="A320"/>
    <s v="A320"/>
    <s v="Complete"/>
    <s v="a7858e"/>
  </r>
  <r>
    <x v="2"/>
    <s v="B6 375"/>
    <s v="JBU375"/>
    <s v="PHL"/>
    <s v="KPHL"/>
    <s v="FLL"/>
    <s v="KFLL"/>
    <d v="2026-09-26T11:10:43"/>
    <d v="2026-09-26T13:15:43"/>
    <n v="125"/>
    <x v="138"/>
    <s v="A320"/>
    <s v="A320"/>
    <s v="Complete"/>
    <s v="a683a8"/>
  </r>
  <r>
    <x v="2"/>
    <s v="B6 852"/>
    <s v="JBU852"/>
    <s v="MCO"/>
    <s v="KMCO"/>
    <s v="BOS"/>
    <s v="KBOS"/>
    <d v="2026-09-26T11:12:07"/>
    <d v="2026-09-26T13:48:43"/>
    <n v="157"/>
    <x v="115"/>
    <s v="A220-300"/>
    <s v="BCS3"/>
    <s v="Complete"/>
    <s v="a38ef5"/>
  </r>
  <r>
    <x v="2"/>
    <s v="B6 959"/>
    <s v="JBU959"/>
    <s v="BDL"/>
    <s v="KBDL"/>
    <s v="FLL"/>
    <s v="KFLL"/>
    <d v="2026-09-26T11:12:12"/>
    <d v="2026-09-26T13:53:22"/>
    <n v="161"/>
    <x v="154"/>
    <s v="A320"/>
    <s v="A320"/>
    <s v="Complete"/>
    <s v="aa7c64"/>
  </r>
  <r>
    <x v="2"/>
    <s v="B6 1285"/>
    <s v="JBU1285"/>
    <s v="ROC"/>
    <s v="KROC"/>
    <s v="JFK"/>
    <s v="KJFK"/>
    <d v="2026-09-26T11:13:36"/>
    <d v="2026-09-26T12:16:18"/>
    <n v="63"/>
    <x v="15"/>
    <s v="A320"/>
    <s v="A320"/>
    <s v="Complete"/>
    <s v="a78945"/>
  </r>
  <r>
    <x v="2"/>
    <s v="B6 1573"/>
    <s v="JBU1573"/>
    <s v="EWR"/>
    <s v="KEWR"/>
    <s v="LAX"/>
    <s v="KLAX"/>
    <d v="2026-09-26T11:13:46"/>
    <d v="2026-09-26T16:28:10"/>
    <n v="314"/>
    <x v="99"/>
    <s v="A321"/>
    <s v="A321"/>
    <s v="Complete"/>
    <s v="ad6bdc"/>
  </r>
  <r>
    <x v="2"/>
    <s v="B6 87"/>
    <s v="JBU87"/>
    <s v="ALB"/>
    <s v="KALB"/>
    <s v="FLL"/>
    <s v="KFLL"/>
    <d v="2026-09-26T11:15:07"/>
    <d v="2026-09-26T13:48:33"/>
    <n v="153"/>
    <x v="151"/>
    <s v="A320"/>
    <s v="A320"/>
    <s v="Complete"/>
    <s v="a898a9"/>
  </r>
  <r>
    <x v="2"/>
    <s v="B6 513"/>
    <s v="JBU513"/>
    <s v="ISP"/>
    <s v="KISP"/>
    <s v="FLL"/>
    <s v="KFLL"/>
    <d v="2026-09-26T11:15:18"/>
    <d v="2026-09-26T13:31:21"/>
    <n v="136"/>
    <x v="223"/>
    <s v="A320"/>
    <s v="A320"/>
    <s v="Complete"/>
    <s v="a976c7"/>
  </r>
  <r>
    <x v="2"/>
    <s v="B6 20"/>
    <s v="JBU20"/>
    <s v="LHR"/>
    <s v="EGLL"/>
    <s v="JFK"/>
    <s v="KJFK"/>
    <d v="2026-09-26T11:15:30"/>
    <d v="2026-09-26T19:18:38"/>
    <n v="483"/>
    <x v="61"/>
    <s v="A321neo"/>
    <s v="A21N"/>
    <s v="Complete"/>
    <s v="a4c98f"/>
  </r>
  <r>
    <x v="2"/>
    <s v="B6 226"/>
    <s v="JBU226"/>
    <s v="TPA"/>
    <s v="KTPA"/>
    <s v="JFK"/>
    <s v="KJFK"/>
    <d v="2026-09-26T11:16:54"/>
    <d v="2026-09-26T13:33:52"/>
    <n v="137"/>
    <x v="58"/>
    <s v="A320"/>
    <s v="A320"/>
    <s v="Complete"/>
    <s v="a781d7"/>
  </r>
  <r>
    <x v="2"/>
    <s v="B6 286"/>
    <s v="JBU286"/>
    <s v="RDU"/>
    <s v="KRDU"/>
    <s v="JFK"/>
    <s v="KJFK"/>
    <d v="2026-09-26T11:17:36"/>
    <d v="2026-09-26T12:28:57"/>
    <n v="71"/>
    <x v="200"/>
    <s v="A320"/>
    <s v="A320"/>
    <s v="Complete"/>
    <s v="a73a47"/>
  </r>
  <r>
    <x v="2"/>
    <s v="B6 85"/>
    <s v="JBU85"/>
    <s v="BUF"/>
    <s v="KBUF"/>
    <s v="MCO"/>
    <s v="KMCO"/>
    <d v="2026-09-26T11:18:31"/>
    <d v="2026-09-26T14:38:56"/>
    <n v="200"/>
    <x v="128"/>
    <s v="A220-300"/>
    <s v="BCS3"/>
    <s v="Complete"/>
    <s v="a3514f"/>
  </r>
  <r>
    <x v="2"/>
    <s v="B6 1577"/>
    <s v="JBU1577"/>
    <s v="BOS"/>
    <s v="KBOS"/>
    <s v="LAS"/>
    <s v="KLAS"/>
    <d v="2026-09-26T11:19:58"/>
    <d v="2026-09-26T16:25:41"/>
    <n v="306"/>
    <x v="258"/>
    <s v="A321neo"/>
    <s v="A21N"/>
    <s v="Complete"/>
    <s v="a1ddbb"/>
  </r>
  <r>
    <x v="2"/>
    <s v="B6 1057"/>
    <s v="JBU1057"/>
    <s v="JFK"/>
    <s v="KJFK"/>
    <m/>
    <m/>
    <d v="2026-09-26T11:20:18"/>
    <d v="2026-09-26T12:38:15"/>
    <n v="78"/>
    <x v="233"/>
    <s v="A320"/>
    <s v="A320"/>
    <s v="Signal lost"/>
    <s v="aa099e"/>
  </r>
  <r>
    <x v="2"/>
    <s v="B6 346"/>
    <s v="JBU346"/>
    <s v="BCN"/>
    <s v="LEBL"/>
    <m/>
    <m/>
    <d v="2026-09-26T11:21:11"/>
    <d v="2026-09-26T13:02:42"/>
    <n v="102"/>
    <x v="48"/>
    <s v="A321neo"/>
    <s v="A21N"/>
    <s v="Signal lost"/>
    <s v="a4cd23"/>
  </r>
  <r>
    <x v="2"/>
    <s v="B6 664"/>
    <s v="JBU664"/>
    <s v="ORD"/>
    <s v="KORD"/>
    <s v="FLL"/>
    <s v="KFLL"/>
    <d v="2026-09-26T11:21:27"/>
    <d v="2026-09-26T14:17:34"/>
    <n v="176"/>
    <x v="12"/>
    <s v="A320"/>
    <s v="A320"/>
    <s v="Complete"/>
    <s v="a8222c"/>
  </r>
  <r>
    <x v="2"/>
    <s v="B6 1033"/>
    <s v="JBU1033"/>
    <s v="MCO"/>
    <s v="KMCO"/>
    <s v="SJU"/>
    <s v="TJSJ"/>
    <d v="2026-09-26T11:21:39"/>
    <d v="2026-09-26T13:50:31"/>
    <n v="149"/>
    <x v="22"/>
    <s v="A320"/>
    <s v="A320"/>
    <s v="Landing inferred"/>
    <s v="a7456c"/>
  </r>
  <r>
    <x v="2"/>
    <s v="B6 17"/>
    <s v="JBU17"/>
    <s v="JAX"/>
    <s v="KJAX"/>
    <s v="FLL"/>
    <s v="KFLL"/>
    <d v="2026-09-26T11:22:18"/>
    <d v="2026-09-26T12:12:08"/>
    <n v="50"/>
    <x v="18"/>
    <s v="A320"/>
    <s v="A320"/>
    <s v="Complete"/>
    <s v="a694dd"/>
  </r>
  <r>
    <x v="2"/>
    <s v="B6 633"/>
    <s v="JBU633"/>
    <s v="BOS"/>
    <s v="KBOS"/>
    <s v="SFO"/>
    <s v="KSFO"/>
    <d v="2026-09-26T11:22:37"/>
    <d v="2026-09-26T17:08:06"/>
    <n v="345"/>
    <x v="137"/>
    <s v="A321neo"/>
    <s v="A21N"/>
    <s v="Complete"/>
    <s v="a1d2dc"/>
  </r>
  <r>
    <x v="2"/>
    <s v="B6 1088"/>
    <s v="JBU1088"/>
    <s v="JFK"/>
    <s v="KJFK"/>
    <s v="JFK"/>
    <s v="KJFK"/>
    <d v="2026-09-26T11:22:38"/>
    <d v="2026-09-26T20:37:37"/>
    <n v="555"/>
    <x v="89"/>
    <s v="A321"/>
    <s v="A321"/>
    <s v="Complete"/>
    <s v="ad2445"/>
  </r>
  <r>
    <x v="2"/>
    <s v="B6 1048"/>
    <s v="JBU1048"/>
    <s v="SJU"/>
    <s v="TJSJ"/>
    <s v="PHL"/>
    <s v="KPHL"/>
    <d v="2026-09-26T11:24:40"/>
    <d v="2026-09-26T14:55:30"/>
    <n v="211"/>
    <x v="161"/>
    <s v="A320"/>
    <s v="A320"/>
    <s v="Complete"/>
    <s v="a87c4f"/>
  </r>
  <r>
    <x v="2"/>
    <s v="B6 72"/>
    <s v="JBU72"/>
    <s v="EDI"/>
    <s v="EGPH"/>
    <s v="JFK"/>
    <s v="KJFK"/>
    <d v="2026-09-26T11:26:50"/>
    <d v="2026-09-26T18:52:12"/>
    <n v="445"/>
    <x v="101"/>
    <s v="A321neo"/>
    <s v="A21N"/>
    <s v="Complete"/>
    <s v="a1e411"/>
  </r>
  <r>
    <x v="2"/>
    <s v="B6 2380"/>
    <s v="JBU2380"/>
    <s v="IAH"/>
    <s v="KIAH"/>
    <s v="FLL"/>
    <s v="KFLL"/>
    <d v="2026-09-26T11:27:13"/>
    <d v="2026-09-26T13:32:42"/>
    <n v="125"/>
    <x v="149"/>
    <s v="A320"/>
    <s v="A320"/>
    <s v="Complete"/>
    <s v="a88774"/>
  </r>
  <r>
    <x v="2"/>
    <s v="B6 2995"/>
    <s v="JBU2995"/>
    <s v="BWI"/>
    <s v="KBWI"/>
    <s v="FLL"/>
    <s v="KFLL"/>
    <d v="2026-09-26T11:27:32"/>
    <d v="2026-09-26T13:30:03"/>
    <n v="123"/>
    <x v="35"/>
    <s v="A220-300"/>
    <s v="BCS3"/>
    <s v="Complete"/>
    <s v="a38e69"/>
  </r>
  <r>
    <x v="2"/>
    <s v="B6 2272"/>
    <s v="JBU2272"/>
    <s v="AUS"/>
    <s v="KAUS"/>
    <s v="FLL"/>
    <s v="KFLL"/>
    <d v="2026-09-26T11:29:18"/>
    <d v="2026-09-26T13:57:04"/>
    <n v="148"/>
    <x v="170"/>
    <s v="A320"/>
    <s v="A320"/>
    <s v="Complete"/>
    <s v="a69894"/>
  </r>
  <r>
    <x v="2"/>
    <s v="B6 917"/>
    <s v="JBU917"/>
    <s v="BOS"/>
    <s v="KBOS"/>
    <s v="JFK"/>
    <s v="KJFK"/>
    <d v="2026-09-26T11:30:18"/>
    <d v="2026-09-26T12:31:16"/>
    <n v="61"/>
    <x v="38"/>
    <s v="A220-300"/>
    <s v="BCS3"/>
    <s v="Complete"/>
    <s v="a350c3"/>
  </r>
  <r>
    <x v="2"/>
    <s v="B6 75"/>
    <s v="JBU75"/>
    <s v="JFK"/>
    <s v="KJFK"/>
    <s v="MSY"/>
    <s v="KMSY"/>
    <d v="2026-09-26T11:31:57"/>
    <d v="2026-09-26T14:05:53"/>
    <n v="154"/>
    <x v="262"/>
    <s v="A220-300"/>
    <s v="BCS3"/>
    <s v="Complete"/>
    <s v="a33843"/>
  </r>
  <r>
    <x v="2"/>
    <s v="B6 707"/>
    <s v="JBU707"/>
    <s v="FLL"/>
    <s v="KFLL"/>
    <s v="LAS"/>
    <s v="KLAS"/>
    <d v="2026-09-26T11:33:02"/>
    <d v="2026-09-26T16:17:32"/>
    <n v="284"/>
    <x v="52"/>
    <s v="A321"/>
    <s v="A321"/>
    <s v="Complete"/>
    <s v="ad60b7"/>
  </r>
  <r>
    <x v="2"/>
    <s v="B6 1145"/>
    <s v="JBU1145"/>
    <s v="RIC"/>
    <s v="KRIC"/>
    <s v="FLL"/>
    <s v="KFLL"/>
    <d v="2026-09-26T11:37:33"/>
    <d v="2026-09-26T13:19:37"/>
    <n v="102"/>
    <x v="226"/>
    <s v="A320"/>
    <s v="A320"/>
    <s v="Complete"/>
    <s v="a732d9"/>
  </r>
  <r>
    <x v="2"/>
    <s v="B6 579"/>
    <s v="JBU579"/>
    <s v="DCA"/>
    <s v="KDCA"/>
    <s v="FLL"/>
    <s v="KFLL"/>
    <d v="2026-09-26T11:39:16"/>
    <d v="2026-09-26T13:41:17"/>
    <n v="122"/>
    <x v="212"/>
    <s v="A220-300"/>
    <s v="BCS3"/>
    <s v="Complete"/>
    <s v="a34e01"/>
  </r>
  <r>
    <x v="2"/>
    <s v="B6 599"/>
    <s v="JBU599"/>
    <s v="LGA"/>
    <s v="KLGA"/>
    <s v="MCO"/>
    <s v="KMCO"/>
    <d v="2026-09-26T11:39:57"/>
    <d v="2026-09-26T14:31:42"/>
    <n v="172"/>
    <x v="53"/>
    <s v="A320"/>
    <s v="A320"/>
    <s v="Complete"/>
    <s v="a73dfe"/>
  </r>
  <r>
    <x v="2"/>
    <s v="B6 21"/>
    <s v="JBU21"/>
    <s v="BOS"/>
    <s v="KBOS"/>
    <s v="DJT"/>
    <s v="KPBI"/>
    <d v="2026-09-26T11:40:49"/>
    <d v="2026-09-26T14:17:11"/>
    <n v="156"/>
    <x v="109"/>
    <s v="A321"/>
    <s v="A321"/>
    <s v="Complete"/>
    <s v="ad846f"/>
  </r>
  <r>
    <x v="2"/>
    <s v="B6 1480"/>
    <s v="JBU1480"/>
    <s v="FLL"/>
    <s v="KFLL"/>
    <s v="DCA"/>
    <s v="KDCA"/>
    <d v="2026-09-26T11:40:54"/>
    <d v="2026-09-26T13:41:30"/>
    <n v="121"/>
    <x v="91"/>
    <s v="A320"/>
    <s v="A320"/>
    <s v="Complete"/>
    <s v="a8a017"/>
  </r>
  <r>
    <x v="2"/>
    <s v="B6 1193"/>
    <s v="JBU1193"/>
    <s v="BOS"/>
    <s v="KBOS"/>
    <s v="BOS"/>
    <s v="KBOS"/>
    <d v="2026-09-26T11:43:21"/>
    <d v="2026-09-26T20:40:16"/>
    <n v="537"/>
    <x v="155"/>
    <s v="A220-300"/>
    <s v="BCS3"/>
    <s v="Complete"/>
    <s v="a35854"/>
  </r>
  <r>
    <x v="2"/>
    <s v="B6 2024"/>
    <s v="JBU2024"/>
    <s v="MCO"/>
    <s v="KMCO"/>
    <s v="DCA"/>
    <s v="KDCA"/>
    <d v="2026-09-26T11:44:16"/>
    <d v="2026-09-26T13:32:05"/>
    <n v="108"/>
    <x v="231"/>
    <s v="A320"/>
    <s v="A320"/>
    <s v="Complete"/>
    <s v="a7de53"/>
  </r>
  <r>
    <x v="2"/>
    <s v="B6 1080"/>
    <s v="JBU1080"/>
    <s v="EDI"/>
    <s v="EGPH"/>
    <s v="BOS"/>
    <s v="KBOS"/>
    <d v="2026-09-26T11:46:53"/>
    <d v="2026-09-26T18:52:05"/>
    <n v="425"/>
    <x v="241"/>
    <s v="A321neo"/>
    <s v="A21N"/>
    <s v="Complete"/>
    <s v="a1d99b"/>
  </r>
  <r>
    <x v="2"/>
    <s v="B6 594"/>
    <s v="JBU594"/>
    <m/>
    <m/>
    <s v="EWR"/>
    <s v="KEWR"/>
    <d v="2026-09-26T11:48:32"/>
    <d v="2026-09-26T13:31:35"/>
    <n v="103"/>
    <x v="219"/>
    <s v="A320"/>
    <s v="A320"/>
    <s v="Complete"/>
    <s v="a6587b"/>
  </r>
  <r>
    <x v="2"/>
    <s v="B6 883"/>
    <s v="JBU883"/>
    <s v="JFK"/>
    <s v="KJFK"/>
    <s v="MCO"/>
    <s v="KMCO"/>
    <d v="2026-09-26T11:50:05"/>
    <d v="2026-09-26T14:04:33"/>
    <n v="134"/>
    <x v="252"/>
    <s v="A321neo"/>
    <s v="A21N"/>
    <s v="Complete"/>
    <s v="a1b2ee"/>
  </r>
  <r>
    <x v="2"/>
    <s v="B6 2179"/>
    <s v="JBU2179"/>
    <s v="FLL"/>
    <s v="KFLL"/>
    <s v="IAH"/>
    <s v="KIAH"/>
    <d v="2026-09-26T11:55:27"/>
    <d v="2026-09-26T14:03:28"/>
    <n v="128"/>
    <x v="185"/>
    <s v="A320"/>
    <s v="A320"/>
    <s v="Landing inferred"/>
    <s v="a7bfa0"/>
  </r>
  <r>
    <x v="2"/>
    <s v="B6 169"/>
    <s v="JBU169"/>
    <s v="JFK"/>
    <s v="KJFK"/>
    <m/>
    <m/>
    <d v="2026-09-26T11:55:38"/>
    <d v="2026-09-26T12:49:25"/>
    <n v="54"/>
    <x v="218"/>
    <s v="A320"/>
    <s v="A320"/>
    <s v="Signal lost"/>
    <s v="a7167f"/>
  </r>
  <r>
    <x v="2"/>
    <s v="B6 1179"/>
    <s v="JBU1179"/>
    <s v="JFK"/>
    <s v="KJFK"/>
    <s v="JFK"/>
    <s v="KJFK"/>
    <d v="2026-09-26T11:56:52"/>
    <d v="2026-09-26T20:02:37"/>
    <n v="486"/>
    <x v="75"/>
    <s v="A320"/>
    <s v="A320"/>
    <s v="Complete"/>
    <s v="ab6800"/>
  </r>
  <r>
    <x v="2"/>
    <s v="B6 1626"/>
    <s v="JBU1626"/>
    <s v="FLL"/>
    <s v="KFLL"/>
    <s v="RDU"/>
    <s v="KRDU"/>
    <d v="2026-09-26T11:57:23"/>
    <d v="2026-09-26T13:56:41"/>
    <n v="119"/>
    <x v="217"/>
    <s v="A320"/>
    <s v="A320"/>
    <s v="Complete"/>
    <s v="aaf8f1"/>
  </r>
  <r>
    <x v="2"/>
    <s v="B6 1067"/>
    <s v="JBU1067"/>
    <s v="HPN"/>
    <s v="KHPN"/>
    <s v="DJT"/>
    <s v="KPBI"/>
    <d v="2026-09-26T12:02:42"/>
    <d v="2026-09-26T14:15:10"/>
    <n v="132"/>
    <x v="73"/>
    <s v="A320"/>
    <s v="A320"/>
    <s v="Complete"/>
    <s v="a73690"/>
  </r>
  <r>
    <x v="2"/>
    <s v="B6 2083"/>
    <s v="JBU2083"/>
    <s v="BOS"/>
    <s v="KBOS"/>
    <s v="RDU"/>
    <s v="KRDU"/>
    <d v="2026-09-26T12:03:13"/>
    <d v="2026-09-26T13:50:37"/>
    <n v="107"/>
    <x v="175"/>
    <s v="A220-300"/>
    <s v="BCS3"/>
    <s v="Complete"/>
    <s v="a38ad5"/>
  </r>
  <r>
    <x v="2"/>
    <s v="B6 1236"/>
    <s v="JBU1236"/>
    <s v="DTW"/>
    <s v="KDTW"/>
    <s v="BOS"/>
    <s v="KBOS"/>
    <d v="2026-09-26T12:04:20"/>
    <d v="2026-09-26T13:46:38"/>
    <n v="102"/>
    <x v="215"/>
    <s v="A220-300"/>
    <s v="BCS3"/>
    <s v="Complete"/>
    <s v="a398bc"/>
  </r>
  <r>
    <x v="2"/>
    <s v="B6 2482"/>
    <s v="JBU2482"/>
    <s v="BNA"/>
    <s v="KBNA"/>
    <s v="FLL"/>
    <s v="KFLL"/>
    <d v="2026-09-26T12:05:23"/>
    <d v="2026-09-26T14:05:51"/>
    <n v="120"/>
    <x v="80"/>
    <s v="A320"/>
    <s v="A320"/>
    <s v="Complete"/>
    <s v="a8ab3c"/>
  </r>
  <r>
    <x v="2"/>
    <s v="B6 1822"/>
    <s v="JBU1822"/>
    <s v="MSY"/>
    <s v="KMSY"/>
    <s v="FLL"/>
    <s v="KFLL"/>
    <d v="2026-09-26T12:07:50"/>
    <d v="2026-09-26T13:44:19"/>
    <n v="96"/>
    <x v="81"/>
    <s v="A320"/>
    <s v="A320"/>
    <s v="Complete"/>
    <s v="a83e86"/>
  </r>
  <r>
    <x v="2"/>
    <s v="B6 2625"/>
    <s v="JBU2625"/>
    <s v="RDU"/>
    <s v="KRDU"/>
    <s v="FLL"/>
    <s v="KFLL"/>
    <d v="2026-09-26T12:08:05"/>
    <d v="2026-09-26T13:42:34"/>
    <n v="94"/>
    <x v="221"/>
    <s v="A320"/>
    <s v="A320"/>
    <s v="Complete"/>
    <s v="aaf53a"/>
  </r>
  <r>
    <x v="2"/>
    <s v="B6 271"/>
    <s v="JBU271"/>
    <s v="LGA"/>
    <s v="KLGA"/>
    <s v="FLL"/>
    <s v="KFLL"/>
    <d v="2026-09-26T12:09:05"/>
    <d v="2026-09-26T14:30:49"/>
    <n v="142"/>
    <x v="2"/>
    <s v="A320"/>
    <s v="A320"/>
    <s v="Complete"/>
    <s v="a8a3ce"/>
  </r>
  <r>
    <x v="2"/>
    <s v="B6 1232"/>
    <s v="JBU1232"/>
    <s v="VRB"/>
    <s v="KVRB"/>
    <s v="BOS"/>
    <s v="KBOS"/>
    <d v="2026-09-26T12:10:21"/>
    <d v="2026-09-26T15:04:26"/>
    <n v="174"/>
    <x v="146"/>
    <s v="A220-300"/>
    <s v="BCS3"/>
    <s v="Complete"/>
    <s v="a38af8"/>
  </r>
  <r>
    <x v="2"/>
    <s v="B6 109"/>
    <s v="JBU109"/>
    <s v="BOS"/>
    <s v="KBOS"/>
    <m/>
    <m/>
    <d v="2026-09-26T12:10:34"/>
    <d v="2026-09-26T14:30:04"/>
    <n v="140"/>
    <x v="166"/>
    <s v="A220-300"/>
    <s v="BCS3"/>
    <s v="Landing inferred"/>
    <s v="a34d2f"/>
  </r>
  <r>
    <x v="2"/>
    <s v="B6 1797"/>
    <s v="JBU1797"/>
    <s v="ATL"/>
    <s v="KATL"/>
    <s v="FLL"/>
    <s v="KFLL"/>
    <d v="2026-09-26T12:10:49"/>
    <d v="2026-09-26T13:39:28"/>
    <n v="89"/>
    <x v="141"/>
    <s v="A220-300"/>
    <s v="BCS3"/>
    <s v="Complete"/>
    <s v="a3795a"/>
  </r>
  <r>
    <x v="2"/>
    <s v="B6 1347"/>
    <s v="JBU1347"/>
    <s v="DCA"/>
    <s v="KDCA"/>
    <s v="SJU"/>
    <s v="TJSJ"/>
    <d v="2026-09-26T12:13:32"/>
    <d v="2026-09-26T15:40:59"/>
    <n v="207"/>
    <x v="251"/>
    <s v="A320"/>
    <s v="A320"/>
    <s v="Landing inferred"/>
    <s v="a7ad0d"/>
  </r>
  <r>
    <x v="2"/>
    <s v="B6 686"/>
    <s v="JBU686"/>
    <s v="FLL"/>
    <s v="KFLL"/>
    <s v="EWR"/>
    <s v="KEWR"/>
    <d v="2026-09-26T12:14:34"/>
    <d v="2026-09-26T14:50:22"/>
    <n v="156"/>
    <x v="19"/>
    <s v="A320"/>
    <s v="A320"/>
    <s v="Complete"/>
    <s v="a7da9c"/>
  </r>
  <r>
    <x v="2"/>
    <s v="B6 1055"/>
    <s v="JBU1055"/>
    <s v="BOS"/>
    <s v="KBOS"/>
    <s v="DCA"/>
    <s v="KDCA"/>
    <d v="2026-09-26T12:16:27"/>
    <d v="2026-09-26T13:28:00"/>
    <n v="72"/>
    <x v="43"/>
    <s v="Unknown"/>
    <m/>
    <s v="Complete"/>
    <s v="a39fe4"/>
  </r>
  <r>
    <x v="2"/>
    <s v="B6 538"/>
    <s v="JBU538"/>
    <m/>
    <m/>
    <s v="JFK"/>
    <s v="KJFK"/>
    <d v="2026-09-26T12:20:30"/>
    <d v="2026-09-26T13:48:06"/>
    <n v="88"/>
    <x v="51"/>
    <s v="A220-300"/>
    <s v="BCS3"/>
    <s v="Complete"/>
    <s v="a35949"/>
  </r>
  <r>
    <x v="2"/>
    <s v="B6 203"/>
    <s v="JBU203"/>
    <s v="BOS"/>
    <s v="KBOS"/>
    <s v="BDA"/>
    <s v="TXKF"/>
    <d v="2026-09-26T12:24:37"/>
    <d v="2026-09-26T14:19:35"/>
    <n v="115"/>
    <x v="62"/>
    <s v="A220-300"/>
    <s v="BCS3"/>
    <s v="Complete"/>
    <s v="a37fb0"/>
  </r>
  <r>
    <x v="2"/>
    <s v="B6 2033"/>
    <s v="JBU2033"/>
    <s v="BOS"/>
    <s v="KBOS"/>
    <s v="IAH"/>
    <s v="KIAH"/>
    <d v="2026-09-26T12:26:10"/>
    <d v="2026-09-26T15:57:00"/>
    <n v="211"/>
    <x v="54"/>
    <s v="A320"/>
    <s v="A320"/>
    <s v="Landing inferred"/>
    <s v="a7946a"/>
  </r>
  <r>
    <x v="2"/>
    <s v="B6 1159"/>
    <s v="JBU1159"/>
    <s v="BOS"/>
    <s v="KBOS"/>
    <s v="PHL"/>
    <s v="KPHL"/>
    <d v="2026-09-26T12:27:40"/>
    <d v="2026-09-26T13:38:13"/>
    <n v="71"/>
    <x v="196"/>
    <s v="A220-300"/>
    <s v="BCS3"/>
    <s v="Complete"/>
    <s v="a35c0b"/>
  </r>
  <r>
    <x v="2"/>
    <s v="B6 69"/>
    <s v="JBU69"/>
    <s v="BOS"/>
    <s v="KBOS"/>
    <s v="FLL"/>
    <s v="KFLL"/>
    <d v="2026-09-26T12:29:00"/>
    <d v="2026-09-26T15:13:48"/>
    <n v="165"/>
    <x v="173"/>
    <s v="A320"/>
    <s v="A320"/>
    <s v="Complete"/>
    <s v="a6ab27"/>
  </r>
  <r>
    <x v="2"/>
    <s v="B6 2695"/>
    <s v="JBU2695"/>
    <s v="HPN"/>
    <s v="KHPN"/>
    <s v="MCO"/>
    <s v="KMCO"/>
    <d v="2026-09-26T12:29:10"/>
    <d v="2026-09-26T14:40:31"/>
    <n v="131"/>
    <x v="180"/>
    <s v="A320"/>
    <s v="A320"/>
    <s v="Complete"/>
    <s v="a6b4f7"/>
  </r>
  <r>
    <x v="2"/>
    <s v="B6 1241"/>
    <s v="JBU1241"/>
    <s v="BDL"/>
    <s v="KBDL"/>
    <s v="DJT"/>
    <s v="KPBI"/>
    <d v="2026-09-26T12:30:26"/>
    <d v="2026-09-26T15:02:49"/>
    <n v="152"/>
    <x v="150"/>
    <s v="A320"/>
    <s v="A320"/>
    <s v="Complete"/>
    <s v="a8c796"/>
  </r>
  <r>
    <x v="2"/>
    <s v="B6 861"/>
    <s v="JBU861"/>
    <s v="BOS"/>
    <s v="KBOS"/>
    <s v="SJU"/>
    <s v="TJSJ"/>
    <d v="2026-09-26T12:31:44"/>
    <d v="2026-09-26T16:24:40"/>
    <n v="233"/>
    <x v="42"/>
    <s v="A320"/>
    <s v="A320"/>
    <s v="Landing inferred"/>
    <s v="a854d0"/>
  </r>
  <r>
    <x v="2"/>
    <s v="B6 1134"/>
    <s v="JBU1134"/>
    <s v="SJU"/>
    <s v="TJSJ"/>
    <s v="MCO"/>
    <s v="KMCO"/>
    <d v="2026-09-26T12:34:13"/>
    <d v="2026-09-26T16:32:22"/>
    <n v="238"/>
    <x v="261"/>
    <s v="A320"/>
    <s v="A320"/>
    <s v="Complete"/>
    <s v="aa8b40"/>
  </r>
  <r>
    <x v="2"/>
    <s v="B6 724"/>
    <s v="JBU724"/>
    <m/>
    <m/>
    <s v="BOS"/>
    <s v="KBOS"/>
    <d v="2026-09-26T12:35:15"/>
    <d v="2026-09-26T14:24:37"/>
    <n v="109"/>
    <x v="169"/>
    <s v="A320"/>
    <s v="A320"/>
    <s v="Complete"/>
    <s v="a8712a"/>
  </r>
  <r>
    <x v="2"/>
    <s v="B6 848"/>
    <s v="JBU848"/>
    <s v="CLT"/>
    <s v="KCLT"/>
    <s v="FLL"/>
    <s v="KFLL"/>
    <d v="2026-09-26T12:35:37"/>
    <d v="2026-09-26T14:09:15"/>
    <n v="94"/>
    <x v="260"/>
    <s v="A320"/>
    <s v="A320"/>
    <s v="Complete"/>
    <s v="aa600a"/>
  </r>
  <r>
    <x v="2"/>
    <s v="B6 2260"/>
    <s v="JBU2260"/>
    <s v="MAD"/>
    <s v="LEMD"/>
    <m/>
    <m/>
    <d v="2026-09-26T12:35:45"/>
    <d v="2026-09-26T13:35:29"/>
    <n v="60"/>
    <x v="74"/>
    <s v="A321neo"/>
    <s v="A21N"/>
    <s v="Signal lost"/>
    <s v="a4bef6"/>
  </r>
  <r>
    <x v="2"/>
    <s v="B6 276"/>
    <s v="JBU276"/>
    <s v="SJU"/>
    <s v="TJSJ"/>
    <s v="BDL"/>
    <s v="KBDL"/>
    <d v="2026-09-26T12:37:32"/>
    <d v="2026-09-26T16:19:13"/>
    <n v="222"/>
    <x v="245"/>
    <s v="A320"/>
    <s v="A320"/>
    <s v="Landing inferred"/>
    <s v="a7a956"/>
  </r>
  <r>
    <x v="2"/>
    <s v="B6 2173"/>
    <s v="JBU2173"/>
    <s v="BOS"/>
    <s v="KBOS"/>
    <m/>
    <m/>
    <d v="2026-09-26T12:42:07"/>
    <d v="2026-09-26T14:55:22"/>
    <n v="133"/>
    <x v="26"/>
    <s v="A320"/>
    <s v="A320"/>
    <s v="Signal lost"/>
    <s v="a67883"/>
  </r>
  <r>
    <x v="2"/>
    <s v="B6 1273"/>
    <s v="JBU1273"/>
    <s v="JFK"/>
    <s v="KJFK"/>
    <s v="CHS"/>
    <s v="KCHS"/>
    <d v="2026-09-26T12:44:00"/>
    <d v="2026-09-26T14:14:48"/>
    <n v="91"/>
    <x v="88"/>
    <s v="A220-300"/>
    <s v="BCS3"/>
    <s v="Landing inferred"/>
    <s v="a37842"/>
  </r>
  <r>
    <x v="2"/>
    <s v="B6 2229"/>
    <s v="JBU2229"/>
    <s v="BOS"/>
    <s v="KBOS"/>
    <s v="MKE"/>
    <s v="KMKE"/>
    <d v="2026-09-26T12:45:00"/>
    <d v="2026-09-26T14:42:42"/>
    <n v="118"/>
    <x v="207"/>
    <s v="A220-300"/>
    <s v="BCS3"/>
    <s v="Landing inferred"/>
    <s v="a3355e"/>
  </r>
  <r>
    <x v="2"/>
    <s v="B6 2920"/>
    <s v="JBU2920"/>
    <s v="ALB"/>
    <s v="KALB"/>
    <s v="MCO"/>
    <s v="KMCO"/>
    <d v="2026-09-26T12:45:55"/>
    <d v="2026-09-26T15:25:05"/>
    <n v="159"/>
    <x v="130"/>
    <s v="A320"/>
    <s v="A320"/>
    <s v="Complete"/>
    <s v="a776b2"/>
  </r>
  <r>
    <x v="2"/>
    <s v="B6 1906"/>
    <s v="JBU1906"/>
    <s v="TPA"/>
    <s v="KTPA"/>
    <s v="FLL"/>
    <s v="KFLL"/>
    <d v="2026-09-26T12:47:15"/>
    <d v="2026-09-26T13:35:15"/>
    <n v="48"/>
    <x v="157"/>
    <s v="A320"/>
    <s v="A320"/>
    <s v="Complete"/>
    <s v="aacf19"/>
  </r>
  <r>
    <x v="2"/>
    <s v="B6 105"/>
    <s v="JBU105"/>
    <s v="EWR"/>
    <s v="KEWR"/>
    <s v="FLL"/>
    <s v="KFLL"/>
    <d v="2026-09-26T12:47:44"/>
    <d v="2026-09-26T15:03:01"/>
    <n v="135"/>
    <x v="92"/>
    <s v="A320"/>
    <s v="A320"/>
    <s v="Complete"/>
    <s v="a849ab"/>
  </r>
  <r>
    <x v="2"/>
    <s v="B6 223"/>
    <s v="JBU223"/>
    <s v="JFK"/>
    <s v="KJFK"/>
    <s v="LAX"/>
    <s v="KLAX"/>
    <d v="2026-09-26T12:50:28"/>
    <d v="2026-09-26T18:10:09"/>
    <n v="320"/>
    <x v="63"/>
    <s v="A321neo"/>
    <s v="A21N"/>
    <s v="Complete"/>
    <s v="a1de8d"/>
  </r>
  <r>
    <x v="2"/>
    <s v="B6 1381"/>
    <s v="JBU1381"/>
    <s v="JFK"/>
    <s v="KJFK"/>
    <s v="IAH"/>
    <s v="KIAH"/>
    <d v="2026-09-26T12:52:56"/>
    <d v="2026-09-26T15:59:25"/>
    <n v="186"/>
    <x v="198"/>
    <s v="A220-300"/>
    <s v="BCS3"/>
    <s v="Landing inferred"/>
    <s v="a349be"/>
  </r>
  <r>
    <x v="2"/>
    <s v="B6 1215"/>
    <s v="JBU1215"/>
    <s v="BOS"/>
    <s v="KBOS"/>
    <s v="BUF"/>
    <s v="KBUF"/>
    <d v="2026-09-26T12:55:38"/>
    <d v="2026-09-26T14:07:51"/>
    <n v="72"/>
    <x v="165"/>
    <s v="A320"/>
    <s v="A320"/>
    <s v="Landing inferred"/>
    <s v="aa4d77"/>
  </r>
  <r>
    <x v="2"/>
    <s v="B6 567"/>
    <s v="JBU567"/>
    <s v="BOS"/>
    <s v="KBOS"/>
    <s v="CHS"/>
    <s v="KCHS"/>
    <d v="2026-09-26T13:04:47"/>
    <d v="2026-09-26T15:09:23"/>
    <n v="125"/>
    <x v="64"/>
    <s v="A220-300"/>
    <s v="BCS3"/>
    <s v="Landing inferred"/>
    <s v="a33ca9"/>
  </r>
  <r>
    <x v="2"/>
    <s v="B6 1286"/>
    <s v="JBU1286"/>
    <s v="PIT"/>
    <s v="KPIT"/>
    <s v="BOS"/>
    <s v="KBOS"/>
    <d v="2026-09-26T13:05:29"/>
    <d v="2026-09-26T14:33:07"/>
    <n v="88"/>
    <x v="227"/>
    <s v="A220-300"/>
    <s v="BCS3"/>
    <s v="Complete"/>
    <s v="a34978"/>
  </r>
  <r>
    <x v="2"/>
    <s v="B6 273"/>
    <s v="JBU273"/>
    <s v="JFK"/>
    <s v="KJFK"/>
    <s v="BNA"/>
    <s v="KBNA"/>
    <d v="2026-09-26T13:05:40"/>
    <d v="2026-09-26T16:01:59"/>
    <n v="176"/>
    <x v="116"/>
    <s v="A220-300"/>
    <s v="BCS3"/>
    <s v="Complete"/>
    <s v="a38367"/>
  </r>
  <r>
    <x v="2"/>
    <s v="B6 1281"/>
    <s v="JBU1281"/>
    <s v="BOS"/>
    <s v="KBOS"/>
    <s v="RIC"/>
    <s v="KRIC"/>
    <d v="2026-09-26T13:08:39"/>
    <d v="2026-09-26T14:24:46"/>
    <n v="76"/>
    <x v="139"/>
    <s v="A220-300"/>
    <s v="BCS3"/>
    <s v="Landing inferred"/>
    <s v="a38b84"/>
  </r>
  <r>
    <x v="2"/>
    <s v="B6 2348"/>
    <s v="JBU2348"/>
    <s v="LAS"/>
    <s v="KLAS"/>
    <s v="JFK"/>
    <s v="KJFK"/>
    <d v="2026-09-26T13:09:34"/>
    <d v="2026-09-26T17:44:04"/>
    <n v="275"/>
    <x v="199"/>
    <s v="A321"/>
    <s v="A321"/>
    <s v="Complete"/>
    <s v="adb723"/>
  </r>
  <r>
    <x v="2"/>
    <s v="B6 116"/>
    <s v="JBU116"/>
    <s v="SFO"/>
    <s v="KSFO"/>
    <s v="JFK"/>
    <s v="KJFK"/>
    <d v="2026-09-26T13:10:56"/>
    <d v="2026-09-26T18:19:29"/>
    <n v="309"/>
    <x v="104"/>
    <s v="A321"/>
    <s v="A321"/>
    <s v="Complete"/>
    <s v="adbe91"/>
  </r>
  <r>
    <x v="2"/>
    <s v="B6 1107"/>
    <s v="JBU1107"/>
    <s v="JFK"/>
    <s v="KJFK"/>
    <s v="LHR"/>
    <s v="EGLL"/>
    <d v="2026-09-26T13:11:42"/>
    <d v="2026-09-26T19:20:47"/>
    <n v="369"/>
    <x v="179"/>
    <s v="A321neo"/>
    <s v="A21N"/>
    <s v="Complete"/>
    <s v="a4b6b6"/>
  </r>
  <r>
    <x v="2"/>
    <s v="B6 2154"/>
    <s v="JBU2154"/>
    <s v="SJU"/>
    <s v="TJSJ"/>
    <s v="FLL"/>
    <s v="KFLL"/>
    <d v="2026-09-26T13:13:21"/>
    <d v="2026-09-26T15:30:20"/>
    <n v="137"/>
    <x v="25"/>
    <s v="A320"/>
    <s v="A320"/>
    <s v="Complete"/>
    <s v="a8299a"/>
  </r>
  <r>
    <x v="2"/>
    <s v="B6 393"/>
    <s v="JBU393"/>
    <s v="BOS"/>
    <s v="KBOS"/>
    <s v="DEN"/>
    <s v="KDEN"/>
    <d v="2026-09-26T13:14:11"/>
    <d v="2026-09-26T16:59:11"/>
    <n v="225"/>
    <x v="265"/>
    <s v="A220-300"/>
    <s v="BCS3"/>
    <s v="Complete"/>
    <s v="a3549d"/>
  </r>
  <r>
    <x v="2"/>
    <s v="B6 716"/>
    <s v="JBU716"/>
    <s v="BUF"/>
    <s v="KBUF"/>
    <s v="BOS"/>
    <s v="KBOS"/>
    <d v="2026-09-26T13:14:20"/>
    <d v="2026-09-26T14:27:52"/>
    <n v="74"/>
    <x v="143"/>
    <s v="A220-300"/>
    <s v="BCS3"/>
    <s v="Complete"/>
    <s v="a34d52"/>
  </r>
  <r>
    <x v="2"/>
    <s v="B6 1073"/>
    <s v="JBU1073"/>
    <m/>
    <m/>
    <m/>
    <m/>
    <d v="2026-09-26T13:15:03"/>
    <d v="2026-09-26T13:40:22"/>
    <n v="25"/>
    <x v="164"/>
    <s v="A321"/>
    <s v="A321"/>
    <s v="Signal lost"/>
    <s v="adf128"/>
  </r>
  <r>
    <x v="2"/>
    <s v="B6 2074"/>
    <s v="JBU2074"/>
    <s v="LAX"/>
    <s v="KLAX"/>
    <s v="EWR"/>
    <s v="KEWR"/>
    <d v="2026-09-26T13:16:38"/>
    <d v="2026-09-26T18:19:55"/>
    <n v="303"/>
    <x v="86"/>
    <s v="A321"/>
    <s v="A321"/>
    <s v="Complete"/>
    <s v="ad646e"/>
  </r>
  <r>
    <x v="2"/>
    <s v="B6 1002"/>
    <s v="JBU1002"/>
    <s v="FLL"/>
    <s v="KFLL"/>
    <s v="JFK"/>
    <s v="KJFK"/>
    <d v="2026-09-26T13:16:48"/>
    <d v="2026-09-26T15:43:38"/>
    <n v="147"/>
    <x v="234"/>
    <s v="A321"/>
    <s v="A321"/>
    <s v="Complete"/>
    <s v="ad56e0"/>
  </r>
  <r>
    <x v="2"/>
    <s v="B6 94"/>
    <s v="JBU94"/>
    <s v="MCO"/>
    <s v="KMCO"/>
    <s v="HPN"/>
    <s v="KHPN"/>
    <d v="2026-09-26T13:17:03"/>
    <d v="2026-09-26T15:37:17"/>
    <n v="140"/>
    <x v="242"/>
    <s v="A320"/>
    <s v="A320"/>
    <s v="Complete"/>
    <s v="a770a2"/>
  </r>
  <r>
    <x v="2"/>
    <s v="B6 1340"/>
    <s v="JBU1340"/>
    <s v="CLE"/>
    <s v="KCLE"/>
    <s v="BOS"/>
    <s v="KBOS"/>
    <d v="2026-09-26T13:17:21"/>
    <d v="2026-09-26T14:53:35"/>
    <n v="96"/>
    <x v="4"/>
    <s v="Unknown"/>
    <m/>
    <s v="Complete"/>
    <s v="a38fa4"/>
  </r>
  <r>
    <x v="2"/>
    <s v="B6 1077"/>
    <s v="JBU1077"/>
    <s v="MCO"/>
    <s v="KMCO"/>
    <s v="SJU"/>
    <s v="TJSJ"/>
    <d v="2026-09-26T13:18:17"/>
    <d v="2026-09-26T17:44:28"/>
    <n v="266"/>
    <x v="72"/>
    <s v="A320"/>
    <s v="A320"/>
    <s v="Landing inferred"/>
    <s v="a752ea"/>
  </r>
  <r>
    <x v="2"/>
    <s v="B6 979"/>
    <s v="JBU979"/>
    <s v="FLL"/>
    <s v="KFLL"/>
    <s v="DFW"/>
    <s v="KDFW"/>
    <d v="2026-09-26T13:18:19"/>
    <d v="2026-09-26T16:00:43"/>
    <n v="162"/>
    <x v="236"/>
    <s v="A320"/>
    <s v="A320"/>
    <s v="Complete"/>
    <s v="a8aef3"/>
  </r>
  <r>
    <x v="2"/>
    <s v="B6 2547"/>
    <s v="JBU2547"/>
    <s v="MCO"/>
    <s v="KMCO"/>
    <s v="FLL"/>
    <s v="KFLL"/>
    <d v="2026-09-26T13:19:43"/>
    <d v="2026-09-26T14:00:57"/>
    <n v="41"/>
    <x v="263"/>
    <s v="A320"/>
    <s v="A320"/>
    <s v="Complete"/>
    <s v="a825e3"/>
  </r>
  <r>
    <x v="2"/>
    <s v="B6 374"/>
    <s v="JBU374"/>
    <s v="SYR"/>
    <s v="KSYR"/>
    <s v="BOS"/>
    <s v="KBOS"/>
    <d v="2026-09-26T13:23:59"/>
    <d v="2026-09-26T14:22:52"/>
    <n v="59"/>
    <x v="244"/>
    <s v="A220-300"/>
    <s v="BCS3"/>
    <s v="Complete"/>
    <s v="a35109"/>
  </r>
  <r>
    <x v="2"/>
    <s v="B6 310"/>
    <s v="JBU310"/>
    <m/>
    <m/>
    <s v="JFK"/>
    <s v="KJFK"/>
    <d v="2026-09-26T13:26:20"/>
    <d v="2026-09-26T14:21:46"/>
    <n v="55"/>
    <x v="205"/>
    <s v="A321"/>
    <s v="A321"/>
    <s v="Complete"/>
    <s v="ad8fa4"/>
  </r>
  <r>
    <x v="2"/>
    <s v="B6 2909"/>
    <s v="JBU2909"/>
    <s v="BOS"/>
    <s v="KBOS"/>
    <s v="JAX"/>
    <s v="KJAX"/>
    <d v="2026-09-26T13:27:45"/>
    <d v="2026-09-26T15:41:38"/>
    <n v="134"/>
    <x v="21"/>
    <s v="A320"/>
    <s v="A320"/>
    <s v="Landing inferred"/>
    <s v="a9607d"/>
  </r>
  <r>
    <x v="2"/>
    <s v="B6 905"/>
    <s v="JBU905"/>
    <s v="JFK"/>
    <s v="KJFK"/>
    <s v="ORD"/>
    <s v="KORD"/>
    <d v="2026-09-26T13:27:45"/>
    <d v="2026-09-26T15:17:28"/>
    <n v="110"/>
    <x v="160"/>
    <s v="A220-300"/>
    <s v="BCS3"/>
    <s v="Complete"/>
    <s v="a39243"/>
  </r>
  <r>
    <x v="2"/>
    <s v="B6 1601"/>
    <s v="JBU1601"/>
    <s v="JFK"/>
    <s v="KJFK"/>
    <s v="FLL"/>
    <s v="KFLL"/>
    <d v="2026-09-26T13:28:45"/>
    <d v="2026-09-26T15:40:22"/>
    <n v="132"/>
    <x v="167"/>
    <s v="A320"/>
    <s v="A320"/>
    <s v="Complete"/>
    <s v="a85c3e"/>
  </r>
  <r>
    <x v="2"/>
    <s v="B6 361"/>
    <s v="JBU361"/>
    <s v="JFK"/>
    <s v="KJFK"/>
    <m/>
    <m/>
    <d v="2026-09-26T13:30:54"/>
    <d v="2026-09-26T23:59:53"/>
    <n v="629"/>
    <x v="182"/>
    <s v="A321"/>
    <s v="A321"/>
    <s v="Airborne at end of data"/>
    <s v="adde95"/>
  </r>
  <r>
    <x v="2"/>
    <s v="B6 149"/>
    <s v="JBU149"/>
    <s v="JFK"/>
    <s v="KJFK"/>
    <m/>
    <m/>
    <d v="2026-09-26T13:32:07"/>
    <d v="2026-09-26T23:59:51"/>
    <n v="628"/>
    <x v="123"/>
    <s v="A321"/>
    <s v="A321"/>
    <s v="Airborne at end of data"/>
    <s v="ad2095"/>
  </r>
  <r>
    <x v="2"/>
    <s v="B6 452"/>
    <s v="JBU452"/>
    <s v="SJU"/>
    <s v="TJSJ"/>
    <s v="TPA"/>
    <s v="KTPA"/>
    <d v="2026-09-26T13:35:18"/>
    <d v="2026-09-26T16:14:16"/>
    <n v="159"/>
    <x v="188"/>
    <s v="A321"/>
    <s v="A321"/>
    <s v="Complete"/>
    <s v="ad444d"/>
  </r>
  <r>
    <x v="2"/>
    <s v="B6 9012"/>
    <s v="JBU9012"/>
    <s v="LAS"/>
    <s v="KLAS"/>
    <s v="FLL"/>
    <s v="KFLL"/>
    <d v="2026-09-26T13:36:32"/>
    <d v="2026-09-26T17:47:25"/>
    <n v="251"/>
    <x v="257"/>
    <s v="A320"/>
    <s v="A320"/>
    <s v="Complete"/>
    <s v="a74f33"/>
  </r>
  <r>
    <x v="2"/>
    <s v="B6 2087"/>
    <s v="JBU2087"/>
    <s v="PVD"/>
    <s v="KPVD"/>
    <s v="DJT"/>
    <s v="KPBI"/>
    <d v="2026-09-26T13:40:37"/>
    <d v="2026-09-26T16:04:13"/>
    <n v="144"/>
    <x v="102"/>
    <s v="A320"/>
    <s v="A320"/>
    <s v="Complete"/>
    <s v="a80d40"/>
  </r>
  <r>
    <x v="2"/>
    <s v="B6 1111"/>
    <s v="JBU1111"/>
    <s v="JFK"/>
    <s v="KJFK"/>
    <m/>
    <m/>
    <d v="2026-09-26T13:41:20"/>
    <d v="2026-09-26T14:34:22"/>
    <n v="53"/>
    <x v="13"/>
    <s v="A320"/>
    <s v="A320"/>
    <s v="Signal lost"/>
    <s v="a8913b"/>
  </r>
  <r>
    <x v="2"/>
    <s v="B6 384"/>
    <s v="JBU384"/>
    <s v="MCO"/>
    <s v="KMCO"/>
    <s v="JFK"/>
    <s v="KJFK"/>
    <d v="2026-09-26T13:43:10"/>
    <d v="2026-09-26T15:50:29"/>
    <n v="127"/>
    <x v="152"/>
    <s v="A321"/>
    <s v="A321"/>
    <s v="Complete"/>
    <s v="ac89f7"/>
  </r>
  <r>
    <x v="2"/>
    <s v="B6 872"/>
    <s v="JBU872"/>
    <s v="FLL"/>
    <s v="KFLL"/>
    <s v="LGA"/>
    <s v="KLGA"/>
    <d v="2026-09-26T13:44:34"/>
    <d v="2026-09-26T16:10:18"/>
    <n v="146"/>
    <x v="18"/>
    <s v="A320"/>
    <s v="A320"/>
    <s v="Complete"/>
    <s v="a694dd"/>
  </r>
  <r>
    <x v="2"/>
    <s v="B6 2801"/>
    <s v="JBU2801"/>
    <s v="FLL"/>
    <s v="KFLL"/>
    <s v="LAX"/>
    <s v="KLAX"/>
    <d v="2026-09-26T13:45:43"/>
    <d v="2026-09-26T18:42:55"/>
    <n v="297"/>
    <x v="120"/>
    <s v="A321"/>
    <s v="A321"/>
    <s v="Complete"/>
    <s v="adc9b6"/>
  </r>
  <r>
    <x v="2"/>
    <s v="B6 2371"/>
    <s v="JBU2371"/>
    <s v="FLL"/>
    <s v="KFLL"/>
    <s v="AUS"/>
    <s v="KAUS"/>
    <d v="2026-09-26T13:49:45"/>
    <d v="2026-09-26T16:20:28"/>
    <n v="151"/>
    <x v="125"/>
    <s v="A320"/>
    <s v="A320"/>
    <s v="Complete"/>
    <s v="a721a4"/>
  </r>
  <r>
    <x v="2"/>
    <s v="B6 2821"/>
    <s v="JBU2821"/>
    <s v="MCO"/>
    <s v="KMCO"/>
    <s v="LAS"/>
    <s v="KLAS"/>
    <d v="2026-09-26T13:51:49"/>
    <d v="2026-09-26T18:19:26"/>
    <n v="268"/>
    <x v="202"/>
    <s v="A321"/>
    <s v="A321"/>
    <s v="Complete"/>
    <s v="adabfe"/>
  </r>
  <r>
    <x v="2"/>
    <s v="B6 288"/>
    <s v="JBU288"/>
    <s v="LAX"/>
    <s v="KLAX"/>
    <s v="BOS"/>
    <s v="KBOS"/>
    <d v="2026-09-26T13:52:05"/>
    <d v="2026-09-26T19:31:11"/>
    <n v="339"/>
    <x v="96"/>
    <s v="A321"/>
    <s v="A321"/>
    <s v="Complete"/>
    <s v="adcd6d"/>
  </r>
  <r>
    <x v="2"/>
    <s v="B6 813"/>
    <s v="JBU813"/>
    <s v="HPN"/>
    <s v="KHPN"/>
    <s v="FLL"/>
    <s v="KFLL"/>
    <d v="2026-09-26T13:52:52"/>
    <d v="2026-09-26T16:12:01"/>
    <n v="139"/>
    <x v="5"/>
    <s v="A320"/>
    <s v="A320"/>
    <s v="Complete"/>
    <s v="a87898"/>
  </r>
  <r>
    <x v="2"/>
    <s v="B6 1793"/>
    <s v="JBU1793"/>
    <s v="JFK"/>
    <s v="KJFK"/>
    <s v="SJO"/>
    <s v="MROC"/>
    <d v="2026-09-26T13:55:39"/>
    <d v="2026-09-26T18:24:07"/>
    <n v="268"/>
    <x v="14"/>
    <s v="A320"/>
    <s v="A320"/>
    <s v="Landing inferred"/>
    <s v="aa589c"/>
  </r>
  <r>
    <x v="2"/>
    <s v="B6 2028"/>
    <s v="JBU2028"/>
    <s v="MCO"/>
    <s v="KMCO"/>
    <s v="EWR"/>
    <s v="KEWR"/>
    <d v="2026-09-26T13:57:00"/>
    <d v="2026-09-26T16:05:02"/>
    <n v="128"/>
    <x v="247"/>
    <s v="A320"/>
    <s v="A320"/>
    <s v="Complete"/>
    <s v="a6f2b7"/>
  </r>
  <r>
    <x v="2"/>
    <s v="B6 1017"/>
    <s v="JBU1017"/>
    <s v="BOS"/>
    <s v="KBOS"/>
    <s v="JFK"/>
    <s v="KJFK"/>
    <d v="2026-09-26T13:59:56"/>
    <d v="2026-09-26T14:59:31"/>
    <n v="60"/>
    <x v="50"/>
    <s v="A220-300"/>
    <s v="BCS3"/>
    <s v="Complete"/>
    <s v="a35fc2"/>
  </r>
  <r>
    <x v="2"/>
    <s v="B6 771"/>
    <s v="JBU771"/>
    <s v="BOS"/>
    <s v="KBOS"/>
    <s v="TPA"/>
    <s v="KTPA"/>
    <d v="2026-09-26T14:03:09"/>
    <d v="2026-09-26T20:39:32"/>
    <n v="396"/>
    <x v="24"/>
    <s v="A320"/>
    <s v="A320"/>
    <s v="Complete"/>
    <s v="a70f11"/>
  </r>
  <r>
    <x v="2"/>
    <s v="B6 117"/>
    <s v="JBU117"/>
    <s v="JFK"/>
    <s v="KJFK"/>
    <s v="POS"/>
    <s v="TTPP"/>
    <d v="2026-09-26T14:03:49"/>
    <d v="2026-09-26T18:33:06"/>
    <n v="269"/>
    <x v="190"/>
    <s v="A321neo"/>
    <s v="A21N"/>
    <s v="Complete"/>
    <s v="a1a3a9"/>
  </r>
  <r>
    <x v="2"/>
    <s v="B6 219"/>
    <s v="JBU219"/>
    <s v="BOS"/>
    <s v="KBOS"/>
    <s v="SAN"/>
    <s v="KSAN"/>
    <d v="2026-09-26T14:04:35"/>
    <d v="2026-09-26T19:40:15"/>
    <n v="336"/>
    <x v="147"/>
    <s v="A321"/>
    <s v="A321"/>
    <s v="Complete"/>
    <s v="ace063"/>
  </r>
  <r>
    <x v="2"/>
    <s v="B6 1018"/>
    <s v="JBU1018"/>
    <s v="JFK"/>
    <s v="KJFK"/>
    <s v="BOS"/>
    <s v="KBOS"/>
    <d v="2026-09-26T14:05:04"/>
    <d v="2026-09-26T14:56:27"/>
    <n v="51"/>
    <x v="23"/>
    <s v="A220-300"/>
    <s v="BCS3"/>
    <s v="Complete"/>
    <s v="a34d98"/>
  </r>
  <r>
    <x v="2"/>
    <s v="B6 588"/>
    <s v="JBU588"/>
    <s v="MCO"/>
    <s v="KMCO"/>
    <s v="ORH"/>
    <s v="KORH"/>
    <d v="2026-09-26T14:05:05"/>
    <d v="2026-09-26T16:35:19"/>
    <n v="150"/>
    <x v="174"/>
    <s v="A320"/>
    <s v="A320"/>
    <s v="Complete"/>
    <s v="aa4252"/>
  </r>
  <r>
    <x v="2"/>
    <s v="B6 658"/>
    <s v="JBU658"/>
    <s v="LAS"/>
    <s v="KLAS"/>
    <s v="FLL"/>
    <s v="KFLL"/>
    <d v="2026-09-26T14:05:42"/>
    <d v="2026-09-26T18:20:43"/>
    <n v="255"/>
    <x v="194"/>
    <s v="A321"/>
    <s v="A321"/>
    <s v="Complete"/>
    <s v="acf54f"/>
  </r>
  <r>
    <x v="2"/>
    <s v="B6 1042"/>
    <s v="JBU1042"/>
    <s v="MCO"/>
    <s v="KMCO"/>
    <s v="ROC"/>
    <s v="KROC"/>
    <d v="2026-09-26T14:06:36"/>
    <d v="2026-09-26T16:15:16"/>
    <n v="129"/>
    <x v="201"/>
    <s v="A320"/>
    <s v="A320"/>
    <s v="Complete"/>
    <s v="a894f2"/>
  </r>
  <r>
    <x v="2"/>
    <s v="B6 270"/>
    <s v="JBU270"/>
    <s v="FLL"/>
    <s v="KFLL"/>
    <s v="BOS"/>
    <s v="KBOS"/>
    <d v="2026-09-26T14:08:23"/>
    <d v="2026-09-26T17:03:16"/>
    <n v="175"/>
    <x v="70"/>
    <s v="A321"/>
    <s v="A321"/>
    <s v="Complete"/>
    <s v="ade609"/>
  </r>
  <r>
    <x v="2"/>
    <s v="B6 1439"/>
    <s v="JBU1439"/>
    <s v="BOS"/>
    <s v="KBOS"/>
    <s v="AUS"/>
    <s v="KAUS"/>
    <d v="2026-09-26T14:11:03"/>
    <d v="2026-09-26T17:58:34"/>
    <n v="228"/>
    <x v="162"/>
    <s v="A220-300"/>
    <s v="BCS3"/>
    <s v="Complete"/>
    <s v="a338ac"/>
  </r>
  <r>
    <x v="2"/>
    <s v="B6 1869"/>
    <s v="JBU1869"/>
    <s v="JFK"/>
    <s v="KJFK"/>
    <m/>
    <m/>
    <d v="2026-09-26T14:12:02"/>
    <d v="2026-09-26T16:01:15"/>
    <n v="109"/>
    <x v="254"/>
    <s v="A220-300"/>
    <s v="BCS3"/>
    <s v="Signal lost"/>
    <s v="a37517"/>
  </r>
  <r>
    <x v="2"/>
    <s v="B6 737"/>
    <s v="JBU737"/>
    <s v="BDL"/>
    <s v="KBDL"/>
    <s v="MCO"/>
    <s v="KMCO"/>
    <d v="2026-09-26T14:14:09"/>
    <d v="2026-09-26T16:34:39"/>
    <n v="140"/>
    <x v="17"/>
    <s v="A320"/>
    <s v="A320"/>
    <s v="Complete"/>
    <s v="a6a3c2"/>
  </r>
  <r>
    <x v="2"/>
    <s v="B6 156"/>
    <s v="JBU156"/>
    <s v="JFK"/>
    <s v="KJFK"/>
    <s v="JFK"/>
    <s v="KJFK"/>
    <d v="2026-09-26T14:14:30"/>
    <d v="2026-09-26T22:07:42"/>
    <n v="473"/>
    <x v="15"/>
    <s v="A320"/>
    <s v="A320"/>
    <s v="Complete"/>
    <s v="a78945"/>
  </r>
  <r>
    <x v="2"/>
    <s v="B6 1520"/>
    <s v="JBU1520"/>
    <s v="ATL"/>
    <s v="KATL"/>
    <s v="JFK"/>
    <s v="KJFK"/>
    <d v="2026-09-26T14:17:45"/>
    <d v="2026-09-26T16:03:14"/>
    <n v="105"/>
    <x v="100"/>
    <s v="A220-300"/>
    <s v="BCS3"/>
    <s v="Complete"/>
    <s v="a383f3"/>
  </r>
  <r>
    <x v="2"/>
    <s v="B6 373"/>
    <s v="JBU373"/>
    <s v="BOS"/>
    <s v="KBOS"/>
    <m/>
    <m/>
    <d v="2026-09-26T14:21:02"/>
    <d v="2026-09-26T15:38:48"/>
    <n v="78"/>
    <x v="98"/>
    <s v="A321"/>
    <s v="A321"/>
    <s v="Signal lost"/>
    <s v="ad1560"/>
  </r>
  <r>
    <x v="2"/>
    <s v="B6 401"/>
    <s v="JBU401"/>
    <s v="BOS"/>
    <s v="KBOS"/>
    <s v="MSY"/>
    <s v="KMSY"/>
    <d v="2026-09-26T14:23:06"/>
    <d v="2026-09-26T17:22:59"/>
    <n v="180"/>
    <x v="237"/>
    <s v="A320"/>
    <s v="A320"/>
    <s v="Complete"/>
    <s v="a7d32e"/>
  </r>
  <r>
    <x v="2"/>
    <s v="B6 1806"/>
    <s v="JBU1806"/>
    <s v="BNA"/>
    <s v="KBNA"/>
    <s v="BOS"/>
    <s v="KBOS"/>
    <d v="2026-09-26T14:24:02"/>
    <d v="2026-09-26T16:51:15"/>
    <n v="147"/>
    <x v="177"/>
    <s v="A220-300"/>
    <s v="BCS3"/>
    <s v="Complete"/>
    <s v="a39925"/>
  </r>
  <r>
    <x v="2"/>
    <s v="B6 438"/>
    <s v="JBU438"/>
    <s v="MCO"/>
    <s v="KMCO"/>
    <s v="BDL"/>
    <s v="KBDL"/>
    <d v="2026-09-26T14:24:17"/>
    <d v="2026-09-26T16:39:59"/>
    <n v="136"/>
    <x v="31"/>
    <s v="A320"/>
    <s v="A320"/>
    <s v="Landing inferred"/>
    <s v="a8c028"/>
  </r>
  <r>
    <x v="2"/>
    <s v="B6 1851"/>
    <s v="JBU1851"/>
    <s v="JFK"/>
    <s v="KJFK"/>
    <s v="JFK"/>
    <s v="KJFK"/>
    <d v="2026-09-26T14:26:06"/>
    <d v="2026-09-26T22:53:10"/>
    <n v="507"/>
    <x v="57"/>
    <s v="A321neo"/>
    <s v="A21N"/>
    <s v="Complete"/>
    <s v="a1a435"/>
  </r>
  <r>
    <x v="2"/>
    <s v="B6 499"/>
    <s v="JBU499"/>
    <s v="LGA"/>
    <s v="KLGA"/>
    <s v="MCO"/>
    <s v="KMCO"/>
    <d v="2026-09-26T14:27:15"/>
    <d v="2026-09-26T16:36:08"/>
    <n v="129"/>
    <x v="256"/>
    <s v="A320"/>
    <s v="A320"/>
    <s v="Complete"/>
    <s v="a86605"/>
  </r>
  <r>
    <x v="2"/>
    <s v="B6 57"/>
    <s v="JBU57"/>
    <s v="JFK"/>
    <s v="KJFK"/>
    <m/>
    <m/>
    <d v="2026-09-26T14:28:53"/>
    <d v="2026-09-26T16:23:41"/>
    <n v="115"/>
    <x v="192"/>
    <s v="A321"/>
    <s v="A321"/>
    <s v="Signal lost"/>
    <s v="adf4e9"/>
  </r>
  <r>
    <x v="2"/>
    <s v="B6 552"/>
    <s v="JBU552"/>
    <s v="MCO"/>
    <s v="KMCO"/>
    <s v="BOS"/>
    <s v="KBOS"/>
    <d v="2026-09-26T14:33:25"/>
    <d v="2026-09-26T17:16:11"/>
    <n v="163"/>
    <x v="134"/>
    <s v="A321"/>
    <s v="A321"/>
    <s v="Complete"/>
    <s v="ade252"/>
  </r>
  <r>
    <x v="2"/>
    <s v="B6 627"/>
    <s v="JBU627"/>
    <s v="JFK"/>
    <s v="KJFK"/>
    <m/>
    <m/>
    <d v="2026-09-26T14:36:05"/>
    <d v="2026-09-26T16:31:48"/>
    <n v="116"/>
    <x v="229"/>
    <s v="A220-300"/>
    <s v="BCS3"/>
    <s v="Signal lost"/>
    <s v="a39948"/>
  </r>
  <r>
    <x v="2"/>
    <s v="B6 266"/>
    <s v="JBU266"/>
    <s v="RSW"/>
    <s v="KRSW"/>
    <m/>
    <m/>
    <d v="2026-09-26T14:37:24"/>
    <d v="2026-09-26T16:20:27"/>
    <n v="103"/>
    <x v="39"/>
    <s v="Unknown"/>
    <m/>
    <s v="Complete"/>
    <s v="a39be7"/>
  </r>
  <r>
    <x v="2"/>
    <s v="B6 135"/>
    <s v="JBU135"/>
    <s v="JFK"/>
    <s v="KJFK"/>
    <s v="PHX"/>
    <s v="KPHX"/>
    <d v="2026-09-26T14:38:01"/>
    <d v="2026-09-26T19:23:37"/>
    <n v="286"/>
    <x v="266"/>
    <s v="A320"/>
    <s v="A320"/>
    <s v="Complete"/>
    <s v="a6c781"/>
  </r>
  <r>
    <x v="2"/>
    <s v="B6 1681"/>
    <s v="JBU1681"/>
    <s v="JFK"/>
    <s v="KJFK"/>
    <m/>
    <m/>
    <d v="2026-09-26T14:39:02"/>
    <d v="2026-09-26T23:59:48"/>
    <n v="561"/>
    <x v="106"/>
    <s v="A321"/>
    <s v="A321"/>
    <s v="Airborne at end of data"/>
    <s v="ada5ee"/>
  </r>
  <r>
    <x v="2"/>
    <s v="B6 1177"/>
    <s v="JBU1177"/>
    <s v="BOS"/>
    <s v="KBOS"/>
    <s v="LAS"/>
    <s v="KLAS"/>
    <d v="2026-09-26T14:40:29"/>
    <d v="2026-09-26T19:48:58"/>
    <n v="308"/>
    <x v="84"/>
    <s v="A321"/>
    <s v="A321"/>
    <s v="Complete"/>
    <s v="adc238"/>
  </r>
  <r>
    <x v="2"/>
    <s v="B6 651"/>
    <s v="JBU651"/>
    <s v="BOS"/>
    <s v="KBOS"/>
    <s v="MCO"/>
    <s v="KMCO"/>
    <d v="2026-09-26T14:42:59"/>
    <d v="2026-09-26T17:12:48"/>
    <n v="150"/>
    <x v="255"/>
    <s v="A321"/>
    <s v="A321"/>
    <s v="Complete"/>
    <s v="ad4804"/>
  </r>
  <r>
    <x v="2"/>
    <s v="B6 503"/>
    <s v="JBU503"/>
    <s v="JFK"/>
    <s v="KJFK"/>
    <s v="SJU"/>
    <s v="TJSJ"/>
    <d v="2026-09-26T14:44:40"/>
    <d v="2026-09-26T18:18:32"/>
    <n v="214"/>
    <x v="248"/>
    <s v="A321"/>
    <s v="A321"/>
    <s v="Landing inferred"/>
    <s v="ade9c0"/>
  </r>
  <r>
    <x v="2"/>
    <s v="B6 1698"/>
    <s v="JBU1698"/>
    <s v="FLL"/>
    <s v="KFLL"/>
    <s v="ATL"/>
    <s v="KATL"/>
    <d v="2026-09-26T14:44:58"/>
    <d v="2026-09-26T16:10:22"/>
    <n v="85"/>
    <x v="94"/>
    <s v="A220-300"/>
    <s v="BCS3"/>
    <s v="Complete"/>
    <s v="a3845c"/>
  </r>
  <r>
    <x v="2"/>
    <s v="B6 133"/>
    <s v="JBU133"/>
    <s v="MCO"/>
    <s v="KMCO"/>
    <s v="SJU"/>
    <s v="TJSJ"/>
    <d v="2026-09-26T14:46:06"/>
    <d v="2026-09-26T17:13:33"/>
    <n v="147"/>
    <x v="68"/>
    <s v="A320"/>
    <s v="A320"/>
    <s v="Landing inferred"/>
    <s v="a7e5c1"/>
  </r>
  <r>
    <x v="2"/>
    <s v="B6 1"/>
    <s v="JBU1"/>
    <s v="JFK"/>
    <s v="KJFK"/>
    <s v="FLL"/>
    <s v="KFLL"/>
    <d v="2026-09-26T14:47:08"/>
    <d v="2026-09-26T17:03:22"/>
    <n v="136"/>
    <x v="186"/>
    <s v="A321neo"/>
    <s v="A21N"/>
    <s v="Complete"/>
    <s v="a1b2a8"/>
  </r>
  <r>
    <x v="2"/>
    <s v="B6 112"/>
    <s v="JBU112"/>
    <s v="ORD"/>
    <s v="KORD"/>
    <s v="BOS"/>
    <s v="KBOS"/>
    <d v="2026-09-26T14:48:29"/>
    <d v="2026-09-26T16:56:53"/>
    <n v="128"/>
    <x v="36"/>
    <s v="A220-300"/>
    <s v="BCS3"/>
    <s v="Complete"/>
    <s v="a38836"/>
  </r>
  <r>
    <x v="2"/>
    <s v="B6 1160"/>
    <s v="JBU1160"/>
    <s v="PHL"/>
    <s v="KPHL"/>
    <s v="BOS"/>
    <s v="KBOS"/>
    <d v="2026-09-26T14:48:39"/>
    <d v="2026-09-26T16:18:35"/>
    <n v="90"/>
    <x v="196"/>
    <s v="A220-300"/>
    <s v="BCS3"/>
    <s v="Complete"/>
    <s v="a35c0b"/>
  </r>
  <r>
    <x v="2"/>
    <s v="B6 385"/>
    <s v="JBU385"/>
    <s v="BOS"/>
    <s v="KBOS"/>
    <s v="PIT"/>
    <s v="KPIT"/>
    <d v="2026-09-26T14:48:59"/>
    <d v="2026-09-26T16:01:24"/>
    <n v="72"/>
    <x v="65"/>
    <s v="A220-300"/>
    <s v="BCS3"/>
    <s v="Complete"/>
    <s v="a386fb"/>
  </r>
  <r>
    <x v="2"/>
    <s v="B6 1167"/>
    <s v="JBU1167"/>
    <s v="HPN"/>
    <s v="KHPN"/>
    <s v="DJT"/>
    <s v="KPBI"/>
    <d v="2026-09-26T14:49:18"/>
    <d v="2026-09-26T17:00:52"/>
    <n v="132"/>
    <x v="184"/>
    <s v="A320"/>
    <s v="A320"/>
    <s v="Complete"/>
    <s v="a7b0c4"/>
  </r>
  <r>
    <x v="2"/>
    <s v="B6 40"/>
    <s v="JBU40"/>
    <s v="SJU"/>
    <s v="TJSJ"/>
    <s v="FLL"/>
    <s v="KFLL"/>
    <d v="2026-09-26T14:50:11"/>
    <d v="2026-09-26T21:45:20"/>
    <n v="415"/>
    <x v="119"/>
    <s v="A320"/>
    <s v="A320"/>
    <s v="Complete"/>
    <s v="ab0416"/>
  </r>
  <r>
    <x v="2"/>
    <s v="B6 1552"/>
    <s v="JBU1552"/>
    <s v="RSW"/>
    <s v="KRSW"/>
    <s v="HPN"/>
    <s v="KHPN"/>
    <d v="2026-09-26T14:51:03"/>
    <d v="2026-09-26T17:20:24"/>
    <n v="149"/>
    <x v="195"/>
    <s v="A320"/>
    <s v="A320"/>
    <s v="Landing inferred"/>
    <s v="a7a59f"/>
  </r>
  <r>
    <x v="2"/>
    <s v="B6 854"/>
    <s v="JBU854"/>
    <s v="DJT"/>
    <s v="KPBI"/>
    <s v="JFK"/>
    <s v="KJFK"/>
    <d v="2026-09-26T14:52:44"/>
    <d v="2026-09-26T17:10:43"/>
    <n v="138"/>
    <x v="230"/>
    <s v="A321neo"/>
    <s v="A21N"/>
    <s v="Complete"/>
    <s v="a198ed"/>
  </r>
  <r>
    <x v="2"/>
    <s v="B6 1737"/>
    <s v="JBU1737"/>
    <s v="JFK"/>
    <s v="KJFK"/>
    <m/>
    <m/>
    <d v="2026-09-26T14:53:46"/>
    <d v="2026-09-26T16:39:44"/>
    <n v="106"/>
    <x v="193"/>
    <s v="A321"/>
    <s v="A321"/>
    <s v="Signal lost"/>
    <s v="ad9712"/>
  </r>
  <r>
    <x v="2"/>
    <s v="B6 215"/>
    <s v="JBU215"/>
    <s v="JFK"/>
    <s v="KJFK"/>
    <s v="SFO"/>
    <s v="KSFO"/>
    <d v="2026-09-26T14:54:40"/>
    <d v="2026-09-26T20:27:58"/>
    <n v="333"/>
    <x v="126"/>
    <s v="A321"/>
    <s v="A321"/>
    <s v="Complete"/>
    <s v="ad7701"/>
  </r>
  <r>
    <x v="2"/>
    <s v="B6 1009"/>
    <s v="JBU1009"/>
    <s v="JFK"/>
    <s v="KJFK"/>
    <m/>
    <m/>
    <d v="2026-09-26T14:55:40"/>
    <d v="2026-09-26T16:56:31"/>
    <n v="121"/>
    <x v="113"/>
    <s v="A321"/>
    <s v="A321"/>
    <s v="Signal lost"/>
    <s v="ad3cdf"/>
  </r>
  <r>
    <x v="2"/>
    <s v="B6 434"/>
    <s v="JBU434"/>
    <s v="SFO"/>
    <s v="KSFO"/>
    <s v="BOS"/>
    <s v="KBOS"/>
    <d v="2026-09-26T14:56:36"/>
    <d v="2026-09-26T20:31:56"/>
    <n v="335"/>
    <x v="110"/>
    <s v="A321"/>
    <s v="A321"/>
    <s v="Complete"/>
    <s v="adc5ff"/>
  </r>
  <r>
    <x v="2"/>
    <s v="B6 1365"/>
    <s v="JBU1365"/>
    <s v="TPA"/>
    <s v="KTPA"/>
    <m/>
    <m/>
    <d v="2026-09-26T15:01:16"/>
    <d v="2026-09-26T15:36:18"/>
    <n v="35"/>
    <x v="79"/>
    <s v="A320"/>
    <s v="A320"/>
    <s v="Signal lost"/>
    <s v="a9c5c5"/>
  </r>
  <r>
    <x v="2"/>
    <s v="B6 341"/>
    <s v="JBU341"/>
    <s v="JFK"/>
    <s v="KJFK"/>
    <s v="SAV"/>
    <s v="KSAV"/>
    <d v="2026-09-26T15:01:40"/>
    <d v="2026-09-26T16:46:46"/>
    <n v="105"/>
    <x v="118"/>
    <s v="A320"/>
    <s v="A320"/>
    <s v="Landing inferred"/>
    <s v="a707a3"/>
  </r>
  <r>
    <x v="2"/>
    <s v="B6 635"/>
    <s v="JBU635"/>
    <s v="BUF"/>
    <s v="KBUF"/>
    <s v="SJU"/>
    <s v="TJSJ"/>
    <d v="2026-09-26T15:02:08"/>
    <d v="2026-09-26T18:56:17"/>
    <n v="234"/>
    <x v="165"/>
    <s v="A320"/>
    <s v="A320"/>
    <s v="Landing inferred"/>
    <s v="aa4d77"/>
  </r>
  <r>
    <x v="2"/>
    <s v="B6 225"/>
    <s v="JBU225"/>
    <s v="JFK"/>
    <s v="KJFK"/>
    <s v="TPA"/>
    <s v="KTPA"/>
    <d v="2026-09-26T15:02:39"/>
    <d v="2026-09-26T17:20:04"/>
    <n v="137"/>
    <x v="38"/>
    <s v="A220-300"/>
    <s v="BCS3"/>
    <s v="Complete"/>
    <s v="a350c3"/>
  </r>
  <r>
    <x v="2"/>
    <s v="B6 524"/>
    <s v="JBU524"/>
    <s v="LAX"/>
    <s v="KLAX"/>
    <s v="JFK"/>
    <s v="KJFK"/>
    <d v="2026-09-26T15:02:40"/>
    <d v="2026-09-26T20:11:10"/>
    <n v="309"/>
    <x v="108"/>
    <s v="A321"/>
    <s v="A321"/>
    <s v="Complete"/>
    <s v="adafb5"/>
  </r>
  <r>
    <x v="2"/>
    <s v="B6 183"/>
    <s v="JBU183"/>
    <s v="JFK"/>
    <s v="KJFK"/>
    <s v="MCO"/>
    <s v="KMCO"/>
    <d v="2026-09-26T15:04:23"/>
    <d v="2026-09-26T17:10:59"/>
    <n v="127"/>
    <x v="117"/>
    <s v="A321"/>
    <s v="A321"/>
    <s v="Complete"/>
    <s v="ad3581"/>
  </r>
  <r>
    <x v="2"/>
    <s v="B6 279"/>
    <s v="JBU279"/>
    <s v="JFK"/>
    <s v="KJFK"/>
    <s v="FLL"/>
    <s v="KFLL"/>
    <d v="2026-09-26T15:05:41"/>
    <d v="2026-09-26T21:17:38"/>
    <n v="372"/>
    <x v="200"/>
    <s v="A320"/>
    <s v="A320"/>
    <s v="Complete"/>
    <s v="a73a47"/>
  </r>
  <r>
    <x v="2"/>
    <s v="B6 1237"/>
    <s v="JBU1237"/>
    <s v="BOS"/>
    <s v="KBOS"/>
    <s v="DTW"/>
    <s v="KDTW"/>
    <d v="2026-09-26T15:10:51"/>
    <d v="2026-09-26T16:40:51"/>
    <n v="90"/>
    <x v="215"/>
    <s v="A220-300"/>
    <s v="BCS3"/>
    <s v="Complete"/>
    <s v="a398bc"/>
  </r>
  <r>
    <x v="2"/>
    <s v="B6 1553"/>
    <s v="JBU1553"/>
    <s v="FLL"/>
    <s v="KFLL"/>
    <s v="SJU"/>
    <s v="TJSJ"/>
    <d v="2026-09-26T15:11:05"/>
    <d v="2026-09-26T17:27:57"/>
    <n v="137"/>
    <x v="172"/>
    <s v="A320"/>
    <s v="A320"/>
    <s v="Landing inferred"/>
    <s v="aac7ab"/>
  </r>
  <r>
    <x v="2"/>
    <s v="B6 1783"/>
    <s v="JBU1783"/>
    <s v="FLL"/>
    <s v="KFLL"/>
    <s v="FLL"/>
    <s v="KFLL"/>
    <d v="2026-09-26T15:13:40"/>
    <d v="2026-09-26T21:49:49"/>
    <n v="396"/>
    <x v="226"/>
    <s v="A320"/>
    <s v="A320"/>
    <s v="Complete"/>
    <s v="a732d9"/>
  </r>
  <r>
    <x v="2"/>
    <s v="B6 2084"/>
    <s v="JBU2084"/>
    <s v="RDU"/>
    <s v="KRDU"/>
    <s v="BOS"/>
    <s v="KBOS"/>
    <d v="2026-09-26T15:17:43"/>
    <d v="2026-09-26T16:54:05"/>
    <n v="96"/>
    <x v="175"/>
    <s v="A220-300"/>
    <s v="BCS3"/>
    <s v="Complete"/>
    <s v="a38ad5"/>
  </r>
  <r>
    <x v="2"/>
    <s v="B6 316"/>
    <s v="JBU316"/>
    <s v="SFO"/>
    <s v="KSFO"/>
    <s v="JFK"/>
    <s v="KJFK"/>
    <d v="2026-09-26T15:19:08"/>
    <d v="2026-09-26T20:33:19"/>
    <n v="314"/>
    <x v="56"/>
    <s v="A321"/>
    <s v="A321"/>
    <s v="Complete"/>
    <s v="adb35c"/>
  </r>
  <r>
    <x v="2"/>
    <s v="B6 119"/>
    <s v="JBU119"/>
    <s v="JFK"/>
    <s v="KJFK"/>
    <s v="ATL"/>
    <s v="KATL"/>
    <d v="2026-09-26T15:19:13"/>
    <d v="2026-09-26T17:07:53"/>
    <n v="109"/>
    <x v="105"/>
    <s v="A220-300"/>
    <s v="BCS3"/>
    <s v="Complete"/>
    <s v="a36825"/>
  </r>
  <r>
    <x v="2"/>
    <s v="B6 772"/>
    <s v="JBU772"/>
    <s v="FLL"/>
    <s v="KFLL"/>
    <s v="BOS"/>
    <s v="KBOS"/>
    <d v="2026-09-26T15:19:16"/>
    <d v="2026-09-26T23:47:48"/>
    <n v="509"/>
    <x v="149"/>
    <s v="A320"/>
    <s v="A320"/>
    <s v="Complete"/>
    <s v="a88774"/>
  </r>
  <r>
    <x v="2"/>
    <s v="B6 791"/>
    <s v="JBU791"/>
    <s v="BOS"/>
    <s v="KBOS"/>
    <s v="TPA"/>
    <s v="KTPA"/>
    <d v="2026-09-26T15:19:19"/>
    <d v="2026-09-26T18:02:59"/>
    <n v="164"/>
    <x v="0"/>
    <s v="A321"/>
    <s v="A321"/>
    <s v="Complete"/>
    <s v="ad6f93"/>
  </r>
  <r>
    <x v="2"/>
    <s v="B6 2922"/>
    <s v="JBU2922"/>
    <s v="FLL"/>
    <s v="KFLL"/>
    <s v="JFK"/>
    <s v="KJFK"/>
    <d v="2026-09-26T15:20:07"/>
    <d v="2026-09-26T19:44:28"/>
    <n v="264"/>
    <x v="138"/>
    <s v="A320"/>
    <s v="A320"/>
    <s v="Complete"/>
    <s v="a683a8"/>
  </r>
  <r>
    <x v="2"/>
    <s v="B6 692"/>
    <s v="JBU692"/>
    <s v="TPA"/>
    <s v="KTPA"/>
    <s v="BOS"/>
    <s v="KBOS"/>
    <d v="2026-09-26T15:20:12"/>
    <d v="2026-09-26T18:27:49"/>
    <n v="188"/>
    <x v="148"/>
    <s v="A220-300"/>
    <s v="BCS3"/>
    <s v="Complete"/>
    <s v="a36b73"/>
  </r>
  <r>
    <x v="2"/>
    <s v="B6 1060"/>
    <s v="JBU1060"/>
    <s v="KIN"/>
    <s v="MKJP"/>
    <s v="JFK"/>
    <s v="KJFK"/>
    <d v="2026-09-26T15:20:35"/>
    <d v="2026-09-26T19:02:09"/>
    <n v="222"/>
    <x v="90"/>
    <s v="A320"/>
    <s v="A320"/>
    <s v="Complete"/>
    <s v="ab4ba6"/>
  </r>
  <r>
    <x v="2"/>
    <s v="B6 2474"/>
    <s v="JBU2474"/>
    <s v="CHS"/>
    <s v="KCHS"/>
    <s v="JFK"/>
    <s v="KJFK"/>
    <d v="2026-09-26T15:21:01"/>
    <d v="2026-09-26T16:49:49"/>
    <n v="89"/>
    <x v="88"/>
    <s v="A220-300"/>
    <s v="BCS3"/>
    <s v="Complete"/>
    <s v="a37842"/>
  </r>
  <r>
    <x v="2"/>
    <s v="B6 521"/>
    <s v="JBU521"/>
    <s v="MCO"/>
    <s v="KMCO"/>
    <m/>
    <m/>
    <d v="2026-09-26T15:21:09"/>
    <d v="2026-09-26T16:44:43"/>
    <n v="84"/>
    <x v="128"/>
    <s v="A220-300"/>
    <s v="BCS3"/>
    <s v="Signal lost"/>
    <s v="a3514f"/>
  </r>
  <r>
    <x v="2"/>
    <s v="B6 2760"/>
    <s v="JBU2760"/>
    <s v="FLL"/>
    <s v="KFLL"/>
    <s v="FLL"/>
    <s v="KFLL"/>
    <d v="2026-09-26T15:22:19"/>
    <d v="2026-09-26T21:40:29"/>
    <n v="378"/>
    <x v="171"/>
    <s v="A320"/>
    <s v="A320"/>
    <s v="Complete"/>
    <s v="a845f4"/>
  </r>
  <r>
    <x v="2"/>
    <s v="B6 2548"/>
    <s v="JBU2548"/>
    <s v="FLL"/>
    <s v="KFLL"/>
    <s v="MCO"/>
    <s v="KMCO"/>
    <d v="2026-09-26T15:24:20"/>
    <d v="2026-09-26T16:27:17"/>
    <n v="63"/>
    <x v="157"/>
    <s v="A320"/>
    <s v="A320"/>
    <s v="Complete"/>
    <s v="aacf19"/>
  </r>
  <r>
    <x v="2"/>
    <s v="B6 1457"/>
    <s v="JBU1457"/>
    <s v="JFK"/>
    <s v="KJFK"/>
    <m/>
    <m/>
    <d v="2026-09-26T15:25:00"/>
    <d v="2026-09-26T16:17:47"/>
    <n v="53"/>
    <x v="93"/>
    <s v="A321"/>
    <s v="A321"/>
    <s v="Signal lost"/>
    <s v="adbaca"/>
  </r>
  <r>
    <x v="2"/>
    <s v="B6 2285"/>
    <s v="JBU2285"/>
    <s v="JFK"/>
    <s v="KJFK"/>
    <s v="RDU"/>
    <s v="KRDU"/>
    <d v="2026-09-26T15:26:21"/>
    <d v="2026-09-26T16:34:58"/>
    <n v="69"/>
    <x v="51"/>
    <s v="A220-300"/>
    <s v="BCS3"/>
    <s v="Complete"/>
    <s v="a35949"/>
  </r>
  <r>
    <x v="2"/>
    <s v="B6 38"/>
    <s v="JBU38"/>
    <s v="FLL"/>
    <s v="KFLL"/>
    <s v="FLL"/>
    <s v="KFLL"/>
    <d v="2026-09-26T15:29:59"/>
    <d v="2026-09-26T21:47:05"/>
    <n v="377"/>
    <x v="140"/>
    <s v="A320"/>
    <s v="A320"/>
    <s v="Complete"/>
    <s v="a97310"/>
  </r>
  <r>
    <x v="2"/>
    <s v="B6 1117"/>
    <s v="JBU1117"/>
    <s v="BOS"/>
    <s v="KBOS"/>
    <s v="JFK"/>
    <s v="KJFK"/>
    <d v="2026-09-26T15:31:02"/>
    <d v="2026-09-26T16:15:22"/>
    <n v="44"/>
    <x v="115"/>
    <s v="A220-300"/>
    <s v="BCS3"/>
    <s v="Complete"/>
    <s v="a38ef5"/>
  </r>
  <r>
    <x v="2"/>
    <s v="B6 1380"/>
    <s v="JBU1380"/>
    <s v="FLL"/>
    <s v="KFLL"/>
    <m/>
    <m/>
    <d v="2026-09-26T15:31:50"/>
    <d v="2026-09-26T16:09:57"/>
    <n v="38"/>
    <x v="151"/>
    <s v="A320"/>
    <s v="A320"/>
    <s v="Signal lost"/>
    <s v="a898a9"/>
  </r>
  <r>
    <x v="2"/>
    <s v="B6 176"/>
    <s v="JBU176"/>
    <s v="MSY"/>
    <s v="KMSY"/>
    <s v="JFK"/>
    <s v="KJFK"/>
    <d v="2026-09-26T15:34:10"/>
    <d v="2026-09-26T18:12:02"/>
    <n v="158"/>
    <x v="262"/>
    <s v="A220-300"/>
    <s v="BCS3"/>
    <s v="Complete"/>
    <s v="a33843"/>
  </r>
  <r>
    <x v="2"/>
    <s v="B6 1611"/>
    <s v="JBU1611"/>
    <s v="FLL"/>
    <s v="KFLL"/>
    <m/>
    <m/>
    <d v="2026-09-26T15:36:18"/>
    <d v="2026-09-26T16:07:00"/>
    <n v="31"/>
    <x v="263"/>
    <s v="A320"/>
    <s v="A320"/>
    <s v="Signal lost"/>
    <s v="a825e3"/>
  </r>
  <r>
    <x v="2"/>
    <s v="B6 2829"/>
    <s v="JBU2829"/>
    <s v="BOS"/>
    <s v="KBOS"/>
    <m/>
    <m/>
    <d v="2026-09-26T15:38:05"/>
    <d v="2026-09-26T16:57:28"/>
    <n v="79"/>
    <x v="131"/>
    <s v="A321"/>
    <s v="A321"/>
    <s v="Signal lost"/>
    <s v="ad2f71"/>
  </r>
  <r>
    <x v="2"/>
    <s v="B6 663"/>
    <s v="JBU663"/>
    <s v="FLL"/>
    <s v="KFLL"/>
    <s v="ORD"/>
    <s v="KORD"/>
    <d v="2026-09-26T15:39:07"/>
    <d v="2026-09-26T18:18:51"/>
    <n v="160"/>
    <x v="12"/>
    <s v="A320"/>
    <s v="A320"/>
    <s v="Complete"/>
    <s v="a8222c"/>
  </r>
  <r>
    <x v="2"/>
    <s v="B6 1282"/>
    <s v="JBU1282"/>
    <s v="RIC"/>
    <s v="KRIC"/>
    <s v="BOS"/>
    <s v="KBOS"/>
    <d v="2026-09-26T15:39:15"/>
    <d v="2026-09-26T17:24:21"/>
    <n v="105"/>
    <x v="139"/>
    <s v="A220-300"/>
    <s v="BCS3"/>
    <s v="Complete"/>
    <s v="a38b84"/>
  </r>
  <r>
    <x v="2"/>
    <s v="B6 2201"/>
    <s v="JBU2201"/>
    <s v="JFK"/>
    <s v="KJFK"/>
    <s v="FLL"/>
    <s v="KFLL"/>
    <d v="2026-09-26T15:39:31"/>
    <d v="2026-09-26T17:55:54"/>
    <n v="136"/>
    <x v="210"/>
    <s v="A321"/>
    <s v="A321"/>
    <s v="Complete"/>
    <s v="ac8289"/>
  </r>
  <r>
    <x v="2"/>
    <s v="B6 2896"/>
    <s v="JBU2896"/>
    <s v="SJU"/>
    <s v="TJSJ"/>
    <s v="BOS"/>
    <s v="KBOS"/>
    <d v="2026-09-26T15:39:48"/>
    <d v="2026-09-26T21:56:21"/>
    <n v="377"/>
    <x v="158"/>
    <s v="A320"/>
    <s v="A320"/>
    <s v="Complete"/>
    <s v="a8b8ba"/>
  </r>
  <r>
    <x v="2"/>
    <s v="B6 2448"/>
    <s v="JBU2448"/>
    <s v="FLL"/>
    <s v="KFLL"/>
    <s v="FLL"/>
    <s v="KFLL"/>
    <d v="2026-09-26T15:39:55"/>
    <d v="2026-09-26T20:59:59"/>
    <n v="320"/>
    <x v="41"/>
    <s v="A320"/>
    <s v="A320"/>
    <s v="Complete"/>
    <s v="a85887"/>
  </r>
  <r>
    <x v="2"/>
    <s v="B6 121"/>
    <s v="JBU121"/>
    <s v="JFK"/>
    <s v="KJFK"/>
    <s v="FLL"/>
    <s v="KFLL"/>
    <d v="2026-09-26T15:40:45"/>
    <d v="2026-09-26T20:34:07"/>
    <n v="293"/>
    <x v="58"/>
    <s v="A320"/>
    <s v="A320"/>
    <s v="Complete"/>
    <s v="a781d7"/>
  </r>
  <r>
    <x v="2"/>
    <s v="B6 2129"/>
    <s v="JBU2129"/>
    <s v="JFK"/>
    <s v="KJFK"/>
    <s v="RSW"/>
    <s v="KRSW"/>
    <d v="2026-09-26T15:41:41"/>
    <d v="2026-09-26T18:13:17"/>
    <n v="152"/>
    <x v="213"/>
    <s v="A320"/>
    <s v="A320"/>
    <s v="Complete"/>
    <s v="a7a1e8"/>
  </r>
  <r>
    <x v="2"/>
    <s v="B6 2334"/>
    <s v="JBU2334"/>
    <s v="DJT"/>
    <s v="KPBI"/>
    <s v="DCA"/>
    <s v="KDCA"/>
    <d v="2026-09-26T15:42:44"/>
    <d v="2026-09-26T17:42:12"/>
    <n v="119"/>
    <x v="238"/>
    <s v="A220-300"/>
    <s v="BCS3"/>
    <s v="Complete"/>
    <s v="a3311b"/>
  </r>
  <r>
    <x v="2"/>
    <s v="B6 1450"/>
    <s v="JBU1450"/>
    <s v="FLL"/>
    <s v="KFLL"/>
    <s v="FLL"/>
    <s v="KFLL"/>
    <d v="2026-09-26T15:43:43"/>
    <d v="2026-09-26T21:24:17"/>
    <n v="341"/>
    <x v="144"/>
    <s v="A320"/>
    <s v="A320"/>
    <s v="Complete"/>
    <s v="a79e31"/>
  </r>
  <r>
    <x v="2"/>
    <s v="B6 267"/>
    <s v="JBU267"/>
    <s v="BOS"/>
    <s v="KBOS"/>
    <s v="CHS"/>
    <s v="KCHS"/>
    <d v="2026-09-26T15:44:00"/>
    <d v="2026-09-26T17:45:40"/>
    <n v="122"/>
    <x v="143"/>
    <s v="A220-300"/>
    <s v="BCS3"/>
    <s v="Landing inferred"/>
    <s v="a34d52"/>
  </r>
  <r>
    <x v="2"/>
    <s v="B6 2230"/>
    <s v="JBU2230"/>
    <s v="MKE"/>
    <s v="KMKE"/>
    <s v="BOS"/>
    <s v="KBOS"/>
    <d v="2026-09-26T15:44:20"/>
    <d v="2026-09-26T18:00:45"/>
    <n v="136"/>
    <x v="207"/>
    <s v="A220-300"/>
    <s v="BCS3"/>
    <s v="Complete"/>
    <s v="a3355e"/>
  </r>
  <r>
    <x v="2"/>
    <s v="B6 544"/>
    <s v="JBU544"/>
    <s v="DJT"/>
    <s v="KPBI"/>
    <s v="ISP"/>
    <s v="KISP"/>
    <d v="2026-09-26T15:45:11"/>
    <d v="2026-09-26T18:11:34"/>
    <n v="146"/>
    <x v="73"/>
    <s v="A320"/>
    <s v="A320"/>
    <s v="Landing inferred"/>
    <s v="a73690"/>
  </r>
  <r>
    <x v="2"/>
    <s v="B6 1051"/>
    <s v="JBU1051"/>
    <s v="JFK"/>
    <s v="KJFK"/>
    <m/>
    <m/>
    <d v="2026-09-26T15:46:38"/>
    <d v="2026-09-26T23:59:46"/>
    <n v="493"/>
    <x v="153"/>
    <s v="A321"/>
    <s v="A321"/>
    <s v="Airborne at end of data"/>
    <s v="ad935b"/>
  </r>
  <r>
    <x v="2"/>
    <s v="B6 204"/>
    <s v="JBU204"/>
    <s v="BDA"/>
    <s v="TXKF"/>
    <s v="BOS"/>
    <s v="KBOS"/>
    <d v="2026-09-26T15:46:49"/>
    <d v="2026-09-26T17:39:09"/>
    <n v="112"/>
    <x v="62"/>
    <s v="A220-300"/>
    <s v="BCS3"/>
    <s v="Complete"/>
    <s v="a37fb0"/>
  </r>
  <r>
    <x v="2"/>
    <s v="B6 1310"/>
    <s v="JBU1310"/>
    <s v="JAX"/>
    <s v="KJAX"/>
    <s v="BOS"/>
    <s v="KBOS"/>
    <d v="2026-09-26T15:48:25"/>
    <d v="2026-09-26T18:29:35"/>
    <n v="161"/>
    <x v="166"/>
    <s v="A220-300"/>
    <s v="BCS3"/>
    <s v="Complete"/>
    <s v="a34d2f"/>
  </r>
  <r>
    <x v="2"/>
    <s v="B6 2071"/>
    <s v="JBU2071"/>
    <s v="FLL"/>
    <s v="KFLL"/>
    <m/>
    <m/>
    <d v="2026-09-26T15:48:41"/>
    <d v="2026-09-26T16:14:03"/>
    <n v="25"/>
    <x v="141"/>
    <s v="A220-300"/>
    <s v="BCS3"/>
    <s v="Signal lost"/>
    <s v="a3795a"/>
  </r>
  <r>
    <x v="2"/>
    <s v="B6 1901"/>
    <s v="JBU1901"/>
    <s v="BUF"/>
    <s v="KBUF"/>
    <s v="JFK"/>
    <s v="KJFK"/>
    <d v="2026-09-26T15:49:08"/>
    <d v="2026-09-26T16:51:55"/>
    <n v="63"/>
    <x v="253"/>
    <s v="A220-300"/>
    <s v="BCS3"/>
    <s v="Complete"/>
    <s v="a3871e"/>
  </r>
  <r>
    <x v="2"/>
    <s v="B6 1293"/>
    <s v="JBU1293"/>
    <s v="BOS"/>
    <s v="KBOS"/>
    <s v="ILM"/>
    <s v="KILM"/>
    <d v="2026-09-26T15:49:27"/>
    <d v="2026-09-26T17:25:57"/>
    <n v="97"/>
    <x v="244"/>
    <s v="A220-300"/>
    <s v="BCS3"/>
    <s v="Landing inferred"/>
    <s v="a35109"/>
  </r>
  <r>
    <x v="2"/>
    <s v="B6 790"/>
    <s v="JBU790"/>
    <s v="FLL"/>
    <s v="KFLL"/>
    <s v="DTW"/>
    <s v="KDTW"/>
    <d v="2026-09-26T15:50:01"/>
    <d v="2026-09-26T18:25:03"/>
    <n v="155"/>
    <x v="170"/>
    <s v="A320"/>
    <s v="A320"/>
    <s v="Complete"/>
    <s v="a69894"/>
  </r>
  <r>
    <x v="2"/>
    <s v="B6 2068"/>
    <s v="JBU2068"/>
    <s v="FLL"/>
    <s v="KFLL"/>
    <s v="JFK"/>
    <s v="KJFK"/>
    <d v="2026-09-26T15:51:25"/>
    <d v="2026-09-26T23:14:52"/>
    <n v="443"/>
    <x v="212"/>
    <s v="A220-300"/>
    <s v="BCS3"/>
    <s v="Complete"/>
    <s v="a34e01"/>
  </r>
  <r>
    <x v="2"/>
    <s v="B6 2283"/>
    <s v="JBU2283"/>
    <s v="BOS"/>
    <s v="KBOS"/>
    <s v="RDU"/>
    <s v="KRDU"/>
    <d v="2026-09-26T15:51:54"/>
    <d v="2026-09-26T17:24:38"/>
    <n v="93"/>
    <x v="228"/>
    <s v="A320"/>
    <s v="A320"/>
    <s v="Complete"/>
    <s v="aac3f4"/>
  </r>
  <r>
    <x v="2"/>
    <s v="B6 194"/>
    <s v="JBU194"/>
    <s v="MCO"/>
    <s v="KMCO"/>
    <s v="HPN"/>
    <s v="KHPN"/>
    <d v="2026-09-26T15:51:59"/>
    <d v="2026-09-26T18:06:25"/>
    <n v="134"/>
    <x v="53"/>
    <s v="A320"/>
    <s v="A320"/>
    <s v="Landing inferred"/>
    <s v="a73dfe"/>
  </r>
  <r>
    <x v="2"/>
    <s v="B6 380"/>
    <s v="JBU380"/>
    <s v="FLL"/>
    <s v="KFLL"/>
    <s v="JFK"/>
    <s v="KJFK"/>
    <d v="2026-09-26T15:55:20"/>
    <d v="2026-09-26T22:26:09"/>
    <n v="391"/>
    <x v="45"/>
    <s v="A320"/>
    <s v="A320"/>
    <s v="Complete"/>
    <s v="a967eb"/>
  </r>
  <r>
    <x v="2"/>
    <s v="B6 41"/>
    <s v="JBU41"/>
    <s v="FLL"/>
    <s v="KFLL"/>
    <s v="SJU"/>
    <s v="TJSJ"/>
    <d v="2026-09-26T15:57:32"/>
    <d v="2026-09-26T23:16:19"/>
    <n v="439"/>
    <x v="80"/>
    <s v="A320"/>
    <s v="A320"/>
    <s v="Landing inferred"/>
    <s v="a8ab3c"/>
  </r>
  <r>
    <x v="2"/>
    <s v="B6 932"/>
    <s v="JBU932"/>
    <s v="IAH"/>
    <s v="KIAH"/>
    <s v="BOS"/>
    <s v="KBOS"/>
    <d v="2026-09-26T16:02:42"/>
    <d v="2026-09-26T19:41:44"/>
    <n v="219"/>
    <x v="185"/>
    <s v="A320"/>
    <s v="A320"/>
    <s v="Complete"/>
    <s v="a7bfa0"/>
  </r>
  <r>
    <x v="2"/>
    <s v="B6 274"/>
    <s v="JBU274"/>
    <s v="BNA"/>
    <s v="KBNA"/>
    <s v="JFK"/>
    <s v="KJFK"/>
    <d v="2026-09-26T16:03:59"/>
    <d v="2026-09-26T17:59:15"/>
    <n v="115"/>
    <x v="116"/>
    <s v="A220-300"/>
    <s v="BCS3"/>
    <s v="Complete"/>
    <s v="a38367"/>
  </r>
  <r>
    <x v="2"/>
    <s v="B6 1005"/>
    <s v="JBU1005"/>
    <s v="FLL"/>
    <s v="KFLL"/>
    <s v="TPA"/>
    <s v="KTPA"/>
    <d v="2026-09-26T16:04:09"/>
    <d v="2026-09-26T16:41:30"/>
    <n v="37"/>
    <x v="154"/>
    <s v="A320"/>
    <s v="A320"/>
    <s v="Complete"/>
    <s v="aa7c64"/>
  </r>
  <r>
    <x v="2"/>
    <s v="B6 1923"/>
    <s v="JBU1923"/>
    <s v="DCA"/>
    <s v="KDCA"/>
    <s v="MCO"/>
    <s v="KMCO"/>
    <d v="2026-09-26T16:04:13"/>
    <d v="2026-09-26T17:45:02"/>
    <n v="101"/>
    <x v="91"/>
    <s v="A320"/>
    <s v="A320"/>
    <s v="Complete"/>
    <s v="a8a017"/>
  </r>
  <r>
    <x v="2"/>
    <s v="B6 681"/>
    <s v="JBU681"/>
    <s v="FLL"/>
    <s v="KFLL"/>
    <s v="BNA"/>
    <s v="KBNA"/>
    <d v="2026-09-26T16:07:54"/>
    <d v="2026-09-26T18:00:27"/>
    <n v="113"/>
    <x v="221"/>
    <s v="A320"/>
    <s v="A320"/>
    <s v="Complete"/>
    <s v="aaf53a"/>
  </r>
  <r>
    <x v="2"/>
    <s v="B6 1047"/>
    <s v="JBU1047"/>
    <s v="PHL"/>
    <s v="KPHL"/>
    <s v="SJU"/>
    <s v="TJSJ"/>
    <d v="2026-09-26T16:08:36"/>
    <d v="2026-09-26T19:52:05"/>
    <n v="223"/>
    <x v="161"/>
    <s v="A320"/>
    <s v="A320"/>
    <s v="Landing inferred"/>
    <s v="a87c4f"/>
  </r>
  <r>
    <x v="2"/>
    <s v="B6 22"/>
    <s v="JBU22"/>
    <s v="DJT"/>
    <s v="KPBI"/>
    <s v="BOS"/>
    <s v="KBOS"/>
    <d v="2026-09-26T16:09:01"/>
    <d v="2026-09-26T19:05:20"/>
    <n v="176"/>
    <x v="109"/>
    <s v="A321"/>
    <s v="A321"/>
    <s v="Complete"/>
    <s v="ad846f"/>
  </r>
  <r>
    <x v="2"/>
    <s v="B6 1255"/>
    <s v="JBU1255"/>
    <s v="FLL"/>
    <s v="KFLL"/>
    <m/>
    <m/>
    <d v="2026-09-26T16:10:27"/>
    <d v="2026-09-26T17:39:29"/>
    <n v="89"/>
    <x v="225"/>
    <s v="A321neo"/>
    <s v="A21N"/>
    <s v="Signal lost"/>
    <s v="a19d0d"/>
  </r>
  <r>
    <x v="2"/>
    <s v="B6 749"/>
    <s v="JBU749"/>
    <s v="FLL"/>
    <s v="KFLL"/>
    <s v="CLT"/>
    <s v="KCLT"/>
    <d v="2026-09-26T16:14:46"/>
    <d v="2026-09-26T17:48:23"/>
    <n v="94"/>
    <x v="260"/>
    <s v="A320"/>
    <s v="A320"/>
    <s v="Complete"/>
    <s v="aa600a"/>
  </r>
  <r>
    <x v="2"/>
    <s v="B6 477"/>
    <s v="JBU477"/>
    <s v="JFK"/>
    <s v="KJFK"/>
    <m/>
    <m/>
    <d v="2026-09-26T16:15:15"/>
    <d v="2026-09-26T18:05:11"/>
    <n v="110"/>
    <x v="264"/>
    <s v="A220-300"/>
    <s v="BCS3"/>
    <s v="Landing inferred"/>
    <s v="a36799"/>
  </r>
  <r>
    <x v="2"/>
    <s v="B6 211"/>
    <s v="JBU211"/>
    <s v="JFK"/>
    <s v="KJFK"/>
    <s v="LAS"/>
    <s v="KLAS"/>
    <d v="2026-09-26T16:18:26"/>
    <d v="2026-09-26T21:06:48"/>
    <n v="288"/>
    <x v="16"/>
    <s v="A321"/>
    <s v="A321"/>
    <s v="Complete"/>
    <s v="ad7ab8"/>
  </r>
  <r>
    <x v="2"/>
    <s v="B6 1497"/>
    <s v="JBU1497"/>
    <s v="JFK"/>
    <s v="KJFK"/>
    <s v="DEN"/>
    <s v="KDEN"/>
    <d v="2026-09-26T16:20:16"/>
    <d v="2026-09-26T19:50:25"/>
    <n v="210"/>
    <x v="50"/>
    <s v="A220-300"/>
    <s v="BCS3"/>
    <s v="Complete"/>
    <s v="a35fc2"/>
  </r>
  <r>
    <x v="2"/>
    <s v="B6 266"/>
    <s v="JBU266"/>
    <m/>
    <m/>
    <m/>
    <m/>
    <d v="2026-09-26T16:20:27"/>
    <d v="2026-09-26T16:21:32"/>
    <n v="1"/>
    <x v="39"/>
    <s v="Unknown"/>
    <m/>
    <s v="Complete"/>
    <s v="a39be7"/>
  </r>
  <r>
    <x v="2"/>
    <s v="B6 266"/>
    <s v="JBU266"/>
    <m/>
    <m/>
    <s v="PHF"/>
    <s v="KPHF"/>
    <d v="2026-09-26T16:21:32"/>
    <d v="2026-09-26T16:22:12"/>
    <n v="1"/>
    <x v="39"/>
    <s v="Unknown"/>
    <m/>
    <s v="Complete"/>
    <s v="a39be7"/>
  </r>
  <r>
    <x v="2"/>
    <s v="B6 266"/>
    <s v="JBU266"/>
    <s v="PHF"/>
    <s v="KPHF"/>
    <m/>
    <m/>
    <d v="2026-09-26T16:22:12"/>
    <d v="2026-09-26T16:25:13"/>
    <n v="3"/>
    <x v="39"/>
    <s v="Unknown"/>
    <m/>
    <s v="Complete"/>
    <s v="a39be7"/>
  </r>
  <r>
    <x v="2"/>
    <s v="B6 266"/>
    <s v="JBU266"/>
    <m/>
    <m/>
    <m/>
    <m/>
    <d v="2026-09-26T16:25:13"/>
    <d v="2026-09-26T16:26:37"/>
    <n v="1"/>
    <x v="39"/>
    <s v="Unknown"/>
    <m/>
    <s v="Complete"/>
    <s v="a39be7"/>
  </r>
  <r>
    <x v="2"/>
    <s v="B6 266"/>
    <s v="JBU266"/>
    <m/>
    <m/>
    <m/>
    <m/>
    <d v="2026-09-26T16:26:37"/>
    <d v="2026-09-26T16:27:18"/>
    <n v="1"/>
    <x v="39"/>
    <s v="Unknown"/>
    <m/>
    <s v="Complete"/>
    <s v="a39be7"/>
  </r>
  <r>
    <x v="2"/>
    <s v="B6 272"/>
    <s v="JBU272"/>
    <s v="FLL"/>
    <s v="KFLL"/>
    <s v="LGA"/>
    <s v="KLGA"/>
    <d v="2026-09-26T16:27:17"/>
    <d v="2026-09-26T19:01:47"/>
    <n v="155"/>
    <x v="81"/>
    <s v="A320"/>
    <s v="A320"/>
    <s v="Complete"/>
    <s v="a83e86"/>
  </r>
  <r>
    <x v="2"/>
    <s v="B6 266"/>
    <s v="JBU266"/>
    <m/>
    <m/>
    <m/>
    <m/>
    <d v="2026-09-26T16:27:18"/>
    <d v="2026-09-26T16:28:28"/>
    <n v="1"/>
    <x v="39"/>
    <s v="Unknown"/>
    <m/>
    <s v="Complete"/>
    <s v="a39be7"/>
  </r>
  <r>
    <x v="2"/>
    <s v="B6 83"/>
    <s v="JBU83"/>
    <s v="JFK"/>
    <s v="KJFK"/>
    <s v="MCO"/>
    <s v="KMCO"/>
    <d v="2026-09-26T16:27:48"/>
    <d v="2026-09-26T18:32:38"/>
    <n v="125"/>
    <x v="224"/>
    <s v="A321neo"/>
    <s v="A21N"/>
    <s v="Complete"/>
    <s v="a19910"/>
  </r>
  <r>
    <x v="2"/>
    <s v="B6 266"/>
    <s v="JBU266"/>
    <m/>
    <m/>
    <m/>
    <m/>
    <d v="2026-09-26T16:28:28"/>
    <d v="2026-09-26T16:30:33"/>
    <n v="2"/>
    <x v="39"/>
    <s v="Unknown"/>
    <m/>
    <s v="Complete"/>
    <s v="a39be7"/>
  </r>
  <r>
    <x v="2"/>
    <s v="B6 1603"/>
    <s v="JBU1603"/>
    <s v="JFK"/>
    <s v="KJFK"/>
    <s v="SJU"/>
    <s v="TJSJ"/>
    <d v="2026-09-26T16:28:50"/>
    <d v="2026-09-26T20:17:56"/>
    <n v="229"/>
    <x v="208"/>
    <s v="A321"/>
    <s v="A321"/>
    <s v="Landing inferred"/>
    <s v="ac7b1b"/>
  </r>
  <r>
    <x v="2"/>
    <s v="B6 249"/>
    <s v="JBU249"/>
    <s v="BOS"/>
    <s v="KBOS"/>
    <s v="SAV"/>
    <s v="KSAV"/>
    <d v="2026-09-26T16:30:27"/>
    <d v="2026-09-26T18:42:52"/>
    <n v="132"/>
    <x v="23"/>
    <s v="A220-300"/>
    <s v="BCS3"/>
    <s v="Landing inferred"/>
    <s v="a34d98"/>
  </r>
  <r>
    <x v="2"/>
    <s v="B6 266"/>
    <s v="JBU266"/>
    <m/>
    <m/>
    <m/>
    <m/>
    <d v="2026-09-26T16:30:34"/>
    <d v="2026-09-26T16:30:44"/>
    <n v="0"/>
    <x v="39"/>
    <s v="Unknown"/>
    <m/>
    <s v="Complete"/>
    <s v="a39be7"/>
  </r>
  <r>
    <x v="2"/>
    <s v="B6 266"/>
    <s v="JBU266"/>
    <m/>
    <m/>
    <m/>
    <m/>
    <d v="2026-09-26T16:30:44"/>
    <d v="2026-09-26T16:31:58"/>
    <n v="1"/>
    <x v="39"/>
    <s v="Unknown"/>
    <m/>
    <s v="Complete"/>
    <s v="a39be7"/>
  </r>
  <r>
    <x v="2"/>
    <s v="B6 266"/>
    <s v="JBU266"/>
    <m/>
    <m/>
    <s v="SBY"/>
    <s v="KSBY"/>
    <d v="2026-09-26T16:31:58"/>
    <d v="2026-09-26T16:34:33"/>
    <n v="3"/>
    <x v="39"/>
    <s v="Unknown"/>
    <m/>
    <s v="Complete"/>
    <s v="a39be7"/>
  </r>
  <r>
    <x v="2"/>
    <s v="B6 468"/>
    <s v="JBU468"/>
    <s v="DJT"/>
    <s v="KPBI"/>
    <s v="HPN"/>
    <s v="KHPN"/>
    <d v="2026-09-26T16:33:06"/>
    <d v="2026-09-26T19:00:12"/>
    <n v="147"/>
    <x v="150"/>
    <s v="A320"/>
    <s v="A320"/>
    <s v="Landing inferred"/>
    <s v="a8c796"/>
  </r>
  <r>
    <x v="2"/>
    <s v="B6 266"/>
    <s v="JBU266"/>
    <s v="SBY"/>
    <s v="KSBY"/>
    <s v="SBY"/>
    <s v="KSBY"/>
    <d v="2026-09-26T16:34:33"/>
    <d v="2026-09-26T16:34:43"/>
    <n v="0"/>
    <x v="39"/>
    <s v="Unknown"/>
    <m/>
    <s v="Complete"/>
    <s v="a39be7"/>
  </r>
  <r>
    <x v="2"/>
    <s v="B6 266"/>
    <s v="JBU266"/>
    <s v="SBY"/>
    <s v="KSBY"/>
    <s v="SBY"/>
    <s v="KSBY"/>
    <d v="2026-09-26T16:34:43"/>
    <d v="2026-09-26T16:35:08"/>
    <n v="0"/>
    <x v="39"/>
    <s v="Unknown"/>
    <m/>
    <s v="Complete"/>
    <s v="a39be7"/>
  </r>
  <r>
    <x v="2"/>
    <s v="B6 266"/>
    <s v="JBU266"/>
    <s v="SBY"/>
    <s v="KSBY"/>
    <m/>
    <m/>
    <d v="2026-09-26T16:35:08"/>
    <d v="2026-09-26T16:37:12"/>
    <n v="2"/>
    <x v="39"/>
    <s v="Unknown"/>
    <m/>
    <s v="Complete"/>
    <s v="a39be7"/>
  </r>
  <r>
    <x v="2"/>
    <s v="B6 266"/>
    <s v="JBU266"/>
    <m/>
    <m/>
    <m/>
    <m/>
    <d v="2026-09-26T16:37:12"/>
    <d v="2026-09-26T16:39:57"/>
    <n v="3"/>
    <x v="39"/>
    <s v="Unknown"/>
    <m/>
    <s v="Complete"/>
    <s v="a39be7"/>
  </r>
  <r>
    <x v="2"/>
    <s v="B6 2020"/>
    <s v="JBU2020"/>
    <s v="FLL"/>
    <s v="KFLL"/>
    <s v="ORH"/>
    <s v="KORH"/>
    <d v="2026-09-26T16:38:30"/>
    <d v="2026-09-26T19:22:20"/>
    <n v="164"/>
    <x v="33"/>
    <s v="A320"/>
    <s v="A320"/>
    <s v="Complete"/>
    <s v="a7858e"/>
  </r>
  <r>
    <x v="2"/>
    <s v="B6 598"/>
    <s v="JBU598"/>
    <s v="MCO"/>
    <s v="KMCO"/>
    <s v="LGA"/>
    <s v="KLGA"/>
    <d v="2026-09-26T16:38:32"/>
    <d v="2026-09-26T18:51:56"/>
    <n v="133"/>
    <x v="180"/>
    <s v="A320"/>
    <s v="A320"/>
    <s v="Complete"/>
    <s v="a6b4f7"/>
  </r>
  <r>
    <x v="2"/>
    <s v="B6 266"/>
    <s v="JBU266"/>
    <m/>
    <m/>
    <m/>
    <m/>
    <d v="2026-09-26T16:39:57"/>
    <d v="2026-09-26T16:42:37"/>
    <n v="3"/>
    <x v="39"/>
    <s v="Unknown"/>
    <m/>
    <s v="Complete"/>
    <s v="a39be7"/>
  </r>
  <r>
    <x v="2"/>
    <s v="B6 590"/>
    <s v="JBU590"/>
    <s v="FLL"/>
    <s v="KFLL"/>
    <s v="FLL"/>
    <s v="KFLL"/>
    <d v="2026-09-26T16:41:38"/>
    <d v="2026-09-26T22:10:20"/>
    <n v="329"/>
    <x v="2"/>
    <s v="A320"/>
    <s v="A320"/>
    <s v="Complete"/>
    <s v="a8a3ce"/>
  </r>
  <r>
    <x v="2"/>
    <s v="B6 266"/>
    <s v="JBU266"/>
    <m/>
    <m/>
    <m/>
    <m/>
    <d v="2026-09-26T16:42:37"/>
    <d v="2026-09-26T16:44:17"/>
    <n v="2"/>
    <x v="39"/>
    <s v="Unknown"/>
    <m/>
    <s v="Complete"/>
    <s v="a39be7"/>
  </r>
  <r>
    <x v="2"/>
    <s v="B6 2094"/>
    <s v="JBU2094"/>
    <s v="FLL"/>
    <s v="KFLL"/>
    <s v="BWI"/>
    <s v="KBWI"/>
    <d v="2026-09-26T16:43:05"/>
    <d v="2026-09-26T18:50:19"/>
    <n v="127"/>
    <x v="35"/>
    <s v="A220-300"/>
    <s v="BCS3"/>
    <s v="Complete"/>
    <s v="a38e69"/>
  </r>
  <r>
    <x v="2"/>
    <s v="B6 266"/>
    <s v="JBU266"/>
    <m/>
    <m/>
    <m/>
    <m/>
    <d v="2026-09-26T16:44:17"/>
    <d v="2026-09-26T16:44:22"/>
    <n v="0"/>
    <x v="39"/>
    <s v="Unknown"/>
    <m/>
    <s v="Complete"/>
    <s v="a39be7"/>
  </r>
  <r>
    <x v="2"/>
    <s v="B6 266"/>
    <s v="JBU266"/>
    <m/>
    <m/>
    <m/>
    <m/>
    <d v="2026-09-26T16:44:22"/>
    <d v="2026-09-26T16:49:31"/>
    <n v="5"/>
    <x v="39"/>
    <s v="Unknown"/>
    <m/>
    <s v="Complete"/>
    <s v="a39be7"/>
  </r>
  <r>
    <x v="2"/>
    <s v="B6 1133"/>
    <s v="JBU1133"/>
    <s v="MCO"/>
    <s v="KMCO"/>
    <s v="SJU"/>
    <s v="TJSJ"/>
    <d v="2026-09-26T16:47:56"/>
    <d v="2026-09-26T19:14:13"/>
    <n v="146"/>
    <x v="261"/>
    <s v="A320"/>
    <s v="A320"/>
    <s v="Landing inferred"/>
    <s v="aa8b40"/>
  </r>
  <r>
    <x v="2"/>
    <s v="B6 266"/>
    <s v="JBU266"/>
    <m/>
    <m/>
    <m/>
    <m/>
    <d v="2026-09-26T16:49:32"/>
    <d v="2026-09-26T16:50:02"/>
    <n v="1"/>
    <x v="39"/>
    <s v="Unknown"/>
    <m/>
    <s v="Complete"/>
    <s v="a39be7"/>
  </r>
  <r>
    <x v="2"/>
    <s v="B6 266"/>
    <s v="JBU266"/>
    <m/>
    <m/>
    <m/>
    <m/>
    <d v="2026-09-26T16:50:02"/>
    <d v="2026-09-26T16:50:12"/>
    <n v="0"/>
    <x v="39"/>
    <s v="Unknown"/>
    <m/>
    <s v="Complete"/>
    <s v="a39be7"/>
  </r>
  <r>
    <x v="2"/>
    <s v="B6 266"/>
    <s v="JBU266"/>
    <m/>
    <m/>
    <m/>
    <m/>
    <d v="2026-09-26T16:50:12"/>
    <d v="2026-09-26T16:51:36"/>
    <n v="1"/>
    <x v="39"/>
    <s v="Unknown"/>
    <m/>
    <s v="Complete"/>
    <s v="a39be7"/>
  </r>
  <r>
    <x v="2"/>
    <s v="B6 266"/>
    <s v="JBU266"/>
    <m/>
    <m/>
    <m/>
    <m/>
    <d v="2026-09-26T16:51:36"/>
    <d v="2026-09-26T16:55:44"/>
    <n v="4"/>
    <x v="39"/>
    <s v="Unknown"/>
    <m/>
    <s v="Complete"/>
    <s v="a39be7"/>
  </r>
  <r>
    <x v="2"/>
    <s v="B6 568"/>
    <s v="JBU568"/>
    <s v="CHS"/>
    <s v="KCHS"/>
    <s v="BOS"/>
    <s v="KBOS"/>
    <d v="2026-09-26T16:55:29"/>
    <d v="2026-09-26T19:00:19"/>
    <n v="125"/>
    <x v="64"/>
    <s v="A220-300"/>
    <s v="BCS3"/>
    <s v="Complete"/>
    <s v="a33ca9"/>
  </r>
  <r>
    <x v="2"/>
    <s v="B6 266"/>
    <s v="JBU266"/>
    <m/>
    <m/>
    <m/>
    <m/>
    <d v="2026-09-26T16:55:45"/>
    <d v="2026-09-26T16:56:04"/>
    <n v="0"/>
    <x v="39"/>
    <s v="Unknown"/>
    <m/>
    <s v="Complete"/>
    <s v="a39be7"/>
  </r>
  <r>
    <x v="2"/>
    <s v="B6 266"/>
    <s v="JBU266"/>
    <m/>
    <m/>
    <m/>
    <m/>
    <d v="2026-09-26T16:56:04"/>
    <d v="2026-09-26T17:04:33"/>
    <n v="8"/>
    <x v="39"/>
    <s v="Unknown"/>
    <m/>
    <s v="Complete"/>
    <s v="a39be7"/>
  </r>
  <r>
    <x v="2"/>
    <s v="B6 988"/>
    <s v="JBU988"/>
    <s v="LAX"/>
    <s v="KLAX"/>
    <s v="BOS"/>
    <s v="KBOS"/>
    <d v="2026-09-26T16:58:24"/>
    <d v="2026-09-26T22:32:05"/>
    <n v="334"/>
    <x v="69"/>
    <s v="A321"/>
    <s v="A321"/>
    <s v="Complete"/>
    <s v="add734"/>
  </r>
  <r>
    <x v="2"/>
    <s v="B6 1004"/>
    <s v="JBU1004"/>
    <s v="SJU"/>
    <s v="TJSJ"/>
    <s v="JFK"/>
    <s v="KJFK"/>
    <d v="2026-09-26T16:58:25"/>
    <d v="2026-09-26T20:36:02"/>
    <n v="218"/>
    <x v="197"/>
    <s v="A321"/>
    <s v="A321"/>
    <s v="Complete"/>
    <s v="aded77"/>
  </r>
  <r>
    <x v="2"/>
    <s v="B6 915"/>
    <s v="JBU915"/>
    <s v="BOS"/>
    <s v="KBOS"/>
    <s v="BUF"/>
    <s v="KBUF"/>
    <d v="2026-09-26T16:59:52"/>
    <d v="2026-09-26T18:01:39"/>
    <n v="62"/>
    <x v="259"/>
    <s v="A220-300"/>
    <s v="BCS3"/>
    <s v="Landing inferred"/>
    <s v="a37f8d"/>
  </r>
  <r>
    <x v="2"/>
    <s v="B6 1223"/>
    <s v="JBU1223"/>
    <s v="JFK"/>
    <s v="KJFK"/>
    <s v="LAX"/>
    <s v="KLAX"/>
    <d v="2026-09-26T17:04:23"/>
    <d v="2026-09-26T22:19:35"/>
    <n v="315"/>
    <x v="216"/>
    <s v="A321"/>
    <s v="A321"/>
    <s v="Complete"/>
    <s v="ad7e6f"/>
  </r>
  <r>
    <x v="2"/>
    <s v="B6 266"/>
    <s v="JBU266"/>
    <m/>
    <m/>
    <m/>
    <m/>
    <d v="2026-09-26T17:04:33"/>
    <d v="2026-09-26T17:05:58"/>
    <n v="1"/>
    <x v="39"/>
    <s v="Unknown"/>
    <m/>
    <s v="Complete"/>
    <s v="a39be7"/>
  </r>
  <r>
    <x v="2"/>
    <s v="B6 266"/>
    <s v="JBU266"/>
    <m/>
    <m/>
    <m/>
    <m/>
    <d v="2026-09-26T17:05:58"/>
    <d v="2026-09-26T17:06:38"/>
    <n v="1"/>
    <x v="39"/>
    <s v="Unknown"/>
    <m/>
    <s v="Complete"/>
    <s v="a39be7"/>
  </r>
  <r>
    <x v="2"/>
    <s v="B6 266"/>
    <s v="JBU266"/>
    <m/>
    <m/>
    <m/>
    <m/>
    <d v="2026-09-26T17:06:39"/>
    <d v="2026-09-26T17:07:29"/>
    <n v="1"/>
    <x v="39"/>
    <s v="Unknown"/>
    <m/>
    <s v="Complete"/>
    <s v="a39be7"/>
  </r>
  <r>
    <x v="2"/>
    <s v="B6 733"/>
    <s v="JBU733"/>
    <s v="BOS"/>
    <s v="KBOS"/>
    <s v="SFO"/>
    <s v="KSFO"/>
    <d v="2026-09-26T17:06:44"/>
    <d v="2026-09-26T22:56:56"/>
    <n v="350"/>
    <x v="168"/>
    <s v="A321"/>
    <s v="A321"/>
    <s v="Complete"/>
    <s v="ada227"/>
  </r>
  <r>
    <x v="2"/>
    <s v="B6 266"/>
    <s v="JBU266"/>
    <m/>
    <m/>
    <m/>
    <m/>
    <d v="2026-09-26T17:07:29"/>
    <d v="2026-09-26T17:08:34"/>
    <n v="1"/>
    <x v="39"/>
    <s v="Unknown"/>
    <m/>
    <s v="Complete"/>
    <s v="a39be7"/>
  </r>
  <r>
    <x v="2"/>
    <s v="B6 509"/>
    <s v="JBU509"/>
    <s v="BOS"/>
    <s v="KBOS"/>
    <s v="JAX"/>
    <s v="KJAX"/>
    <d v="2026-09-26T17:07:51"/>
    <d v="2026-09-26T19:25:50"/>
    <n v="138"/>
    <x v="169"/>
    <s v="A320"/>
    <s v="A320"/>
    <s v="Landing inferred"/>
    <s v="a8712a"/>
  </r>
  <r>
    <x v="2"/>
    <s v="B6 266"/>
    <s v="JBU266"/>
    <m/>
    <m/>
    <m/>
    <m/>
    <d v="2026-09-26T17:08:34"/>
    <d v="2026-09-26T17:09:09"/>
    <n v="1"/>
    <x v="39"/>
    <s v="Unknown"/>
    <m/>
    <s v="Complete"/>
    <s v="a39be7"/>
  </r>
  <r>
    <x v="2"/>
    <s v="B6 266"/>
    <s v="JBU266"/>
    <m/>
    <m/>
    <m/>
    <m/>
    <d v="2026-09-26T17:09:09"/>
    <d v="2026-09-26T17:09:24"/>
    <n v="0"/>
    <x v="39"/>
    <s v="Unknown"/>
    <m/>
    <s v="Complete"/>
    <s v="a39be7"/>
  </r>
  <r>
    <x v="2"/>
    <s v="B6 266"/>
    <s v="JBU266"/>
    <m/>
    <m/>
    <m/>
    <m/>
    <d v="2026-09-26T17:09:24"/>
    <d v="2026-09-26T17:09:29"/>
    <n v="0"/>
    <x v="39"/>
    <s v="Unknown"/>
    <m/>
    <s v="Complete"/>
    <s v="a39be7"/>
  </r>
  <r>
    <x v="2"/>
    <s v="B6 266"/>
    <s v="JBU266"/>
    <m/>
    <m/>
    <m/>
    <m/>
    <d v="2026-09-26T17:09:29"/>
    <d v="2026-09-26T17:09:48"/>
    <n v="0"/>
    <x v="39"/>
    <s v="Unknown"/>
    <m/>
    <s v="Complete"/>
    <s v="a39be7"/>
  </r>
  <r>
    <x v="2"/>
    <s v="B6 546"/>
    <s v="JBU546"/>
    <s v="MCO"/>
    <s v="KMCO"/>
    <s v="ISP"/>
    <s v="KISP"/>
    <d v="2026-09-26T17:09:38"/>
    <d v="2026-09-26T19:23:14"/>
    <n v="134"/>
    <x v="124"/>
    <s v="A320"/>
    <s v="A320"/>
    <s v="Landing inferred"/>
    <s v="a98445"/>
  </r>
  <r>
    <x v="2"/>
    <s v="B6 266"/>
    <s v="JBU266"/>
    <m/>
    <m/>
    <m/>
    <m/>
    <d v="2026-09-26T17:09:49"/>
    <d v="2026-09-26T17:10:39"/>
    <n v="1"/>
    <x v="39"/>
    <s v="Unknown"/>
    <m/>
    <s v="Complete"/>
    <s v="a39be7"/>
  </r>
  <r>
    <x v="2"/>
    <s v="B6 266"/>
    <s v="JBU266"/>
    <m/>
    <m/>
    <m/>
    <m/>
    <d v="2026-09-26T17:10:39"/>
    <d v="2026-09-26T17:13:54"/>
    <n v="3"/>
    <x v="39"/>
    <s v="Unknown"/>
    <m/>
    <s v="Complete"/>
    <s v="a39be7"/>
  </r>
  <r>
    <x v="2"/>
    <s v="B6 2902"/>
    <s v="JBU2902"/>
    <s v="JFK"/>
    <s v="KJFK"/>
    <s v="BUF"/>
    <s v="KBUF"/>
    <d v="2026-09-26T17:11:16"/>
    <d v="2026-09-26T18:03:22"/>
    <n v="52"/>
    <x v="34"/>
    <s v="A220-300"/>
    <s v="BCS3"/>
    <s v="Landing inferred"/>
    <s v="a39289"/>
  </r>
  <r>
    <x v="2"/>
    <s v="B6 482"/>
    <s v="JBU482"/>
    <s v="DFW"/>
    <s v="KDFW"/>
    <s v="FLL"/>
    <s v="KFLL"/>
    <d v="2026-09-26T17:12:55"/>
    <d v="2026-09-26T19:35:29"/>
    <n v="143"/>
    <x v="236"/>
    <s v="A320"/>
    <s v="A320"/>
    <s v="Complete"/>
    <s v="a8aef3"/>
  </r>
  <r>
    <x v="2"/>
    <s v="B6 2118"/>
    <s v="JBU2118"/>
    <s v="FLL"/>
    <s v="KFLL"/>
    <s v="JAX"/>
    <s v="KJAX"/>
    <d v="2026-09-26T17:12:57"/>
    <d v="2026-09-26T17:59:12"/>
    <n v="46"/>
    <x v="92"/>
    <s v="A320"/>
    <s v="A320"/>
    <s v="Landing inferred"/>
    <s v="a849ab"/>
  </r>
  <r>
    <x v="2"/>
    <s v="B6 2925"/>
    <s v="JBU2925"/>
    <s v="RDU"/>
    <s v="KRDU"/>
    <s v="FLL"/>
    <s v="KFLL"/>
    <d v="2026-09-26T17:13:45"/>
    <d v="2026-09-26T18:45:48"/>
    <n v="92"/>
    <x v="217"/>
    <s v="A320"/>
    <s v="A320"/>
    <s v="Complete"/>
    <s v="aaf8f1"/>
  </r>
  <r>
    <x v="2"/>
    <s v="B6 266"/>
    <s v="JBU266"/>
    <m/>
    <m/>
    <m/>
    <m/>
    <d v="2026-09-26T17:13:54"/>
    <d v="2026-09-26T17:14:49"/>
    <n v="1"/>
    <x v="39"/>
    <s v="Unknown"/>
    <m/>
    <s v="Complete"/>
    <s v="a39be7"/>
  </r>
  <r>
    <x v="2"/>
    <s v="B6 266"/>
    <s v="JBU266"/>
    <m/>
    <m/>
    <m/>
    <m/>
    <d v="2026-09-26T17:14:49"/>
    <d v="2026-09-26T17:16:28"/>
    <n v="2"/>
    <x v="39"/>
    <s v="Unknown"/>
    <m/>
    <s v="Complete"/>
    <s v="a39be7"/>
  </r>
  <r>
    <x v="2"/>
    <s v="B6 2110"/>
    <s v="JBU2110"/>
    <m/>
    <m/>
    <s v="JFK"/>
    <s v="KJFK"/>
    <d v="2026-09-26T17:15:23"/>
    <d v="2026-09-26T19:34:57"/>
    <n v="140"/>
    <x v="30"/>
    <s v="A320"/>
    <s v="A320"/>
    <s v="Complete"/>
    <s v="ab355c"/>
  </r>
  <r>
    <x v="2"/>
    <s v="B6 1014"/>
    <s v="JBU1014"/>
    <s v="MCO"/>
    <s v="KMCO"/>
    <s v="MCO"/>
    <s v="KMCO"/>
    <d v="2026-09-26T17:15:26"/>
    <d v="2026-09-26T21:58:03"/>
    <n v="283"/>
    <x v="157"/>
    <s v="A320"/>
    <s v="A320"/>
    <s v="Complete"/>
    <s v="aacf19"/>
  </r>
  <r>
    <x v="2"/>
    <s v="B6 266"/>
    <s v="JBU266"/>
    <m/>
    <m/>
    <m/>
    <m/>
    <d v="2026-09-26T17:16:28"/>
    <d v="2026-09-26T17:17:18"/>
    <n v="1"/>
    <x v="39"/>
    <s v="Unknown"/>
    <m/>
    <s v="Complete"/>
    <s v="a39be7"/>
  </r>
  <r>
    <x v="2"/>
    <s v="B6 266"/>
    <s v="JBU266"/>
    <m/>
    <m/>
    <m/>
    <m/>
    <d v="2026-09-26T17:17:18"/>
    <d v="2026-09-26T17:18:58"/>
    <n v="2"/>
    <x v="39"/>
    <s v="Unknown"/>
    <m/>
    <s v="Complete"/>
    <s v="a39be7"/>
  </r>
  <r>
    <x v="2"/>
    <s v="B6 1118"/>
    <s v="JBU1118"/>
    <s v="JFK"/>
    <s v="KJFK"/>
    <s v="BOS"/>
    <s v="KBOS"/>
    <d v="2026-09-26T17:17:40"/>
    <d v="2026-09-26T18:02:29"/>
    <n v="45"/>
    <x v="100"/>
    <s v="A220-300"/>
    <s v="BCS3"/>
    <s v="Complete"/>
    <s v="a383f3"/>
  </r>
  <r>
    <x v="2"/>
    <s v="B6 386"/>
    <s v="JBU386"/>
    <s v="PIT"/>
    <s v="KPIT"/>
    <s v="BOS"/>
    <s v="KBOS"/>
    <d v="2026-09-26T17:18:17"/>
    <d v="2026-09-26T19:26:58"/>
    <n v="129"/>
    <x v="65"/>
    <s v="A220-300"/>
    <s v="BCS3"/>
    <s v="Complete"/>
    <s v="a386fb"/>
  </r>
  <r>
    <x v="2"/>
    <s v="B6 266"/>
    <s v="JBU266"/>
    <m/>
    <m/>
    <m/>
    <m/>
    <d v="2026-09-26T17:18:58"/>
    <d v="2026-09-26T17:20:48"/>
    <n v="2"/>
    <x v="39"/>
    <s v="Unknown"/>
    <m/>
    <s v="Complete"/>
    <s v="a39be7"/>
  </r>
  <r>
    <x v="2"/>
    <s v="B6 436"/>
    <s v="JBU436"/>
    <m/>
    <m/>
    <s v="JFK"/>
    <s v="KJFK"/>
    <d v="2026-09-26T17:18:59"/>
    <d v="2026-09-26T19:37:28"/>
    <n v="138"/>
    <x v="29"/>
    <s v="A321"/>
    <s v="A321"/>
    <s v="Complete"/>
    <s v="ad4f72"/>
  </r>
  <r>
    <x v="2"/>
    <s v="B6 1382"/>
    <s v="JBU1382"/>
    <s v="IAH"/>
    <s v="KIAH"/>
    <s v="JFK"/>
    <s v="KJFK"/>
    <d v="2026-09-26T17:20:23"/>
    <d v="2026-09-26T20:46:14"/>
    <n v="206"/>
    <x v="198"/>
    <s v="A220-300"/>
    <s v="BCS3"/>
    <s v="Complete"/>
    <s v="a349be"/>
  </r>
  <r>
    <x v="2"/>
    <s v="B6 266"/>
    <s v="JBU266"/>
    <m/>
    <m/>
    <m/>
    <m/>
    <d v="2026-09-26T17:20:49"/>
    <d v="2026-09-26T17:21:59"/>
    <n v="1"/>
    <x v="39"/>
    <s v="Unknown"/>
    <m/>
    <s v="Complete"/>
    <s v="a39be7"/>
  </r>
  <r>
    <x v="2"/>
    <s v="B6 266"/>
    <s v="JBU266"/>
    <m/>
    <m/>
    <m/>
    <m/>
    <d v="2026-09-26T17:21:59"/>
    <d v="2026-09-26T17:23:09"/>
    <n v="1"/>
    <x v="39"/>
    <s v="Unknown"/>
    <m/>
    <s v="Complete"/>
    <s v="a39be7"/>
  </r>
  <r>
    <x v="2"/>
    <s v="B6 2656"/>
    <s v="JBU2656"/>
    <s v="MCO"/>
    <s v="KMCO"/>
    <s v="SYR"/>
    <s v="KSYR"/>
    <d v="2026-09-26T17:22:30"/>
    <d v="2026-09-26T19:48:15"/>
    <n v="146"/>
    <x v="189"/>
    <s v="A220-300"/>
    <s v="BCS3"/>
    <s v="Complete"/>
    <s v="a35cba"/>
  </r>
  <r>
    <x v="2"/>
    <s v="B6 266"/>
    <s v="JBU266"/>
    <m/>
    <m/>
    <m/>
    <m/>
    <d v="2026-09-26T17:23:09"/>
    <d v="2026-09-26T17:23:33"/>
    <n v="0"/>
    <x v="39"/>
    <s v="Unknown"/>
    <m/>
    <s v="Complete"/>
    <s v="a39be7"/>
  </r>
  <r>
    <x v="2"/>
    <s v="B6 266"/>
    <s v="JBU266"/>
    <m/>
    <m/>
    <m/>
    <m/>
    <d v="2026-09-26T17:23:34"/>
    <d v="2026-09-26T17:28:03"/>
    <n v="4"/>
    <x v="39"/>
    <s v="Unknown"/>
    <m/>
    <s v="Complete"/>
    <s v="a39be7"/>
  </r>
  <r>
    <x v="2"/>
    <s v="B6 634"/>
    <s v="JBU634"/>
    <s v="SJU"/>
    <s v="TJSJ"/>
    <s v="BUF"/>
    <s v="KBUF"/>
    <d v="2026-09-26T17:26:00"/>
    <d v="2026-09-26T21:22:47"/>
    <n v="237"/>
    <x v="42"/>
    <s v="A320"/>
    <s v="A320"/>
    <s v="Landing inferred"/>
    <s v="a854d0"/>
  </r>
  <r>
    <x v="2"/>
    <s v="B6 2182"/>
    <s v="JBU2182"/>
    <s v="FLL"/>
    <s v="KFLL"/>
    <s v="DFW"/>
    <s v="KDFW"/>
    <d v="2026-09-26T17:27:12"/>
    <d v="2026-09-26T20:04:40"/>
    <n v="157"/>
    <x v="25"/>
    <s v="A320"/>
    <s v="A320"/>
    <s v="Complete"/>
    <s v="a8299a"/>
  </r>
  <r>
    <x v="2"/>
    <s v="B6 190"/>
    <s v="JBU190"/>
    <s v="SAN"/>
    <s v="KSAN"/>
    <s v="JFK"/>
    <s v="KJFK"/>
    <d v="2026-09-26T17:27:21"/>
    <d v="2026-09-26T22:42:45"/>
    <n v="315"/>
    <x v="121"/>
    <s v="A321"/>
    <s v="A321"/>
    <s v="Complete"/>
    <s v="ad27f3"/>
  </r>
  <r>
    <x v="2"/>
    <s v="B6 266"/>
    <s v="JBU266"/>
    <m/>
    <m/>
    <m/>
    <m/>
    <d v="2026-09-26T17:28:03"/>
    <d v="2026-09-26T17:30:42"/>
    <n v="3"/>
    <x v="39"/>
    <s v="Unknown"/>
    <m/>
    <s v="Complete"/>
    <s v="a39be7"/>
  </r>
  <r>
    <x v="2"/>
    <s v="B6 266"/>
    <s v="JBU266"/>
    <m/>
    <m/>
    <m/>
    <m/>
    <d v="2026-09-26T17:30:42"/>
    <d v="2026-09-26T17:31:52"/>
    <n v="1"/>
    <x v="39"/>
    <s v="Unknown"/>
    <m/>
    <s v="Complete"/>
    <s v="a39be7"/>
  </r>
  <r>
    <x v="2"/>
    <s v="B6 266"/>
    <s v="JBU266"/>
    <m/>
    <m/>
    <m/>
    <m/>
    <d v="2026-09-26T17:31:52"/>
    <d v="2026-09-26T17:32:02"/>
    <n v="0"/>
    <x v="39"/>
    <s v="Unknown"/>
    <m/>
    <s v="Complete"/>
    <s v="a39be7"/>
  </r>
  <r>
    <x v="2"/>
    <s v="B6 266"/>
    <s v="JBU266"/>
    <m/>
    <m/>
    <s v="BVY"/>
    <s v="KBVY"/>
    <d v="2026-09-26T17:32:02"/>
    <d v="2026-09-26T17:33:37"/>
    <n v="2"/>
    <x v="39"/>
    <s v="Unknown"/>
    <m/>
    <s v="Complete"/>
    <s v="a39be7"/>
  </r>
  <r>
    <x v="2"/>
    <s v="B6 2324"/>
    <s v="JBU2324"/>
    <s v="MCO"/>
    <s v="KMCO"/>
    <s v="DCA"/>
    <s v="KDCA"/>
    <d v="2026-09-26T17:33:33"/>
    <d v="2026-09-26T19:14:58"/>
    <n v="101"/>
    <x v="130"/>
    <s v="A320"/>
    <s v="A320"/>
    <s v="Complete"/>
    <s v="a776b2"/>
  </r>
  <r>
    <x v="2"/>
    <s v="B6 266"/>
    <s v="JBU266"/>
    <s v="BVY"/>
    <s v="KBVY"/>
    <s v="BED"/>
    <s v="KBED"/>
    <d v="2026-09-26T17:33:37"/>
    <d v="2026-09-26T17:36:27"/>
    <n v="3"/>
    <x v="39"/>
    <s v="Unknown"/>
    <m/>
    <s v="Complete"/>
    <s v="a39be7"/>
  </r>
  <r>
    <x v="2"/>
    <s v="B6 1043"/>
    <s v="JBU1043"/>
    <s v="ROC"/>
    <s v="KROC"/>
    <s v="MCO"/>
    <s v="KMCO"/>
    <d v="2026-09-26T17:33:44"/>
    <d v="2026-09-26T19:48:19"/>
    <n v="135"/>
    <x v="201"/>
    <s v="A320"/>
    <s v="A320"/>
    <s v="Complete"/>
    <s v="a894f2"/>
  </r>
  <r>
    <x v="2"/>
    <s v="B6 987"/>
    <s v="JBU987"/>
    <s v="ORH"/>
    <s v="KORH"/>
    <s v="MCO"/>
    <s v="KMCO"/>
    <d v="2026-09-26T17:33:54"/>
    <d v="2026-09-26T19:59:13"/>
    <n v="145"/>
    <x v="174"/>
    <s v="A320"/>
    <s v="A320"/>
    <s v="Complete"/>
    <s v="aa4252"/>
  </r>
  <r>
    <x v="2"/>
    <s v="B6 437"/>
    <s v="JBU437"/>
    <s v="BDL"/>
    <s v="KBDL"/>
    <s v="MCO"/>
    <s v="KMCO"/>
    <d v="2026-09-26T17:34:50"/>
    <d v="2026-09-26T20:02:18"/>
    <n v="147"/>
    <x v="245"/>
    <s v="A320"/>
    <s v="A320"/>
    <s v="Complete"/>
    <s v="a7a956"/>
  </r>
  <r>
    <x v="2"/>
    <s v="B6 266"/>
    <s v="JBU266"/>
    <s v="BED"/>
    <s v="KBED"/>
    <s v="BOS"/>
    <s v="KBOS"/>
    <d v="2026-09-26T17:36:28"/>
    <d v="2026-09-26T17:38:23"/>
    <n v="2"/>
    <x v="39"/>
    <s v="Unknown"/>
    <m/>
    <s v="Complete"/>
    <s v="a39be7"/>
  </r>
  <r>
    <x v="2"/>
    <s v="B6 1371"/>
    <s v="JBU1371"/>
    <s v="LGA"/>
    <s v="KLGA"/>
    <s v="FLL"/>
    <s v="KFLL"/>
    <d v="2026-09-26T17:36:39"/>
    <d v="2026-09-26T19:50:34"/>
    <n v="134"/>
    <x v="18"/>
    <s v="A320"/>
    <s v="A320"/>
    <s v="Complete"/>
    <s v="a694dd"/>
  </r>
  <r>
    <x v="2"/>
    <s v="B6 1734"/>
    <s v="JBU1734"/>
    <s v="SFO"/>
    <s v="KSFO"/>
    <s v="BOS"/>
    <s v="KBOS"/>
    <d v="2026-09-26T17:36:59"/>
    <d v="2026-09-26T23:10:19"/>
    <n v="333"/>
    <x v="46"/>
    <s v="A321"/>
    <s v="A321"/>
    <s v="Complete"/>
    <s v="ad0074"/>
  </r>
  <r>
    <x v="2"/>
    <s v="B6 2097"/>
    <s v="JBU2097"/>
    <s v="ATL"/>
    <s v="KATL"/>
    <s v="FLL"/>
    <s v="KFLL"/>
    <d v="2026-09-26T17:38:22"/>
    <d v="2026-09-26T19:08:28"/>
    <n v="90"/>
    <x v="94"/>
    <s v="A220-300"/>
    <s v="BCS3"/>
    <s v="Complete"/>
    <s v="a3845c"/>
  </r>
  <r>
    <x v="2"/>
    <s v="B6 266"/>
    <s v="JBU266"/>
    <s v="BOS"/>
    <s v="KBOS"/>
    <s v="BOS"/>
    <s v="KBOS"/>
    <d v="2026-09-26T17:38:23"/>
    <d v="2026-09-26T17:38:43"/>
    <n v="0"/>
    <x v="39"/>
    <s v="Unknown"/>
    <m/>
    <s v="Complete"/>
    <s v="a39be7"/>
  </r>
  <r>
    <x v="2"/>
    <s v="B6 266"/>
    <s v="JBU266"/>
    <s v="BOS"/>
    <s v="KBOS"/>
    <s v="BOS"/>
    <s v="KBOS"/>
    <d v="2026-09-26T17:38:44"/>
    <d v="2026-09-26T17:39:43"/>
    <n v="1"/>
    <x v="39"/>
    <s v="Unknown"/>
    <m/>
    <s v="Complete"/>
    <s v="a39be7"/>
  </r>
  <r>
    <x v="2"/>
    <s v="B6 266"/>
    <s v="JBU266"/>
    <s v="BOS"/>
    <s v="KBOS"/>
    <s v="BOS"/>
    <s v="KBOS"/>
    <d v="2026-09-26T17:39:43"/>
    <d v="2026-09-26T17:40:48"/>
    <n v="1"/>
    <x v="39"/>
    <s v="Unknown"/>
    <m/>
    <s v="Complete"/>
    <s v="a39be7"/>
  </r>
  <r>
    <x v="2"/>
    <s v="B6 266"/>
    <s v="JBU266"/>
    <s v="BOS"/>
    <s v="KBOS"/>
    <s v="BOS"/>
    <s v="KBOS"/>
    <d v="2026-09-26T17:40:48"/>
    <d v="2026-09-26T17:41:38"/>
    <n v="1"/>
    <x v="39"/>
    <s v="Unknown"/>
    <m/>
    <s v="Complete"/>
    <s v="a39be7"/>
  </r>
  <r>
    <x v="2"/>
    <s v="B6 266"/>
    <s v="JBU266"/>
    <s v="BOS"/>
    <s v="KBOS"/>
    <s v="OWD"/>
    <s v="KOWD"/>
    <d v="2026-09-26T17:41:39"/>
    <d v="2026-09-26T17:43:13"/>
    <n v="2"/>
    <x v="39"/>
    <s v="Unknown"/>
    <m/>
    <s v="Complete"/>
    <s v="a39be7"/>
  </r>
  <r>
    <x v="2"/>
    <s v="B6 1700"/>
    <s v="JBU1700"/>
    <s v="LAX"/>
    <s v="KLAX"/>
    <s v="FLL"/>
    <s v="KFLL"/>
    <d v="2026-09-26T17:42:27"/>
    <d v="2026-09-26T22:15:11"/>
    <n v="273"/>
    <x v="211"/>
    <s v="A321"/>
    <s v="A321"/>
    <s v="Complete"/>
    <s v="ad9e73"/>
  </r>
  <r>
    <x v="2"/>
    <s v="B6 266"/>
    <s v="JBU266"/>
    <s v="OWD"/>
    <s v="KOWD"/>
    <m/>
    <m/>
    <d v="2026-09-26T17:43:14"/>
    <d v="2026-09-26T17:45:43"/>
    <n v="2"/>
    <x v="39"/>
    <s v="Unknown"/>
    <m/>
    <s v="Complete"/>
    <s v="a39be7"/>
  </r>
  <r>
    <x v="2"/>
    <s v="B6 281"/>
    <s v="JBU281"/>
    <s v="JFK"/>
    <s v="KJFK"/>
    <s v="IAH"/>
    <s v="KIAH"/>
    <d v="2026-09-26T17:44:25"/>
    <d v="2026-09-26T20:54:11"/>
    <n v="190"/>
    <x v="246"/>
    <s v="A220-300"/>
    <s v="BCS3"/>
    <s v="Landing inferred"/>
    <s v="a38b61"/>
  </r>
  <r>
    <x v="2"/>
    <s v="B6 1578"/>
    <s v="JBU1578"/>
    <s v="LAS"/>
    <s v="KLAS"/>
    <s v="BOS"/>
    <s v="KBOS"/>
    <d v="2026-09-26T17:44:37"/>
    <d v="2026-09-26T22:48:09"/>
    <n v="304"/>
    <x v="87"/>
    <s v="A321neo"/>
    <s v="A21N"/>
    <s v="Complete"/>
    <s v="a1cf48"/>
  </r>
  <r>
    <x v="2"/>
    <s v="B6 266"/>
    <s v="JBU266"/>
    <m/>
    <m/>
    <m/>
    <m/>
    <d v="2026-09-26T17:45:43"/>
    <d v="2026-09-26T17:46:33"/>
    <n v="1"/>
    <x v="39"/>
    <s v="Unknown"/>
    <m/>
    <s v="Complete"/>
    <s v="a39be7"/>
  </r>
  <r>
    <x v="2"/>
    <s v="B6 578"/>
    <s v="JBU578"/>
    <s v="SFO"/>
    <s v="KSFO"/>
    <s v="FLL"/>
    <s v="KFLL"/>
    <d v="2026-09-26T17:46:28"/>
    <d v="2026-09-26T22:46:06"/>
    <n v="300"/>
    <x v="235"/>
    <s v="A321"/>
    <s v="A321"/>
    <s v="Complete"/>
    <s v="ad1cde"/>
  </r>
  <r>
    <x v="2"/>
    <s v="B6 266"/>
    <s v="JBU266"/>
    <m/>
    <m/>
    <m/>
    <m/>
    <d v="2026-09-26T17:46:33"/>
    <d v="2026-09-26T17:48:02"/>
    <n v="1"/>
    <x v="39"/>
    <s v="Unknown"/>
    <m/>
    <s v="Complete"/>
    <s v="a39be7"/>
  </r>
  <r>
    <x v="2"/>
    <s v="B6 266"/>
    <s v="JBU266"/>
    <m/>
    <m/>
    <s v="OWD"/>
    <s v="KOWD"/>
    <d v="2026-09-26T17:48:03"/>
    <d v="2026-09-26T17:50:32"/>
    <n v="2"/>
    <x v="39"/>
    <s v="Unknown"/>
    <m/>
    <s v="Complete"/>
    <s v="a39be7"/>
  </r>
  <r>
    <x v="2"/>
    <s v="B6 266"/>
    <s v="JBU266"/>
    <s v="OWD"/>
    <s v="KOWD"/>
    <s v="OWD"/>
    <s v="KOWD"/>
    <d v="2026-09-26T17:50:33"/>
    <d v="2026-09-26T17:51:53"/>
    <n v="1"/>
    <x v="39"/>
    <s v="Unknown"/>
    <m/>
    <s v="Complete"/>
    <s v="a39be7"/>
  </r>
  <r>
    <x v="2"/>
    <s v="B6 266"/>
    <s v="JBU266"/>
    <s v="OWD"/>
    <s v="KOWD"/>
    <s v="OWD"/>
    <s v="KOWD"/>
    <d v="2026-09-26T17:51:53"/>
    <d v="2026-09-26T17:52:23"/>
    <n v="0"/>
    <x v="39"/>
    <s v="Unknown"/>
    <m/>
    <s v="Complete"/>
    <s v="a39be7"/>
  </r>
  <r>
    <x v="2"/>
    <s v="B6 1751"/>
    <s v="JBU1751"/>
    <s v="TPA"/>
    <s v="KTPA"/>
    <s v="SJU"/>
    <s v="TJSJ"/>
    <d v="2026-09-26T17:52:17"/>
    <d v="2026-09-26T21:24:05"/>
    <n v="212"/>
    <x v="188"/>
    <s v="A321"/>
    <s v="A321"/>
    <s v="Complete"/>
    <s v="ad444d"/>
  </r>
  <r>
    <x v="2"/>
    <s v="B6 266"/>
    <s v="JBU266"/>
    <s v="OWD"/>
    <s v="KOWD"/>
    <s v="OWD"/>
    <s v="KOWD"/>
    <d v="2026-09-26T17:52:23"/>
    <d v="2026-09-26T17:55:27"/>
    <n v="3"/>
    <x v="39"/>
    <s v="Unknown"/>
    <m/>
    <s v="Complete"/>
    <s v="a39be7"/>
  </r>
  <r>
    <x v="2"/>
    <s v="B6 1889"/>
    <s v="JBU1889"/>
    <s v="EWR"/>
    <s v="KEWR"/>
    <s v="SJU"/>
    <s v="TJSJ"/>
    <d v="2026-09-26T17:52:27"/>
    <d v="2026-09-26T21:39:49"/>
    <n v="227"/>
    <x v="219"/>
    <s v="A320"/>
    <s v="A320"/>
    <s v="Complete"/>
    <s v="a6587b"/>
  </r>
  <r>
    <x v="2"/>
    <s v="B6 1859"/>
    <s v="JBU1859"/>
    <s v="BOS"/>
    <s v="KBOS"/>
    <s v="PHL"/>
    <s v="KPHL"/>
    <d v="2026-09-26T17:52:42"/>
    <d v="2026-09-26T21:22:58"/>
    <n v="210"/>
    <x v="4"/>
    <s v="Unknown"/>
    <m/>
    <s v="Complete"/>
    <s v="a38fa4"/>
  </r>
  <r>
    <x v="2"/>
    <s v="B6 266"/>
    <s v="JBU266"/>
    <s v="OWD"/>
    <s v="KOWD"/>
    <s v="BOS"/>
    <s v="KBOS"/>
    <d v="2026-09-26T17:55:28"/>
    <d v="2026-09-26T17:58:31"/>
    <n v="3"/>
    <x v="39"/>
    <s v="Unknown"/>
    <m/>
    <s v="Complete"/>
    <s v="a39be7"/>
  </r>
  <r>
    <x v="2"/>
    <s v="B6 1448"/>
    <s v="JBU1448"/>
    <s v="LAS"/>
    <s v="KLAS"/>
    <s v="JFK"/>
    <s v="KJFK"/>
    <d v="2026-09-26T17:56:23"/>
    <d v="2026-09-26T22:44:35"/>
    <n v="288"/>
    <x v="258"/>
    <s v="A321neo"/>
    <s v="A21N"/>
    <s v="Complete"/>
    <s v="a1ddbb"/>
  </r>
  <r>
    <x v="2"/>
    <s v="B6 8589"/>
    <s v="JBU8589"/>
    <s v="WRB"/>
    <s v="KWRB"/>
    <s v="DJT"/>
    <s v="KPBI"/>
    <d v="2026-09-26T17:57:50"/>
    <d v="2026-09-26T19:01:10"/>
    <n v="63"/>
    <x v="267"/>
    <s v="A320"/>
    <s v="A320"/>
    <s v="Complete"/>
    <s v="a81abe"/>
  </r>
  <r>
    <x v="2"/>
    <s v="B6 2379"/>
    <s v="JBU2379"/>
    <s v="FLL"/>
    <s v="KFLL"/>
    <s v="IAH"/>
    <s v="KIAH"/>
    <d v="2026-09-26T17:58:41"/>
    <d v="2026-09-26T20:15:02"/>
    <n v="136"/>
    <x v="5"/>
    <s v="A320"/>
    <s v="A320"/>
    <s v="Landing inferred"/>
    <s v="a87898"/>
  </r>
  <r>
    <x v="2"/>
    <s v="B6 2780"/>
    <s v="JBU2780"/>
    <s v="IAH"/>
    <s v="KIAH"/>
    <s v="FLL"/>
    <s v="KFLL"/>
    <d v="2026-09-26T17:58:43"/>
    <d v="2026-09-26T20:10:36"/>
    <n v="132"/>
    <x v="54"/>
    <s v="A320"/>
    <s v="A320"/>
    <s v="Complete"/>
    <s v="a7946a"/>
  </r>
  <r>
    <x v="2"/>
    <s v="B6 2076"/>
    <s v="JBU2076"/>
    <s v="TPA"/>
    <s v="KTPA"/>
    <s v="FLL"/>
    <s v="KFLL"/>
    <d v="2026-09-26T18:05:26"/>
    <d v="2026-09-26T18:50:38"/>
    <n v="45"/>
    <x v="154"/>
    <s v="A320"/>
    <s v="A320"/>
    <s v="Complete"/>
    <s v="aa7c64"/>
  </r>
  <r>
    <x v="2"/>
    <s v="B6 1075"/>
    <s v="JBU1075"/>
    <s v="MCO"/>
    <s v="KMCO"/>
    <s v="PVD"/>
    <s v="KPVD"/>
    <d v="2026-09-26T18:06:01"/>
    <d v="2026-09-26T20:25:25"/>
    <n v="139"/>
    <x v="17"/>
    <s v="A320"/>
    <s v="A320"/>
    <s v="Complete"/>
    <s v="a6a3c2"/>
  </r>
  <r>
    <x v="2"/>
    <s v="B6 342"/>
    <s v="JBU342"/>
    <s v="SAV"/>
    <s v="KSAV"/>
    <s v="JFK"/>
    <s v="KJFK"/>
    <d v="2026-09-26T18:07:05"/>
    <d v="2026-09-26T19:50:57"/>
    <n v="104"/>
    <x v="118"/>
    <s v="A320"/>
    <s v="A320"/>
    <s v="Complete"/>
    <s v="a707a3"/>
  </r>
  <r>
    <x v="2"/>
    <s v="B6 407"/>
    <s v="JBU407"/>
    <s v="BOS"/>
    <s v="KBOS"/>
    <s v="BNA"/>
    <s v="KBNA"/>
    <d v="2026-09-26T18:08:28"/>
    <d v="2026-09-26T23:17:34"/>
    <n v="309"/>
    <x v="177"/>
    <s v="A220-300"/>
    <s v="BCS3"/>
    <s v="Complete"/>
    <s v="a39925"/>
  </r>
  <r>
    <x v="2"/>
    <s v="B6 2786"/>
    <s v="JBU2786"/>
    <s v="RDU"/>
    <s v="KRDU"/>
    <s v="JFK"/>
    <s v="KJFK"/>
    <d v="2026-09-26T18:08:31"/>
    <d v="2026-09-26T19:28:35"/>
    <n v="80"/>
    <x v="51"/>
    <s v="A220-300"/>
    <s v="BCS3"/>
    <s v="Complete"/>
    <s v="a35949"/>
  </r>
  <r>
    <x v="2"/>
    <s v="B6 670"/>
    <s v="JBU670"/>
    <s v="MCO"/>
    <s v="KMCO"/>
    <s v="RIC"/>
    <s v="KRIC"/>
    <d v="2026-09-26T18:11:08"/>
    <d v="2026-09-26T19:43:38"/>
    <n v="93"/>
    <x v="183"/>
    <s v="A320"/>
    <s v="A320"/>
    <s v="Landing inferred"/>
    <s v="a7f6f6"/>
  </r>
  <r>
    <x v="2"/>
    <s v="B6 781"/>
    <s v="JBU781"/>
    <s v="BOS"/>
    <s v="KBOS"/>
    <s v="RIC"/>
    <s v="KRIC"/>
    <d v="2026-09-26T18:16:25"/>
    <d v="2026-09-26T19:47:10"/>
    <n v="91"/>
    <x v="36"/>
    <s v="A220-300"/>
    <s v="BCS3"/>
    <s v="Landing inferred"/>
    <s v="a38836"/>
  </r>
  <r>
    <x v="2"/>
    <s v="B6 367"/>
    <s v="JBU367"/>
    <s v="HPN"/>
    <s v="KHPN"/>
    <s v="DJT"/>
    <s v="KPBI"/>
    <d v="2026-09-26T18:19:23"/>
    <d v="2026-09-26T20:37:51"/>
    <n v="138"/>
    <x v="242"/>
    <s v="A320"/>
    <s v="A320"/>
    <s v="Complete"/>
    <s v="a770a2"/>
  </r>
  <r>
    <x v="2"/>
    <s v="B6 2383"/>
    <s v="JBU2383"/>
    <s v="BOS"/>
    <s v="KBOS"/>
    <s v="RDU"/>
    <s v="KRDU"/>
    <d v="2026-09-26T18:21:17"/>
    <d v="2026-09-26T20:05:19"/>
    <n v="104"/>
    <x v="175"/>
    <s v="A220-300"/>
    <s v="BCS3"/>
    <s v="Complete"/>
    <s v="a38ad5"/>
  </r>
  <r>
    <x v="2"/>
    <s v="B6 1453"/>
    <s v="JBU1453"/>
    <s v="FLL"/>
    <s v="KFLL"/>
    <s v="SJU"/>
    <s v="TJSJ"/>
    <d v="2026-09-26T18:21:17"/>
    <d v="2026-09-26T20:30:56"/>
    <n v="130"/>
    <x v="40"/>
    <s v="A320"/>
    <s v="A320"/>
    <s v="Landing inferred"/>
    <s v="aaa02c"/>
  </r>
  <r>
    <x v="2"/>
    <s v="B6 1874"/>
    <s v="JBU1874"/>
    <s v="LAX"/>
    <s v="KLAX"/>
    <s v="EWR"/>
    <s v="KEWR"/>
    <d v="2026-09-26T18:22:24"/>
    <d v="2026-09-26T23:52:09"/>
    <n v="330"/>
    <x v="99"/>
    <s v="A321"/>
    <s v="A321"/>
    <s v="Complete"/>
    <s v="ad6bdc"/>
  </r>
  <r>
    <x v="2"/>
    <s v="B6 2102"/>
    <s v="JBU2102"/>
    <s v="FLL"/>
    <s v="KFLL"/>
    <s v="JFK"/>
    <s v="KJFK"/>
    <d v="2026-09-26T18:23:06"/>
    <d v="2026-09-26T20:52:08"/>
    <n v="149"/>
    <x v="186"/>
    <s v="A321neo"/>
    <s v="A21N"/>
    <s v="Complete"/>
    <s v="a1b2a8"/>
  </r>
  <r>
    <x v="2"/>
    <s v="B6 605"/>
    <s v="JBU605"/>
    <s v="MCO"/>
    <s v="KMCO"/>
    <s v="SJU"/>
    <s v="TJSJ"/>
    <d v="2026-09-26T18:24:21"/>
    <d v="2026-09-26T22:33:29"/>
    <n v="249"/>
    <x v="145"/>
    <s v="A320"/>
    <s v="A320"/>
    <s v="Landing inferred"/>
    <s v="aaf183"/>
  </r>
  <r>
    <x v="2"/>
    <s v="B6 1475"/>
    <s v="JBU1475"/>
    <s v="BDL"/>
    <s v="KBDL"/>
    <s v="SJU"/>
    <s v="TJSJ"/>
    <d v="2026-09-26T18:26:37"/>
    <d v="2026-09-26T22:06:24"/>
    <n v="220"/>
    <x v="31"/>
    <s v="A320"/>
    <s v="A320"/>
    <s v="Landing inferred"/>
    <s v="a8c028"/>
  </r>
  <r>
    <x v="2"/>
    <s v="B6 120"/>
    <s v="JBU120"/>
    <s v="ATL"/>
    <s v="KATL"/>
    <s v="JFK"/>
    <s v="KJFK"/>
    <d v="2026-09-26T18:32:04"/>
    <d v="2026-09-26T20:30:43"/>
    <n v="119"/>
    <x v="105"/>
    <s v="A220-300"/>
    <s v="BCS3"/>
    <s v="Complete"/>
    <s v="a36825"/>
  </r>
  <r>
    <x v="2"/>
    <s v="B6 127"/>
    <s v="JBU127"/>
    <s v="EWR"/>
    <s v="KEWR"/>
    <s v="MCO"/>
    <s v="KMCO"/>
    <d v="2026-09-26T18:32:55"/>
    <d v="2026-09-26T20:40:52"/>
    <n v="128"/>
    <x v="19"/>
    <s v="A320"/>
    <s v="A320"/>
    <s v="Complete"/>
    <s v="a7da9c"/>
  </r>
  <r>
    <x v="2"/>
    <s v="B6 346"/>
    <s v="JBU346"/>
    <m/>
    <m/>
    <s v="BOS"/>
    <s v="KBOS"/>
    <d v="2026-09-26T18:37:52"/>
    <d v="2026-09-26T20:13:07"/>
    <n v="95"/>
    <x v="48"/>
    <s v="A321neo"/>
    <s v="A21N"/>
    <s v="Complete"/>
    <s v="a4cd23"/>
  </r>
  <r>
    <x v="2"/>
    <s v="B6 698"/>
    <s v="JBU698"/>
    <s v="MCO"/>
    <s v="KMCO"/>
    <s v="LGA"/>
    <s v="KLGA"/>
    <d v="2026-09-26T18:37:58"/>
    <d v="2026-09-26T21:10:07"/>
    <n v="152"/>
    <x v="256"/>
    <s v="A320"/>
    <s v="A320"/>
    <s v="Complete"/>
    <s v="a86605"/>
  </r>
  <r>
    <x v="2"/>
    <s v="B6 2052"/>
    <s v="JBU2052"/>
    <s v="MCO"/>
    <s v="KMCO"/>
    <s v="BOS"/>
    <s v="KBOS"/>
    <d v="2026-09-26T18:40:14"/>
    <d v="2026-09-26T21:09:09"/>
    <n v="149"/>
    <x v="117"/>
    <s v="A321"/>
    <s v="A321"/>
    <s v="Complete"/>
    <s v="ad3581"/>
  </r>
  <r>
    <x v="2"/>
    <s v="B6 368"/>
    <s v="JBU368"/>
    <s v="DJT"/>
    <s v="KPBI"/>
    <s v="HPN"/>
    <s v="KHPN"/>
    <d v="2026-09-26T18:41:32"/>
    <d v="2026-09-26T21:05:59"/>
    <n v="144"/>
    <x v="184"/>
    <s v="A320"/>
    <s v="A320"/>
    <s v="Landing inferred"/>
    <s v="a7b0c4"/>
  </r>
  <r>
    <x v="2"/>
    <s v="B6 708"/>
    <s v="JBU708"/>
    <s v="LAS"/>
    <s v="KLAS"/>
    <s v="FLL"/>
    <s v="KFLL"/>
    <d v="2026-09-26T18:41:54"/>
    <d v="2026-09-26T22:53:38"/>
    <n v="252"/>
    <x v="52"/>
    <s v="A321"/>
    <s v="A321"/>
    <s v="Complete"/>
    <s v="ad60b7"/>
  </r>
  <r>
    <x v="2"/>
    <s v="B6 1761"/>
    <s v="JBU1761"/>
    <m/>
    <m/>
    <s v="DJT"/>
    <s v="KPBI"/>
    <d v="2026-09-26T18:42:00"/>
    <d v="2026-09-26T19:52:50"/>
    <n v="71"/>
    <x v="10"/>
    <s v="A220-300"/>
    <s v="BCS3"/>
    <s v="Complete"/>
    <s v="a36b2d"/>
  </r>
  <r>
    <x v="2"/>
    <s v="B6 53"/>
    <s v="JBU53"/>
    <s v="JFK"/>
    <s v="KJFK"/>
    <s v="DJT"/>
    <s v="KPBI"/>
    <d v="2026-09-26T18:42:20"/>
    <d v="2026-09-26T20:54:08"/>
    <n v="132"/>
    <x v="234"/>
    <s v="A321"/>
    <s v="A321"/>
    <s v="Complete"/>
    <s v="ad56e0"/>
  </r>
  <r>
    <x v="2"/>
    <s v="B6 269"/>
    <s v="JBU269"/>
    <s v="BOS"/>
    <s v="KBOS"/>
    <s v="FLL"/>
    <s v="KFLL"/>
    <d v="2026-09-26T18:46:52"/>
    <d v="2026-09-26T21:30:21"/>
    <n v="163"/>
    <x v="70"/>
    <s v="A321"/>
    <s v="A321"/>
    <s v="Complete"/>
    <s v="ade609"/>
  </r>
  <r>
    <x v="2"/>
    <s v="B6 68"/>
    <s v="JBU68"/>
    <s v="CHS"/>
    <s v="KCHS"/>
    <s v="BOS"/>
    <s v="KBOS"/>
    <d v="2026-09-26T18:47:40"/>
    <d v="2026-09-26T20:45:46"/>
    <n v="118"/>
    <x v="143"/>
    <s v="A220-300"/>
    <s v="BCS3"/>
    <s v="Complete"/>
    <s v="a34d52"/>
  </r>
  <r>
    <x v="2"/>
    <s v="B6 2722"/>
    <s v="JBU2722"/>
    <s v="MSY"/>
    <s v="KMSY"/>
    <s v="FLL"/>
    <s v="KFLL"/>
    <d v="2026-09-26T18:50:56"/>
    <d v="2026-09-26T20:26:43"/>
    <n v="96"/>
    <x v="237"/>
    <s v="A320"/>
    <s v="A320"/>
    <s v="Complete"/>
    <s v="a7d32e"/>
  </r>
  <r>
    <x v="2"/>
    <s v="B6 1454"/>
    <s v="JBU1454"/>
    <s v="SJU"/>
    <s v="TJSJ"/>
    <s v="FLL"/>
    <s v="KFLL"/>
    <d v="2026-09-26T18:52:28"/>
    <d v="2026-09-26T21:09:14"/>
    <n v="137"/>
    <x v="172"/>
    <s v="A320"/>
    <s v="A320"/>
    <s v="Complete"/>
    <s v="aac7ab"/>
  </r>
  <r>
    <x v="2"/>
    <s v="B6 522"/>
    <s v="JBU522"/>
    <m/>
    <m/>
    <s v="MCO"/>
    <s v="KMCO"/>
    <d v="2026-09-26T18:52:43"/>
    <d v="2026-09-26T20:18:02"/>
    <n v="85"/>
    <x v="128"/>
    <s v="A220-300"/>
    <s v="BCS3"/>
    <s v="Complete"/>
    <s v="a3514f"/>
  </r>
  <r>
    <x v="2"/>
    <s v="B6 1084"/>
    <s v="JBU1084"/>
    <s v="MCO"/>
    <s v="KMCO"/>
    <s v="JFK"/>
    <s v="KJFK"/>
    <d v="2026-09-26T18:52:46"/>
    <d v="2026-09-26T21:06:43"/>
    <n v="134"/>
    <x v="255"/>
    <s v="A321"/>
    <s v="A321"/>
    <s v="Complete"/>
    <s v="ad4804"/>
  </r>
  <r>
    <x v="2"/>
    <s v="B6 394"/>
    <s v="JBU394"/>
    <s v="DEN"/>
    <s v="KDEN"/>
    <s v="BOS"/>
    <s v="KBOS"/>
    <d v="2026-09-26T18:52:55"/>
    <d v="2026-09-26T22:43:18"/>
    <n v="230"/>
    <x v="265"/>
    <s v="A220-300"/>
    <s v="BCS3"/>
    <s v="Complete"/>
    <s v="a3549d"/>
  </r>
  <r>
    <x v="2"/>
    <s v="B6 2251"/>
    <s v="JBU2251"/>
    <s v="BOS"/>
    <s v="KBOS"/>
    <s v="MCO"/>
    <s v="KMCO"/>
    <d v="2026-09-26T18:53:02"/>
    <d v="2026-09-26T21:25:27"/>
    <n v="152"/>
    <x v="134"/>
    <s v="A321"/>
    <s v="A321"/>
    <s v="Complete"/>
    <s v="ade252"/>
  </r>
  <r>
    <x v="2"/>
    <s v="B6 592"/>
    <s v="JBU592"/>
    <s v="TPA"/>
    <s v="KTPA"/>
    <s v="BOS"/>
    <s v="KBOS"/>
    <d v="2026-09-26T18:56:52"/>
    <d v="2026-09-26T21:40:40"/>
    <n v="164"/>
    <x v="38"/>
    <s v="A220-300"/>
    <s v="BCS3"/>
    <s v="Complete"/>
    <s v="a350c3"/>
  </r>
  <r>
    <x v="2"/>
    <s v="B6 1844"/>
    <s v="JBU1844"/>
    <m/>
    <m/>
    <s v="BOS"/>
    <s v="KBOS"/>
    <d v="2026-09-26T18:58:44"/>
    <d v="2026-09-26T23:28:58"/>
    <n v="270"/>
    <x v="1"/>
    <s v="A321"/>
    <s v="A321"/>
    <s v="Complete"/>
    <s v="ad8836"/>
  </r>
  <r>
    <x v="2"/>
    <s v="B6 545"/>
    <s v="JBU545"/>
    <s v="ISP"/>
    <s v="KISP"/>
    <s v="DJT"/>
    <s v="KPBI"/>
    <d v="2026-09-26T19:04:58"/>
    <d v="2026-09-26T21:21:27"/>
    <n v="136"/>
    <x v="73"/>
    <s v="A320"/>
    <s v="A320"/>
    <s v="Complete"/>
    <s v="a73690"/>
  </r>
  <r>
    <x v="2"/>
    <s v="B6 920"/>
    <s v="JBU920"/>
    <s v="JFK"/>
    <s v="KJFK"/>
    <s v="DTW"/>
    <s v="KDTW"/>
    <d v="2026-09-26T19:06:20"/>
    <d v="2026-09-26T20:23:09"/>
    <n v="77"/>
    <x v="232"/>
    <s v="A320"/>
    <s v="A320"/>
    <s v="Complete"/>
    <s v="a6cb48"/>
  </r>
  <r>
    <x v="2"/>
    <s v="B6 2260"/>
    <s v="JBU2260"/>
    <m/>
    <m/>
    <s v="BOS"/>
    <s v="KBOS"/>
    <d v="2026-09-26T19:06:29"/>
    <d v="2026-09-26T20:33:28"/>
    <n v="87"/>
    <x v="74"/>
    <s v="A321neo"/>
    <s v="A21N"/>
    <s v="Complete"/>
    <s v="a4bef6"/>
  </r>
  <r>
    <x v="2"/>
    <s v="B6 606"/>
    <s v="JBU606"/>
    <s v="SJU"/>
    <s v="TJSJ"/>
    <s v="MCO"/>
    <s v="KMCO"/>
    <d v="2026-09-26T19:07:41"/>
    <d v="2026-09-26T23:40:51"/>
    <n v="273"/>
    <x v="68"/>
    <s v="A320"/>
    <s v="A320"/>
    <s v="Complete"/>
    <s v="a7e5c1"/>
  </r>
  <r>
    <x v="2"/>
    <s v="B6 1397"/>
    <s v="JBU1397"/>
    <s v="BOS"/>
    <s v="KBOS"/>
    <s v="ATL"/>
    <s v="KATL"/>
    <d v="2026-09-26T19:08:17"/>
    <d v="2026-09-26T21:20:51"/>
    <n v="133"/>
    <x v="196"/>
    <s v="A220-300"/>
    <s v="BCS3"/>
    <s v="Complete"/>
    <s v="a35c0b"/>
  </r>
  <r>
    <x v="2"/>
    <s v="B6 507"/>
    <s v="JBU507"/>
    <s v="FLL"/>
    <s v="KFLL"/>
    <s v="LAS"/>
    <s v="KLAS"/>
    <d v="2026-09-26T19:09:32"/>
    <d v="2026-09-26T23:49:15"/>
    <n v="280"/>
    <x v="122"/>
    <s v="A321"/>
    <s v="A321"/>
    <s v="Complete"/>
    <s v="acf906"/>
  </r>
  <r>
    <x v="2"/>
    <s v="B6 1594"/>
    <s v="JBU1594"/>
    <s v="FLL"/>
    <s v="KFLL"/>
    <s v="FLL"/>
    <s v="KFLL"/>
    <d v="2026-09-26T19:15:27"/>
    <d v="2026-09-26T22:34:39"/>
    <n v="199"/>
    <x v="167"/>
    <s v="A320"/>
    <s v="A320"/>
    <s v="Complete"/>
    <s v="a85c3e"/>
  </r>
  <r>
    <x v="2"/>
    <s v="B6 168"/>
    <s v="JBU168"/>
    <m/>
    <m/>
    <s v="JFK"/>
    <s v="KJFK"/>
    <d v="2026-09-26T19:17:50"/>
    <d v="2026-09-26T20:22:28"/>
    <n v="65"/>
    <x v="218"/>
    <s v="A320"/>
    <s v="A320"/>
    <s v="Complete"/>
    <s v="a7167f"/>
  </r>
  <r>
    <x v="2"/>
    <s v="B6 483"/>
    <s v="JBU483"/>
    <s v="JFK"/>
    <s v="KJFK"/>
    <s v="MCO"/>
    <s v="KMCO"/>
    <d v="2026-09-26T19:22:59"/>
    <d v="2026-09-26T21:30:54"/>
    <n v="128"/>
    <x v="230"/>
    <s v="A321neo"/>
    <s v="A21N"/>
    <s v="Complete"/>
    <s v="a198ed"/>
  </r>
  <r>
    <x v="2"/>
    <s v="B6 641"/>
    <s v="JBU641"/>
    <s v="BOS"/>
    <s v="KBOS"/>
    <s v="BOS"/>
    <s v="KBOS"/>
    <d v="2026-09-26T19:23:53"/>
    <d v="2026-09-26T19:24:22"/>
    <n v="0"/>
    <x v="39"/>
    <s v="Unknown"/>
    <m/>
    <s v="Complete"/>
    <s v="a39be7"/>
  </r>
  <r>
    <x v="2"/>
    <s v="B6 641"/>
    <s v="JBU641"/>
    <s v="BOS"/>
    <s v="KBOS"/>
    <s v="BOS"/>
    <s v="KBOS"/>
    <d v="2026-09-26T19:24:22"/>
    <d v="2026-09-26T19:24:47"/>
    <n v="0"/>
    <x v="39"/>
    <s v="Unknown"/>
    <m/>
    <s v="Complete"/>
    <s v="a39be7"/>
  </r>
  <r>
    <x v="2"/>
    <s v="B6 641"/>
    <s v="JBU641"/>
    <s v="BOS"/>
    <s v="KBOS"/>
    <s v="BOS"/>
    <s v="KBOS"/>
    <d v="2026-09-26T19:24:47"/>
    <d v="2026-09-26T19:25:22"/>
    <n v="1"/>
    <x v="39"/>
    <s v="Unknown"/>
    <m/>
    <s v="Complete"/>
    <s v="a39be7"/>
  </r>
  <r>
    <x v="2"/>
    <s v="B6 478"/>
    <s v="JBU478"/>
    <s v="JAX"/>
    <s v="KJAX"/>
    <s v="JFK"/>
    <s v="KJFK"/>
    <d v="2026-09-26T19:24:51"/>
    <d v="2026-09-26T21:22:44"/>
    <n v="118"/>
    <x v="264"/>
    <s v="A220-300"/>
    <s v="BCS3"/>
    <s v="Complete"/>
    <s v="a36799"/>
  </r>
  <r>
    <x v="2"/>
    <s v="B6 641"/>
    <s v="JBU641"/>
    <s v="BOS"/>
    <s v="KBOS"/>
    <s v="BVY"/>
    <s v="KBVY"/>
    <d v="2026-09-26T19:25:22"/>
    <d v="2026-09-26T19:27:01"/>
    <n v="2"/>
    <x v="39"/>
    <s v="Unknown"/>
    <m/>
    <s v="Complete"/>
    <s v="a39be7"/>
  </r>
  <r>
    <x v="2"/>
    <s v="B6 1823"/>
    <s v="JBU1823"/>
    <s v="FLL"/>
    <s v="KFLL"/>
    <s v="MSY"/>
    <s v="KMSY"/>
    <d v="2026-09-26T19:25:31"/>
    <d v="2026-09-26T21:02:08"/>
    <n v="97"/>
    <x v="204"/>
    <s v="A320"/>
    <s v="A320"/>
    <s v="Complete"/>
    <s v="a7faad"/>
  </r>
  <r>
    <x v="2"/>
    <s v="B6 2582"/>
    <s v="JBU2582"/>
    <s v="BNA"/>
    <s v="KBNA"/>
    <s v="FLL"/>
    <s v="KFLL"/>
    <d v="2026-09-26T19:26:23"/>
    <d v="2026-09-26T21:21:18"/>
    <n v="115"/>
    <x v="221"/>
    <s v="A320"/>
    <s v="A320"/>
    <s v="Complete"/>
    <s v="aaf53a"/>
  </r>
  <r>
    <x v="2"/>
    <s v="B6 595"/>
    <s v="JBU595"/>
    <s v="HPN"/>
    <s v="KHPN"/>
    <s v="MCO"/>
    <s v="KMCO"/>
    <d v="2026-09-26T19:26:30"/>
    <d v="2026-09-26T21:37:02"/>
    <n v="131"/>
    <x v="195"/>
    <s v="A320"/>
    <s v="A320"/>
    <s v="Complete"/>
    <s v="a7a59f"/>
  </r>
  <r>
    <x v="2"/>
    <s v="B6 641"/>
    <s v="JBU641"/>
    <s v="BVY"/>
    <s v="KBVY"/>
    <s v="BVY"/>
    <s v="KBVY"/>
    <d v="2026-09-26T19:27:01"/>
    <d v="2026-09-26T19:27:06"/>
    <n v="0"/>
    <x v="39"/>
    <s v="Unknown"/>
    <m/>
    <s v="Complete"/>
    <s v="a39be7"/>
  </r>
  <r>
    <x v="2"/>
    <s v="B6 641"/>
    <s v="JBU641"/>
    <s v="BVY"/>
    <s v="KBVY"/>
    <s v="BVY"/>
    <s v="KBVY"/>
    <d v="2026-09-26T19:27:06"/>
    <d v="2026-09-26T19:28:51"/>
    <n v="2"/>
    <x v="39"/>
    <s v="Unknown"/>
    <m/>
    <s v="Complete"/>
    <s v="a39be7"/>
  </r>
  <r>
    <x v="2"/>
    <s v="B6 641"/>
    <s v="JBU641"/>
    <s v="BVY"/>
    <s v="KBVY"/>
    <s v="BVY"/>
    <s v="KBVY"/>
    <d v="2026-09-26T19:28:51"/>
    <d v="2026-09-26T19:29:31"/>
    <n v="1"/>
    <x v="39"/>
    <s v="Unknown"/>
    <m/>
    <s v="Complete"/>
    <s v="a39be7"/>
  </r>
  <r>
    <x v="2"/>
    <s v="B6 641"/>
    <s v="JBU641"/>
    <s v="BVY"/>
    <s v="KBVY"/>
    <s v="BVY"/>
    <s v="KBVY"/>
    <d v="2026-09-26T19:29:32"/>
    <d v="2026-09-26T19:29:36"/>
    <n v="0"/>
    <x v="39"/>
    <s v="Unknown"/>
    <m/>
    <s v="Complete"/>
    <s v="a39be7"/>
  </r>
  <r>
    <x v="2"/>
    <s v="B6 641"/>
    <s v="JBU641"/>
    <s v="BVY"/>
    <s v="KBVY"/>
    <s v="LWM"/>
    <s v="KLWM"/>
    <d v="2026-09-26T19:29:36"/>
    <d v="2026-09-26T19:31:06"/>
    <n v="1"/>
    <x v="39"/>
    <s v="Unknown"/>
    <m/>
    <s v="Complete"/>
    <s v="a39be7"/>
  </r>
  <r>
    <x v="2"/>
    <s v="B6 2726"/>
    <s v="JBU2726"/>
    <s v="TPA"/>
    <s v="KTPA"/>
    <s v="JFK"/>
    <s v="KJFK"/>
    <d v="2026-09-26T19:30:05"/>
    <d v="2026-09-26T21:52:20"/>
    <n v="142"/>
    <x v="0"/>
    <s v="A321"/>
    <s v="A321"/>
    <s v="Complete"/>
    <s v="ad6f93"/>
  </r>
  <r>
    <x v="2"/>
    <s v="B6 2117"/>
    <s v="JBU2117"/>
    <s v="JAX"/>
    <s v="KJAX"/>
    <s v="FLL"/>
    <s v="KFLL"/>
    <d v="2026-09-26T19:30:20"/>
    <d v="2026-09-26T20:16:11"/>
    <n v="46"/>
    <x v="92"/>
    <s v="A320"/>
    <s v="A320"/>
    <s v="Complete"/>
    <s v="a849ab"/>
  </r>
  <r>
    <x v="2"/>
    <s v="B6 641"/>
    <s v="JBU641"/>
    <s v="LWM"/>
    <s v="KLWM"/>
    <m/>
    <m/>
    <d v="2026-09-26T19:31:06"/>
    <d v="2026-09-26T19:32:21"/>
    <n v="1"/>
    <x v="39"/>
    <s v="Unknown"/>
    <m/>
    <s v="Complete"/>
    <s v="a39be7"/>
  </r>
  <r>
    <x v="2"/>
    <s v="B6 641"/>
    <s v="JBU641"/>
    <m/>
    <m/>
    <m/>
    <m/>
    <d v="2026-09-26T19:32:21"/>
    <d v="2026-09-26T19:32:41"/>
    <n v="0"/>
    <x v="39"/>
    <s v="Unknown"/>
    <m/>
    <s v="Complete"/>
    <s v="a39be7"/>
  </r>
  <r>
    <x v="2"/>
    <s v="B6 641"/>
    <s v="JBU641"/>
    <m/>
    <m/>
    <m/>
    <m/>
    <d v="2026-09-26T19:32:41"/>
    <d v="2026-09-26T19:33:57"/>
    <n v="1"/>
    <x v="39"/>
    <s v="Unknown"/>
    <m/>
    <s v="Complete"/>
    <s v="a39be7"/>
  </r>
  <r>
    <x v="2"/>
    <s v="B6 641"/>
    <s v="JBU641"/>
    <m/>
    <m/>
    <m/>
    <m/>
    <d v="2026-09-26T19:33:57"/>
    <d v="2026-09-26T19:36:16"/>
    <n v="2"/>
    <x v="39"/>
    <s v="Unknown"/>
    <m/>
    <s v="Complete"/>
    <s v="a39be7"/>
  </r>
  <r>
    <x v="2"/>
    <s v="B6 934"/>
    <s v="JBU934"/>
    <s v="SJU"/>
    <s v="TJSJ"/>
    <s v="MCO"/>
    <s v="KMCO"/>
    <d v="2026-09-26T19:35:15"/>
    <d v="2026-09-26T22:11:42"/>
    <n v="156"/>
    <x v="248"/>
    <s v="A321"/>
    <s v="A321"/>
    <s v="Complete"/>
    <s v="ade9c0"/>
  </r>
  <r>
    <x v="2"/>
    <s v="B6 641"/>
    <s v="JBU641"/>
    <m/>
    <m/>
    <m/>
    <m/>
    <d v="2026-09-26T19:36:17"/>
    <d v="2026-09-26T19:37:11"/>
    <n v="1"/>
    <x v="39"/>
    <s v="Unknown"/>
    <m/>
    <s v="Complete"/>
    <s v="a39be7"/>
  </r>
  <r>
    <x v="2"/>
    <s v="B6 641"/>
    <s v="JBU641"/>
    <m/>
    <m/>
    <s v="EEN"/>
    <s v="KEEN"/>
    <d v="2026-09-26T19:37:11"/>
    <d v="2026-09-26T19:37:16"/>
    <n v="0"/>
    <x v="39"/>
    <s v="Unknown"/>
    <m/>
    <s v="Complete"/>
    <s v="a39be7"/>
  </r>
  <r>
    <x v="2"/>
    <s v="B6 641"/>
    <s v="JBU641"/>
    <s v="EEN"/>
    <s v="KEEN"/>
    <s v="EEN"/>
    <s v="KEEN"/>
    <d v="2026-09-26T19:37:16"/>
    <d v="2026-09-26T19:38:41"/>
    <n v="1"/>
    <x v="39"/>
    <s v="Unknown"/>
    <m/>
    <s v="Complete"/>
    <s v="a39be7"/>
  </r>
  <r>
    <x v="2"/>
    <s v="B6 641"/>
    <s v="JBU641"/>
    <s v="EEN"/>
    <s v="KEEN"/>
    <m/>
    <m/>
    <d v="2026-09-26T19:38:42"/>
    <d v="2026-09-26T19:39:56"/>
    <n v="1"/>
    <x v="39"/>
    <s v="Unknown"/>
    <m/>
    <s v="Complete"/>
    <s v="a39be7"/>
  </r>
  <r>
    <x v="2"/>
    <s v="B6 641"/>
    <s v="JBU641"/>
    <m/>
    <m/>
    <m/>
    <m/>
    <d v="2026-09-26T19:39:57"/>
    <d v="2026-09-26T19:41:12"/>
    <n v="1"/>
    <x v="39"/>
    <s v="Unknown"/>
    <m/>
    <s v="Complete"/>
    <s v="a39be7"/>
  </r>
  <r>
    <x v="2"/>
    <s v="B6 641"/>
    <s v="JBU641"/>
    <m/>
    <m/>
    <m/>
    <m/>
    <d v="2026-09-26T19:41:12"/>
    <d v="2026-09-26T19:42:22"/>
    <n v="1"/>
    <x v="39"/>
    <s v="Unknown"/>
    <m/>
    <s v="Complete"/>
    <s v="a39be7"/>
  </r>
  <r>
    <x v="2"/>
    <s v="B6 641"/>
    <s v="JBU641"/>
    <m/>
    <m/>
    <m/>
    <m/>
    <d v="2026-09-26T19:42:22"/>
    <d v="2026-09-26T19:42:37"/>
    <n v="0"/>
    <x v="39"/>
    <s v="Unknown"/>
    <m/>
    <s v="Complete"/>
    <s v="a39be7"/>
  </r>
  <r>
    <x v="2"/>
    <s v="B6 324"/>
    <s v="JBU324"/>
    <s v="LAX"/>
    <s v="KLAX"/>
    <m/>
    <m/>
    <d v="2026-09-26T19:42:24"/>
    <d v="2026-09-26T23:59:48"/>
    <n v="257"/>
    <x v="63"/>
    <s v="A321neo"/>
    <s v="A21N"/>
    <s v="Airborne at end of data"/>
    <s v="a1de8d"/>
  </r>
  <r>
    <x v="2"/>
    <s v="B6 641"/>
    <s v="JBU641"/>
    <m/>
    <m/>
    <m/>
    <m/>
    <d v="2026-09-26T19:42:37"/>
    <d v="2026-09-26T19:43:02"/>
    <n v="0"/>
    <x v="39"/>
    <s v="Unknown"/>
    <m/>
    <s v="Complete"/>
    <s v="a39be7"/>
  </r>
  <r>
    <x v="2"/>
    <s v="B6 1238"/>
    <s v="JBU1238"/>
    <s v="AUS"/>
    <s v="KAUS"/>
    <s v="BOS"/>
    <s v="KBOS"/>
    <d v="2026-09-26T19:42:43"/>
    <d v="2026-09-26T23:57:53"/>
    <n v="255"/>
    <x v="162"/>
    <s v="A220-300"/>
    <s v="BCS3"/>
    <s v="Complete"/>
    <s v="a338ac"/>
  </r>
  <r>
    <x v="2"/>
    <s v="B6 774"/>
    <s v="JBU774"/>
    <m/>
    <m/>
    <s v="BOS"/>
    <s v="KBOS"/>
    <d v="2026-09-26T19:42:54"/>
    <d v="2026-09-26T22:24:05"/>
    <n v="161"/>
    <x v="164"/>
    <s v="A321"/>
    <s v="A321"/>
    <s v="Complete"/>
    <s v="adf128"/>
  </r>
  <r>
    <x v="2"/>
    <s v="B6 641"/>
    <s v="JBU641"/>
    <m/>
    <m/>
    <m/>
    <m/>
    <d v="2026-09-26T19:43:02"/>
    <d v="2026-09-26T19:45:52"/>
    <n v="3"/>
    <x v="39"/>
    <s v="Unknown"/>
    <m/>
    <s v="Complete"/>
    <s v="a39be7"/>
  </r>
  <r>
    <x v="2"/>
    <s v="B6 2088"/>
    <s v="JBU2088"/>
    <s v="LAX"/>
    <s v="KLAX"/>
    <m/>
    <m/>
    <d v="2026-09-26T19:43:44"/>
    <d v="2026-09-26T23:59:53"/>
    <n v="256"/>
    <x v="77"/>
    <s v="A321"/>
    <s v="A321"/>
    <s v="Airborne at end of data"/>
    <s v="ad1927"/>
  </r>
  <r>
    <x v="2"/>
    <s v="B6 641"/>
    <s v="JBU641"/>
    <m/>
    <m/>
    <m/>
    <m/>
    <d v="2026-09-26T19:45:53"/>
    <d v="2026-09-26T19:46:07"/>
    <n v="0"/>
    <x v="39"/>
    <s v="Unknown"/>
    <m/>
    <s v="Complete"/>
    <s v="a39be7"/>
  </r>
  <r>
    <x v="2"/>
    <s v="B6 641"/>
    <s v="JBU641"/>
    <m/>
    <m/>
    <m/>
    <m/>
    <d v="2026-09-26T19:46:07"/>
    <d v="2026-09-26T19:48:27"/>
    <n v="2"/>
    <x v="39"/>
    <s v="Unknown"/>
    <m/>
    <s v="Complete"/>
    <s v="a39be7"/>
  </r>
  <r>
    <x v="2"/>
    <s v="B6 685"/>
    <s v="JBU685"/>
    <s v="EWR"/>
    <s v="KEWR"/>
    <s v="FLL"/>
    <s v="KFLL"/>
    <d v="2026-09-26T19:47:09"/>
    <d v="2026-09-26T22:13:08"/>
    <n v="146"/>
    <x v="67"/>
    <s v="A320"/>
    <s v="A320"/>
    <s v="Complete"/>
    <s v="a689b8"/>
  </r>
  <r>
    <x v="2"/>
    <s v="B6 789"/>
    <s v="JBU789"/>
    <s v="DTW"/>
    <s v="KDTW"/>
    <s v="FLL"/>
    <s v="KFLL"/>
    <d v="2026-09-26T19:47:26"/>
    <d v="2026-09-26T22:11:53"/>
    <n v="144"/>
    <x v="170"/>
    <s v="A320"/>
    <s v="A320"/>
    <s v="Complete"/>
    <s v="a69894"/>
  </r>
  <r>
    <x v="2"/>
    <s v="B6 641"/>
    <s v="JBU641"/>
    <m/>
    <m/>
    <m/>
    <m/>
    <d v="2026-09-26T19:48:27"/>
    <d v="2026-09-26T19:50:36"/>
    <n v="2"/>
    <x v="39"/>
    <s v="Unknown"/>
    <m/>
    <s v="Complete"/>
    <s v="a39be7"/>
  </r>
  <r>
    <x v="2"/>
    <s v="B6 1873"/>
    <s v="JBU1873"/>
    <s v="EWR"/>
    <s v="KEWR"/>
    <m/>
    <m/>
    <d v="2026-09-26T19:49:58"/>
    <d v="2026-09-27T00:00:00"/>
    <n v="250"/>
    <x v="86"/>
    <s v="A321"/>
    <s v="A321"/>
    <s v="Airborne at end of data"/>
    <s v="ad646e"/>
  </r>
  <r>
    <x v="2"/>
    <s v="B6 641"/>
    <s v="JBU641"/>
    <m/>
    <m/>
    <m/>
    <m/>
    <d v="2026-09-26T19:50:36"/>
    <d v="2026-09-26T19:51:50"/>
    <n v="1"/>
    <x v="39"/>
    <s v="Unknown"/>
    <m/>
    <s v="Complete"/>
    <s v="a39be7"/>
  </r>
  <r>
    <x v="2"/>
    <s v="B6 641"/>
    <s v="JBU641"/>
    <m/>
    <m/>
    <m/>
    <m/>
    <d v="2026-09-26T19:51:51"/>
    <d v="2026-09-26T19:52:20"/>
    <n v="0"/>
    <x v="39"/>
    <s v="Unknown"/>
    <m/>
    <s v="Complete"/>
    <s v="a39be7"/>
  </r>
  <r>
    <x v="2"/>
    <s v="B6 641"/>
    <s v="JBU641"/>
    <m/>
    <m/>
    <m/>
    <m/>
    <d v="2026-09-26T19:52:21"/>
    <d v="2026-09-26T19:52:40"/>
    <n v="0"/>
    <x v="39"/>
    <s v="Unknown"/>
    <m/>
    <s v="Complete"/>
    <s v="a39be7"/>
  </r>
  <r>
    <x v="2"/>
    <s v="B6 641"/>
    <s v="JBU641"/>
    <m/>
    <m/>
    <m/>
    <m/>
    <d v="2026-09-26T19:52:41"/>
    <d v="2026-09-26T19:54:00"/>
    <n v="1"/>
    <x v="39"/>
    <s v="Unknown"/>
    <m/>
    <s v="Complete"/>
    <s v="a39be7"/>
  </r>
  <r>
    <x v="2"/>
    <s v="B6 641"/>
    <s v="JBU641"/>
    <m/>
    <m/>
    <m/>
    <m/>
    <d v="2026-09-26T19:54:00"/>
    <d v="2026-09-26T19:55:00"/>
    <n v="1"/>
    <x v="39"/>
    <s v="Unknown"/>
    <m/>
    <s v="Complete"/>
    <s v="a39be7"/>
  </r>
  <r>
    <x v="2"/>
    <s v="B6 1256"/>
    <s v="JBU1256"/>
    <m/>
    <m/>
    <s v="FLL"/>
    <s v="KFLL"/>
    <d v="2026-09-26T19:54:17"/>
    <d v="2026-09-26T21:39:29"/>
    <n v="105"/>
    <x v="27"/>
    <s v="A321neo"/>
    <s v="A21N"/>
    <s v="Complete"/>
    <s v="a1a458"/>
  </r>
  <r>
    <x v="2"/>
    <s v="B6 641"/>
    <s v="JBU641"/>
    <m/>
    <m/>
    <m/>
    <m/>
    <d v="2026-09-26T19:55:00"/>
    <d v="2026-09-26T19:55:50"/>
    <n v="1"/>
    <x v="39"/>
    <s v="Unknown"/>
    <m/>
    <s v="Complete"/>
    <s v="a39be7"/>
  </r>
  <r>
    <x v="2"/>
    <s v="B6 150"/>
    <s v="JBU150"/>
    <s v="SAV"/>
    <s v="KSAV"/>
    <s v="BOS"/>
    <s v="KBOS"/>
    <d v="2026-09-26T19:55:03"/>
    <d v="2026-09-26T22:03:59"/>
    <n v="129"/>
    <x v="23"/>
    <s v="A220-300"/>
    <s v="BCS3"/>
    <s v="Complete"/>
    <s v="a34d98"/>
  </r>
  <r>
    <x v="2"/>
    <s v="B6 641"/>
    <s v="JBU641"/>
    <m/>
    <m/>
    <m/>
    <m/>
    <d v="2026-09-26T19:55:50"/>
    <d v="2026-09-26T19:56:25"/>
    <n v="1"/>
    <x v="39"/>
    <s v="Unknown"/>
    <m/>
    <s v="Complete"/>
    <s v="a39be7"/>
  </r>
  <r>
    <x v="2"/>
    <s v="B6 641"/>
    <s v="JBU641"/>
    <m/>
    <m/>
    <m/>
    <m/>
    <d v="2026-09-26T19:56:25"/>
    <d v="2026-09-26T19:57:40"/>
    <n v="1"/>
    <x v="39"/>
    <s v="Unknown"/>
    <m/>
    <s v="Complete"/>
    <s v="a39be7"/>
  </r>
  <r>
    <x v="2"/>
    <s v="B6 641"/>
    <s v="JBU641"/>
    <m/>
    <m/>
    <m/>
    <m/>
    <d v="2026-09-26T19:57:41"/>
    <d v="2026-09-26T19:57:55"/>
    <n v="0"/>
    <x v="39"/>
    <s v="Unknown"/>
    <m/>
    <s v="Complete"/>
    <s v="a39be7"/>
  </r>
  <r>
    <x v="2"/>
    <s v="B6 936"/>
    <s v="JBU936"/>
    <s v="SJU"/>
    <s v="TJSJ"/>
    <m/>
    <m/>
    <d v="2026-09-26T19:57:42"/>
    <d v="2026-09-26T20:06:02"/>
    <n v="8"/>
    <x v="165"/>
    <s v="A320"/>
    <s v="A320"/>
    <s v="Signal lost"/>
    <s v="aa4d77"/>
  </r>
  <r>
    <x v="2"/>
    <s v="B6 2018"/>
    <s v="JBU2018"/>
    <s v="POS"/>
    <s v="TTPP"/>
    <m/>
    <m/>
    <d v="2026-09-26T19:57:51"/>
    <d v="2026-09-26T23:59:43"/>
    <n v="242"/>
    <x v="190"/>
    <s v="A321neo"/>
    <s v="A21N"/>
    <s v="Airborne at end of data"/>
    <s v="a1a3a9"/>
  </r>
  <r>
    <x v="2"/>
    <s v="B6 641"/>
    <s v="JBU641"/>
    <m/>
    <m/>
    <m/>
    <m/>
    <d v="2026-09-26T19:57:55"/>
    <d v="2026-09-26T19:58:35"/>
    <n v="1"/>
    <x v="39"/>
    <s v="Unknown"/>
    <m/>
    <s v="Complete"/>
    <s v="a39be7"/>
  </r>
  <r>
    <x v="2"/>
    <s v="B6 1794"/>
    <s v="JBU1794"/>
    <s v="SJO"/>
    <s v="MROC"/>
    <m/>
    <m/>
    <d v="2026-09-26T19:58:32"/>
    <d v="2026-09-27T00:00:00"/>
    <n v="241"/>
    <x v="14"/>
    <s v="A320"/>
    <s v="A320"/>
    <s v="Airborne at end of data"/>
    <s v="aa589c"/>
  </r>
  <r>
    <x v="2"/>
    <s v="B6 641"/>
    <s v="JBU641"/>
    <m/>
    <m/>
    <s v="SYR"/>
    <s v="KSYR"/>
    <d v="2026-09-26T19:58:36"/>
    <d v="2026-09-26T20:01:21"/>
    <n v="3"/>
    <x v="39"/>
    <s v="Unknown"/>
    <m/>
    <s v="Complete"/>
    <s v="a39be7"/>
  </r>
  <r>
    <x v="2"/>
    <s v="B6 1333"/>
    <s v="JBU1333"/>
    <s v="MCO"/>
    <s v="KMCO"/>
    <s v="SJU"/>
    <s v="TJSJ"/>
    <d v="2026-09-26T19:58:44"/>
    <d v="2026-09-26T22:26:01"/>
    <n v="147"/>
    <x v="91"/>
    <s v="A320"/>
    <s v="A320"/>
    <s v="Landing inferred"/>
    <s v="a8a017"/>
  </r>
  <r>
    <x v="2"/>
    <s v="B6 2065"/>
    <s v="JBU2065"/>
    <s v="BOS"/>
    <s v="KBOS"/>
    <s v="RSW"/>
    <s v="KRSW"/>
    <d v="2026-09-26T19:59:19"/>
    <d v="2026-09-26T22:54:48"/>
    <n v="175"/>
    <x v="100"/>
    <s v="A220-300"/>
    <s v="BCS3"/>
    <s v="Complete"/>
    <s v="a383f3"/>
  </r>
  <r>
    <x v="2"/>
    <s v="B6 2901"/>
    <s v="JBU2901"/>
    <s v="BUF"/>
    <s v="KBUF"/>
    <s v="JFK"/>
    <s v="KJFK"/>
    <d v="2026-09-26T20:00:22"/>
    <d v="2026-09-26T21:11:17"/>
    <n v="71"/>
    <x v="34"/>
    <s v="A220-300"/>
    <s v="BCS3"/>
    <s v="Complete"/>
    <s v="a39289"/>
  </r>
  <r>
    <x v="2"/>
    <s v="B6 641"/>
    <s v="JBU641"/>
    <s v="SYR"/>
    <s v="KSYR"/>
    <s v="SYR"/>
    <s v="KSYR"/>
    <d v="2026-09-26T20:01:21"/>
    <d v="2026-09-26T20:02:05"/>
    <n v="1"/>
    <x v="39"/>
    <s v="Unknown"/>
    <m/>
    <s v="Complete"/>
    <s v="a39be7"/>
  </r>
  <r>
    <x v="2"/>
    <s v="B6 641"/>
    <s v="JBU641"/>
    <s v="SYR"/>
    <s v="KSYR"/>
    <m/>
    <m/>
    <d v="2026-09-26T20:02:06"/>
    <d v="2026-09-26T20:05:26"/>
    <n v="3"/>
    <x v="39"/>
    <s v="Unknown"/>
    <m/>
    <s v="Complete"/>
    <s v="a39be7"/>
  </r>
  <r>
    <x v="2"/>
    <s v="B6 2595"/>
    <s v="JBU2595"/>
    <s v="BWI"/>
    <s v="KBWI"/>
    <s v="FLL"/>
    <s v="KFLL"/>
    <d v="2026-09-26T20:02:39"/>
    <d v="2026-09-26T22:03:38"/>
    <n v="121"/>
    <x v="35"/>
    <s v="A220-300"/>
    <s v="BCS3"/>
    <s v="Complete"/>
    <s v="a38e69"/>
  </r>
  <r>
    <x v="2"/>
    <s v="B6 419"/>
    <s v="JBU419"/>
    <s v="JFK"/>
    <s v="KJFK"/>
    <s v="ATL"/>
    <s v="KATL"/>
    <d v="2026-09-26T20:04:15"/>
    <d v="2026-09-26T21:44:50"/>
    <n v="101"/>
    <x v="37"/>
    <s v="A220-300"/>
    <s v="BCS3"/>
    <s v="Complete"/>
    <s v="a3401a"/>
  </r>
  <r>
    <x v="2"/>
    <s v="B6 399"/>
    <s v="JBU399"/>
    <s v="LGA"/>
    <s v="KLGA"/>
    <s v="MCO"/>
    <s v="KMCO"/>
    <d v="2026-09-26T20:05:09"/>
    <d v="2026-09-26T22:13:37"/>
    <n v="128"/>
    <x v="180"/>
    <s v="A320"/>
    <s v="A320"/>
    <s v="Complete"/>
    <s v="a6b4f7"/>
  </r>
  <r>
    <x v="2"/>
    <s v="B6 641"/>
    <s v="JBU641"/>
    <m/>
    <m/>
    <m/>
    <m/>
    <d v="2026-09-26T20:05:26"/>
    <d v="2026-09-26T20:06:56"/>
    <n v="1"/>
    <x v="39"/>
    <s v="Unknown"/>
    <m/>
    <s v="Complete"/>
    <s v="a39be7"/>
  </r>
  <r>
    <x v="2"/>
    <s v="B6 864"/>
    <s v="JBU864"/>
    <s v="ORD"/>
    <s v="KORD"/>
    <s v="FLL"/>
    <s v="KFLL"/>
    <d v="2026-09-26T20:06:26"/>
    <d v="2026-09-26T22:41:37"/>
    <n v="155"/>
    <x v="12"/>
    <s v="A320"/>
    <s v="A320"/>
    <s v="Complete"/>
    <s v="a8222c"/>
  </r>
  <r>
    <x v="2"/>
    <s v="B6 641"/>
    <s v="JBU641"/>
    <m/>
    <m/>
    <m/>
    <m/>
    <d v="2026-09-26T20:06:56"/>
    <d v="2026-09-26T20:11:55"/>
    <n v="5"/>
    <x v="39"/>
    <s v="Unknown"/>
    <m/>
    <s v="Complete"/>
    <s v="a39be7"/>
  </r>
  <r>
    <x v="2"/>
    <s v="B6 1567"/>
    <s v="JBU1567"/>
    <s v="HPN"/>
    <s v="KHPN"/>
    <s v="DJT"/>
    <s v="KPBI"/>
    <d v="2026-09-26T20:07:19"/>
    <d v="2026-09-26T22:28:52"/>
    <n v="142"/>
    <x v="53"/>
    <s v="A320"/>
    <s v="A320"/>
    <s v="Complete"/>
    <s v="a73dfe"/>
  </r>
  <r>
    <x v="2"/>
    <s v="B6 547"/>
    <s v="JBU547"/>
    <s v="ISP"/>
    <s v="KISP"/>
    <s v="MCO"/>
    <s v="KMCO"/>
    <d v="2026-09-26T20:09:31"/>
    <d v="2026-09-26T22:27:16"/>
    <n v="138"/>
    <x v="124"/>
    <s v="A320"/>
    <s v="A320"/>
    <s v="Complete"/>
    <s v="a98445"/>
  </r>
  <r>
    <x v="2"/>
    <s v="B6 803"/>
    <s v="JBU803"/>
    <s v="JFK"/>
    <s v="KJFK"/>
    <s v="SJU"/>
    <s v="TJSJ"/>
    <d v="2026-09-26T20:11:27"/>
    <d v="2026-09-26T23:42:32"/>
    <n v="211"/>
    <x v="6"/>
    <s v="A321neo"/>
    <s v="A21N"/>
    <s v="Landing inferred"/>
    <s v="a1a0a1"/>
  </r>
  <r>
    <x v="2"/>
    <s v="B6 641"/>
    <s v="JBU641"/>
    <m/>
    <m/>
    <m/>
    <m/>
    <d v="2026-09-26T20:11:55"/>
    <d v="2026-09-26T20:12:15"/>
    <n v="0"/>
    <x v="39"/>
    <s v="Unknown"/>
    <m/>
    <s v="Complete"/>
    <s v="a39be7"/>
  </r>
  <r>
    <x v="2"/>
    <s v="B6 641"/>
    <s v="JBU641"/>
    <m/>
    <m/>
    <m/>
    <m/>
    <d v="2026-09-26T20:12:15"/>
    <d v="2026-09-26T20:13:20"/>
    <n v="1"/>
    <x v="39"/>
    <s v="Unknown"/>
    <m/>
    <s v="Complete"/>
    <s v="a39be7"/>
  </r>
  <r>
    <x v="2"/>
    <s v="B6 1738"/>
    <s v="JBU1738"/>
    <s v="FLL"/>
    <s v="KFLL"/>
    <s v="SYR"/>
    <s v="KSYR"/>
    <d v="2026-09-26T20:13:11"/>
    <d v="2026-09-26T22:59:05"/>
    <n v="166"/>
    <x v="217"/>
    <s v="A320"/>
    <s v="A320"/>
    <s v="Complete"/>
    <s v="aaf8f1"/>
  </r>
  <r>
    <x v="2"/>
    <s v="B6 641"/>
    <s v="JBU641"/>
    <m/>
    <m/>
    <m/>
    <m/>
    <d v="2026-09-26T20:13:20"/>
    <d v="2026-09-26T20:14:14"/>
    <n v="1"/>
    <x v="39"/>
    <s v="Unknown"/>
    <m/>
    <s v="Complete"/>
    <s v="a39be7"/>
  </r>
  <r>
    <x v="2"/>
    <s v="B6 9"/>
    <s v="JBU9"/>
    <s v="JFK"/>
    <s v="KJFK"/>
    <m/>
    <m/>
    <d v="2026-09-26T20:13:39"/>
    <d v="2026-09-26T21:11:10"/>
    <n v="58"/>
    <x v="152"/>
    <s v="A321"/>
    <s v="A321"/>
    <s v="Signal lost"/>
    <s v="ac89f7"/>
  </r>
  <r>
    <x v="2"/>
    <s v="B6 641"/>
    <s v="JBU641"/>
    <m/>
    <m/>
    <m/>
    <m/>
    <d v="2026-09-26T20:14:15"/>
    <d v="2026-09-26T20:16:04"/>
    <n v="2"/>
    <x v="39"/>
    <s v="Unknown"/>
    <m/>
    <s v="Complete"/>
    <s v="a39be7"/>
  </r>
  <r>
    <x v="2"/>
    <s v="B6 618"/>
    <s v="JBU618"/>
    <s v="JFK"/>
    <s v="KJFK"/>
    <s v="BOS"/>
    <s v="KBOS"/>
    <d v="2026-09-26T20:14:44"/>
    <d v="2026-09-26T20:54:25"/>
    <n v="40"/>
    <x v="116"/>
    <s v="A220-300"/>
    <s v="BCS3"/>
    <s v="Complete"/>
    <s v="a38367"/>
  </r>
  <r>
    <x v="2"/>
    <s v="B6 1136"/>
    <s v="JBU1136"/>
    <s v="DTW"/>
    <s v="KDTW"/>
    <s v="BOS"/>
    <s v="KBOS"/>
    <d v="2026-09-26T20:15:19"/>
    <d v="2026-09-26T22:02:09"/>
    <n v="107"/>
    <x v="215"/>
    <s v="A220-300"/>
    <s v="BCS3"/>
    <s v="Complete"/>
    <s v="a398bc"/>
  </r>
  <r>
    <x v="2"/>
    <s v="B6 641"/>
    <s v="JBU641"/>
    <m/>
    <m/>
    <m/>
    <m/>
    <d v="2026-09-26T20:16:05"/>
    <d v="2026-09-26T20:21:15"/>
    <n v="5"/>
    <x v="39"/>
    <s v="Unknown"/>
    <m/>
    <s v="Complete"/>
    <s v="a39be7"/>
  </r>
  <r>
    <x v="2"/>
    <s v="B6 1254"/>
    <s v="JBU1254"/>
    <s v="DCA"/>
    <s v="KDCA"/>
    <s v="BOS"/>
    <s v="KBOS"/>
    <d v="2026-09-26T20:16:18"/>
    <d v="2026-09-26T21:23:09"/>
    <n v="67"/>
    <x v="43"/>
    <s v="Unknown"/>
    <m/>
    <s v="Complete"/>
    <s v="a39fe4"/>
  </r>
  <r>
    <x v="2"/>
    <s v="B6 1158"/>
    <s v="JBU1158"/>
    <m/>
    <m/>
    <s v="FLL"/>
    <s v="KFLL"/>
    <d v="2026-09-26T20:16:58"/>
    <d v="2026-09-26T21:55:41"/>
    <n v="99"/>
    <x v="49"/>
    <s v="A320"/>
    <s v="A320"/>
    <s v="Complete"/>
    <s v="ab4f5d"/>
  </r>
  <r>
    <x v="2"/>
    <s v="B6 916"/>
    <s v="JBU916"/>
    <s v="BUF"/>
    <s v="KBUF"/>
    <s v="BOS"/>
    <s v="KBOS"/>
    <d v="2026-09-26T20:17:21"/>
    <d v="2026-09-26T21:25:47"/>
    <n v="68"/>
    <x v="259"/>
    <s v="A220-300"/>
    <s v="BCS3"/>
    <s v="Complete"/>
    <s v="a37f8d"/>
  </r>
  <r>
    <x v="2"/>
    <s v="B6 1058"/>
    <s v="JBU1058"/>
    <m/>
    <m/>
    <s v="JFK"/>
    <s v="KJFK"/>
    <d v="2026-09-26T20:17:56"/>
    <d v="2026-09-26T21:26:56"/>
    <n v="69"/>
    <x v="233"/>
    <s v="A320"/>
    <s v="A320"/>
    <s v="Complete"/>
    <s v="aa099e"/>
  </r>
  <r>
    <x v="2"/>
    <s v="B6 2184"/>
    <s v="JBU2184"/>
    <s v="RDU"/>
    <s v="KRDU"/>
    <s v="BOS"/>
    <s v="KBOS"/>
    <d v="2026-09-26T20:20:40"/>
    <d v="2026-09-26T21:52:52"/>
    <n v="92"/>
    <x v="228"/>
    <s v="A320"/>
    <s v="A320"/>
    <s v="Complete"/>
    <s v="aac3f4"/>
  </r>
  <r>
    <x v="2"/>
    <s v="B6 641"/>
    <s v="JBU641"/>
    <m/>
    <m/>
    <m/>
    <m/>
    <d v="2026-09-26T20:21:16"/>
    <d v="2026-09-26T20:22:50"/>
    <n v="2"/>
    <x v="39"/>
    <s v="Unknown"/>
    <m/>
    <s v="Complete"/>
    <s v="a39be7"/>
  </r>
  <r>
    <x v="2"/>
    <s v="B6 677"/>
    <s v="JBU677"/>
    <s v="JFK"/>
    <s v="KJFK"/>
    <m/>
    <m/>
    <d v="2026-09-26T20:22:08"/>
    <d v="2026-09-26T22:15:14"/>
    <n v="113"/>
    <x v="178"/>
    <s v="A220-300"/>
    <s v="BCS3"/>
    <s v="Landing inferred"/>
    <s v="a36b50"/>
  </r>
  <r>
    <x v="2"/>
    <s v="B6 641"/>
    <s v="JBU641"/>
    <m/>
    <m/>
    <m/>
    <m/>
    <d v="2026-09-26T20:22:50"/>
    <d v="2026-09-26T20:23:40"/>
    <n v="1"/>
    <x v="39"/>
    <s v="Unknown"/>
    <m/>
    <s v="Complete"/>
    <s v="a39be7"/>
  </r>
  <r>
    <x v="2"/>
    <s v="B6 641"/>
    <s v="JBU641"/>
    <m/>
    <m/>
    <m/>
    <m/>
    <d v="2026-09-26T20:23:40"/>
    <d v="2026-09-26T20:25:30"/>
    <n v="2"/>
    <x v="39"/>
    <s v="Unknown"/>
    <m/>
    <s v="Complete"/>
    <s v="a39be7"/>
  </r>
  <r>
    <x v="2"/>
    <s v="B6 641"/>
    <s v="JBU641"/>
    <m/>
    <m/>
    <m/>
    <m/>
    <d v="2026-09-26T20:25:30"/>
    <d v="2026-09-26T20:26:19"/>
    <n v="1"/>
    <x v="39"/>
    <s v="Unknown"/>
    <m/>
    <s v="Complete"/>
    <s v="a39be7"/>
  </r>
  <r>
    <x v="2"/>
    <s v="B6 641"/>
    <s v="JBU641"/>
    <m/>
    <m/>
    <m/>
    <m/>
    <d v="2026-09-26T20:26:19"/>
    <d v="2026-09-26T20:26:29"/>
    <n v="0"/>
    <x v="39"/>
    <s v="Unknown"/>
    <m/>
    <s v="Complete"/>
    <s v="a39be7"/>
  </r>
  <r>
    <x v="2"/>
    <s v="B6 1528"/>
    <s v="JBU1528"/>
    <m/>
    <m/>
    <s v="JFK"/>
    <s v="KJFK"/>
    <d v="2026-09-26T20:26:28"/>
    <d v="2026-09-26T22:32:40"/>
    <n v="126"/>
    <x v="229"/>
    <s v="A220-300"/>
    <s v="BCS3"/>
    <s v="Complete"/>
    <s v="a39948"/>
  </r>
  <r>
    <x v="2"/>
    <s v="B6 641"/>
    <s v="JBU641"/>
    <m/>
    <m/>
    <m/>
    <m/>
    <d v="2026-09-26T20:26:29"/>
    <d v="2026-09-26T20:27:38"/>
    <n v="1"/>
    <x v="39"/>
    <s v="Unknown"/>
    <m/>
    <s v="Complete"/>
    <s v="a39be7"/>
  </r>
  <r>
    <x v="2"/>
    <s v="B6 641"/>
    <s v="JBU641"/>
    <m/>
    <m/>
    <m/>
    <m/>
    <d v="2026-09-26T20:27:38"/>
    <d v="2026-09-26T20:28:13"/>
    <n v="1"/>
    <x v="39"/>
    <s v="Unknown"/>
    <m/>
    <s v="Complete"/>
    <s v="a39be7"/>
  </r>
  <r>
    <x v="2"/>
    <s v="B6 641"/>
    <s v="JBU641"/>
    <m/>
    <m/>
    <m/>
    <m/>
    <d v="2026-09-26T20:28:14"/>
    <d v="2026-09-26T20:28:29"/>
    <n v="0"/>
    <x v="39"/>
    <s v="Unknown"/>
    <m/>
    <s v="Complete"/>
    <s v="a39be7"/>
  </r>
  <r>
    <x v="2"/>
    <s v="B6 641"/>
    <s v="JBU641"/>
    <m/>
    <m/>
    <m/>
    <m/>
    <d v="2026-09-26T20:28:29"/>
    <d v="2026-09-26T20:30:28"/>
    <n v="2"/>
    <x v="39"/>
    <s v="Unknown"/>
    <m/>
    <s v="Complete"/>
    <s v="a39be7"/>
  </r>
  <r>
    <x v="2"/>
    <s v="B6 641"/>
    <s v="JBU641"/>
    <m/>
    <m/>
    <m/>
    <m/>
    <d v="2026-09-26T20:30:28"/>
    <d v="2026-09-26T20:31:48"/>
    <n v="1"/>
    <x v="39"/>
    <s v="Unknown"/>
    <m/>
    <s v="Complete"/>
    <s v="a39be7"/>
  </r>
  <r>
    <x v="2"/>
    <s v="B6 641"/>
    <s v="JBU641"/>
    <m/>
    <m/>
    <m/>
    <m/>
    <d v="2026-09-26T20:31:48"/>
    <d v="2026-09-26T20:32:22"/>
    <n v="1"/>
    <x v="39"/>
    <s v="Unknown"/>
    <m/>
    <s v="Complete"/>
    <s v="a39be7"/>
  </r>
  <r>
    <x v="2"/>
    <s v="B6 1078"/>
    <s v="JBU1078"/>
    <m/>
    <m/>
    <s v="MCO"/>
    <s v="KMCO"/>
    <d v="2026-09-26T20:32:03"/>
    <d v="2026-09-26T21:21:18"/>
    <n v="49"/>
    <x v="66"/>
    <s v="A320"/>
    <s v="A320"/>
    <s v="Complete"/>
    <s v="a8021b"/>
  </r>
  <r>
    <x v="2"/>
    <s v="B6 641"/>
    <s v="JBU641"/>
    <m/>
    <m/>
    <s v="BKL"/>
    <s v="KBKL"/>
    <d v="2026-09-26T20:32:23"/>
    <d v="2026-09-26T20:38:23"/>
    <n v="6"/>
    <x v="39"/>
    <s v="Unknown"/>
    <m/>
    <s v="Complete"/>
    <s v="a39be7"/>
  </r>
  <r>
    <x v="2"/>
    <s v="B6 2031"/>
    <s v="JBU2031"/>
    <s v="SJU"/>
    <s v="TJSJ"/>
    <s v="SJU"/>
    <s v="TJSJ"/>
    <d v="2026-09-26T20:33:09"/>
    <d v="2026-09-26T22:52:21"/>
    <n v="139"/>
    <x v="72"/>
    <s v="A320"/>
    <s v="A320"/>
    <s v="Landing inferred"/>
    <s v="a752ea"/>
  </r>
  <r>
    <x v="2"/>
    <s v="B6 641"/>
    <s v="JBU641"/>
    <s v="BKL"/>
    <s v="KBKL"/>
    <s v="BKL"/>
    <s v="KBKL"/>
    <d v="2026-09-26T20:38:24"/>
    <d v="2026-09-26T20:38:38"/>
    <n v="0"/>
    <x v="39"/>
    <s v="Unknown"/>
    <m/>
    <s v="Complete"/>
    <s v="a39be7"/>
  </r>
  <r>
    <x v="2"/>
    <s v="B6 415"/>
    <s v="JBU415"/>
    <s v="JFK"/>
    <s v="KJFK"/>
    <m/>
    <m/>
    <d v="2026-09-26T20:38:36"/>
    <d v="2026-09-26T23:59:44"/>
    <n v="201"/>
    <x v="104"/>
    <s v="A321"/>
    <s v="A321"/>
    <s v="Airborne at end of data"/>
    <s v="adbe91"/>
  </r>
  <r>
    <x v="2"/>
    <s v="B6 641"/>
    <s v="JBU641"/>
    <s v="BKL"/>
    <s v="KBKL"/>
    <s v="BKL"/>
    <s v="KBKL"/>
    <d v="2026-09-26T20:38:38"/>
    <d v="2026-09-26T20:38:43"/>
    <n v="0"/>
    <x v="39"/>
    <s v="Unknown"/>
    <m/>
    <s v="Complete"/>
    <s v="a39be7"/>
  </r>
  <r>
    <x v="2"/>
    <s v="B6 641"/>
    <s v="JBU641"/>
    <s v="BKL"/>
    <s v="KBKL"/>
    <s v="CLE"/>
    <s v="KCLE"/>
    <d v="2026-09-26T20:38:43"/>
    <d v="2026-09-26T20:39:33"/>
    <n v="1"/>
    <x v="39"/>
    <s v="Unknown"/>
    <m/>
    <s v="Complete"/>
    <s v="a39be7"/>
  </r>
  <r>
    <x v="2"/>
    <s v="B6 641"/>
    <s v="JBU641"/>
    <s v="CLE"/>
    <s v="KCLE"/>
    <s v="CLE"/>
    <s v="KCLE"/>
    <d v="2026-09-26T20:39:33"/>
    <d v="2026-09-26T20:40:12"/>
    <n v="1"/>
    <x v="39"/>
    <s v="Unknown"/>
    <m/>
    <s v="Complete"/>
    <s v="a39be7"/>
  </r>
  <r>
    <x v="2"/>
    <s v="B6 641"/>
    <s v="JBU641"/>
    <s v="CLE"/>
    <s v="KCLE"/>
    <m/>
    <m/>
    <d v="2026-09-26T20:40:12"/>
    <d v="2026-09-26T20:42:08"/>
    <n v="2"/>
    <x v="39"/>
    <s v="Unknown"/>
    <m/>
    <s v="Complete"/>
    <s v="a39be7"/>
  </r>
  <r>
    <x v="2"/>
    <s v="B6 641"/>
    <s v="JBU641"/>
    <m/>
    <m/>
    <s v="CLE"/>
    <s v="KCLE"/>
    <d v="2026-09-26T20:42:08"/>
    <d v="2026-09-26T20:43:22"/>
    <n v="1"/>
    <x v="39"/>
    <s v="Unknown"/>
    <m/>
    <s v="Complete"/>
    <s v="a39be7"/>
  </r>
  <r>
    <x v="2"/>
    <s v="B6 641"/>
    <s v="JBU641"/>
    <s v="CLE"/>
    <s v="KCLE"/>
    <s v="CLE"/>
    <s v="KCLE"/>
    <d v="2026-09-26T20:43:23"/>
    <d v="2026-09-26T20:44:13"/>
    <n v="1"/>
    <x v="39"/>
    <s v="Unknown"/>
    <m/>
    <s v="Complete"/>
    <s v="a39be7"/>
  </r>
  <r>
    <x v="2"/>
    <s v="B6 641"/>
    <s v="JBU641"/>
    <s v="CLE"/>
    <s v="KCLE"/>
    <s v="CLE"/>
    <s v="KCLE"/>
    <d v="2026-09-26T20:44:13"/>
    <d v="2026-09-26T20:46:23"/>
    <n v="2"/>
    <x v="39"/>
    <s v="Unknown"/>
    <m/>
    <s v="Complete"/>
    <s v="a39be7"/>
  </r>
  <r>
    <x v="2"/>
    <s v="B6 574"/>
    <s v="JBU574"/>
    <m/>
    <m/>
    <s v="BOS"/>
    <s v="KBOS"/>
    <d v="2026-09-26T20:44:17"/>
    <d v="2026-09-26T23:44:58"/>
    <n v="181"/>
    <x v="26"/>
    <s v="A320"/>
    <s v="A320"/>
    <s v="Complete"/>
    <s v="a67883"/>
  </r>
  <r>
    <x v="2"/>
    <s v="B6 1485"/>
    <s v="JBU1485"/>
    <s v="JFK"/>
    <s v="KJFK"/>
    <s v="RDU"/>
    <s v="KRDU"/>
    <d v="2026-09-26T20:46:00"/>
    <d v="2026-09-26T21:58:50"/>
    <n v="73"/>
    <x v="71"/>
    <s v="A220-300"/>
    <s v="BCS3"/>
    <s v="Complete"/>
    <s v="a35592"/>
  </r>
  <r>
    <x v="2"/>
    <s v="B6 1728"/>
    <s v="JBU1728"/>
    <s v="MCO"/>
    <s v="KMCO"/>
    <s v="EWR"/>
    <s v="KEWR"/>
    <d v="2026-09-26T20:46:16"/>
    <d v="2026-09-26T22:56:26"/>
    <n v="130"/>
    <x v="9"/>
    <s v="A320"/>
    <s v="A320"/>
    <s v="Complete"/>
    <s v="a83108"/>
  </r>
  <r>
    <x v="2"/>
    <s v="B6 1290"/>
    <s v="JBU1290"/>
    <s v="ILM"/>
    <s v="KILM"/>
    <s v="BOS"/>
    <s v="KBOS"/>
    <d v="2026-09-26T20:46:52"/>
    <d v="2026-09-26T22:29:59"/>
    <n v="103"/>
    <x v="244"/>
    <s v="A220-300"/>
    <s v="BCS3"/>
    <s v="Complete"/>
    <s v="a35109"/>
  </r>
  <r>
    <x v="2"/>
    <s v="B6 1130"/>
    <s v="JBU1130"/>
    <s v="FLL"/>
    <s v="KFLL"/>
    <s v="CHS"/>
    <s v="KCHS"/>
    <d v="2026-09-26T20:47:59"/>
    <d v="2026-09-26T22:02:16"/>
    <n v="74"/>
    <x v="154"/>
    <s v="A320"/>
    <s v="A320"/>
    <s v="Landing inferred"/>
    <s v="aa7c64"/>
  </r>
  <r>
    <x v="2"/>
    <s v="B6 1579"/>
    <s v="JBU1579"/>
    <s v="DCA"/>
    <s v="KDCA"/>
    <s v="FLL"/>
    <s v="KFLL"/>
    <d v="2026-09-26T20:50:26"/>
    <d v="2026-09-26T22:55:18"/>
    <n v="125"/>
    <x v="130"/>
    <s v="A320"/>
    <s v="A320"/>
    <s v="Complete"/>
    <s v="a776b2"/>
  </r>
  <r>
    <x v="2"/>
    <s v="B6 623"/>
    <s v="JBU623"/>
    <s v="JFK"/>
    <s v="KJFK"/>
    <m/>
    <m/>
    <d v="2026-09-26T20:53:02"/>
    <d v="2026-09-26T23:59:46"/>
    <n v="187"/>
    <x v="83"/>
    <s v="A321neo"/>
    <s v="A21N"/>
    <s v="Airborne at end of data"/>
    <s v="a1dab3"/>
  </r>
  <r>
    <x v="2"/>
    <s v="B6 1813"/>
    <s v="JBU1813"/>
    <s v="BOS"/>
    <s v="KBOS"/>
    <s v="ORF"/>
    <s v="KORF"/>
    <d v="2026-09-26T20:53:11"/>
    <d v="2026-09-26T22:10:53"/>
    <n v="78"/>
    <x v="166"/>
    <s v="A220-300"/>
    <s v="BCS3"/>
    <s v="Landing inferred"/>
    <s v="a34d2f"/>
  </r>
  <r>
    <x v="2"/>
    <s v="B6 2119"/>
    <s v="JBU2119"/>
    <s v="ORH"/>
    <s v="KORH"/>
    <s v="FLL"/>
    <s v="KFLL"/>
    <d v="2026-09-26T20:53:49"/>
    <d v="2026-09-26T23:40:34"/>
    <n v="167"/>
    <x v="33"/>
    <s v="A320"/>
    <s v="A320"/>
    <s v="Complete"/>
    <s v="a7858e"/>
  </r>
  <r>
    <x v="2"/>
    <s v="B6 1972"/>
    <s v="JBU1972"/>
    <s v="AUS"/>
    <s v="KAUS"/>
    <s v="FLL"/>
    <s v="KFLL"/>
    <d v="2026-09-26T20:55:03"/>
    <d v="2026-09-26T23:20:24"/>
    <n v="145"/>
    <x v="125"/>
    <s v="A320"/>
    <s v="A320"/>
    <s v="Complete"/>
    <s v="a721a4"/>
  </r>
  <r>
    <x v="2"/>
    <s v="B6 317"/>
    <s v="JBU317"/>
    <s v="BOS"/>
    <s v="KBOS"/>
    <s v="JFK"/>
    <s v="KJFK"/>
    <d v="2026-09-26T20:55:20"/>
    <d v="2026-09-26T21:54:32"/>
    <n v="59"/>
    <x v="62"/>
    <s v="A220-300"/>
    <s v="BCS3"/>
    <s v="Complete"/>
    <s v="a37fb0"/>
  </r>
  <r>
    <x v="2"/>
    <s v="B6 1201"/>
    <s v="JBU1201"/>
    <s v="JFK"/>
    <s v="KJFK"/>
    <s v="FLL"/>
    <s v="KFLL"/>
    <d v="2026-09-26T20:57:42"/>
    <d v="2026-09-26T23:22:36"/>
    <n v="145"/>
    <x v="205"/>
    <s v="A321"/>
    <s v="A321"/>
    <s v="Complete"/>
    <s v="ad8fa4"/>
  </r>
  <r>
    <x v="2"/>
    <s v="B6 1200"/>
    <s v="JBU1200"/>
    <s v="LAX"/>
    <s v="KLAX"/>
    <m/>
    <m/>
    <d v="2026-09-26T20:58:02"/>
    <d v="2026-09-26T23:59:46"/>
    <n v="182"/>
    <x v="120"/>
    <s v="A321"/>
    <s v="A321"/>
    <s v="Airborne at end of data"/>
    <s v="adc9b6"/>
  </r>
  <r>
    <x v="2"/>
    <s v="B6 2459"/>
    <s v="JBU2459"/>
    <s v="BOS"/>
    <s v="KBOS"/>
    <s v="PHL"/>
    <s v="KPHL"/>
    <d v="2026-09-26T21:00:21"/>
    <d v="2026-09-26T22:06:13"/>
    <n v="66"/>
    <x v="148"/>
    <s v="A220-300"/>
    <s v="BCS3"/>
    <s v="Complete"/>
    <s v="a36b73"/>
  </r>
  <r>
    <x v="2"/>
    <s v="B6 1178"/>
    <s v="JBU1178"/>
    <s v="LAS"/>
    <s v="KLAS"/>
    <m/>
    <m/>
    <d v="2026-09-26T21:00:53"/>
    <d v="2026-09-26T23:59:58"/>
    <n v="179"/>
    <x v="202"/>
    <s v="A321"/>
    <s v="A321"/>
    <s v="Airborne at end of data"/>
    <s v="adabfe"/>
  </r>
  <r>
    <x v="2"/>
    <s v="B6 969"/>
    <s v="JBU969"/>
    <s v="RIC"/>
    <s v="KRIC"/>
    <s v="MCO"/>
    <s v="KMCO"/>
    <d v="2026-09-26T21:01:06"/>
    <d v="2026-09-26T22:40:20"/>
    <n v="99"/>
    <x v="183"/>
    <s v="A320"/>
    <s v="A320"/>
    <s v="Complete"/>
    <s v="a7f6f6"/>
  </r>
  <r>
    <x v="2"/>
    <s v="B6 101"/>
    <s v="JBU101"/>
    <s v="FLL"/>
    <s v="KFLL"/>
    <m/>
    <m/>
    <d v="2026-09-26T21:02:00"/>
    <d v="2026-09-27T00:00:00"/>
    <n v="178"/>
    <x v="194"/>
    <s v="A321"/>
    <s v="A321"/>
    <s v="Airborne at end of data"/>
    <s v="acf54f"/>
  </r>
  <r>
    <x v="2"/>
    <s v="B6 1474"/>
    <s v="JBU1474"/>
    <m/>
    <m/>
    <s v="FLL"/>
    <s v="KFLL"/>
    <d v="2026-09-26T21:02:57"/>
    <d v="2026-09-26T21:31:55"/>
    <n v="29"/>
    <x v="254"/>
    <s v="A220-300"/>
    <s v="BCS3"/>
    <s v="Complete"/>
    <s v="a37517"/>
  </r>
  <r>
    <x v="2"/>
    <s v="B6 2655"/>
    <s v="JBU2655"/>
    <s v="SYR"/>
    <s v="KSYR"/>
    <s v="MCO"/>
    <s v="KMCO"/>
    <d v="2026-09-26T21:04:15"/>
    <d v="2026-09-26T23:20:47"/>
    <n v="137"/>
    <x v="189"/>
    <s v="A220-300"/>
    <s v="BCS3"/>
    <s v="Complete"/>
    <s v="a35cba"/>
  </r>
  <r>
    <x v="2"/>
    <s v="B6 154"/>
    <s v="JBU154"/>
    <s v="SJU"/>
    <s v="TJSJ"/>
    <s v="FLL"/>
    <s v="KFLL"/>
    <d v="2026-09-26T21:04:45"/>
    <d v="2026-09-26T23:18:17"/>
    <n v="134"/>
    <x v="261"/>
    <s v="A320"/>
    <s v="A320"/>
    <s v="Complete"/>
    <s v="aa8b40"/>
  </r>
  <r>
    <x v="2"/>
    <s v="B6 2098"/>
    <s v="JBU2098"/>
    <s v="FLL"/>
    <s v="KFLL"/>
    <s v="ATL"/>
    <s v="KATL"/>
    <d v="2026-09-26T21:07:32"/>
    <d v="2026-09-26T22:30:55"/>
    <n v="83"/>
    <x v="20"/>
    <s v="A320"/>
    <s v="A320"/>
    <s v="Complete"/>
    <s v="a7b832"/>
  </r>
  <r>
    <x v="2"/>
    <s v="B6 811"/>
    <s v="JBU811"/>
    <s v="BOS"/>
    <s v="KBOS"/>
    <s v="ORD"/>
    <s v="KORD"/>
    <d v="2026-09-26T21:10:09"/>
    <d v="2026-09-26T23:14:09"/>
    <n v="124"/>
    <x v="64"/>
    <s v="A220-300"/>
    <s v="BCS3"/>
    <s v="Complete"/>
    <s v="a33ca9"/>
  </r>
  <r>
    <x v="2"/>
    <s v="B6 1633"/>
    <s v="JBU1633"/>
    <s v="BOS"/>
    <s v="KBOS"/>
    <m/>
    <m/>
    <d v="2026-09-26T21:11:07"/>
    <d v="2026-09-26T23:59:50"/>
    <n v="169"/>
    <x v="163"/>
    <s v="A321neo"/>
    <s v="A21N"/>
    <s v="Airborne at end of data"/>
    <s v="a1cf6b"/>
  </r>
  <r>
    <x v="2"/>
    <s v="B6 1530"/>
    <s v="JBU1530"/>
    <s v="RSW"/>
    <s v="KRSW"/>
    <s v="JFK"/>
    <s v="KJFK"/>
    <d v="2026-09-26T21:12:00"/>
    <d v="2026-09-26T23:41:20"/>
    <n v="149"/>
    <x v="213"/>
    <s v="A320"/>
    <s v="A320"/>
    <s v="Complete"/>
    <s v="a7a1e8"/>
  </r>
  <r>
    <x v="2"/>
    <s v="B6 1496"/>
    <s v="JBU1496"/>
    <m/>
    <m/>
    <s v="FLL"/>
    <s v="KFLL"/>
    <d v="2026-09-26T21:13:44"/>
    <d v="2026-09-26T21:59:53"/>
    <n v="46"/>
    <x v="79"/>
    <s v="A320"/>
    <s v="A320"/>
    <s v="Complete"/>
    <s v="a9c5c5"/>
  </r>
  <r>
    <x v="2"/>
    <s v="B6 1383"/>
    <s v="JBU1383"/>
    <m/>
    <m/>
    <s v="FLL"/>
    <s v="KFLL"/>
    <d v="2026-09-26T21:15:18"/>
    <d v="2026-09-26T22:08:01"/>
    <n v="53"/>
    <x v="151"/>
    <s v="A320"/>
    <s v="A320"/>
    <s v="Complete"/>
    <s v="a898a9"/>
  </r>
  <r>
    <x v="2"/>
    <s v="B6 2637"/>
    <s v="JBU2637"/>
    <s v="JFK"/>
    <s v="KJFK"/>
    <m/>
    <m/>
    <d v="2026-09-26T21:17:40"/>
    <d v="2026-09-26T23:20:41"/>
    <n v="123"/>
    <x v="97"/>
    <s v="A320"/>
    <s v="A320"/>
    <s v="Signal lost"/>
    <s v="a98f6a"/>
  </r>
  <r>
    <x v="2"/>
    <s v="B6 1187"/>
    <s v="JBU1187"/>
    <s v="BOS"/>
    <s v="KBOS"/>
    <m/>
    <m/>
    <d v="2026-09-26T21:17:42"/>
    <d v="2026-09-26T23:59:56"/>
    <n v="162"/>
    <x v="96"/>
    <s v="A321"/>
    <s v="A321"/>
    <s v="Airborne at end of data"/>
    <s v="adcd6d"/>
  </r>
  <r>
    <x v="2"/>
    <s v="B6 1168"/>
    <s v="JBU1168"/>
    <s v="DJT"/>
    <s v="KPBI"/>
    <s v="HPN"/>
    <s v="KHPN"/>
    <d v="2026-09-26T21:18:23"/>
    <d v="2026-09-26T23:45:01"/>
    <n v="147"/>
    <x v="102"/>
    <s v="A320"/>
    <s v="A320"/>
    <s v="Landing inferred"/>
    <s v="a80d40"/>
  </r>
  <r>
    <x v="2"/>
    <s v="B6 435"/>
    <s v="JBU435"/>
    <m/>
    <m/>
    <s v="SJU"/>
    <s v="TJSJ"/>
    <d v="2026-09-26T21:20:39"/>
    <d v="2026-09-26T21:36:48"/>
    <n v="16"/>
    <x v="165"/>
    <s v="A320"/>
    <s v="A320"/>
    <s v="Landing inferred"/>
    <s v="aa4d77"/>
  </r>
  <r>
    <x v="2"/>
    <s v="B6 1112"/>
    <s v="JBU1112"/>
    <m/>
    <m/>
    <s v="JFK"/>
    <s v="KJFK"/>
    <d v="2026-09-26T21:23:27"/>
    <d v="2026-09-26T23:35:21"/>
    <n v="132"/>
    <x v="13"/>
    <s v="A320"/>
    <s v="A320"/>
    <s v="Complete"/>
    <s v="a8913b"/>
  </r>
  <r>
    <x v="2"/>
    <s v="B6 2602"/>
    <s v="JBU2602"/>
    <s v="SJU"/>
    <s v="TJSJ"/>
    <m/>
    <m/>
    <d v="2026-09-26T21:26:28"/>
    <d v="2026-09-26T23:56:59"/>
    <n v="151"/>
    <x v="176"/>
    <s v="A220-300"/>
    <s v="BCS3"/>
    <s v="Airborne at end of data"/>
    <s v="a392f2"/>
  </r>
  <r>
    <x v="2"/>
    <s v="B6 1189"/>
    <s v="JBU1189"/>
    <s v="JFK"/>
    <s v="KJFK"/>
    <m/>
    <m/>
    <d v="2026-09-26T21:29:43"/>
    <d v="2026-09-26T23:59:41"/>
    <n v="150"/>
    <x v="199"/>
    <s v="A321"/>
    <s v="A321"/>
    <s v="Airborne at end of data"/>
    <s v="adb723"/>
  </r>
  <r>
    <x v="2"/>
    <s v="B6 2919"/>
    <s v="JBU2919"/>
    <s v="MCO"/>
    <s v="KMCO"/>
    <m/>
    <m/>
    <d v="2026-09-26T21:30:15"/>
    <d v="2026-09-27T00:00:00"/>
    <n v="150"/>
    <x v="245"/>
    <s v="A320"/>
    <s v="A320"/>
    <s v="Landing inferred"/>
    <s v="a7a956"/>
  </r>
  <r>
    <x v="2"/>
    <s v="B6 1882"/>
    <s v="JBU1882"/>
    <s v="DFW"/>
    <s v="KDFW"/>
    <s v="FLL"/>
    <s v="KFLL"/>
    <d v="2026-09-26T21:31:40"/>
    <d v="2026-09-26T23:55:51"/>
    <n v="144"/>
    <x v="25"/>
    <s v="A320"/>
    <s v="A320"/>
    <s v="Complete"/>
    <s v="a8299a"/>
  </r>
  <r>
    <x v="2"/>
    <s v="B6 1612"/>
    <s v="JBU1612"/>
    <m/>
    <m/>
    <s v="FLL"/>
    <s v="KFLL"/>
    <d v="2026-09-26T21:33:05"/>
    <d v="2026-09-26T22:05:07"/>
    <n v="32"/>
    <x v="263"/>
    <s v="A320"/>
    <s v="A320"/>
    <s v="Complete"/>
    <s v="a825e3"/>
  </r>
  <r>
    <x v="2"/>
    <s v="B6 1098"/>
    <s v="JBU1098"/>
    <s v="MCO"/>
    <s v="KMCO"/>
    <s v="LGA"/>
    <s v="KLGA"/>
    <d v="2026-09-26T21:33:45"/>
    <d v="2026-09-26T23:41:42"/>
    <n v="128"/>
    <x v="243"/>
    <s v="A320"/>
    <s v="A320"/>
    <s v="Complete"/>
    <s v="a85119"/>
  </r>
  <r>
    <x v="2"/>
    <s v="B6 1860"/>
    <s v="JBU1860"/>
    <s v="PHL"/>
    <s v="KPHL"/>
    <s v="BOS"/>
    <s v="KBOS"/>
    <d v="2026-09-26T21:36:09"/>
    <d v="2026-09-26T23:07:40"/>
    <n v="92"/>
    <x v="4"/>
    <s v="Unknown"/>
    <m/>
    <s v="Complete"/>
    <s v="a38fa4"/>
  </r>
  <r>
    <x v="2"/>
    <s v="B6 2832"/>
    <s v="JBU2832"/>
    <s v="LAS"/>
    <s v="KLAS"/>
    <m/>
    <m/>
    <d v="2026-09-26T21:37:56"/>
    <d v="2026-09-26T23:59:48"/>
    <n v="142"/>
    <x v="84"/>
    <s v="A321"/>
    <s v="A321"/>
    <s v="Airborne at end of data"/>
    <s v="adc238"/>
  </r>
  <r>
    <x v="2"/>
    <s v="B6 2876"/>
    <s v="JBU2876"/>
    <s v="PVD"/>
    <s v="KPVD"/>
    <m/>
    <m/>
    <d v="2026-09-26T21:42:49"/>
    <d v="2026-09-26T23:59:54"/>
    <n v="137"/>
    <x v="17"/>
    <s v="A320"/>
    <s v="A320"/>
    <s v="Airborne at end of data"/>
    <s v="a6a3c2"/>
  </r>
  <r>
    <x v="2"/>
    <s v="B6 1173"/>
    <s v="JBU1173"/>
    <s v="JFK"/>
    <s v="KJFK"/>
    <s v="BNA"/>
    <s v="KBNA"/>
    <d v="2026-09-26T21:49:37"/>
    <d v="2026-09-26T23:38:39"/>
    <n v="109"/>
    <x v="30"/>
    <s v="A320"/>
    <s v="A320"/>
    <s v="Complete"/>
    <s v="ab355c"/>
  </r>
  <r>
    <x v="2"/>
    <s v="B6 220"/>
    <s v="JBU220"/>
    <s v="SAN"/>
    <s v="KSAN"/>
    <m/>
    <m/>
    <d v="2026-09-26T21:50:39"/>
    <d v="2026-09-26T23:59:46"/>
    <n v="129"/>
    <x v="147"/>
    <s v="A321"/>
    <s v="A321"/>
    <s v="Airborne at end of data"/>
    <s v="ace063"/>
  </r>
  <r>
    <x v="2"/>
    <s v="B6 358"/>
    <s v="JBU358"/>
    <s v="JFK"/>
    <s v="KJFK"/>
    <m/>
    <m/>
    <d v="2026-09-26T21:51:53"/>
    <d v="2026-09-26T23:59:50"/>
    <n v="128"/>
    <x v="115"/>
    <s v="A220-300"/>
    <s v="BCS3"/>
    <s v="Airborne at end of data"/>
    <s v="a38ef5"/>
  </r>
  <r>
    <x v="2"/>
    <s v="B6 819"/>
    <s v="JBU819"/>
    <s v="DTW"/>
    <s v="KDTW"/>
    <s v="JFK"/>
    <s v="KJFK"/>
    <d v="2026-09-26T21:52:32"/>
    <d v="2026-09-26T23:27:04"/>
    <n v="95"/>
    <x v="232"/>
    <s v="A320"/>
    <s v="A320"/>
    <s v="Complete"/>
    <s v="a6cb48"/>
  </r>
  <r>
    <x v="2"/>
    <s v="B6 1947"/>
    <s v="JBU1947"/>
    <s v="MCO"/>
    <s v="KMCO"/>
    <s v="FLL"/>
    <s v="KFLL"/>
    <d v="2026-09-26T21:53:21"/>
    <d v="2026-09-26T22:30:07"/>
    <n v="37"/>
    <x v="174"/>
    <s v="A320"/>
    <s v="A320"/>
    <s v="Complete"/>
    <s v="aa4252"/>
  </r>
  <r>
    <x v="2"/>
    <s v="B6 1575"/>
    <s v="JBU1575"/>
    <s v="FLL"/>
    <s v="KFLL"/>
    <s v="KIN"/>
    <s v="MKJP"/>
    <d v="2026-09-26T21:54:41"/>
    <d v="2026-09-26T23:23:40"/>
    <n v="89"/>
    <x v="236"/>
    <s v="A320"/>
    <s v="A320"/>
    <s v="Complete"/>
    <s v="a8aef3"/>
  </r>
  <r>
    <x v="2"/>
    <s v="B6 263"/>
    <s v="JBU263"/>
    <s v="JFK"/>
    <s v="KJFK"/>
    <m/>
    <m/>
    <d v="2026-09-26T21:58:38"/>
    <d v="2026-09-27T00:00:00"/>
    <n v="121"/>
    <x v="75"/>
    <s v="A320"/>
    <s v="A320"/>
    <s v="Airborne at end of data"/>
    <s v="ab6800"/>
  </r>
  <r>
    <x v="2"/>
    <s v="B6 1034"/>
    <s v="JBU1034"/>
    <s v="SFO"/>
    <s v="KSFO"/>
    <m/>
    <m/>
    <d v="2026-09-26T21:59:14"/>
    <d v="2026-09-26T23:59:41"/>
    <n v="120"/>
    <x v="137"/>
    <s v="A321neo"/>
    <s v="A21N"/>
    <s v="Airborne at end of data"/>
    <s v="a1d2dc"/>
  </r>
  <r>
    <x v="2"/>
    <s v="B6 2984"/>
    <s v="JBU2984"/>
    <s v="MCO"/>
    <s v="KMCO"/>
    <m/>
    <m/>
    <d v="2026-09-26T22:02:07"/>
    <d v="2026-09-26T23:59:57"/>
    <n v="118"/>
    <x v="224"/>
    <s v="A321neo"/>
    <s v="A21N"/>
    <s v="Airborne at end of data"/>
    <s v="a19910"/>
  </r>
  <r>
    <x v="2"/>
    <s v="B6 8778"/>
    <s v="JBU8778"/>
    <s v="SDF"/>
    <s v="KSDF"/>
    <s v="GSO"/>
    <s v="KGSO"/>
    <d v="2026-09-26T22:03:52"/>
    <d v="2026-09-26T22:52:16"/>
    <n v="48"/>
    <x v="181"/>
    <s v="A321"/>
    <s v="A321"/>
    <s v="Complete"/>
    <s v="ad5329"/>
  </r>
  <r>
    <x v="2"/>
    <s v="B6 2384"/>
    <s v="JBU2384"/>
    <s v="RDU"/>
    <s v="KRDU"/>
    <s v="BOS"/>
    <s v="KBOS"/>
    <d v="2026-09-26T22:05:33"/>
    <d v="2026-09-26T23:56:17"/>
    <n v="111"/>
    <x v="175"/>
    <s v="A220-300"/>
    <s v="BCS3"/>
    <s v="Complete"/>
    <s v="a38ad5"/>
  </r>
  <r>
    <x v="2"/>
    <s v="B6 416"/>
    <s v="JBU416"/>
    <s v="SFO"/>
    <s v="KSFO"/>
    <m/>
    <m/>
    <d v="2026-09-26T22:07:29"/>
    <d v="2026-09-26T23:59:51"/>
    <n v="112"/>
    <x v="126"/>
    <s v="A321"/>
    <s v="A321"/>
    <s v="Airborne at end of data"/>
    <s v="ad7701"/>
  </r>
  <r>
    <x v="2"/>
    <s v="B6 136"/>
    <s v="JBU136"/>
    <s v="PHX"/>
    <s v="KPHX"/>
    <m/>
    <m/>
    <d v="2026-09-26T22:08:09"/>
    <d v="2026-09-26T23:59:45"/>
    <n v="112"/>
    <x v="266"/>
    <s v="A320"/>
    <s v="A320"/>
    <s v="Airborne at end of data"/>
    <s v="a6c781"/>
  </r>
  <r>
    <x v="2"/>
    <s v="B6 1348"/>
    <s v="JBU1348"/>
    <s v="SJU"/>
    <s v="TJSJ"/>
    <m/>
    <m/>
    <d v="2026-09-26T22:09:40"/>
    <d v="2026-09-26T22:22:16"/>
    <n v="13"/>
    <x v="161"/>
    <s v="A320"/>
    <s v="A320"/>
    <s v="Signal lost"/>
    <s v="a87c4f"/>
  </r>
  <r>
    <x v="2"/>
    <s v="B6 1142"/>
    <s v="JBU1142"/>
    <s v="DJT"/>
    <s v="KPBI"/>
    <m/>
    <m/>
    <d v="2026-09-26T22:10:32"/>
    <d v="2026-09-26T23:59:53"/>
    <n v="109"/>
    <x v="242"/>
    <s v="A320"/>
    <s v="A320"/>
    <s v="Airborne at end of data"/>
    <s v="a770a2"/>
  </r>
  <r>
    <x v="2"/>
    <s v="B6 2180"/>
    <s v="JBU2180"/>
    <s v="IAH"/>
    <s v="KIAH"/>
    <m/>
    <m/>
    <d v="2026-09-26T22:10:33"/>
    <d v="2026-09-26T23:59:57"/>
    <n v="109"/>
    <x v="5"/>
    <s v="A320"/>
    <s v="A320"/>
    <s v="Airborne at end of data"/>
    <s v="a87898"/>
  </r>
  <r>
    <x v="2"/>
    <s v="B6 2072"/>
    <s v="JBU2072"/>
    <m/>
    <m/>
    <s v="FLL"/>
    <s v="KFLL"/>
    <d v="2026-09-26T22:10:55"/>
    <d v="2026-09-26T22:40:03"/>
    <n v="29"/>
    <x v="141"/>
    <s v="A220-300"/>
    <s v="BCS3"/>
    <s v="Complete"/>
    <s v="a3795a"/>
  </r>
  <r>
    <x v="2"/>
    <s v="B6 1586"/>
    <s v="JBU1586"/>
    <s v="MCO"/>
    <s v="KMCO"/>
    <m/>
    <m/>
    <d v="2026-09-26T22:11:58"/>
    <d v="2026-09-26T23:59:51"/>
    <n v="108"/>
    <x v="128"/>
    <s v="A220-300"/>
    <s v="BCS3"/>
    <s v="Airborne at end of data"/>
    <s v="a3514f"/>
  </r>
  <r>
    <x v="2"/>
    <s v="B6 1202"/>
    <s v="JBU1202"/>
    <s v="JFK"/>
    <s v="KJFK"/>
    <s v="BUF"/>
    <s v="KBUF"/>
    <d v="2026-09-26T22:13:12"/>
    <d v="2026-09-26T23:05:36"/>
    <n v="52"/>
    <x v="105"/>
    <s v="A220-300"/>
    <s v="BCS3"/>
    <s v="Landing inferred"/>
    <s v="a36825"/>
  </r>
  <r>
    <x v="2"/>
    <s v="B6 1498"/>
    <s v="JBU1498"/>
    <s v="DEN"/>
    <s v="KDEN"/>
    <m/>
    <m/>
    <d v="2026-09-26T22:13:54"/>
    <d v="2026-09-26T23:59:57"/>
    <n v="106"/>
    <x v="50"/>
    <s v="A220-300"/>
    <s v="BCS3"/>
    <s v="Airborne at end of data"/>
    <s v="a35fc2"/>
  </r>
  <r>
    <x v="2"/>
    <s v="B6 23"/>
    <s v="JBU23"/>
    <s v="DCA"/>
    <s v="KDCA"/>
    <m/>
    <m/>
    <d v="2026-09-26T22:19:05"/>
    <d v="2026-09-26T23:59:59"/>
    <n v="101"/>
    <x v="238"/>
    <s v="A220-300"/>
    <s v="BCS3"/>
    <s v="Airborne at end of data"/>
    <s v="a3311b"/>
  </r>
  <r>
    <x v="2"/>
    <s v="B6 2321"/>
    <s v="JBU2321"/>
    <s v="BOS"/>
    <s v="KBOS"/>
    <m/>
    <m/>
    <d v="2026-09-26T22:20:31"/>
    <d v="2026-09-27T00:00:00"/>
    <n v="99"/>
    <x v="143"/>
    <s v="A220-300"/>
    <s v="BCS3"/>
    <s v="Airborne at end of data"/>
    <s v="a34d52"/>
  </r>
  <r>
    <x v="2"/>
    <s v="B6 58"/>
    <s v="JBU58"/>
    <m/>
    <m/>
    <m/>
    <m/>
    <d v="2026-09-26T22:20:57"/>
    <d v="2026-09-26T23:59:57"/>
    <n v="99"/>
    <x v="192"/>
    <s v="A321"/>
    <s v="A321"/>
    <s v="Airborne at end of data"/>
    <s v="adf4e9"/>
  </r>
  <r>
    <x v="2"/>
    <s v="B6 177"/>
    <s v="JBU177"/>
    <s v="BOS"/>
    <s v="KBOS"/>
    <m/>
    <m/>
    <d v="2026-09-26T22:22:52"/>
    <d v="2026-09-26T23:59:57"/>
    <n v="97"/>
    <x v="110"/>
    <s v="A321"/>
    <s v="A321"/>
    <s v="Airborne at end of data"/>
    <s v="adc5ff"/>
  </r>
  <r>
    <x v="2"/>
    <s v="B6 371"/>
    <s v="JBU371"/>
    <s v="LGA"/>
    <s v="KLGA"/>
    <m/>
    <m/>
    <d v="2026-09-26T22:24:50"/>
    <d v="2026-09-26T23:59:45"/>
    <n v="95"/>
    <x v="256"/>
    <s v="A320"/>
    <s v="A320"/>
    <s v="Airborne at end of data"/>
    <s v="a86605"/>
  </r>
  <r>
    <x v="2"/>
    <s v="B6 2255"/>
    <s v="JBU2255"/>
    <s v="BOS"/>
    <s v="KBOS"/>
    <s v="DCA"/>
    <s v="KDCA"/>
    <d v="2026-09-26T22:33:08"/>
    <d v="2026-09-26T23:41:14"/>
    <n v="68"/>
    <x v="139"/>
    <s v="A220-300"/>
    <s v="BCS3"/>
    <s v="Complete"/>
    <s v="a38b84"/>
  </r>
  <r>
    <x v="2"/>
    <s v="B6 2523"/>
    <s v="JBU2523"/>
    <s v="DCA"/>
    <s v="KDCA"/>
    <m/>
    <m/>
    <d v="2026-09-26T22:33:28"/>
    <d v="2026-09-26T23:59:53"/>
    <n v="86"/>
    <x v="231"/>
    <s v="A320"/>
    <s v="A320"/>
    <s v="Airborne at end of data"/>
    <s v="a7de53"/>
  </r>
  <r>
    <x v="2"/>
    <s v="B6 1965"/>
    <s v="JBU1965"/>
    <s v="JFK"/>
    <s v="KJFK"/>
    <m/>
    <m/>
    <d v="2026-09-26T22:34:00"/>
    <d v="2026-09-26T23:57:46"/>
    <n v="84"/>
    <x v="136"/>
    <s v="A321neo"/>
    <s v="A21N"/>
    <s v="Airborne at end of data"/>
    <s v="a1a3cc"/>
  </r>
  <r>
    <x v="2"/>
    <s v="B6 2510"/>
    <s v="JBU2510"/>
    <m/>
    <m/>
    <s v="JFK"/>
    <s v="KJFK"/>
    <d v="2026-09-26T22:36:05"/>
    <d v="2026-09-26T23:51:42"/>
    <n v="76"/>
    <x v="113"/>
    <s v="A321"/>
    <s v="A321"/>
    <s v="Complete"/>
    <s v="ad3cdf"/>
  </r>
  <r>
    <x v="2"/>
    <s v="B6 474"/>
    <s v="JBU474"/>
    <m/>
    <m/>
    <m/>
    <m/>
    <d v="2026-09-26T22:37:11"/>
    <d v="2026-09-26T23:59:52"/>
    <n v="83"/>
    <x v="98"/>
    <s v="A321"/>
    <s v="A321"/>
    <s v="Airborne at end of data"/>
    <s v="ad1560"/>
  </r>
  <r>
    <x v="2"/>
    <s v="B6 1152"/>
    <s v="JBU1152"/>
    <s v="MCO"/>
    <s v="KMCO"/>
    <m/>
    <m/>
    <d v="2026-09-26T22:40:07"/>
    <d v="2026-09-26T23:59:49"/>
    <n v="80"/>
    <x v="252"/>
    <s v="A321neo"/>
    <s v="A21N"/>
    <s v="Airborne at end of data"/>
    <s v="a1b2ee"/>
  </r>
  <r>
    <x v="2"/>
    <s v="B6 1801"/>
    <s v="JBU1801"/>
    <s v="JFK"/>
    <s v="KJFK"/>
    <m/>
    <m/>
    <d v="2026-09-26T22:40:45"/>
    <d v="2026-09-26T23:59:46"/>
    <n v="79"/>
    <x v="255"/>
    <s v="A321"/>
    <s v="A321"/>
    <s v="Airborne at end of data"/>
    <s v="ad4804"/>
  </r>
  <r>
    <x v="2"/>
    <s v="B6 9001"/>
    <s v="JBU9001"/>
    <s v="BED"/>
    <s v="KBED"/>
    <m/>
    <m/>
    <d v="2026-09-26T22:41:01"/>
    <d v="2026-09-26T23:59:48"/>
    <n v="79"/>
    <x v="222"/>
    <s v="A320"/>
    <s v="A320"/>
    <s v="Airborne at end of data"/>
    <s v="a6a00b"/>
  </r>
  <r>
    <x v="2"/>
    <s v="B6 355"/>
    <s v="JBU355"/>
    <s v="JFK"/>
    <s v="KJFK"/>
    <m/>
    <m/>
    <d v="2026-09-26T22:42:56"/>
    <d v="2026-09-26T23:59:43"/>
    <n v="77"/>
    <x v="34"/>
    <s v="A220-300"/>
    <s v="BCS3"/>
    <s v="Airborne at end of data"/>
    <s v="a39289"/>
  </r>
  <r>
    <x v="2"/>
    <s v="B6 1736"/>
    <s v="JBU1736"/>
    <m/>
    <m/>
    <s v="JFK"/>
    <s v="KJFK"/>
    <d v="2026-09-26T22:44:09"/>
    <d v="2026-09-26T23:54:05"/>
    <n v="70"/>
    <x v="193"/>
    <s v="A321"/>
    <s v="A321"/>
    <s v="Complete"/>
    <s v="ad9712"/>
  </r>
  <r>
    <x v="2"/>
    <s v="B6 2783"/>
    <s v="JBU2783"/>
    <s v="BOS"/>
    <s v="KBOS"/>
    <m/>
    <m/>
    <d v="2026-09-26T22:44:11"/>
    <d v="2026-09-27T00:00:00"/>
    <n v="76"/>
    <x v="259"/>
    <s v="A220-300"/>
    <s v="BCS3"/>
    <s v="Airborne at end of data"/>
    <s v="a37f8d"/>
  </r>
  <r>
    <x v="2"/>
    <s v="B6 782"/>
    <s v="JBU782"/>
    <s v="RIC"/>
    <s v="KRIC"/>
    <m/>
    <m/>
    <d v="2026-09-26T22:45:42"/>
    <d v="2026-09-26T23:59:42"/>
    <n v="74"/>
    <x v="36"/>
    <s v="A220-300"/>
    <s v="BCS3"/>
    <s v="Landing inferred"/>
    <s v="a38836"/>
  </r>
  <r>
    <x v="2"/>
    <s v="B6 1990"/>
    <s v="JBU1990"/>
    <s v="SJU"/>
    <s v="TJSJ"/>
    <m/>
    <m/>
    <d v="2026-09-26T22:46:55"/>
    <d v="2026-09-26T22:58:51"/>
    <n v="12"/>
    <x v="165"/>
    <s v="A320"/>
    <s v="A320"/>
    <s v="Signal lost"/>
    <s v="aa4d77"/>
  </r>
  <r>
    <x v="2"/>
    <s v="B6 106"/>
    <s v="JBU106"/>
    <s v="FLL"/>
    <s v="KFLL"/>
    <m/>
    <m/>
    <d v="2026-09-26T22:47:27"/>
    <d v="2026-09-27T00:00:00"/>
    <n v="73"/>
    <x v="114"/>
    <s v="A320"/>
    <s v="A320"/>
    <s v="Airborne at end of data"/>
    <s v="a7bbe9"/>
  </r>
  <r>
    <x v="2"/>
    <s v="B6 1880"/>
    <s v="JBU1880"/>
    <s v="FLL"/>
    <s v="KFLL"/>
    <m/>
    <m/>
    <d v="2026-09-26T22:48:49"/>
    <d v="2026-09-26T23:59:47"/>
    <n v="71"/>
    <x v="58"/>
    <s v="A320"/>
    <s v="A320"/>
    <s v="Airborne at end of data"/>
    <s v="a781d7"/>
  </r>
  <r>
    <x v="2"/>
    <s v="B6 1962"/>
    <s v="JBU1962"/>
    <s v="DJT"/>
    <s v="KPBI"/>
    <m/>
    <m/>
    <d v="2026-09-26T22:49:58"/>
    <d v="2026-09-26T23:59:50"/>
    <n v="70"/>
    <x v="10"/>
    <s v="A220-300"/>
    <s v="BCS3"/>
    <s v="Airborne at end of data"/>
    <s v="a36b2d"/>
  </r>
  <r>
    <x v="2"/>
    <s v="B6 2424"/>
    <s v="JBU2424"/>
    <s v="MCO"/>
    <s v="KMCO"/>
    <m/>
    <m/>
    <d v="2026-09-26T22:51:40"/>
    <d v="2026-09-26T23:59:42"/>
    <n v="68"/>
    <x v="19"/>
    <s v="A320"/>
    <s v="A320"/>
    <s v="Airborne at end of data"/>
    <s v="a7da9c"/>
  </r>
  <r>
    <x v="2"/>
    <s v="B6 161"/>
    <s v="JBU161"/>
    <s v="JFK"/>
    <s v="KJFK"/>
    <m/>
    <m/>
    <d v="2026-09-26T22:52:20"/>
    <d v="2026-09-26T23:59:51"/>
    <n v="68"/>
    <x v="197"/>
    <s v="A321"/>
    <s v="A321"/>
    <s v="Airborne at end of data"/>
    <s v="aded77"/>
  </r>
  <r>
    <x v="2"/>
    <s v="B6 462"/>
    <s v="JBU462"/>
    <s v="SJU"/>
    <s v="TJSJ"/>
    <m/>
    <m/>
    <d v="2026-09-26T22:55:54"/>
    <d v="2026-09-26T23:06:21"/>
    <n v="10"/>
    <x v="219"/>
    <s v="A320"/>
    <s v="A320"/>
    <s v="Signal lost"/>
    <s v="a6587b"/>
  </r>
  <r>
    <x v="2"/>
    <s v="B6 810"/>
    <s v="JBU810"/>
    <s v="JAX"/>
    <s v="KJAX"/>
    <m/>
    <m/>
    <d v="2026-09-26T22:56:33"/>
    <d v="2026-09-26T23:59:57"/>
    <n v="63"/>
    <x v="169"/>
    <s v="A320"/>
    <s v="A320"/>
    <s v="Airborne at end of data"/>
    <s v="a8712a"/>
  </r>
  <r>
    <x v="2"/>
    <s v="B6 138"/>
    <s v="JBU138"/>
    <s v="MCO"/>
    <s v="KMCO"/>
    <m/>
    <m/>
    <d v="2026-09-26T22:58:20"/>
    <d v="2026-09-26T23:59:50"/>
    <n v="62"/>
    <x v="66"/>
    <s v="A320"/>
    <s v="A320"/>
    <s v="Airborne at end of data"/>
    <s v="a8021b"/>
  </r>
  <r>
    <x v="2"/>
    <s v="B6 330"/>
    <s v="JBU330"/>
    <m/>
    <m/>
    <m/>
    <m/>
    <d v="2026-09-26T22:59:09"/>
    <d v="2026-09-26T23:59:44"/>
    <n v="61"/>
    <x v="131"/>
    <s v="A321"/>
    <s v="A321"/>
    <s v="Airborne at end of data"/>
    <s v="ad2f71"/>
  </r>
  <r>
    <x v="2"/>
    <s v="B6 603"/>
    <s v="JBU603"/>
    <s v="JFK"/>
    <s v="KJFK"/>
    <m/>
    <m/>
    <d v="2026-09-26T22:59:18"/>
    <d v="2026-09-26T23:59:51"/>
    <n v="61"/>
    <x v="56"/>
    <s v="A321"/>
    <s v="A321"/>
    <s v="Airborne at end of data"/>
    <s v="adb35c"/>
  </r>
  <r>
    <x v="2"/>
    <s v="B6 8807"/>
    <s v="JBU8807"/>
    <s v="SWF"/>
    <s v="KSWF"/>
    <m/>
    <m/>
    <d v="2026-09-26T23:00:05"/>
    <d v="2026-09-26T23:59:51"/>
    <n v="60"/>
    <x v="240"/>
    <s v="A321"/>
    <s v="A321"/>
    <s v="Airborne at end of data"/>
    <s v="ad2baa"/>
  </r>
  <r>
    <x v="2"/>
    <s v="B6 248"/>
    <s v="JBU248"/>
    <s v="LAS"/>
    <s v="KLAS"/>
    <m/>
    <m/>
    <d v="2026-09-26T23:02:56"/>
    <d v="2026-09-26T23:59:39"/>
    <n v="57"/>
    <x v="16"/>
    <s v="A321"/>
    <s v="A321"/>
    <s v="Airborne at end of data"/>
    <s v="ad7ab8"/>
  </r>
  <r>
    <x v="2"/>
    <s v="B6 400"/>
    <s v="JBU400"/>
    <s v="MSY"/>
    <s v="KMSY"/>
    <m/>
    <m/>
    <d v="2026-09-26T23:02:59"/>
    <d v="2026-09-26T23:59:45"/>
    <n v="57"/>
    <x v="204"/>
    <s v="A320"/>
    <s v="A320"/>
    <s v="Airborne at end of data"/>
    <s v="a7faad"/>
  </r>
  <r>
    <x v="2"/>
    <s v="B6 914"/>
    <s v="JBU914"/>
    <s v="FLL"/>
    <s v="KFLL"/>
    <m/>
    <m/>
    <d v="2026-09-26T23:03:29"/>
    <d v="2026-09-26T23:59:44"/>
    <n v="56"/>
    <x v="172"/>
    <s v="A320"/>
    <s v="A320"/>
    <s v="Airborne at end of data"/>
    <s v="aac7ab"/>
  </r>
  <r>
    <x v="2"/>
    <s v="B6 2143"/>
    <s v="JBU2143"/>
    <s v="EWR"/>
    <s v="KEWR"/>
    <m/>
    <m/>
    <d v="2026-09-26T23:09:42"/>
    <d v="2026-09-26T23:59:53"/>
    <n v="50"/>
    <x v="247"/>
    <s v="A320"/>
    <s v="A320"/>
    <s v="Airborne at end of data"/>
    <s v="a6f2b7"/>
  </r>
  <r>
    <x v="2"/>
    <s v="B6 1620"/>
    <s v="JBU1620"/>
    <s v="BOS"/>
    <s v="KBOS"/>
    <m/>
    <m/>
    <d v="2026-09-26T23:11:13"/>
    <d v="2026-09-26T23:59:47"/>
    <n v="49"/>
    <x v="85"/>
    <s v="A321neo"/>
    <s v="A21N"/>
    <s v="Airborne at end of data"/>
    <s v="a4ccba"/>
  </r>
  <r>
    <x v="2"/>
    <s v="B6 1396"/>
    <s v="JBU1396"/>
    <s v="ATL"/>
    <s v="KATL"/>
    <m/>
    <m/>
    <d v="2026-09-26T23:13:28"/>
    <d v="2026-09-26T23:59:55"/>
    <n v="46"/>
    <x v="196"/>
    <s v="A220-300"/>
    <s v="BCS3"/>
    <s v="Airborne at end of data"/>
    <s v="a35c0b"/>
  </r>
  <r>
    <x v="2"/>
    <s v="B6 2134"/>
    <s v="JBU2134"/>
    <s v="SJU"/>
    <s v="TJSJ"/>
    <m/>
    <m/>
    <d v="2026-09-26T23:19:41"/>
    <d v="2026-09-26T23:35:30"/>
    <n v="16"/>
    <x v="31"/>
    <s v="A320"/>
    <s v="A320"/>
    <s v="Signal lost"/>
    <s v="a8c028"/>
  </r>
  <r>
    <x v="2"/>
    <s v="B6 406"/>
    <s v="JBU406"/>
    <s v="BNA"/>
    <s v="KBNA"/>
    <m/>
    <m/>
    <d v="2026-09-26T23:21:12"/>
    <d v="2026-09-26T23:59:50"/>
    <n v="39"/>
    <x v="177"/>
    <s v="A220-300"/>
    <s v="BCS3"/>
    <s v="Airborne at end of data"/>
    <s v="a39925"/>
  </r>
  <r>
    <x v="2"/>
    <s v="B6 65"/>
    <s v="JBU65"/>
    <s v="JFK"/>
    <s v="KJFK"/>
    <m/>
    <m/>
    <d v="2026-09-26T23:21:54"/>
    <d v="2026-09-26T23:59:47"/>
    <n v="38"/>
    <x v="233"/>
    <s v="A320"/>
    <s v="A320"/>
    <s v="Airborne at end of data"/>
    <s v="aa099e"/>
  </r>
  <r>
    <x v="2"/>
    <s v="B6 369"/>
    <s v="JBU369"/>
    <s v="BOS"/>
    <s v="KBOS"/>
    <m/>
    <m/>
    <d v="2026-09-26T23:22:01"/>
    <d v="2026-09-26T23:59:47"/>
    <n v="38"/>
    <x v="185"/>
    <s v="A320"/>
    <s v="A320"/>
    <s v="Airborne at end of data"/>
    <s v="a7bfa0"/>
  </r>
  <r>
    <x v="2"/>
    <s v="B6 71"/>
    <s v="JBU71"/>
    <s v="JFK"/>
    <s v="KJFK"/>
    <m/>
    <m/>
    <d v="2026-09-26T23:22:57"/>
    <d v="2026-09-26T23:59:41"/>
    <n v="37"/>
    <x v="253"/>
    <s v="A220-300"/>
    <s v="BCS3"/>
    <s v="Airborne at end of data"/>
    <s v="a3871e"/>
  </r>
  <r>
    <x v="2"/>
    <s v="B6 1131"/>
    <s v="JBU1131"/>
    <s v="CHS"/>
    <s v="KCHS"/>
    <m/>
    <m/>
    <d v="2026-09-26T23:23:07"/>
    <d v="2026-09-26T23:59:53"/>
    <n v="37"/>
    <x v="154"/>
    <s v="A320"/>
    <s v="A320"/>
    <s v="Airborne at end of data"/>
    <s v="aa7c64"/>
  </r>
  <r>
    <x v="2"/>
    <s v="B6 158"/>
    <s v="JBU158"/>
    <m/>
    <m/>
    <m/>
    <m/>
    <d v="2026-09-26T23:23:43"/>
    <d v="2026-09-26T23:55:28"/>
    <n v="32"/>
    <x v="93"/>
    <s v="A321"/>
    <s v="A321"/>
    <s v="Airborne at end of data"/>
    <s v="adbaca"/>
  </r>
  <r>
    <x v="2"/>
    <s v="B6 672"/>
    <s v="JBU672"/>
    <s v="FLL"/>
    <s v="KFLL"/>
    <m/>
    <m/>
    <d v="2026-09-26T23:23:57"/>
    <d v="2026-09-26T23:59:53"/>
    <n v="36"/>
    <x v="54"/>
    <s v="A320"/>
    <s v="A320"/>
    <s v="Airborne at end of data"/>
    <s v="a7946a"/>
  </r>
  <r>
    <x v="2"/>
    <s v="B6 1955"/>
    <s v="JBU1955"/>
    <s v="BOS"/>
    <s v="KBOS"/>
    <m/>
    <m/>
    <d v="2026-09-26T23:27:29"/>
    <d v="2026-09-26T23:59:48"/>
    <n v="32"/>
    <x v="155"/>
    <s v="A220-300"/>
    <s v="BCS3"/>
    <s v="Airborne at end of data"/>
    <s v="a35854"/>
  </r>
  <r>
    <x v="2"/>
    <s v="B6 715"/>
    <s v="JBU715"/>
    <s v="BOS"/>
    <s v="KBOS"/>
    <m/>
    <m/>
    <d v="2026-09-26T23:30:02"/>
    <d v="2026-09-26T23:59:52"/>
    <n v="30"/>
    <x v="43"/>
    <s v="Unknown"/>
    <m/>
    <s v="Airborne at end of data"/>
    <s v="a39fe4"/>
  </r>
  <r>
    <x v="2"/>
    <s v="B6 520"/>
    <s v="JBU520"/>
    <s v="ATL"/>
    <s v="KATL"/>
    <m/>
    <m/>
    <d v="2026-09-26T23:34:16"/>
    <d v="2026-09-26T23:59:53"/>
    <n v="26"/>
    <x v="37"/>
    <s v="A220-300"/>
    <s v="BCS3"/>
    <s v="Airborne at end of data"/>
    <s v="a3401a"/>
  </r>
  <r>
    <x v="2"/>
    <s v="B6 817"/>
    <s v="JBU817"/>
    <s v="BOS"/>
    <s v="KBOS"/>
    <m/>
    <m/>
    <d v="2026-09-26T23:36:03"/>
    <d v="2026-09-26T23:59:54"/>
    <n v="24"/>
    <x v="215"/>
    <s v="A220-300"/>
    <s v="BCS3"/>
    <s v="Airborne at end of data"/>
    <s v="a398bc"/>
  </r>
  <r>
    <x v="2"/>
    <s v="B6 539"/>
    <s v="JBU539"/>
    <s v="JFK"/>
    <s v="KJFK"/>
    <m/>
    <m/>
    <d v="2026-09-26T23:38:46"/>
    <d v="2026-09-26T23:59:49"/>
    <n v="21"/>
    <x v="62"/>
    <s v="A220-300"/>
    <s v="BCS3"/>
    <s v="Airborne at end of data"/>
    <s v="a37fb0"/>
  </r>
  <r>
    <x v="2"/>
    <s v="B6 1300"/>
    <s v="JBU1300"/>
    <s v="LAX"/>
    <s v="KLAX"/>
    <m/>
    <m/>
    <d v="2026-09-26T23:38:49"/>
    <d v="2026-09-26T23:59:49"/>
    <n v="21"/>
    <x v="216"/>
    <s v="A321"/>
    <s v="A321"/>
    <s v="Airborne at end of data"/>
    <s v="ad7e6f"/>
  </r>
  <r>
    <x v="2"/>
    <s v="B6 2185"/>
    <s v="JBU2185"/>
    <s v="BOS"/>
    <s v="KBOS"/>
    <m/>
    <m/>
    <d v="2026-09-26T23:39:22"/>
    <d v="2026-09-26T23:59:52"/>
    <n v="21"/>
    <x v="146"/>
    <s v="A220-300"/>
    <s v="BCS3"/>
    <s v="Airborne at end of data"/>
    <s v="a38af8"/>
  </r>
  <r>
    <x v="2"/>
    <s v="B6 548"/>
    <s v="JBU548"/>
    <s v="TPA"/>
    <s v="KTPA"/>
    <m/>
    <m/>
    <d v="2026-09-26T23:41:16"/>
    <d v="2026-09-26T23:59:58"/>
    <n v="19"/>
    <x v="24"/>
    <s v="A320"/>
    <s v="A320"/>
    <s v="Airborne at end of data"/>
    <s v="a70f11"/>
  </r>
  <r>
    <x v="2"/>
    <s v="B6 2144"/>
    <s v="JBU2144"/>
    <s v="DJT"/>
    <s v="KPBI"/>
    <m/>
    <m/>
    <d v="2026-09-26T23:43:24"/>
    <d v="2026-09-26T23:59:50"/>
    <n v="16"/>
    <x v="73"/>
    <s v="A320"/>
    <s v="A320"/>
    <s v="Airborne at end of data"/>
    <s v="a73690"/>
  </r>
  <r>
    <x v="2"/>
    <s v="B6 433"/>
    <s v="JBU433"/>
    <s v="MCO"/>
    <s v="KMCO"/>
    <m/>
    <m/>
    <d v="2026-09-26T23:44:18"/>
    <d v="2026-09-26T23:59:59"/>
    <n v="16"/>
    <x v="248"/>
    <s v="A321"/>
    <s v="A321"/>
    <s v="Airborne at end of data"/>
    <s v="ade9c0"/>
  </r>
  <r>
    <x v="2"/>
    <s v="B6 9003"/>
    <s v="JBU9003"/>
    <s v="GSO"/>
    <s v="KGSO"/>
    <m/>
    <m/>
    <d v="2026-09-26T23:44:23"/>
    <d v="2026-09-26T23:59:57"/>
    <n v="16"/>
    <x v="181"/>
    <s v="A321"/>
    <s v="A321"/>
    <s v="Airborne at end of data"/>
    <s v="ad5329"/>
  </r>
  <r>
    <x v="2"/>
    <s v="B6 282"/>
    <s v="JBU282"/>
    <s v="IAH"/>
    <s v="KIAH"/>
    <m/>
    <m/>
    <d v="2026-09-26T23:45:54"/>
    <d v="2026-09-26T23:59:59"/>
    <n v="14"/>
    <x v="246"/>
    <s v="A220-300"/>
    <s v="BCS3"/>
    <s v="Airborne at end of data"/>
    <s v="a38b61"/>
  </r>
  <r>
    <x v="2"/>
    <s v="B6 845"/>
    <s v="JBU845"/>
    <s v="BOS"/>
    <s v="KBOS"/>
    <m/>
    <m/>
    <d v="2026-09-26T23:46:07"/>
    <d v="2026-09-26T23:59:49"/>
    <n v="14"/>
    <x v="38"/>
    <s v="A220-300"/>
    <s v="BCS3"/>
    <s v="Airborne at end of data"/>
    <s v="a350c3"/>
  </r>
  <r>
    <x v="2"/>
    <s v="B6 640"/>
    <s v="JBU640"/>
    <s v="CLE"/>
    <s v="KCLE"/>
    <s v="CLE"/>
    <s v="KCLE"/>
    <d v="2026-09-26T23:48:48"/>
    <d v="2026-09-26T23:49:03"/>
    <n v="0"/>
    <x v="39"/>
    <s v="Unknown"/>
    <m/>
    <s v="Complete"/>
    <s v="a39be7"/>
  </r>
  <r>
    <x v="2"/>
    <s v="B6 640"/>
    <s v="JBU640"/>
    <s v="CLE"/>
    <s v="KCLE"/>
    <s v="CLE"/>
    <s v="KCLE"/>
    <d v="2026-09-26T23:49:04"/>
    <d v="2026-09-26T23:50:03"/>
    <n v="1"/>
    <x v="39"/>
    <s v="Unknown"/>
    <m/>
    <s v="Complete"/>
    <s v="a39be7"/>
  </r>
  <r>
    <x v="2"/>
    <s v="B6 640"/>
    <s v="JBU640"/>
    <s v="CLE"/>
    <s v="KCLE"/>
    <s v="BKL"/>
    <s v="KBKL"/>
    <d v="2026-09-26T23:50:03"/>
    <d v="2026-09-26T23:51:33"/>
    <n v="1"/>
    <x v="39"/>
    <s v="Unknown"/>
    <m/>
    <s v="Complete"/>
    <s v="a39be7"/>
  </r>
  <r>
    <x v="2"/>
    <s v="B6 640"/>
    <s v="JBU640"/>
    <s v="BKL"/>
    <s v="KBKL"/>
    <s v="BKL"/>
    <s v="KBKL"/>
    <d v="2026-09-26T23:51:33"/>
    <d v="2026-09-26T23:51:53"/>
    <n v="0"/>
    <x v="39"/>
    <s v="Unknown"/>
    <m/>
    <s v="Complete"/>
    <s v="a39be7"/>
  </r>
  <r>
    <x v="2"/>
    <s v="B6 640"/>
    <s v="JBU640"/>
    <s v="BKL"/>
    <s v="KBKL"/>
    <s v="BKL"/>
    <s v="KBKL"/>
    <d v="2026-09-26T23:51:53"/>
    <d v="2026-09-26T23:52:23"/>
    <n v="0"/>
    <x v="39"/>
    <s v="Unknown"/>
    <m/>
    <s v="Complete"/>
    <s v="a39be7"/>
  </r>
  <r>
    <x v="2"/>
    <s v="B6 640"/>
    <s v="JBU640"/>
    <s v="BKL"/>
    <s v="KBKL"/>
    <s v="BKL"/>
    <s v="KBKL"/>
    <d v="2026-09-26T23:52:23"/>
    <d v="2026-09-26T23:52:37"/>
    <n v="0"/>
    <x v="39"/>
    <s v="Unknown"/>
    <m/>
    <s v="Complete"/>
    <s v="a39be7"/>
  </r>
  <r>
    <x v="2"/>
    <s v="B6 640"/>
    <s v="JBU640"/>
    <s v="BKL"/>
    <s v="KBKL"/>
    <m/>
    <m/>
    <d v="2026-09-26T23:52:38"/>
    <d v="2026-09-26T23:55:07"/>
    <n v="2"/>
    <x v="39"/>
    <s v="Unknown"/>
    <m/>
    <s v="Complete"/>
    <s v="a39be7"/>
  </r>
  <r>
    <x v="2"/>
    <s v="B6 640"/>
    <s v="JBU640"/>
    <m/>
    <m/>
    <m/>
    <m/>
    <d v="2026-09-26T23:55:07"/>
    <d v="2026-09-26T23:56:21"/>
    <n v="1"/>
    <x v="39"/>
    <s v="Unknown"/>
    <m/>
    <s v="Complete"/>
    <s v="a39be7"/>
  </r>
  <r>
    <x v="2"/>
    <s v="B6 1739"/>
    <s v="JBU1739"/>
    <s v="SYR"/>
    <s v="KSYR"/>
    <m/>
    <m/>
    <d v="2026-09-26T23:55:33"/>
    <d v="2026-09-26T23:59:58"/>
    <n v="4"/>
    <x v="217"/>
    <s v="A320"/>
    <s v="A320"/>
    <s v="Airborne at end of data"/>
    <s v="aaf8f1"/>
  </r>
  <r>
    <x v="2"/>
    <s v="B6 1184"/>
    <s v="JBU1184"/>
    <s v="MCO"/>
    <s v="KMCO"/>
    <m/>
    <m/>
    <d v="2026-09-26T23:55:51"/>
    <d v="2026-09-26T23:59:59"/>
    <n v="4"/>
    <x v="134"/>
    <s v="A321"/>
    <s v="A321"/>
    <s v="Airborne at end of data"/>
    <s v="ade252"/>
  </r>
  <r>
    <x v="2"/>
    <s v="B6 640"/>
    <s v="JBU640"/>
    <m/>
    <m/>
    <s v="JFN"/>
    <s v="KHZY"/>
    <d v="2026-09-26T23:56:22"/>
    <d v="2026-09-26T23:58:57"/>
    <n v="3"/>
    <x v="39"/>
    <s v="Unknown"/>
    <m/>
    <s v="Complete"/>
    <s v="a39be7"/>
  </r>
  <r>
    <x v="2"/>
    <s v="B6 88"/>
    <s v="JBU88"/>
    <s v="FLL"/>
    <s v="KFLL"/>
    <s v="FLL"/>
    <s v="KFLL"/>
    <d v="2026-09-26T23:58:17"/>
    <d v="2026-09-27T00:00:00"/>
    <n v="2"/>
    <x v="41"/>
    <s v="A320"/>
    <s v="A320"/>
    <s v="Landing inferred"/>
    <s v="a85887"/>
  </r>
  <r>
    <x v="2"/>
    <s v="B6 640"/>
    <s v="JBU640"/>
    <s v="JFN"/>
    <s v="KHZY"/>
    <m/>
    <m/>
    <d v="2026-09-26T23:58:58"/>
    <d v="2026-09-27T00:00:00"/>
    <n v="1"/>
    <x v="39"/>
    <s v="Unknown"/>
    <m/>
    <s v="Airborne at end of data"/>
    <s v="a39be7"/>
  </r>
  <r>
    <x v="2"/>
    <s v="B6 1486"/>
    <s v="JBU1486"/>
    <s v="RDU"/>
    <s v="KRDU"/>
    <s v="RDU"/>
    <s v="KRDU"/>
    <d v="2026-09-26T23:59:14"/>
    <d v="2026-09-26T23:59:59"/>
    <n v="1"/>
    <x v="71"/>
    <s v="A220-300"/>
    <s v="BCS3"/>
    <s v="Landing inferred"/>
    <s v="a3559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F6559E-2C77-42A4-8254-5D1BEE365CBF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273" firstHeaderRow="1" firstDataRow="2" firstDataCol="1"/>
  <pivotFields count="15">
    <pivotField axis="axisCol" numFmtId="164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numFmtId="166" showAll="0"/>
    <pivotField numFmtId="166" showAll="0"/>
    <pivotField showAll="0"/>
    <pivotField axis="axisRow" showAll="0">
      <items count="269">
        <item x="230"/>
        <item x="224"/>
        <item x="225"/>
        <item x="6"/>
        <item x="135"/>
        <item x="190"/>
        <item x="136"/>
        <item x="57"/>
        <item x="27"/>
        <item x="186"/>
        <item x="252"/>
        <item x="95"/>
        <item x="250"/>
        <item x="87"/>
        <item x="163"/>
        <item x="137"/>
        <item x="107"/>
        <item x="241"/>
        <item x="83"/>
        <item x="258"/>
        <item x="63"/>
        <item x="101"/>
        <item x="142"/>
        <item x="238"/>
        <item x="207"/>
        <item x="262"/>
        <item x="162"/>
        <item x="64"/>
        <item x="37"/>
        <item x="227"/>
        <item x="198"/>
        <item x="166"/>
        <item x="143"/>
        <item x="23"/>
        <item x="212"/>
        <item x="38"/>
        <item x="244"/>
        <item x="128"/>
        <item x="265"/>
        <item x="76"/>
        <item x="71"/>
        <item x="155"/>
        <item x="8"/>
        <item x="51"/>
        <item x="196"/>
        <item x="189"/>
        <item x="50"/>
        <item x="103"/>
        <item x="264"/>
        <item x="105"/>
        <item x="10"/>
        <item x="178"/>
        <item x="148"/>
        <item x="249"/>
        <item x="254"/>
        <item x="88"/>
        <item x="141"/>
        <item x="132"/>
        <item x="259"/>
        <item x="62"/>
        <item x="133"/>
        <item x="28"/>
        <item x="116"/>
        <item x="100"/>
        <item x="94"/>
        <item x="65"/>
        <item x="253"/>
        <item x="11"/>
        <item x="36"/>
        <item x="175"/>
        <item x="146"/>
        <item x="246"/>
        <item x="139"/>
        <item x="35"/>
        <item x="115"/>
        <item x="4"/>
        <item x="160"/>
        <item x="34"/>
        <item x="176"/>
        <item x="159"/>
        <item x="215"/>
        <item x="177"/>
        <item x="229"/>
        <item x="39"/>
        <item x="43"/>
        <item x="179"/>
        <item x="74"/>
        <item x="60"/>
        <item x="82"/>
        <item x="32"/>
        <item x="3"/>
        <item x="61"/>
        <item x="59"/>
        <item x="111"/>
        <item x="85"/>
        <item x="48"/>
        <item x="191"/>
        <item x="219"/>
        <item x="26"/>
        <item x="138"/>
        <item x="67"/>
        <item x="47"/>
        <item x="18"/>
        <item x="170"/>
        <item x="222"/>
        <item x="17"/>
        <item x="173"/>
        <item x="180"/>
        <item x="7"/>
        <item x="266"/>
        <item x="232"/>
        <item x="247"/>
        <item x="118"/>
        <item x="24"/>
        <item x="218"/>
        <item x="125"/>
        <item x="78"/>
        <item x="226"/>
        <item x="73"/>
        <item x="200"/>
        <item x="53"/>
        <item x="22"/>
        <item x="257"/>
        <item x="72"/>
        <item x="242"/>
        <item x="130"/>
        <item x="58"/>
        <item x="33"/>
        <item x="15"/>
        <item x="54"/>
        <item x="206"/>
        <item x="144"/>
        <item x="213"/>
        <item x="195"/>
        <item x="245"/>
        <item x="251"/>
        <item x="184"/>
        <item x="20"/>
        <item x="114"/>
        <item x="185"/>
        <item x="237"/>
        <item x="19"/>
        <item x="231"/>
        <item x="239"/>
        <item x="68"/>
        <item x="183"/>
        <item x="204"/>
        <item x="66"/>
        <item x="102"/>
        <item x="267"/>
        <item x="12"/>
        <item x="263"/>
        <item x="25"/>
        <item x="9"/>
        <item x="156"/>
        <item x="81"/>
        <item x="171"/>
        <item x="92"/>
        <item x="243"/>
        <item x="42"/>
        <item x="41"/>
        <item x="167"/>
        <item x="256"/>
        <item x="169"/>
        <item x="5"/>
        <item x="161"/>
        <item x="149"/>
        <item x="13"/>
        <item x="201"/>
        <item x="151"/>
        <item x="91"/>
        <item x="2"/>
        <item x="187"/>
        <item x="80"/>
        <item x="236"/>
        <item x="158"/>
        <item x="220"/>
        <item x="31"/>
        <item x="150"/>
        <item x="21"/>
        <item x="45"/>
        <item x="55"/>
        <item x="140"/>
        <item x="223"/>
        <item x="124"/>
        <item x="97"/>
        <item x="79"/>
        <item x="233"/>
        <item x="174"/>
        <item x="165"/>
        <item x="14"/>
        <item x="260"/>
        <item x="154"/>
        <item x="261"/>
        <item x="40"/>
        <item x="228"/>
        <item x="172"/>
        <item x="157"/>
        <item x="145"/>
        <item x="221"/>
        <item x="217"/>
        <item x="129"/>
        <item x="119"/>
        <item x="30"/>
        <item x="90"/>
        <item x="49"/>
        <item x="75"/>
        <item x="208"/>
        <item x="210"/>
        <item x="152"/>
        <item x="214"/>
        <item x="147"/>
        <item x="194"/>
        <item x="122"/>
        <item x="46"/>
        <item x="98"/>
        <item x="77"/>
        <item x="235"/>
        <item x="123"/>
        <item x="89"/>
        <item x="121"/>
        <item x="240"/>
        <item x="131"/>
        <item x="117"/>
        <item x="113"/>
        <item x="188"/>
        <item x="255"/>
        <item x="112"/>
        <item x="29"/>
        <item x="181"/>
        <item x="234"/>
        <item x="52"/>
        <item x="86"/>
        <item x="99"/>
        <item x="0"/>
        <item x="209"/>
        <item x="126"/>
        <item x="16"/>
        <item x="216"/>
        <item x="109"/>
        <item x="1"/>
        <item x="127"/>
        <item x="205"/>
        <item x="153"/>
        <item x="193"/>
        <item x="44"/>
        <item x="211"/>
        <item x="168"/>
        <item x="106"/>
        <item x="202"/>
        <item x="108"/>
        <item x="56"/>
        <item x="199"/>
        <item x="93"/>
        <item x="104"/>
        <item x="84"/>
        <item x="110"/>
        <item x="120"/>
        <item x="96"/>
        <item x="69"/>
        <item x="203"/>
        <item x="182"/>
        <item x="134"/>
        <item x="70"/>
        <item x="248"/>
        <item x="197"/>
        <item x="164"/>
        <item x="192"/>
        <item t="default"/>
      </items>
    </pivotField>
    <pivotField showAll="0"/>
    <pivotField showAll="0"/>
    <pivotField showAll="0"/>
    <pivotField dataField="1" showAll="0"/>
  </pivotFields>
  <rowFields count="1">
    <field x="10"/>
  </rowFields>
  <rowItems count="26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Count of ICAO24 Hex" fld="1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5E3B6-4FDC-4363-889C-F4E7D1AD4ECA}">
  <dimension ref="A3:E273"/>
  <sheetViews>
    <sheetView workbookViewId="0">
      <selection activeCell="A5" sqref="A5"/>
    </sheetView>
  </sheetViews>
  <sheetFormatPr defaultRowHeight="14.75" x14ac:dyDescent="0.75"/>
  <cols>
    <col min="1" max="1" width="18.2265625" bestFit="1" customWidth="1"/>
    <col min="2" max="2" width="15.1796875" bestFit="1" customWidth="1"/>
    <col min="3" max="4" width="9.86328125" bestFit="1" customWidth="1"/>
    <col min="5" max="5" width="10.58984375" bestFit="1" customWidth="1"/>
  </cols>
  <sheetData>
    <row r="3" spans="1:5" x14ac:dyDescent="0.75">
      <c r="A3" s="9" t="s">
        <v>2452</v>
      </c>
      <c r="B3" s="9" t="s">
        <v>2451</v>
      </c>
    </row>
    <row r="4" spans="1:5" x14ac:dyDescent="0.75">
      <c r="A4" s="9" t="s">
        <v>2449</v>
      </c>
      <c r="B4" s="12">
        <v>46289</v>
      </c>
      <c r="C4" s="12">
        <v>46290</v>
      </c>
      <c r="D4" s="12">
        <v>46291</v>
      </c>
      <c r="E4" s="12" t="s">
        <v>2450</v>
      </c>
    </row>
    <row r="5" spans="1:5" x14ac:dyDescent="0.75">
      <c r="A5" s="10" t="s">
        <v>1537</v>
      </c>
      <c r="B5" s="11">
        <v>2</v>
      </c>
      <c r="C5" s="11">
        <v>1</v>
      </c>
      <c r="D5" s="11">
        <v>3</v>
      </c>
      <c r="E5" s="11">
        <v>6</v>
      </c>
    </row>
    <row r="6" spans="1:5" x14ac:dyDescent="0.75">
      <c r="A6" s="10" t="s">
        <v>1399</v>
      </c>
      <c r="B6" s="11">
        <v>2</v>
      </c>
      <c r="C6" s="11">
        <v>1</v>
      </c>
      <c r="D6" s="11">
        <v>3</v>
      </c>
      <c r="E6" s="11">
        <v>6</v>
      </c>
    </row>
    <row r="7" spans="1:5" x14ac:dyDescent="0.75">
      <c r="A7" s="10" t="s">
        <v>1441</v>
      </c>
      <c r="B7" s="11">
        <v>1</v>
      </c>
      <c r="C7" s="11">
        <v>3</v>
      </c>
      <c r="D7" s="11">
        <v>1</v>
      </c>
      <c r="E7" s="11">
        <v>5</v>
      </c>
    </row>
    <row r="8" spans="1:5" x14ac:dyDescent="0.75">
      <c r="A8" s="10" t="s">
        <v>64</v>
      </c>
      <c r="B8" s="11">
        <v>3</v>
      </c>
      <c r="C8" s="11">
        <v>2</v>
      </c>
      <c r="D8" s="11">
        <v>1</v>
      </c>
      <c r="E8" s="11">
        <v>6</v>
      </c>
    </row>
    <row r="9" spans="1:5" x14ac:dyDescent="0.75">
      <c r="A9" s="10" t="s">
        <v>755</v>
      </c>
      <c r="B9" s="11">
        <v>4</v>
      </c>
      <c r="C9" s="11">
        <v>2</v>
      </c>
      <c r="D9" s="11"/>
      <c r="E9" s="11">
        <v>6</v>
      </c>
    </row>
    <row r="10" spans="1:5" x14ac:dyDescent="0.75">
      <c r="A10" s="10" t="s">
        <v>1119</v>
      </c>
      <c r="B10" s="11">
        <v>1</v>
      </c>
      <c r="C10" s="11">
        <v>3</v>
      </c>
      <c r="D10" s="11">
        <v>2</v>
      </c>
      <c r="E10" s="11">
        <v>6</v>
      </c>
    </row>
    <row r="11" spans="1:5" x14ac:dyDescent="0.75">
      <c r="A11" s="10" t="s">
        <v>765</v>
      </c>
      <c r="B11" s="11">
        <v>3</v>
      </c>
      <c r="C11" s="11">
        <v>2</v>
      </c>
      <c r="D11" s="11">
        <v>1</v>
      </c>
      <c r="E11" s="11">
        <v>6</v>
      </c>
    </row>
    <row r="12" spans="1:5" x14ac:dyDescent="0.75">
      <c r="A12" s="10" t="s">
        <v>330</v>
      </c>
      <c r="B12" s="11">
        <v>3</v>
      </c>
      <c r="C12" s="11">
        <v>2</v>
      </c>
      <c r="D12" s="11">
        <v>1</v>
      </c>
      <c r="E12" s="11">
        <v>6</v>
      </c>
    </row>
    <row r="13" spans="1:5" x14ac:dyDescent="0.75">
      <c r="A13" s="10" t="s">
        <v>178</v>
      </c>
      <c r="B13" s="11">
        <v>3</v>
      </c>
      <c r="C13" s="11">
        <v>1</v>
      </c>
      <c r="D13" s="11">
        <v>3</v>
      </c>
      <c r="E13" s="11">
        <v>7</v>
      </c>
    </row>
    <row r="14" spans="1:5" x14ac:dyDescent="0.75">
      <c r="A14" s="10" t="s">
        <v>1093</v>
      </c>
      <c r="B14" s="11">
        <v>1</v>
      </c>
      <c r="C14" s="11">
        <v>1</v>
      </c>
      <c r="D14" s="11">
        <v>2</v>
      </c>
      <c r="E14" s="11">
        <v>4</v>
      </c>
    </row>
    <row r="15" spans="1:5" x14ac:dyDescent="0.75">
      <c r="A15" s="10" t="s">
        <v>2185</v>
      </c>
      <c r="B15" s="11"/>
      <c r="C15" s="11">
        <v>3</v>
      </c>
      <c r="D15" s="11">
        <v>3</v>
      </c>
      <c r="E15" s="11">
        <v>6</v>
      </c>
    </row>
    <row r="16" spans="1:5" x14ac:dyDescent="0.75">
      <c r="A16" s="10" t="s">
        <v>505</v>
      </c>
      <c r="B16" s="11">
        <v>3</v>
      </c>
      <c r="C16" s="11">
        <v>3</v>
      </c>
      <c r="D16" s="11">
        <v>1</v>
      </c>
      <c r="E16" s="11">
        <v>7</v>
      </c>
    </row>
    <row r="17" spans="1:5" x14ac:dyDescent="0.75">
      <c r="A17" s="10" t="s">
        <v>2161</v>
      </c>
      <c r="B17" s="11"/>
      <c r="C17" s="11">
        <v>3</v>
      </c>
      <c r="D17" s="11">
        <v>1</v>
      </c>
      <c r="E17" s="11">
        <v>4</v>
      </c>
    </row>
    <row r="18" spans="1:5" x14ac:dyDescent="0.75">
      <c r="A18" s="10" t="s">
        <v>473</v>
      </c>
      <c r="B18" s="11">
        <v>3</v>
      </c>
      <c r="C18" s="11">
        <v>1</v>
      </c>
      <c r="D18" s="11">
        <v>3</v>
      </c>
      <c r="E18" s="11">
        <v>7</v>
      </c>
    </row>
    <row r="19" spans="1:5" x14ac:dyDescent="0.75">
      <c r="A19" s="10" t="s">
        <v>943</v>
      </c>
      <c r="B19" s="11">
        <v>2</v>
      </c>
      <c r="C19" s="11">
        <v>2</v>
      </c>
      <c r="D19" s="11">
        <v>1</v>
      </c>
      <c r="E19" s="11">
        <v>5</v>
      </c>
    </row>
    <row r="20" spans="1:5" x14ac:dyDescent="0.75">
      <c r="A20" s="10" t="s">
        <v>769</v>
      </c>
      <c r="B20" s="11">
        <v>2</v>
      </c>
      <c r="C20" s="11">
        <v>3</v>
      </c>
      <c r="D20" s="11">
        <v>3</v>
      </c>
      <c r="E20" s="11">
        <v>8</v>
      </c>
    </row>
    <row r="21" spans="1:5" x14ac:dyDescent="0.75">
      <c r="A21" s="10" t="s">
        <v>561</v>
      </c>
      <c r="B21" s="11">
        <v>1</v>
      </c>
      <c r="C21" s="11">
        <v>2</v>
      </c>
      <c r="D21" s="11">
        <v>2</v>
      </c>
      <c r="E21" s="11">
        <v>5</v>
      </c>
    </row>
    <row r="22" spans="1:5" x14ac:dyDescent="0.75">
      <c r="A22" s="10" t="s">
        <v>1831</v>
      </c>
      <c r="B22" s="11">
        <v>1</v>
      </c>
      <c r="C22" s="11">
        <v>3</v>
      </c>
      <c r="D22" s="11">
        <v>2</v>
      </c>
      <c r="E22" s="11">
        <v>6</v>
      </c>
    </row>
    <row r="23" spans="1:5" x14ac:dyDescent="0.75">
      <c r="A23" s="10" t="s">
        <v>455</v>
      </c>
      <c r="B23" s="11">
        <v>2</v>
      </c>
      <c r="C23" s="11"/>
      <c r="D23" s="11">
        <v>3</v>
      </c>
      <c r="E23" s="11">
        <v>5</v>
      </c>
    </row>
    <row r="24" spans="1:5" x14ac:dyDescent="0.75">
      <c r="A24" s="10" t="s">
        <v>2239</v>
      </c>
      <c r="B24" s="11"/>
      <c r="C24" s="11">
        <v>2</v>
      </c>
      <c r="D24" s="11">
        <v>2</v>
      </c>
      <c r="E24" s="11">
        <v>4</v>
      </c>
    </row>
    <row r="25" spans="1:5" x14ac:dyDescent="0.75">
      <c r="A25" s="10" t="s">
        <v>362</v>
      </c>
      <c r="B25" s="11">
        <v>3</v>
      </c>
      <c r="C25" s="11">
        <v>3</v>
      </c>
      <c r="D25" s="11">
        <v>2</v>
      </c>
      <c r="E25" s="11">
        <v>8</v>
      </c>
    </row>
    <row r="26" spans="1:5" x14ac:dyDescent="0.75">
      <c r="A26" s="10" t="s">
        <v>533</v>
      </c>
      <c r="B26" s="11">
        <v>3</v>
      </c>
      <c r="C26" s="11">
        <v>2</v>
      </c>
      <c r="D26" s="11">
        <v>2</v>
      </c>
      <c r="E26" s="11">
        <v>7</v>
      </c>
    </row>
    <row r="27" spans="1:5" x14ac:dyDescent="0.75">
      <c r="A27" s="10" t="s">
        <v>801</v>
      </c>
      <c r="B27" s="11">
        <v>4</v>
      </c>
      <c r="C27" s="11">
        <v>5</v>
      </c>
      <c r="D27" s="11"/>
      <c r="E27" s="11">
        <v>9</v>
      </c>
    </row>
    <row r="28" spans="1:5" x14ac:dyDescent="0.75">
      <c r="A28" s="10" t="s">
        <v>1735</v>
      </c>
      <c r="B28" s="11">
        <v>1</v>
      </c>
      <c r="C28" s="11">
        <v>1</v>
      </c>
      <c r="D28" s="11">
        <v>4</v>
      </c>
      <c r="E28" s="11">
        <v>6</v>
      </c>
    </row>
    <row r="29" spans="1:5" x14ac:dyDescent="0.75">
      <c r="A29" s="10" t="s">
        <v>1229</v>
      </c>
      <c r="B29" s="11">
        <v>2</v>
      </c>
      <c r="C29" s="11">
        <v>4</v>
      </c>
      <c r="D29" s="11">
        <v>4</v>
      </c>
      <c r="E29" s="11">
        <v>10</v>
      </c>
    </row>
    <row r="30" spans="1:5" x14ac:dyDescent="0.75">
      <c r="A30" s="10" t="s">
        <v>2303</v>
      </c>
      <c r="B30" s="11"/>
      <c r="C30" s="11">
        <v>2</v>
      </c>
      <c r="D30" s="11">
        <v>2</v>
      </c>
      <c r="E30" s="11">
        <v>4</v>
      </c>
    </row>
    <row r="31" spans="1:5" x14ac:dyDescent="0.75">
      <c r="A31" s="10" t="s">
        <v>939</v>
      </c>
      <c r="B31" s="11">
        <v>4</v>
      </c>
      <c r="C31" s="11">
        <v>4</v>
      </c>
      <c r="D31" s="11">
        <v>4</v>
      </c>
      <c r="E31" s="11">
        <v>12</v>
      </c>
    </row>
    <row r="32" spans="1:5" x14ac:dyDescent="0.75">
      <c r="A32" s="10" t="s">
        <v>368</v>
      </c>
      <c r="B32" s="11">
        <v>5</v>
      </c>
      <c r="C32" s="11">
        <v>5</v>
      </c>
      <c r="D32" s="11">
        <v>5</v>
      </c>
      <c r="E32" s="11">
        <v>15</v>
      </c>
    </row>
    <row r="33" spans="1:5" x14ac:dyDescent="0.75">
      <c r="A33" s="10" t="s">
        <v>230</v>
      </c>
      <c r="B33" s="11">
        <v>4</v>
      </c>
      <c r="C33" s="11">
        <v>4</v>
      </c>
      <c r="D33" s="11">
        <v>2</v>
      </c>
      <c r="E33" s="11">
        <v>10</v>
      </c>
    </row>
    <row r="34" spans="1:5" x14ac:dyDescent="0.75">
      <c r="A34" s="10" t="s">
        <v>1501</v>
      </c>
      <c r="B34" s="11">
        <v>2</v>
      </c>
      <c r="C34" s="11">
        <v>4</v>
      </c>
      <c r="D34" s="11">
        <v>3</v>
      </c>
      <c r="E34" s="11">
        <v>9</v>
      </c>
    </row>
    <row r="35" spans="1:5" x14ac:dyDescent="0.75">
      <c r="A35" s="10" t="s">
        <v>1177</v>
      </c>
      <c r="B35" s="11">
        <v>3</v>
      </c>
      <c r="C35" s="11">
        <v>1</v>
      </c>
      <c r="D35" s="11">
        <v>3</v>
      </c>
      <c r="E35" s="11">
        <v>7</v>
      </c>
    </row>
    <row r="36" spans="1:5" x14ac:dyDescent="0.75">
      <c r="A36" s="10" t="s">
        <v>955</v>
      </c>
      <c r="B36" s="11">
        <v>4</v>
      </c>
      <c r="C36" s="11">
        <v>3</v>
      </c>
      <c r="D36" s="11">
        <v>3</v>
      </c>
      <c r="E36" s="11">
        <v>10</v>
      </c>
    </row>
    <row r="37" spans="1:5" x14ac:dyDescent="0.75">
      <c r="A37" s="10" t="s">
        <v>807</v>
      </c>
      <c r="B37" s="11">
        <v>4</v>
      </c>
      <c r="C37" s="11">
        <v>4</v>
      </c>
      <c r="D37" s="11">
        <v>5</v>
      </c>
      <c r="E37" s="11">
        <v>13</v>
      </c>
    </row>
    <row r="38" spans="1:5" x14ac:dyDescent="0.75">
      <c r="A38" s="10" t="s">
        <v>160</v>
      </c>
      <c r="B38" s="11">
        <v>4</v>
      </c>
      <c r="C38" s="11">
        <v>2</v>
      </c>
      <c r="D38" s="11">
        <v>5</v>
      </c>
      <c r="E38" s="11">
        <v>11</v>
      </c>
    </row>
    <row r="39" spans="1:5" x14ac:dyDescent="0.75">
      <c r="A39" s="10" t="s">
        <v>1261</v>
      </c>
      <c r="B39" s="11">
        <v>4</v>
      </c>
      <c r="C39" s="11">
        <v>4</v>
      </c>
      <c r="D39" s="11">
        <v>3</v>
      </c>
      <c r="E39" s="11">
        <v>11</v>
      </c>
    </row>
    <row r="40" spans="1:5" x14ac:dyDescent="0.75">
      <c r="A40" s="10" t="s">
        <v>236</v>
      </c>
      <c r="B40" s="11">
        <v>4</v>
      </c>
      <c r="C40" s="11">
        <v>4</v>
      </c>
      <c r="D40" s="11">
        <v>4</v>
      </c>
      <c r="E40" s="11">
        <v>12</v>
      </c>
    </row>
    <row r="41" spans="1:5" x14ac:dyDescent="0.75">
      <c r="A41" s="10" t="s">
        <v>1911</v>
      </c>
      <c r="B41" s="11">
        <v>1</v>
      </c>
      <c r="C41" s="11">
        <v>5</v>
      </c>
      <c r="D41" s="11">
        <v>4</v>
      </c>
      <c r="E41" s="11">
        <v>10</v>
      </c>
    </row>
    <row r="42" spans="1:5" x14ac:dyDescent="0.75">
      <c r="A42" s="10" t="s">
        <v>697</v>
      </c>
      <c r="B42" s="11">
        <v>4</v>
      </c>
      <c r="C42" s="11">
        <v>3</v>
      </c>
      <c r="D42" s="11">
        <v>4</v>
      </c>
      <c r="E42" s="11">
        <v>11</v>
      </c>
    </row>
    <row r="43" spans="1:5" x14ac:dyDescent="0.75">
      <c r="A43" s="10" t="s">
        <v>2323</v>
      </c>
      <c r="B43" s="11"/>
      <c r="C43" s="11">
        <v>1</v>
      </c>
      <c r="D43" s="11">
        <v>3</v>
      </c>
      <c r="E43" s="11">
        <v>4</v>
      </c>
    </row>
    <row r="44" spans="1:5" x14ac:dyDescent="0.75">
      <c r="A44" s="10" t="s">
        <v>422</v>
      </c>
      <c r="B44" s="11">
        <v>5</v>
      </c>
      <c r="C44" s="11">
        <v>5</v>
      </c>
      <c r="D44" s="11"/>
      <c r="E44" s="11">
        <v>10</v>
      </c>
    </row>
    <row r="45" spans="1:5" x14ac:dyDescent="0.75">
      <c r="A45" s="10" t="s">
        <v>396</v>
      </c>
      <c r="B45" s="11">
        <v>6</v>
      </c>
      <c r="C45" s="11"/>
      <c r="D45" s="11">
        <v>2</v>
      </c>
      <c r="E45" s="11">
        <v>8</v>
      </c>
    </row>
    <row r="46" spans="1:5" x14ac:dyDescent="0.75">
      <c r="A46" s="10" t="s">
        <v>891</v>
      </c>
      <c r="B46" s="11">
        <v>3</v>
      </c>
      <c r="C46" s="11">
        <v>5</v>
      </c>
      <c r="D46" s="11">
        <v>3</v>
      </c>
      <c r="E46" s="11">
        <v>11</v>
      </c>
    </row>
    <row r="47" spans="1:5" x14ac:dyDescent="0.75">
      <c r="A47" s="10" t="s">
        <v>76</v>
      </c>
      <c r="B47" s="11">
        <v>4</v>
      </c>
      <c r="C47" s="11">
        <v>4</v>
      </c>
      <c r="D47" s="11">
        <v>2</v>
      </c>
      <c r="E47" s="11">
        <v>10</v>
      </c>
    </row>
    <row r="48" spans="1:5" x14ac:dyDescent="0.75">
      <c r="A48" s="10" t="s">
        <v>300</v>
      </c>
      <c r="B48" s="11">
        <v>4</v>
      </c>
      <c r="C48" s="11">
        <v>1</v>
      </c>
      <c r="D48" s="11">
        <v>3</v>
      </c>
      <c r="E48" s="11">
        <v>8</v>
      </c>
    </row>
    <row r="49" spans="1:5" x14ac:dyDescent="0.75">
      <c r="A49" s="10" t="s">
        <v>1161</v>
      </c>
      <c r="B49" s="11">
        <v>4</v>
      </c>
      <c r="C49" s="11">
        <v>3</v>
      </c>
      <c r="D49" s="11">
        <v>6</v>
      </c>
      <c r="E49" s="11">
        <v>13</v>
      </c>
    </row>
    <row r="50" spans="1:5" x14ac:dyDescent="0.75">
      <c r="A50" s="10" t="s">
        <v>1115</v>
      </c>
      <c r="B50" s="11">
        <v>2</v>
      </c>
      <c r="C50" s="11">
        <v>6</v>
      </c>
      <c r="D50" s="11">
        <v>3</v>
      </c>
      <c r="E50" s="11">
        <v>11</v>
      </c>
    </row>
    <row r="51" spans="1:5" x14ac:dyDescent="0.75">
      <c r="A51" s="10" t="s">
        <v>296</v>
      </c>
      <c r="B51" s="11">
        <v>5</v>
      </c>
      <c r="C51" s="11">
        <v>4</v>
      </c>
      <c r="D51" s="11">
        <v>5</v>
      </c>
      <c r="E51" s="11">
        <v>14</v>
      </c>
    </row>
    <row r="52" spans="1:5" x14ac:dyDescent="0.75">
      <c r="A52" s="10" t="s">
        <v>543</v>
      </c>
      <c r="B52" s="11">
        <v>5</v>
      </c>
      <c r="C52" s="11"/>
      <c r="D52" s="11"/>
      <c r="E52" s="11">
        <v>5</v>
      </c>
    </row>
    <row r="53" spans="1:5" x14ac:dyDescent="0.75">
      <c r="A53" s="10" t="s">
        <v>2313</v>
      </c>
      <c r="B53" s="11"/>
      <c r="C53" s="11">
        <v>1</v>
      </c>
      <c r="D53" s="11">
        <v>4</v>
      </c>
      <c r="E53" s="11">
        <v>5</v>
      </c>
    </row>
    <row r="54" spans="1:5" x14ac:dyDescent="0.75">
      <c r="A54" s="10" t="s">
        <v>553</v>
      </c>
      <c r="B54" s="11">
        <v>2</v>
      </c>
      <c r="C54" s="11">
        <v>4</v>
      </c>
      <c r="D54" s="11">
        <v>4</v>
      </c>
      <c r="E54" s="11">
        <v>10</v>
      </c>
    </row>
    <row r="55" spans="1:5" x14ac:dyDescent="0.75">
      <c r="A55" s="10" t="s">
        <v>90</v>
      </c>
      <c r="B55" s="11">
        <v>5</v>
      </c>
      <c r="C55" s="11">
        <v>6</v>
      </c>
      <c r="D55" s="11">
        <v>2</v>
      </c>
      <c r="E55" s="11">
        <v>13</v>
      </c>
    </row>
    <row r="56" spans="1:5" x14ac:dyDescent="0.75">
      <c r="A56" s="10" t="s">
        <v>1037</v>
      </c>
      <c r="B56" s="11">
        <v>4</v>
      </c>
      <c r="C56" s="11">
        <v>6</v>
      </c>
      <c r="D56" s="11">
        <v>1</v>
      </c>
      <c r="E56" s="11">
        <v>11</v>
      </c>
    </row>
    <row r="57" spans="1:5" x14ac:dyDescent="0.75">
      <c r="A57" s="10" t="s">
        <v>847</v>
      </c>
      <c r="B57" s="11">
        <v>4</v>
      </c>
      <c r="C57" s="11">
        <v>5</v>
      </c>
      <c r="D57" s="11">
        <v>3</v>
      </c>
      <c r="E57" s="11">
        <v>12</v>
      </c>
    </row>
    <row r="58" spans="1:5" x14ac:dyDescent="0.75">
      <c r="A58" s="10" t="s">
        <v>2147</v>
      </c>
      <c r="B58" s="11"/>
      <c r="C58" s="11">
        <v>4</v>
      </c>
      <c r="D58" s="11">
        <v>1</v>
      </c>
      <c r="E58" s="11">
        <v>5</v>
      </c>
    </row>
    <row r="59" spans="1:5" x14ac:dyDescent="0.75">
      <c r="A59" s="10" t="s">
        <v>2193</v>
      </c>
      <c r="B59" s="11"/>
      <c r="C59" s="11">
        <v>5</v>
      </c>
      <c r="D59" s="11">
        <v>3</v>
      </c>
      <c r="E59" s="11">
        <v>8</v>
      </c>
    </row>
    <row r="60" spans="1:5" x14ac:dyDescent="0.75">
      <c r="A60" s="10" t="s">
        <v>477</v>
      </c>
      <c r="B60" s="11">
        <v>5</v>
      </c>
      <c r="C60" s="11">
        <v>5</v>
      </c>
      <c r="D60" s="11">
        <v>3</v>
      </c>
      <c r="E60" s="11">
        <v>13</v>
      </c>
    </row>
    <row r="61" spans="1:5" x14ac:dyDescent="0.75">
      <c r="A61" s="10" t="s">
        <v>793</v>
      </c>
      <c r="B61" s="11">
        <v>4</v>
      </c>
      <c r="C61" s="11">
        <v>2</v>
      </c>
      <c r="D61" s="11">
        <v>4</v>
      </c>
      <c r="E61" s="11">
        <v>10</v>
      </c>
    </row>
    <row r="62" spans="1:5" x14ac:dyDescent="0.75">
      <c r="A62" s="10" t="s">
        <v>739</v>
      </c>
      <c r="B62" s="11">
        <v>4</v>
      </c>
      <c r="C62" s="11">
        <v>5</v>
      </c>
      <c r="D62" s="11">
        <v>1</v>
      </c>
      <c r="E62" s="11">
        <v>10</v>
      </c>
    </row>
    <row r="63" spans="1:5" x14ac:dyDescent="0.75">
      <c r="A63" s="10" t="s">
        <v>2263</v>
      </c>
      <c r="B63" s="11"/>
      <c r="C63" s="11">
        <v>3</v>
      </c>
      <c r="D63" s="11">
        <v>3</v>
      </c>
      <c r="E63" s="11">
        <v>6</v>
      </c>
    </row>
    <row r="64" spans="1:5" x14ac:dyDescent="0.75">
      <c r="A64" s="10" t="s">
        <v>356</v>
      </c>
      <c r="B64" s="11">
        <v>5</v>
      </c>
      <c r="C64" s="11">
        <v>5</v>
      </c>
      <c r="D64" s="11">
        <v>4</v>
      </c>
      <c r="E64" s="11">
        <v>14</v>
      </c>
    </row>
    <row r="65" spans="1:5" x14ac:dyDescent="0.75">
      <c r="A65" s="10" t="s">
        <v>743</v>
      </c>
      <c r="B65" s="11">
        <v>4</v>
      </c>
      <c r="C65" s="11">
        <v>5</v>
      </c>
      <c r="D65" s="11"/>
      <c r="E65" s="11">
        <v>9</v>
      </c>
    </row>
    <row r="66" spans="1:5" x14ac:dyDescent="0.75">
      <c r="A66" s="10" t="s">
        <v>184</v>
      </c>
      <c r="B66" s="11">
        <v>4</v>
      </c>
      <c r="C66" s="11">
        <v>2</v>
      </c>
      <c r="D66" s="11">
        <v>3</v>
      </c>
      <c r="E66" s="11">
        <v>9</v>
      </c>
    </row>
    <row r="67" spans="1:5" x14ac:dyDescent="0.75">
      <c r="A67" s="10" t="s">
        <v>629</v>
      </c>
      <c r="B67" s="11">
        <v>3</v>
      </c>
      <c r="C67" s="11">
        <v>3</v>
      </c>
      <c r="D67" s="11">
        <v>3</v>
      </c>
      <c r="E67" s="11">
        <v>9</v>
      </c>
    </row>
    <row r="68" spans="1:5" x14ac:dyDescent="0.75">
      <c r="A68" s="10" t="s">
        <v>529</v>
      </c>
      <c r="B68" s="11">
        <v>3</v>
      </c>
      <c r="C68" s="11">
        <v>2</v>
      </c>
      <c r="D68" s="11">
        <v>4</v>
      </c>
      <c r="E68" s="11">
        <v>9</v>
      </c>
    </row>
    <row r="69" spans="1:5" x14ac:dyDescent="0.75">
      <c r="A69" s="10" t="s">
        <v>501</v>
      </c>
      <c r="B69" s="11">
        <v>4</v>
      </c>
      <c r="C69" s="11">
        <v>1</v>
      </c>
      <c r="D69" s="11">
        <v>2</v>
      </c>
      <c r="E69" s="11">
        <v>7</v>
      </c>
    </row>
    <row r="70" spans="1:5" x14ac:dyDescent="0.75">
      <c r="A70" s="10" t="s">
        <v>372</v>
      </c>
      <c r="B70" s="11">
        <v>5</v>
      </c>
      <c r="C70" s="11">
        <v>4</v>
      </c>
      <c r="D70" s="11">
        <v>3</v>
      </c>
      <c r="E70" s="11">
        <v>12</v>
      </c>
    </row>
    <row r="71" spans="1:5" x14ac:dyDescent="0.75">
      <c r="A71" s="10" t="s">
        <v>2187</v>
      </c>
      <c r="B71" s="11"/>
      <c r="C71" s="11">
        <v>4</v>
      </c>
      <c r="D71" s="11">
        <v>2</v>
      </c>
      <c r="E71" s="11">
        <v>6</v>
      </c>
    </row>
    <row r="72" spans="1:5" x14ac:dyDescent="0.75">
      <c r="A72" s="10" t="s">
        <v>96</v>
      </c>
      <c r="B72" s="11">
        <v>5</v>
      </c>
      <c r="C72" s="11">
        <v>6</v>
      </c>
      <c r="D72" s="11"/>
      <c r="E72" s="11">
        <v>11</v>
      </c>
    </row>
    <row r="73" spans="1:5" x14ac:dyDescent="0.75">
      <c r="A73" s="10" t="s">
        <v>224</v>
      </c>
      <c r="B73" s="11">
        <v>5</v>
      </c>
      <c r="C73" s="11">
        <v>5</v>
      </c>
      <c r="D73" s="11">
        <v>5</v>
      </c>
      <c r="E73" s="11">
        <v>15</v>
      </c>
    </row>
    <row r="74" spans="1:5" x14ac:dyDescent="0.75">
      <c r="A74" s="10" t="s">
        <v>1015</v>
      </c>
      <c r="B74" s="11">
        <v>3</v>
      </c>
      <c r="C74" s="11">
        <v>4</v>
      </c>
      <c r="D74" s="11">
        <v>5</v>
      </c>
      <c r="E74" s="11">
        <v>12</v>
      </c>
    </row>
    <row r="75" spans="1:5" x14ac:dyDescent="0.75">
      <c r="A75" s="10" t="s">
        <v>831</v>
      </c>
      <c r="B75" s="11">
        <v>3</v>
      </c>
      <c r="C75" s="11">
        <v>2</v>
      </c>
      <c r="D75" s="11">
        <v>2</v>
      </c>
      <c r="E75" s="11">
        <v>7</v>
      </c>
    </row>
    <row r="76" spans="1:5" x14ac:dyDescent="0.75">
      <c r="A76" s="10" t="s">
        <v>1997</v>
      </c>
      <c r="B76" s="11">
        <v>1</v>
      </c>
      <c r="C76" s="11">
        <v>5</v>
      </c>
      <c r="D76" s="11">
        <v>2</v>
      </c>
      <c r="E76" s="11">
        <v>8</v>
      </c>
    </row>
    <row r="77" spans="1:5" x14ac:dyDescent="0.75">
      <c r="A77" s="10" t="s">
        <v>783</v>
      </c>
      <c r="B77" s="11">
        <v>4</v>
      </c>
      <c r="C77" s="11">
        <v>2</v>
      </c>
      <c r="D77" s="11">
        <v>4</v>
      </c>
      <c r="E77" s="11">
        <v>10</v>
      </c>
    </row>
    <row r="78" spans="1:5" x14ac:dyDescent="0.75">
      <c r="A78" s="10" t="s">
        <v>220</v>
      </c>
      <c r="B78" s="11">
        <v>4</v>
      </c>
      <c r="C78" s="11">
        <v>4</v>
      </c>
      <c r="D78" s="11">
        <v>4</v>
      </c>
      <c r="E78" s="11">
        <v>12</v>
      </c>
    </row>
    <row r="79" spans="1:5" x14ac:dyDescent="0.75">
      <c r="A79" s="10" t="s">
        <v>623</v>
      </c>
      <c r="B79" s="11">
        <v>3</v>
      </c>
      <c r="C79" s="11">
        <v>1</v>
      </c>
      <c r="D79" s="11">
        <v>3</v>
      </c>
      <c r="E79" s="11">
        <v>7</v>
      </c>
    </row>
    <row r="80" spans="1:5" x14ac:dyDescent="0.75">
      <c r="A80" s="10" t="s">
        <v>51</v>
      </c>
      <c r="B80" s="11">
        <v>5</v>
      </c>
      <c r="C80" s="11">
        <v>4</v>
      </c>
      <c r="D80" s="11">
        <v>3</v>
      </c>
      <c r="E80" s="11">
        <v>12</v>
      </c>
    </row>
    <row r="81" spans="1:5" x14ac:dyDescent="0.75">
      <c r="A81" s="10" t="s">
        <v>931</v>
      </c>
      <c r="B81" s="11">
        <v>2</v>
      </c>
      <c r="C81" s="11">
        <v>5</v>
      </c>
      <c r="D81" s="11">
        <v>4</v>
      </c>
      <c r="E81" s="11">
        <v>11</v>
      </c>
    </row>
    <row r="82" spans="1:5" x14ac:dyDescent="0.75">
      <c r="A82" s="10" t="s">
        <v>214</v>
      </c>
      <c r="B82" s="11">
        <v>4</v>
      </c>
      <c r="C82" s="11"/>
      <c r="D82" s="11">
        <v>3</v>
      </c>
      <c r="E82" s="11">
        <v>7</v>
      </c>
    </row>
    <row r="83" spans="1:5" x14ac:dyDescent="0.75">
      <c r="A83" s="10" t="s">
        <v>1023</v>
      </c>
      <c r="B83" s="11">
        <v>3</v>
      </c>
      <c r="C83" s="11">
        <v>5</v>
      </c>
      <c r="D83" s="11">
        <v>1</v>
      </c>
      <c r="E83" s="11">
        <v>9</v>
      </c>
    </row>
    <row r="84" spans="1:5" x14ac:dyDescent="0.75">
      <c r="A84" s="10" t="s">
        <v>923</v>
      </c>
      <c r="B84" s="11">
        <v>5</v>
      </c>
      <c r="C84" s="11">
        <v>3</v>
      </c>
      <c r="D84" s="11"/>
      <c r="E84" s="11">
        <v>8</v>
      </c>
    </row>
    <row r="85" spans="1:5" x14ac:dyDescent="0.75">
      <c r="A85" s="10" t="s">
        <v>1293</v>
      </c>
      <c r="B85" s="11">
        <v>3</v>
      </c>
      <c r="C85" s="11">
        <v>3</v>
      </c>
      <c r="D85" s="11">
        <v>5</v>
      </c>
      <c r="E85" s="11">
        <v>11</v>
      </c>
    </row>
    <row r="86" spans="1:5" x14ac:dyDescent="0.75">
      <c r="A86" s="10" t="s">
        <v>1033</v>
      </c>
      <c r="B86" s="11">
        <v>3</v>
      </c>
      <c r="C86" s="11">
        <v>3</v>
      </c>
      <c r="D86" s="11">
        <v>4</v>
      </c>
      <c r="E86" s="11">
        <v>10</v>
      </c>
    </row>
    <row r="87" spans="1:5" x14ac:dyDescent="0.75">
      <c r="A87" s="10" t="s">
        <v>1517</v>
      </c>
      <c r="B87" s="11">
        <v>3</v>
      </c>
      <c r="C87" s="11">
        <v>3</v>
      </c>
      <c r="D87" s="11">
        <v>5</v>
      </c>
      <c r="E87" s="11">
        <v>11</v>
      </c>
    </row>
    <row r="88" spans="1:5" x14ac:dyDescent="0.75">
      <c r="A88" s="10" t="s">
        <v>240</v>
      </c>
      <c r="B88" s="11">
        <v>31</v>
      </c>
      <c r="C88" s="11">
        <v>4</v>
      </c>
      <c r="D88" s="11">
        <v>139</v>
      </c>
      <c r="E88" s="11">
        <v>174</v>
      </c>
    </row>
    <row r="89" spans="1:5" x14ac:dyDescent="0.75">
      <c r="A89" s="10" t="s">
        <v>260</v>
      </c>
      <c r="B89" s="11">
        <v>5</v>
      </c>
      <c r="C89" s="11">
        <v>5</v>
      </c>
      <c r="D89" s="11">
        <v>3</v>
      </c>
      <c r="E89" s="11">
        <v>13</v>
      </c>
    </row>
    <row r="90" spans="1:5" x14ac:dyDescent="0.75">
      <c r="A90" s="10" t="s">
        <v>1041</v>
      </c>
      <c r="B90" s="11">
        <v>1</v>
      </c>
      <c r="C90" s="11">
        <v>1</v>
      </c>
      <c r="D90" s="11">
        <v>3</v>
      </c>
      <c r="E90" s="11">
        <v>5</v>
      </c>
    </row>
    <row r="91" spans="1:5" x14ac:dyDescent="0.75">
      <c r="A91" s="10" t="s">
        <v>412</v>
      </c>
      <c r="B91" s="11">
        <v>2</v>
      </c>
      <c r="C91" s="11"/>
      <c r="D91" s="11">
        <v>3</v>
      </c>
      <c r="E91" s="11">
        <v>5</v>
      </c>
    </row>
    <row r="92" spans="1:5" x14ac:dyDescent="0.75">
      <c r="A92" s="10" t="s">
        <v>346</v>
      </c>
      <c r="B92" s="11">
        <v>2</v>
      </c>
      <c r="C92" s="11">
        <v>1</v>
      </c>
      <c r="D92" s="11">
        <v>1</v>
      </c>
      <c r="E92" s="11">
        <v>4</v>
      </c>
    </row>
    <row r="93" spans="1:5" x14ac:dyDescent="0.75">
      <c r="A93" s="10" t="s">
        <v>449</v>
      </c>
      <c r="B93" s="11">
        <v>3</v>
      </c>
      <c r="C93" s="11">
        <v>1</v>
      </c>
      <c r="D93" s="11"/>
      <c r="E93" s="11">
        <v>4</v>
      </c>
    </row>
    <row r="94" spans="1:5" x14ac:dyDescent="0.75">
      <c r="A94" s="10" t="s">
        <v>204</v>
      </c>
      <c r="B94" s="11">
        <v>2</v>
      </c>
      <c r="C94" s="11">
        <v>3</v>
      </c>
      <c r="D94" s="11">
        <v>1</v>
      </c>
      <c r="E94" s="11">
        <v>6</v>
      </c>
    </row>
    <row r="95" spans="1:5" x14ac:dyDescent="0.75">
      <c r="A95" s="10" t="s">
        <v>42</v>
      </c>
      <c r="B95" s="11">
        <v>3</v>
      </c>
      <c r="C95" s="11">
        <v>2</v>
      </c>
      <c r="D95" s="11">
        <v>1</v>
      </c>
      <c r="E95" s="11">
        <v>6</v>
      </c>
    </row>
    <row r="96" spans="1:5" x14ac:dyDescent="0.75">
      <c r="A96" s="10" t="s">
        <v>352</v>
      </c>
      <c r="B96" s="11">
        <v>3</v>
      </c>
      <c r="C96" s="11">
        <v>2</v>
      </c>
      <c r="D96" s="11">
        <v>2</v>
      </c>
      <c r="E96" s="11">
        <v>7</v>
      </c>
    </row>
    <row r="97" spans="1:5" x14ac:dyDescent="0.75">
      <c r="A97" s="10" t="s">
        <v>340</v>
      </c>
      <c r="B97" s="11">
        <v>2</v>
      </c>
      <c r="C97" s="11">
        <v>2</v>
      </c>
      <c r="D97" s="11">
        <v>2</v>
      </c>
      <c r="E97" s="11">
        <v>6</v>
      </c>
    </row>
    <row r="98" spans="1:5" x14ac:dyDescent="0.75">
      <c r="A98" s="10" t="s">
        <v>585</v>
      </c>
      <c r="B98" s="11">
        <v>1</v>
      </c>
      <c r="C98" s="11">
        <v>2</v>
      </c>
      <c r="D98" s="11">
        <v>2</v>
      </c>
      <c r="E98" s="11">
        <v>5</v>
      </c>
    </row>
    <row r="99" spans="1:5" x14ac:dyDescent="0.75">
      <c r="A99" s="10" t="s">
        <v>465</v>
      </c>
      <c r="B99" s="11">
        <v>2</v>
      </c>
      <c r="C99" s="11">
        <v>2</v>
      </c>
      <c r="D99" s="11">
        <v>3</v>
      </c>
      <c r="E99" s="11">
        <v>7</v>
      </c>
    </row>
    <row r="100" spans="1:5" x14ac:dyDescent="0.75">
      <c r="A100" s="10" t="s">
        <v>288</v>
      </c>
      <c r="B100" s="11">
        <v>2</v>
      </c>
      <c r="C100" s="11">
        <v>2</v>
      </c>
      <c r="D100" s="11">
        <v>3</v>
      </c>
      <c r="E100" s="11">
        <v>7</v>
      </c>
    </row>
    <row r="101" spans="1:5" x14ac:dyDescent="0.75">
      <c r="A101" s="10" t="s">
        <v>1125</v>
      </c>
      <c r="B101" s="11">
        <v>2</v>
      </c>
      <c r="C101" s="11">
        <v>2</v>
      </c>
      <c r="D101" s="11"/>
      <c r="E101" s="11">
        <v>4</v>
      </c>
    </row>
    <row r="102" spans="1:5" x14ac:dyDescent="0.75">
      <c r="A102" s="10" t="s">
        <v>1343</v>
      </c>
      <c r="B102" s="11">
        <v>3</v>
      </c>
      <c r="C102" s="11">
        <v>4</v>
      </c>
      <c r="D102" s="11">
        <v>4</v>
      </c>
      <c r="E102" s="11">
        <v>11</v>
      </c>
    </row>
    <row r="103" spans="1:5" x14ac:dyDescent="0.75">
      <c r="A103" s="10" t="s">
        <v>174</v>
      </c>
      <c r="B103" s="11">
        <v>3</v>
      </c>
      <c r="C103" s="11">
        <v>1</v>
      </c>
      <c r="D103" s="11">
        <v>3</v>
      </c>
      <c r="E103" s="11">
        <v>7</v>
      </c>
    </row>
    <row r="104" spans="1:5" x14ac:dyDescent="0.75">
      <c r="A104" s="10" t="s">
        <v>775</v>
      </c>
      <c r="B104" s="11">
        <v>3</v>
      </c>
      <c r="C104" s="11">
        <v>3</v>
      </c>
      <c r="D104" s="11">
        <v>3</v>
      </c>
      <c r="E104" s="11">
        <v>9</v>
      </c>
    </row>
    <row r="105" spans="1:5" x14ac:dyDescent="0.75">
      <c r="A105" s="10" t="s">
        <v>380</v>
      </c>
      <c r="B105" s="11">
        <v>5</v>
      </c>
      <c r="C105" s="11">
        <v>4</v>
      </c>
      <c r="D105" s="11">
        <v>1</v>
      </c>
      <c r="E105" s="11">
        <v>10</v>
      </c>
    </row>
    <row r="106" spans="1:5" x14ac:dyDescent="0.75">
      <c r="A106" s="10" t="s">
        <v>282</v>
      </c>
      <c r="B106" s="11">
        <v>5</v>
      </c>
      <c r="C106" s="11">
        <v>2</v>
      </c>
      <c r="D106" s="11"/>
      <c r="E106" s="11">
        <v>7</v>
      </c>
    </row>
    <row r="107" spans="1:5" x14ac:dyDescent="0.75">
      <c r="A107" s="10" t="s">
        <v>134</v>
      </c>
      <c r="B107" s="11">
        <v>4</v>
      </c>
      <c r="C107" s="11">
        <v>3</v>
      </c>
      <c r="D107" s="11">
        <v>4</v>
      </c>
      <c r="E107" s="11">
        <v>11</v>
      </c>
    </row>
    <row r="108" spans="1:5" x14ac:dyDescent="0.75">
      <c r="A108" s="10" t="s">
        <v>981</v>
      </c>
      <c r="B108" s="11">
        <v>3</v>
      </c>
      <c r="C108" s="11">
        <v>3</v>
      </c>
      <c r="D108" s="11">
        <v>4</v>
      </c>
      <c r="E108" s="11">
        <v>10</v>
      </c>
    </row>
    <row r="109" spans="1:5" x14ac:dyDescent="0.75">
      <c r="A109" s="10" t="s">
        <v>1369</v>
      </c>
      <c r="B109" s="11">
        <v>2</v>
      </c>
      <c r="C109" s="11">
        <v>2</v>
      </c>
      <c r="D109" s="11">
        <v>2</v>
      </c>
      <c r="E109" s="11">
        <v>6</v>
      </c>
    </row>
    <row r="110" spans="1:5" x14ac:dyDescent="0.75">
      <c r="A110" s="10" t="s">
        <v>130</v>
      </c>
      <c r="B110" s="11">
        <v>4</v>
      </c>
      <c r="C110" s="11">
        <v>4</v>
      </c>
      <c r="D110" s="11">
        <v>3</v>
      </c>
      <c r="E110" s="11">
        <v>11</v>
      </c>
    </row>
    <row r="111" spans="1:5" x14ac:dyDescent="0.75">
      <c r="A111" s="10" t="s">
        <v>999</v>
      </c>
      <c r="B111" s="11">
        <v>3</v>
      </c>
      <c r="C111" s="11">
        <v>2</v>
      </c>
      <c r="D111" s="11">
        <v>1</v>
      </c>
      <c r="E111" s="11">
        <v>6</v>
      </c>
    </row>
    <row r="112" spans="1:5" x14ac:dyDescent="0.75">
      <c r="A112" s="10" t="s">
        <v>1045</v>
      </c>
      <c r="B112" s="11">
        <v>3</v>
      </c>
      <c r="C112" s="11">
        <v>4</v>
      </c>
      <c r="D112" s="11">
        <v>3</v>
      </c>
      <c r="E112" s="11">
        <v>10</v>
      </c>
    </row>
    <row r="113" spans="1:5" x14ac:dyDescent="0.75">
      <c r="A113" s="10" t="s">
        <v>70</v>
      </c>
      <c r="B113" s="11">
        <v>4</v>
      </c>
      <c r="C113" s="11">
        <v>2</v>
      </c>
      <c r="D113" s="11"/>
      <c r="E113" s="11">
        <v>6</v>
      </c>
    </row>
    <row r="114" spans="1:5" x14ac:dyDescent="0.75">
      <c r="A114" s="10" t="s">
        <v>2339</v>
      </c>
      <c r="B114" s="11"/>
      <c r="C114" s="11"/>
      <c r="D114" s="11">
        <v>4</v>
      </c>
      <c r="E114" s="11">
        <v>4</v>
      </c>
    </row>
    <row r="115" spans="1:5" x14ac:dyDescent="0.75">
      <c r="A115" s="10" t="s">
        <v>1617</v>
      </c>
      <c r="B115" s="11">
        <v>2</v>
      </c>
      <c r="C115" s="11"/>
      <c r="D115" s="11">
        <v>3</v>
      </c>
      <c r="E115" s="11">
        <v>5</v>
      </c>
    </row>
    <row r="116" spans="1:5" x14ac:dyDescent="0.75">
      <c r="A116" s="10" t="s">
        <v>2125</v>
      </c>
      <c r="B116" s="11"/>
      <c r="C116" s="11">
        <v>4</v>
      </c>
      <c r="D116" s="11">
        <v>4</v>
      </c>
      <c r="E116" s="11">
        <v>8</v>
      </c>
    </row>
    <row r="117" spans="1:5" x14ac:dyDescent="0.75">
      <c r="A117" s="10" t="s">
        <v>641</v>
      </c>
      <c r="B117" s="11">
        <v>3</v>
      </c>
      <c r="C117" s="11">
        <v>1</v>
      </c>
      <c r="D117" s="11">
        <v>4</v>
      </c>
      <c r="E117" s="11">
        <v>8</v>
      </c>
    </row>
    <row r="118" spans="1:5" x14ac:dyDescent="0.75">
      <c r="A118" s="10" t="s">
        <v>164</v>
      </c>
      <c r="B118" s="11">
        <v>4</v>
      </c>
      <c r="C118" s="11">
        <v>4</v>
      </c>
      <c r="D118" s="11">
        <v>3</v>
      </c>
      <c r="E118" s="11">
        <v>11</v>
      </c>
    </row>
    <row r="119" spans="1:5" x14ac:dyDescent="0.75">
      <c r="A119" s="10" t="s">
        <v>1317</v>
      </c>
      <c r="B119" s="11">
        <v>2</v>
      </c>
      <c r="C119" s="11">
        <v>4</v>
      </c>
      <c r="D119" s="11">
        <v>3</v>
      </c>
      <c r="E119" s="11">
        <v>9</v>
      </c>
    </row>
    <row r="120" spans="1:5" x14ac:dyDescent="0.75">
      <c r="A120" s="10" t="s">
        <v>673</v>
      </c>
      <c r="B120" s="11">
        <v>3</v>
      </c>
      <c r="C120" s="11">
        <v>4</v>
      </c>
      <c r="D120" s="11">
        <v>3</v>
      </c>
      <c r="E120" s="11">
        <v>10</v>
      </c>
    </row>
    <row r="121" spans="1:5" x14ac:dyDescent="0.75">
      <c r="A121" s="10" t="s">
        <v>430</v>
      </c>
      <c r="B121" s="11">
        <v>3</v>
      </c>
      <c r="C121" s="11">
        <v>4</v>
      </c>
      <c r="D121" s="11">
        <v>1</v>
      </c>
      <c r="E121" s="11">
        <v>8</v>
      </c>
    </row>
    <row r="122" spans="1:5" x14ac:dyDescent="0.75">
      <c r="A122" s="10" t="s">
        <v>1469</v>
      </c>
      <c r="B122" s="11">
        <v>2</v>
      </c>
      <c r="C122" s="11">
        <v>4</v>
      </c>
      <c r="D122" s="11">
        <v>3</v>
      </c>
      <c r="E122" s="11">
        <v>9</v>
      </c>
    </row>
    <row r="123" spans="1:5" x14ac:dyDescent="0.75">
      <c r="A123" s="10" t="s">
        <v>406</v>
      </c>
      <c r="B123" s="11">
        <v>4</v>
      </c>
      <c r="C123" s="11">
        <v>5</v>
      </c>
      <c r="D123" s="11">
        <v>4</v>
      </c>
      <c r="E123" s="11">
        <v>13</v>
      </c>
    </row>
    <row r="124" spans="1:5" x14ac:dyDescent="0.75">
      <c r="A124" s="10" t="s">
        <v>1185</v>
      </c>
      <c r="B124" s="11">
        <v>1</v>
      </c>
      <c r="C124" s="11">
        <v>3</v>
      </c>
      <c r="D124" s="11">
        <v>3</v>
      </c>
      <c r="E124" s="11">
        <v>7</v>
      </c>
    </row>
    <row r="125" spans="1:5" x14ac:dyDescent="0.75">
      <c r="A125" s="10" t="s">
        <v>310</v>
      </c>
      <c r="B125" s="11">
        <v>4</v>
      </c>
      <c r="C125" s="11">
        <v>4</v>
      </c>
      <c r="D125" s="11">
        <v>4</v>
      </c>
      <c r="E125" s="11">
        <v>12</v>
      </c>
    </row>
    <row r="126" spans="1:5" x14ac:dyDescent="0.75">
      <c r="A126" s="10" t="s">
        <v>154</v>
      </c>
      <c r="B126" s="11">
        <v>4</v>
      </c>
      <c r="C126" s="11">
        <v>2</v>
      </c>
      <c r="D126" s="11">
        <v>2</v>
      </c>
      <c r="E126" s="11">
        <v>8</v>
      </c>
    </row>
    <row r="127" spans="1:5" x14ac:dyDescent="0.75">
      <c r="A127" s="10" t="s">
        <v>2231</v>
      </c>
      <c r="B127" s="11"/>
      <c r="C127" s="11">
        <v>2</v>
      </c>
      <c r="D127" s="11">
        <v>1</v>
      </c>
      <c r="E127" s="11">
        <v>3</v>
      </c>
    </row>
    <row r="128" spans="1:5" x14ac:dyDescent="0.75">
      <c r="A128" s="10" t="s">
        <v>402</v>
      </c>
      <c r="B128" s="11">
        <v>4</v>
      </c>
      <c r="C128" s="11">
        <v>4</v>
      </c>
      <c r="D128" s="11">
        <v>2</v>
      </c>
      <c r="E128" s="11">
        <v>10</v>
      </c>
    </row>
    <row r="129" spans="1:5" x14ac:dyDescent="0.75">
      <c r="A129" s="10" t="s">
        <v>1873</v>
      </c>
      <c r="B129" s="11">
        <v>1</v>
      </c>
      <c r="C129" s="11">
        <v>3</v>
      </c>
      <c r="D129" s="11">
        <v>3</v>
      </c>
      <c r="E129" s="11">
        <v>7</v>
      </c>
    </row>
    <row r="130" spans="1:5" x14ac:dyDescent="0.75">
      <c r="A130" s="10" t="s">
        <v>715</v>
      </c>
      <c r="B130" s="11">
        <v>4</v>
      </c>
      <c r="C130" s="11">
        <v>4</v>
      </c>
      <c r="D130" s="11">
        <v>3</v>
      </c>
      <c r="E130" s="11">
        <v>11</v>
      </c>
    </row>
    <row r="131" spans="1:5" x14ac:dyDescent="0.75">
      <c r="A131" s="10" t="s">
        <v>336</v>
      </c>
      <c r="B131" s="11">
        <v>3</v>
      </c>
      <c r="C131" s="11">
        <v>4</v>
      </c>
      <c r="D131" s="11">
        <v>4</v>
      </c>
      <c r="E131" s="11">
        <v>11</v>
      </c>
    </row>
    <row r="132" spans="1:5" x14ac:dyDescent="0.75">
      <c r="A132" s="10" t="s">
        <v>210</v>
      </c>
      <c r="B132" s="11">
        <v>4</v>
      </c>
      <c r="C132" s="11">
        <v>4</v>
      </c>
      <c r="D132" s="11">
        <v>4</v>
      </c>
      <c r="E132" s="11">
        <v>12</v>
      </c>
    </row>
    <row r="133" spans="1:5" x14ac:dyDescent="0.75">
      <c r="A133" s="10" t="s">
        <v>118</v>
      </c>
      <c r="B133" s="11">
        <v>1</v>
      </c>
      <c r="C133" s="11">
        <v>2</v>
      </c>
      <c r="D133" s="11">
        <v>3</v>
      </c>
      <c r="E133" s="11">
        <v>6</v>
      </c>
    </row>
    <row r="134" spans="1:5" x14ac:dyDescent="0.75">
      <c r="A134" s="10" t="s">
        <v>314</v>
      </c>
      <c r="B134" s="11">
        <v>3</v>
      </c>
      <c r="C134" s="11">
        <v>2</v>
      </c>
      <c r="D134" s="11">
        <v>3</v>
      </c>
      <c r="E134" s="11">
        <v>8</v>
      </c>
    </row>
    <row r="135" spans="1:5" x14ac:dyDescent="0.75">
      <c r="A135" s="10" t="s">
        <v>1221</v>
      </c>
      <c r="B135" s="11">
        <v>2</v>
      </c>
      <c r="C135" s="11"/>
      <c r="D135" s="11"/>
      <c r="E135" s="11">
        <v>2</v>
      </c>
    </row>
    <row r="136" spans="1:5" x14ac:dyDescent="0.75">
      <c r="A136" s="10" t="s">
        <v>813</v>
      </c>
      <c r="B136" s="11">
        <v>3</v>
      </c>
      <c r="C136" s="11">
        <v>1</v>
      </c>
      <c r="D136" s="11">
        <v>3</v>
      </c>
      <c r="E136" s="11">
        <v>7</v>
      </c>
    </row>
    <row r="137" spans="1:5" x14ac:dyDescent="0.75">
      <c r="A137" s="10" t="s">
        <v>1271</v>
      </c>
      <c r="B137" s="11">
        <v>3</v>
      </c>
      <c r="C137" s="11">
        <v>3</v>
      </c>
      <c r="D137" s="11">
        <v>3</v>
      </c>
      <c r="E137" s="11">
        <v>9</v>
      </c>
    </row>
    <row r="138" spans="1:5" x14ac:dyDescent="0.75">
      <c r="A138" s="10" t="s">
        <v>1157</v>
      </c>
      <c r="B138" s="11">
        <v>3</v>
      </c>
      <c r="C138" s="11"/>
      <c r="D138" s="11">
        <v>4</v>
      </c>
      <c r="E138" s="11">
        <v>7</v>
      </c>
    </row>
    <row r="139" spans="1:5" x14ac:dyDescent="0.75">
      <c r="A139" s="10" t="s">
        <v>1989</v>
      </c>
      <c r="B139" s="11">
        <v>1</v>
      </c>
      <c r="C139" s="11">
        <v>4</v>
      </c>
      <c r="D139" s="11">
        <v>3</v>
      </c>
      <c r="E139" s="11">
        <v>8</v>
      </c>
    </row>
    <row r="140" spans="1:5" x14ac:dyDescent="0.75">
      <c r="A140" s="10" t="s">
        <v>2171</v>
      </c>
      <c r="B140" s="11"/>
      <c r="C140" s="11">
        <v>5</v>
      </c>
      <c r="D140" s="11">
        <v>1</v>
      </c>
      <c r="E140" s="11">
        <v>6</v>
      </c>
    </row>
    <row r="141" spans="1:5" x14ac:dyDescent="0.75">
      <c r="A141" s="10" t="s">
        <v>1077</v>
      </c>
      <c r="B141" s="11">
        <v>3</v>
      </c>
      <c r="C141" s="11">
        <v>3</v>
      </c>
      <c r="D141" s="11">
        <v>3</v>
      </c>
      <c r="E141" s="11">
        <v>9</v>
      </c>
    </row>
    <row r="142" spans="1:5" x14ac:dyDescent="0.75">
      <c r="A142" s="10" t="s">
        <v>144</v>
      </c>
      <c r="B142" s="11">
        <v>4</v>
      </c>
      <c r="C142" s="11">
        <v>4</v>
      </c>
      <c r="D142" s="11">
        <v>1</v>
      </c>
      <c r="E142" s="11">
        <v>9</v>
      </c>
    </row>
    <row r="143" spans="1:5" x14ac:dyDescent="0.75">
      <c r="A143" s="10" t="s">
        <v>617</v>
      </c>
      <c r="B143" s="11">
        <v>4</v>
      </c>
      <c r="C143" s="11">
        <v>3</v>
      </c>
      <c r="D143" s="11">
        <v>1</v>
      </c>
      <c r="E143" s="11">
        <v>8</v>
      </c>
    </row>
    <row r="144" spans="1:5" x14ac:dyDescent="0.75">
      <c r="A144" s="10" t="s">
        <v>1089</v>
      </c>
      <c r="B144" s="11">
        <v>4</v>
      </c>
      <c r="C144" s="11">
        <v>3</v>
      </c>
      <c r="D144" s="11">
        <v>4</v>
      </c>
      <c r="E144" s="11">
        <v>11</v>
      </c>
    </row>
    <row r="145" spans="1:5" x14ac:dyDescent="0.75">
      <c r="A145" s="10" t="s">
        <v>1723</v>
      </c>
      <c r="B145" s="11">
        <v>2</v>
      </c>
      <c r="C145" s="11">
        <v>4</v>
      </c>
      <c r="D145" s="11">
        <v>3</v>
      </c>
      <c r="E145" s="11">
        <v>9</v>
      </c>
    </row>
    <row r="146" spans="1:5" x14ac:dyDescent="0.75">
      <c r="A146" s="10" t="s">
        <v>138</v>
      </c>
      <c r="B146" s="11">
        <v>4</v>
      </c>
      <c r="C146" s="11">
        <v>4</v>
      </c>
      <c r="D146" s="11">
        <v>4</v>
      </c>
      <c r="E146" s="11">
        <v>12</v>
      </c>
    </row>
    <row r="147" spans="1:5" x14ac:dyDescent="0.75">
      <c r="A147" s="10" t="s">
        <v>1571</v>
      </c>
      <c r="B147" s="11">
        <v>1</v>
      </c>
      <c r="C147" s="11">
        <v>3</v>
      </c>
      <c r="D147" s="11">
        <v>3</v>
      </c>
      <c r="E147" s="11">
        <v>7</v>
      </c>
    </row>
    <row r="148" spans="1:5" x14ac:dyDescent="0.75">
      <c r="A148" s="10" t="s">
        <v>1751</v>
      </c>
      <c r="B148" s="11">
        <v>1</v>
      </c>
      <c r="C148" s="11">
        <v>2</v>
      </c>
      <c r="D148" s="11"/>
      <c r="E148" s="11">
        <v>3</v>
      </c>
    </row>
    <row r="149" spans="1:5" x14ac:dyDescent="0.75">
      <c r="A149" s="10" t="s">
        <v>384</v>
      </c>
      <c r="B149" s="11">
        <v>4</v>
      </c>
      <c r="C149" s="11">
        <v>4</v>
      </c>
      <c r="D149" s="11">
        <v>4</v>
      </c>
      <c r="E149" s="11">
        <v>12</v>
      </c>
    </row>
    <row r="150" spans="1:5" x14ac:dyDescent="0.75">
      <c r="A150" s="10" t="s">
        <v>1069</v>
      </c>
      <c r="B150" s="11">
        <v>3</v>
      </c>
      <c r="C150" s="11">
        <v>3</v>
      </c>
      <c r="D150" s="11">
        <v>4</v>
      </c>
      <c r="E150" s="11">
        <v>10</v>
      </c>
    </row>
    <row r="151" spans="1:5" x14ac:dyDescent="0.75">
      <c r="A151" s="10" t="s">
        <v>1211</v>
      </c>
      <c r="B151" s="11">
        <v>2</v>
      </c>
      <c r="C151" s="11">
        <v>4</v>
      </c>
      <c r="D151" s="11">
        <v>2</v>
      </c>
      <c r="E151" s="11">
        <v>8</v>
      </c>
    </row>
    <row r="152" spans="1:5" x14ac:dyDescent="0.75">
      <c r="A152" s="10" t="s">
        <v>376</v>
      </c>
      <c r="B152" s="11">
        <v>3</v>
      </c>
      <c r="C152" s="11">
        <v>5</v>
      </c>
      <c r="D152" s="11">
        <v>2</v>
      </c>
      <c r="E152" s="11">
        <v>10</v>
      </c>
    </row>
    <row r="153" spans="1:5" x14ac:dyDescent="0.75">
      <c r="A153" s="10" t="s">
        <v>537</v>
      </c>
      <c r="B153" s="11">
        <v>3</v>
      </c>
      <c r="C153" s="11">
        <v>3</v>
      </c>
      <c r="D153" s="11">
        <v>3</v>
      </c>
      <c r="E153" s="11">
        <v>9</v>
      </c>
    </row>
    <row r="154" spans="1:5" x14ac:dyDescent="0.75">
      <c r="A154" s="10" t="s">
        <v>2402</v>
      </c>
      <c r="B154" s="11"/>
      <c r="C154" s="11"/>
      <c r="D154" s="11">
        <v>1</v>
      </c>
      <c r="E154" s="11">
        <v>1</v>
      </c>
    </row>
    <row r="155" spans="1:5" x14ac:dyDescent="0.75">
      <c r="A155" s="10" t="s">
        <v>102</v>
      </c>
      <c r="B155" s="11">
        <v>3</v>
      </c>
      <c r="C155" s="11">
        <v>4</v>
      </c>
      <c r="D155" s="11">
        <v>4</v>
      </c>
      <c r="E155" s="11">
        <v>11</v>
      </c>
    </row>
    <row r="156" spans="1:5" x14ac:dyDescent="0.75">
      <c r="A156" s="10" t="s">
        <v>2307</v>
      </c>
      <c r="B156" s="11"/>
      <c r="C156" s="11">
        <v>1</v>
      </c>
      <c r="D156" s="11">
        <v>3</v>
      </c>
      <c r="E156" s="11">
        <v>4</v>
      </c>
    </row>
    <row r="157" spans="1:5" x14ac:dyDescent="0.75">
      <c r="A157" s="10" t="s">
        <v>168</v>
      </c>
      <c r="B157" s="11">
        <v>1</v>
      </c>
      <c r="C157" s="11">
        <v>3</v>
      </c>
      <c r="D157" s="11">
        <v>3</v>
      </c>
      <c r="E157" s="11">
        <v>7</v>
      </c>
    </row>
    <row r="158" spans="1:5" x14ac:dyDescent="0.75">
      <c r="A158" s="10" t="s">
        <v>86</v>
      </c>
      <c r="B158" s="11">
        <v>5</v>
      </c>
      <c r="C158" s="11">
        <v>2</v>
      </c>
      <c r="D158" s="11">
        <v>2</v>
      </c>
      <c r="E158" s="11">
        <v>9</v>
      </c>
    </row>
    <row r="159" spans="1:5" x14ac:dyDescent="0.75">
      <c r="A159" s="10" t="s">
        <v>899</v>
      </c>
      <c r="B159" s="11">
        <v>2</v>
      </c>
      <c r="C159" s="11"/>
      <c r="D159" s="11"/>
      <c r="E159" s="11">
        <v>2</v>
      </c>
    </row>
    <row r="160" spans="1:5" x14ac:dyDescent="0.75">
      <c r="A160" s="10" t="s">
        <v>442</v>
      </c>
      <c r="B160" s="11">
        <v>3</v>
      </c>
      <c r="C160" s="11">
        <v>2</v>
      </c>
      <c r="D160" s="11">
        <v>3</v>
      </c>
      <c r="E160" s="11">
        <v>8</v>
      </c>
    </row>
    <row r="161" spans="1:5" x14ac:dyDescent="0.75">
      <c r="A161" s="10" t="s">
        <v>985</v>
      </c>
      <c r="B161" s="11">
        <v>3</v>
      </c>
      <c r="C161" s="11">
        <v>2</v>
      </c>
      <c r="D161" s="11">
        <v>3</v>
      </c>
      <c r="E161" s="11">
        <v>8</v>
      </c>
    </row>
    <row r="162" spans="1:5" x14ac:dyDescent="0.75">
      <c r="A162" s="10" t="s">
        <v>493</v>
      </c>
      <c r="B162" s="11">
        <v>3</v>
      </c>
      <c r="C162" s="11">
        <v>2</v>
      </c>
      <c r="D162" s="11">
        <v>3</v>
      </c>
      <c r="E162" s="11">
        <v>8</v>
      </c>
    </row>
    <row r="163" spans="1:5" x14ac:dyDescent="0.75">
      <c r="A163" s="10" t="s">
        <v>1881</v>
      </c>
      <c r="B163" s="11">
        <v>1</v>
      </c>
      <c r="C163" s="11">
        <v>3</v>
      </c>
      <c r="D163" s="11">
        <v>1</v>
      </c>
      <c r="E163" s="11">
        <v>5</v>
      </c>
    </row>
    <row r="164" spans="1:5" x14ac:dyDescent="0.75">
      <c r="A164" s="10" t="s">
        <v>256</v>
      </c>
      <c r="B164" s="11">
        <v>4</v>
      </c>
      <c r="C164" s="11">
        <v>3</v>
      </c>
      <c r="D164" s="11">
        <v>2</v>
      </c>
      <c r="E164" s="11">
        <v>9</v>
      </c>
    </row>
    <row r="165" spans="1:5" x14ac:dyDescent="0.75">
      <c r="A165" s="10" t="s">
        <v>252</v>
      </c>
      <c r="B165" s="11">
        <v>5</v>
      </c>
      <c r="C165" s="11">
        <v>2</v>
      </c>
      <c r="D165" s="11">
        <v>4</v>
      </c>
      <c r="E165" s="11">
        <v>11</v>
      </c>
    </row>
    <row r="166" spans="1:5" x14ac:dyDescent="0.75">
      <c r="A166" s="10" t="s">
        <v>961</v>
      </c>
      <c r="B166" s="11">
        <v>3</v>
      </c>
      <c r="C166" s="11">
        <v>3</v>
      </c>
      <c r="D166" s="11">
        <v>4</v>
      </c>
      <c r="E166" s="11">
        <v>10</v>
      </c>
    </row>
    <row r="167" spans="1:5" x14ac:dyDescent="0.75">
      <c r="A167" s="10" t="s">
        <v>2215</v>
      </c>
      <c r="B167" s="11"/>
      <c r="C167" s="11">
        <v>3</v>
      </c>
      <c r="D167" s="11">
        <v>4</v>
      </c>
      <c r="E167" s="11">
        <v>7</v>
      </c>
    </row>
    <row r="168" spans="1:5" x14ac:dyDescent="0.75">
      <c r="A168" s="10" t="s">
        <v>969</v>
      </c>
      <c r="B168" s="11">
        <v>4</v>
      </c>
      <c r="C168" s="11">
        <v>4</v>
      </c>
      <c r="D168" s="11">
        <v>4</v>
      </c>
      <c r="E168" s="11">
        <v>12</v>
      </c>
    </row>
    <row r="169" spans="1:5" x14ac:dyDescent="0.75">
      <c r="A169" s="10" t="s">
        <v>60</v>
      </c>
      <c r="B169" s="11">
        <v>6</v>
      </c>
      <c r="C169" s="11">
        <v>4</v>
      </c>
      <c r="D169" s="11">
        <v>4</v>
      </c>
      <c r="E169" s="11">
        <v>14</v>
      </c>
    </row>
    <row r="170" spans="1:5" x14ac:dyDescent="0.75">
      <c r="A170" s="10" t="s">
        <v>935</v>
      </c>
      <c r="B170" s="11">
        <v>3</v>
      </c>
      <c r="C170" s="11">
        <v>4</v>
      </c>
      <c r="D170" s="11">
        <v>3</v>
      </c>
      <c r="E170" s="11">
        <v>10</v>
      </c>
    </row>
    <row r="171" spans="1:5" x14ac:dyDescent="0.75">
      <c r="A171" s="10" t="s">
        <v>859</v>
      </c>
      <c r="B171" s="11">
        <v>4</v>
      </c>
      <c r="C171" s="11">
        <v>2</v>
      </c>
      <c r="D171" s="11">
        <v>3</v>
      </c>
      <c r="E171" s="11">
        <v>9</v>
      </c>
    </row>
    <row r="172" spans="1:5" x14ac:dyDescent="0.75">
      <c r="A172" s="10" t="s">
        <v>108</v>
      </c>
      <c r="B172" s="11">
        <v>4</v>
      </c>
      <c r="C172" s="11"/>
      <c r="D172" s="11">
        <v>4</v>
      </c>
      <c r="E172" s="11">
        <v>8</v>
      </c>
    </row>
    <row r="173" spans="1:5" x14ac:dyDescent="0.75">
      <c r="A173" s="10" t="s">
        <v>1191</v>
      </c>
      <c r="B173" s="11">
        <v>2</v>
      </c>
      <c r="C173" s="11">
        <v>4</v>
      </c>
      <c r="D173" s="11">
        <v>3</v>
      </c>
      <c r="E173" s="11">
        <v>9</v>
      </c>
    </row>
    <row r="174" spans="1:5" x14ac:dyDescent="0.75">
      <c r="A174" s="10" t="s">
        <v>873</v>
      </c>
      <c r="B174" s="11">
        <v>3</v>
      </c>
      <c r="C174" s="11">
        <v>3</v>
      </c>
      <c r="D174" s="11">
        <v>4</v>
      </c>
      <c r="E174" s="11">
        <v>10</v>
      </c>
    </row>
    <row r="175" spans="1:5" x14ac:dyDescent="0.75">
      <c r="A175" s="10" t="s">
        <v>489</v>
      </c>
      <c r="B175" s="11">
        <v>4</v>
      </c>
      <c r="C175" s="11">
        <v>3</v>
      </c>
      <c r="D175" s="11">
        <v>5</v>
      </c>
      <c r="E175" s="11">
        <v>12</v>
      </c>
    </row>
    <row r="176" spans="1:5" x14ac:dyDescent="0.75">
      <c r="A176" s="10" t="s">
        <v>35</v>
      </c>
      <c r="B176" s="11">
        <v>3</v>
      </c>
      <c r="C176" s="11">
        <v>4</v>
      </c>
      <c r="D176" s="11">
        <v>3</v>
      </c>
      <c r="E176" s="11">
        <v>10</v>
      </c>
    </row>
    <row r="177" spans="1:5" x14ac:dyDescent="0.75">
      <c r="A177" s="10" t="s">
        <v>1105</v>
      </c>
      <c r="B177" s="11">
        <v>3</v>
      </c>
      <c r="C177" s="11">
        <v>2</v>
      </c>
      <c r="D177" s="11"/>
      <c r="E177" s="11">
        <v>5</v>
      </c>
    </row>
    <row r="178" spans="1:5" x14ac:dyDescent="0.75">
      <c r="A178" s="10" t="s">
        <v>438</v>
      </c>
      <c r="B178" s="11">
        <v>3</v>
      </c>
      <c r="C178" s="11">
        <v>4</v>
      </c>
      <c r="D178" s="11">
        <v>3</v>
      </c>
      <c r="E178" s="11">
        <v>10</v>
      </c>
    </row>
    <row r="179" spans="1:5" x14ac:dyDescent="0.75">
      <c r="A179" s="10" t="s">
        <v>1715</v>
      </c>
      <c r="B179" s="11">
        <v>1</v>
      </c>
      <c r="C179" s="11">
        <v>6</v>
      </c>
      <c r="D179" s="11">
        <v>3</v>
      </c>
      <c r="E179" s="11">
        <v>10</v>
      </c>
    </row>
    <row r="180" spans="1:5" x14ac:dyDescent="0.75">
      <c r="A180" s="10" t="s">
        <v>911</v>
      </c>
      <c r="B180" s="11">
        <v>3</v>
      </c>
      <c r="C180" s="11">
        <v>5</v>
      </c>
      <c r="D180" s="11">
        <v>1</v>
      </c>
      <c r="E180" s="11">
        <v>9</v>
      </c>
    </row>
    <row r="181" spans="1:5" x14ac:dyDescent="0.75">
      <c r="A181" s="10" t="s">
        <v>1359</v>
      </c>
      <c r="B181" s="11">
        <v>2</v>
      </c>
      <c r="C181" s="11">
        <v>2</v>
      </c>
      <c r="D181" s="11">
        <v>1</v>
      </c>
      <c r="E181" s="11">
        <v>5</v>
      </c>
    </row>
    <row r="182" spans="1:5" x14ac:dyDescent="0.75">
      <c r="A182" s="10" t="s">
        <v>198</v>
      </c>
      <c r="B182" s="11">
        <v>4</v>
      </c>
      <c r="C182" s="11">
        <v>3</v>
      </c>
      <c r="D182" s="11">
        <v>3</v>
      </c>
      <c r="E182" s="11">
        <v>10</v>
      </c>
    </row>
    <row r="183" spans="1:5" x14ac:dyDescent="0.75">
      <c r="A183" s="10" t="s">
        <v>867</v>
      </c>
      <c r="B183" s="11">
        <v>3</v>
      </c>
      <c r="C183" s="11">
        <v>1</v>
      </c>
      <c r="D183" s="11">
        <v>2</v>
      </c>
      <c r="E183" s="11">
        <v>6</v>
      </c>
    </row>
    <row r="184" spans="1:5" x14ac:dyDescent="0.75">
      <c r="A184" s="10" t="s">
        <v>150</v>
      </c>
      <c r="B184" s="11">
        <v>4</v>
      </c>
      <c r="C184" s="11">
        <v>5</v>
      </c>
      <c r="D184" s="11">
        <v>1</v>
      </c>
      <c r="E184" s="11">
        <v>10</v>
      </c>
    </row>
    <row r="185" spans="1:5" x14ac:dyDescent="0.75">
      <c r="A185" s="10" t="s">
        <v>272</v>
      </c>
      <c r="B185" s="11">
        <v>3</v>
      </c>
      <c r="C185" s="11">
        <v>4</v>
      </c>
      <c r="D185" s="11">
        <v>3</v>
      </c>
      <c r="E185" s="11">
        <v>10</v>
      </c>
    </row>
    <row r="186" spans="1:5" x14ac:dyDescent="0.75">
      <c r="A186" s="10" t="s">
        <v>322</v>
      </c>
      <c r="B186" s="11">
        <v>3</v>
      </c>
      <c r="C186" s="11">
        <v>2</v>
      </c>
      <c r="D186" s="11"/>
      <c r="E186" s="11">
        <v>5</v>
      </c>
    </row>
    <row r="187" spans="1:5" x14ac:dyDescent="0.75">
      <c r="A187" s="10" t="s">
        <v>789</v>
      </c>
      <c r="B187" s="11">
        <v>3</v>
      </c>
      <c r="C187" s="11">
        <v>4</v>
      </c>
      <c r="D187" s="11">
        <v>2</v>
      </c>
      <c r="E187" s="11">
        <v>9</v>
      </c>
    </row>
    <row r="188" spans="1:5" x14ac:dyDescent="0.75">
      <c r="A188" s="10" t="s">
        <v>1389</v>
      </c>
      <c r="B188" s="11">
        <v>2</v>
      </c>
      <c r="C188" s="11">
        <v>3</v>
      </c>
      <c r="D188" s="11">
        <v>2</v>
      </c>
      <c r="E188" s="11">
        <v>7</v>
      </c>
    </row>
    <row r="189" spans="1:5" x14ac:dyDescent="0.75">
      <c r="A189" s="10" t="s">
        <v>665</v>
      </c>
      <c r="B189" s="11">
        <v>4</v>
      </c>
      <c r="C189" s="11">
        <v>2</v>
      </c>
      <c r="D189" s="11">
        <v>3</v>
      </c>
      <c r="E189" s="11">
        <v>9</v>
      </c>
    </row>
    <row r="190" spans="1:5" x14ac:dyDescent="0.75">
      <c r="A190" s="10" t="s">
        <v>515</v>
      </c>
      <c r="B190" s="11">
        <v>2</v>
      </c>
      <c r="C190" s="11">
        <v>2</v>
      </c>
      <c r="D190" s="11">
        <v>1</v>
      </c>
      <c r="E190" s="11">
        <v>5</v>
      </c>
    </row>
    <row r="191" spans="1:5" x14ac:dyDescent="0.75">
      <c r="A191" s="10" t="s">
        <v>434</v>
      </c>
      <c r="B191" s="11">
        <v>4</v>
      </c>
      <c r="C191" s="11">
        <v>4</v>
      </c>
      <c r="D191" s="11">
        <v>4</v>
      </c>
      <c r="E191" s="11">
        <v>12</v>
      </c>
    </row>
    <row r="192" spans="1:5" x14ac:dyDescent="0.75">
      <c r="A192" s="10" t="s">
        <v>1651</v>
      </c>
      <c r="B192" s="11">
        <v>1</v>
      </c>
      <c r="C192" s="11">
        <v>4</v>
      </c>
      <c r="D192" s="11">
        <v>4</v>
      </c>
      <c r="E192" s="11">
        <v>9</v>
      </c>
    </row>
    <row r="193" spans="1:5" x14ac:dyDescent="0.75">
      <c r="A193" s="10" t="s">
        <v>1009</v>
      </c>
      <c r="B193" s="11">
        <v>3</v>
      </c>
      <c r="C193" s="11"/>
      <c r="D193" s="11">
        <v>4</v>
      </c>
      <c r="E193" s="11">
        <v>7</v>
      </c>
    </row>
    <row r="194" spans="1:5" x14ac:dyDescent="0.75">
      <c r="A194" s="10" t="s">
        <v>951</v>
      </c>
      <c r="B194" s="11">
        <v>3</v>
      </c>
      <c r="C194" s="11">
        <v>3</v>
      </c>
      <c r="D194" s="11">
        <v>5</v>
      </c>
      <c r="E194" s="11">
        <v>11</v>
      </c>
    </row>
    <row r="195" spans="1:5" x14ac:dyDescent="0.75">
      <c r="A195" s="10" t="s">
        <v>112</v>
      </c>
      <c r="B195" s="11">
        <v>3</v>
      </c>
      <c r="C195" s="11">
        <v>3</v>
      </c>
      <c r="D195" s="11">
        <v>4</v>
      </c>
      <c r="E195" s="11">
        <v>10</v>
      </c>
    </row>
    <row r="196" spans="1:5" x14ac:dyDescent="0.75">
      <c r="A196" s="10" t="s">
        <v>2273</v>
      </c>
      <c r="B196" s="11"/>
      <c r="C196" s="11">
        <v>2</v>
      </c>
      <c r="D196" s="11">
        <v>3</v>
      </c>
      <c r="E196" s="11">
        <v>5</v>
      </c>
    </row>
    <row r="197" spans="1:5" x14ac:dyDescent="0.75">
      <c r="A197" s="10" t="s">
        <v>887</v>
      </c>
      <c r="B197" s="11">
        <v>2</v>
      </c>
      <c r="C197" s="11">
        <v>2</v>
      </c>
      <c r="D197" s="11">
        <v>6</v>
      </c>
      <c r="E197" s="11">
        <v>10</v>
      </c>
    </row>
    <row r="198" spans="1:5" x14ac:dyDescent="0.75">
      <c r="A198" s="10" t="s">
        <v>2289</v>
      </c>
      <c r="B198" s="11"/>
      <c r="C198" s="11">
        <v>1</v>
      </c>
      <c r="D198" s="11">
        <v>3</v>
      </c>
      <c r="E198" s="11">
        <v>4</v>
      </c>
    </row>
    <row r="199" spans="1:5" x14ac:dyDescent="0.75">
      <c r="A199" s="10" t="s">
        <v>246</v>
      </c>
      <c r="B199" s="11">
        <v>5</v>
      </c>
      <c r="C199" s="11">
        <v>4</v>
      </c>
      <c r="D199" s="11">
        <v>2</v>
      </c>
      <c r="E199" s="11">
        <v>11</v>
      </c>
    </row>
    <row r="200" spans="1:5" x14ac:dyDescent="0.75">
      <c r="A200" s="10" t="s">
        <v>1505</v>
      </c>
      <c r="B200" s="11">
        <v>1</v>
      </c>
      <c r="C200" s="11">
        <v>3</v>
      </c>
      <c r="D200" s="11">
        <v>3</v>
      </c>
      <c r="E200" s="11">
        <v>7</v>
      </c>
    </row>
    <row r="201" spans="1:5" x14ac:dyDescent="0.75">
      <c r="A201" s="10" t="s">
        <v>993</v>
      </c>
      <c r="B201" s="11">
        <v>3</v>
      </c>
      <c r="C201" s="11">
        <v>4</v>
      </c>
      <c r="D201" s="11">
        <v>5</v>
      </c>
      <c r="E201" s="11">
        <v>12</v>
      </c>
    </row>
    <row r="202" spans="1:5" x14ac:dyDescent="0.75">
      <c r="A202" s="10" t="s">
        <v>907</v>
      </c>
      <c r="B202" s="11">
        <v>3</v>
      </c>
      <c r="C202" s="11">
        <v>3</v>
      </c>
      <c r="D202" s="11">
        <v>4</v>
      </c>
      <c r="E202" s="11">
        <v>10</v>
      </c>
    </row>
    <row r="203" spans="1:5" x14ac:dyDescent="0.75">
      <c r="A203" s="10" t="s">
        <v>819</v>
      </c>
      <c r="B203" s="11">
        <v>4</v>
      </c>
      <c r="C203" s="11">
        <v>1</v>
      </c>
      <c r="D203" s="11">
        <v>1</v>
      </c>
      <c r="E203" s="11">
        <v>6</v>
      </c>
    </row>
    <row r="204" spans="1:5" x14ac:dyDescent="0.75">
      <c r="A204" s="10" t="s">
        <v>1363</v>
      </c>
      <c r="B204" s="11">
        <v>2</v>
      </c>
      <c r="C204" s="11">
        <v>2</v>
      </c>
      <c r="D204" s="11">
        <v>4</v>
      </c>
      <c r="E204" s="11">
        <v>8</v>
      </c>
    </row>
    <row r="205" spans="1:5" x14ac:dyDescent="0.75">
      <c r="A205" s="10" t="s">
        <v>1307</v>
      </c>
      <c r="B205" s="11">
        <v>3</v>
      </c>
      <c r="C205" s="11">
        <v>4</v>
      </c>
      <c r="D205" s="11">
        <v>4</v>
      </c>
      <c r="E205" s="11">
        <v>11</v>
      </c>
    </row>
    <row r="206" spans="1:5" x14ac:dyDescent="0.75">
      <c r="A206" s="10" t="s">
        <v>703</v>
      </c>
      <c r="B206" s="11">
        <v>1</v>
      </c>
      <c r="C206" s="11">
        <v>2</v>
      </c>
      <c r="D206" s="11">
        <v>1</v>
      </c>
      <c r="E206" s="11">
        <v>4</v>
      </c>
    </row>
    <row r="207" spans="1:5" x14ac:dyDescent="0.75">
      <c r="A207" s="10" t="s">
        <v>645</v>
      </c>
      <c r="B207" s="11">
        <v>4</v>
      </c>
      <c r="C207" s="11">
        <v>3</v>
      </c>
      <c r="D207" s="11">
        <v>2</v>
      </c>
      <c r="E207" s="11">
        <v>9</v>
      </c>
    </row>
    <row r="208" spans="1:5" x14ac:dyDescent="0.75">
      <c r="A208" s="10" t="s">
        <v>192</v>
      </c>
      <c r="B208" s="11">
        <v>3</v>
      </c>
      <c r="C208" s="11">
        <v>2</v>
      </c>
      <c r="D208" s="11">
        <v>4</v>
      </c>
      <c r="E208" s="11">
        <v>9</v>
      </c>
    </row>
    <row r="209" spans="1:5" x14ac:dyDescent="0.75">
      <c r="A209" s="10" t="s">
        <v>485</v>
      </c>
      <c r="B209" s="11">
        <v>4</v>
      </c>
      <c r="C209" s="11">
        <v>1</v>
      </c>
      <c r="D209" s="11">
        <v>2</v>
      </c>
      <c r="E209" s="11">
        <v>7</v>
      </c>
    </row>
    <row r="210" spans="1:5" x14ac:dyDescent="0.75">
      <c r="A210" s="10" t="s">
        <v>292</v>
      </c>
      <c r="B210" s="11">
        <v>4</v>
      </c>
      <c r="C210" s="11">
        <v>5</v>
      </c>
      <c r="D210" s="11">
        <v>1</v>
      </c>
      <c r="E210" s="11">
        <v>10</v>
      </c>
    </row>
    <row r="211" spans="1:5" x14ac:dyDescent="0.75">
      <c r="A211" s="10" t="s">
        <v>418</v>
      </c>
      <c r="B211" s="11">
        <v>3</v>
      </c>
      <c r="C211" s="11">
        <v>4</v>
      </c>
      <c r="D211" s="11">
        <v>2</v>
      </c>
      <c r="E211" s="11">
        <v>9</v>
      </c>
    </row>
    <row r="212" spans="1:5" x14ac:dyDescent="0.75">
      <c r="A212" s="10" t="s">
        <v>1233</v>
      </c>
      <c r="B212" s="11">
        <v>2</v>
      </c>
      <c r="C212" s="11">
        <v>1</v>
      </c>
      <c r="D212" s="11">
        <v>1</v>
      </c>
      <c r="E212" s="11">
        <v>4</v>
      </c>
    </row>
    <row r="213" spans="1:5" x14ac:dyDescent="0.75">
      <c r="A213" s="10" t="s">
        <v>1247</v>
      </c>
      <c r="B213" s="11">
        <v>2</v>
      </c>
      <c r="C213" s="11">
        <v>3</v>
      </c>
      <c r="D213" s="11">
        <v>1</v>
      </c>
      <c r="E213" s="11">
        <v>6</v>
      </c>
    </row>
    <row r="214" spans="1:5" x14ac:dyDescent="0.75">
      <c r="A214" s="10" t="s">
        <v>877</v>
      </c>
      <c r="B214" s="11">
        <v>2</v>
      </c>
      <c r="C214" s="11"/>
      <c r="D214" s="11">
        <v>3</v>
      </c>
      <c r="E214" s="11">
        <v>5</v>
      </c>
    </row>
    <row r="215" spans="1:5" x14ac:dyDescent="0.75">
      <c r="A215" s="10" t="s">
        <v>1281</v>
      </c>
      <c r="B215" s="11">
        <v>2</v>
      </c>
      <c r="C215" s="11">
        <v>2</v>
      </c>
      <c r="D215" s="11"/>
      <c r="E215" s="11">
        <v>4</v>
      </c>
    </row>
    <row r="216" spans="1:5" x14ac:dyDescent="0.75">
      <c r="A216" s="10" t="s">
        <v>841</v>
      </c>
      <c r="B216" s="11">
        <v>2</v>
      </c>
      <c r="C216" s="11">
        <v>3</v>
      </c>
      <c r="D216" s="11">
        <v>3</v>
      </c>
      <c r="E216" s="11">
        <v>8</v>
      </c>
    </row>
    <row r="217" spans="1:5" x14ac:dyDescent="0.75">
      <c r="A217" s="10" t="s">
        <v>1147</v>
      </c>
      <c r="B217" s="11">
        <v>2</v>
      </c>
      <c r="C217" s="11">
        <v>3</v>
      </c>
      <c r="D217" s="11">
        <v>3</v>
      </c>
      <c r="E217" s="11">
        <v>8</v>
      </c>
    </row>
    <row r="218" spans="1:5" x14ac:dyDescent="0.75">
      <c r="A218" s="10" t="s">
        <v>657</v>
      </c>
      <c r="B218" s="11">
        <v>2</v>
      </c>
      <c r="C218" s="11">
        <v>3</v>
      </c>
      <c r="D218" s="11">
        <v>2</v>
      </c>
      <c r="E218" s="11">
        <v>7</v>
      </c>
    </row>
    <row r="219" spans="1:5" x14ac:dyDescent="0.75">
      <c r="A219" s="10" t="s">
        <v>276</v>
      </c>
      <c r="B219" s="11">
        <v>3</v>
      </c>
      <c r="C219" s="11">
        <v>3</v>
      </c>
      <c r="D219" s="11">
        <v>2</v>
      </c>
      <c r="E219" s="11">
        <v>8</v>
      </c>
    </row>
    <row r="220" spans="1:5" x14ac:dyDescent="0.75">
      <c r="A220" s="10" t="s">
        <v>519</v>
      </c>
      <c r="B220" s="11">
        <v>3</v>
      </c>
      <c r="C220" s="11">
        <v>3</v>
      </c>
      <c r="D220" s="11">
        <v>3</v>
      </c>
      <c r="E220" s="11">
        <v>9</v>
      </c>
    </row>
    <row r="221" spans="1:5" x14ac:dyDescent="0.75">
      <c r="A221" s="10" t="s">
        <v>426</v>
      </c>
      <c r="B221" s="11">
        <v>3</v>
      </c>
      <c r="C221" s="11">
        <v>3</v>
      </c>
      <c r="D221" s="11">
        <v>2</v>
      </c>
      <c r="E221" s="11">
        <v>8</v>
      </c>
    </row>
    <row r="222" spans="1:5" x14ac:dyDescent="0.75">
      <c r="A222" s="10" t="s">
        <v>1689</v>
      </c>
      <c r="B222" s="11">
        <v>1</v>
      </c>
      <c r="C222" s="11">
        <v>3</v>
      </c>
      <c r="D222" s="11">
        <v>2</v>
      </c>
      <c r="E222" s="11">
        <v>6</v>
      </c>
    </row>
    <row r="223" spans="1:5" x14ac:dyDescent="0.75">
      <c r="A223" s="10" t="s">
        <v>661</v>
      </c>
      <c r="B223" s="11">
        <v>2</v>
      </c>
      <c r="C223" s="11">
        <v>3</v>
      </c>
      <c r="D223" s="11">
        <v>2</v>
      </c>
      <c r="E223" s="11">
        <v>7</v>
      </c>
    </row>
    <row r="224" spans="1:5" x14ac:dyDescent="0.75">
      <c r="A224" s="10" t="s">
        <v>481</v>
      </c>
      <c r="B224" s="11">
        <v>3</v>
      </c>
      <c r="C224" s="11">
        <v>3</v>
      </c>
      <c r="D224" s="11">
        <v>2</v>
      </c>
      <c r="E224" s="11">
        <v>8</v>
      </c>
    </row>
    <row r="225" spans="1:5" x14ac:dyDescent="0.75">
      <c r="A225" s="10" t="s">
        <v>653</v>
      </c>
      <c r="B225" s="11">
        <v>2</v>
      </c>
      <c r="C225" s="11">
        <v>4</v>
      </c>
      <c r="D225" s="11">
        <v>2</v>
      </c>
      <c r="E225" s="11">
        <v>8</v>
      </c>
    </row>
    <row r="226" spans="1:5" x14ac:dyDescent="0.75">
      <c r="A226" s="10" t="s">
        <v>1761</v>
      </c>
      <c r="B226" s="11">
        <v>1</v>
      </c>
      <c r="C226" s="11">
        <v>2</v>
      </c>
      <c r="D226" s="11">
        <v>1</v>
      </c>
      <c r="E226" s="11">
        <v>4</v>
      </c>
    </row>
    <row r="227" spans="1:5" x14ac:dyDescent="0.75">
      <c r="A227" s="10" t="s">
        <v>721</v>
      </c>
      <c r="B227" s="11">
        <v>3</v>
      </c>
      <c r="C227" s="11">
        <v>4</v>
      </c>
      <c r="D227" s="11">
        <v>3</v>
      </c>
      <c r="E227" s="11">
        <v>10</v>
      </c>
    </row>
    <row r="228" spans="1:5" x14ac:dyDescent="0.75">
      <c r="A228" s="10" t="s">
        <v>637</v>
      </c>
      <c r="B228" s="11">
        <v>2</v>
      </c>
      <c r="C228" s="11">
        <v>2</v>
      </c>
      <c r="D228" s="11">
        <v>2</v>
      </c>
      <c r="E228" s="11">
        <v>6</v>
      </c>
    </row>
    <row r="229" spans="1:5" x14ac:dyDescent="0.75">
      <c r="A229" s="10" t="s">
        <v>607</v>
      </c>
      <c r="B229" s="11">
        <v>3</v>
      </c>
      <c r="C229" s="11">
        <v>1</v>
      </c>
      <c r="D229" s="11">
        <v>2</v>
      </c>
      <c r="E229" s="11">
        <v>6</v>
      </c>
    </row>
    <row r="230" spans="1:5" x14ac:dyDescent="0.75">
      <c r="A230" s="10" t="s">
        <v>1109</v>
      </c>
      <c r="B230" s="11">
        <v>2</v>
      </c>
      <c r="C230" s="11"/>
      <c r="D230" s="11">
        <v>2</v>
      </c>
      <c r="E230" s="11">
        <v>4</v>
      </c>
    </row>
    <row r="231" spans="1:5" x14ac:dyDescent="0.75">
      <c r="A231" s="10" t="s">
        <v>2209</v>
      </c>
      <c r="B231" s="11"/>
      <c r="C231" s="11">
        <v>3</v>
      </c>
      <c r="D231" s="11">
        <v>3</v>
      </c>
      <c r="E231" s="11">
        <v>6</v>
      </c>
    </row>
    <row r="232" spans="1:5" x14ac:dyDescent="0.75">
      <c r="A232" s="10" t="s">
        <v>595</v>
      </c>
      <c r="B232" s="11">
        <v>3</v>
      </c>
      <c r="C232" s="11">
        <v>3</v>
      </c>
      <c r="D232" s="11"/>
      <c r="E232" s="11">
        <v>6</v>
      </c>
    </row>
    <row r="233" spans="1:5" x14ac:dyDescent="0.75">
      <c r="A233" s="10" t="s">
        <v>188</v>
      </c>
      <c r="B233" s="11">
        <v>3</v>
      </c>
      <c r="C233" s="11">
        <v>2</v>
      </c>
      <c r="D233" s="11">
        <v>3</v>
      </c>
      <c r="E233" s="11">
        <v>8</v>
      </c>
    </row>
    <row r="234" spans="1:5" x14ac:dyDescent="0.75">
      <c r="A234" s="10" t="s">
        <v>1049</v>
      </c>
      <c r="B234" s="11">
        <v>2</v>
      </c>
      <c r="C234" s="11">
        <v>2</v>
      </c>
      <c r="D234" s="11">
        <v>2</v>
      </c>
      <c r="E234" s="11">
        <v>6</v>
      </c>
    </row>
    <row r="235" spans="1:5" x14ac:dyDescent="0.75">
      <c r="A235" s="10" t="s">
        <v>1685</v>
      </c>
      <c r="B235" s="11">
        <v>2</v>
      </c>
      <c r="C235" s="11">
        <v>3</v>
      </c>
      <c r="D235" s="11">
        <v>2</v>
      </c>
      <c r="E235" s="11">
        <v>7</v>
      </c>
    </row>
    <row r="236" spans="1:5" x14ac:dyDescent="0.75">
      <c r="A236" s="10" t="s">
        <v>306</v>
      </c>
      <c r="B236" s="11">
        <v>4</v>
      </c>
      <c r="C236" s="11">
        <v>1</v>
      </c>
      <c r="D236" s="11">
        <v>3</v>
      </c>
      <c r="E236" s="11">
        <v>8</v>
      </c>
    </row>
    <row r="237" spans="1:5" x14ac:dyDescent="0.75">
      <c r="A237" s="10" t="s">
        <v>469</v>
      </c>
      <c r="B237" s="11">
        <v>2</v>
      </c>
      <c r="C237" s="11">
        <v>3</v>
      </c>
      <c r="D237" s="11">
        <v>3</v>
      </c>
      <c r="E237" s="11">
        <v>8</v>
      </c>
    </row>
    <row r="238" spans="1:5" x14ac:dyDescent="0.75">
      <c r="A238" s="10" t="s">
        <v>523</v>
      </c>
      <c r="B238" s="11">
        <v>3</v>
      </c>
      <c r="C238" s="11">
        <v>3</v>
      </c>
      <c r="D238" s="11">
        <v>3</v>
      </c>
      <c r="E238" s="11">
        <v>9</v>
      </c>
    </row>
    <row r="239" spans="1:5" x14ac:dyDescent="0.75">
      <c r="A239" s="10" t="s">
        <v>21</v>
      </c>
      <c r="B239" s="11">
        <v>4</v>
      </c>
      <c r="C239" s="11">
        <v>4</v>
      </c>
      <c r="D239" s="11">
        <v>4</v>
      </c>
      <c r="E239" s="11">
        <v>12</v>
      </c>
    </row>
    <row r="240" spans="1:5" x14ac:dyDescent="0.75">
      <c r="A240" s="10" t="s">
        <v>1237</v>
      </c>
      <c r="B240" s="11">
        <v>2</v>
      </c>
      <c r="C240" s="11">
        <v>2</v>
      </c>
      <c r="D240" s="11"/>
      <c r="E240" s="11">
        <v>4</v>
      </c>
    </row>
    <row r="241" spans="1:5" x14ac:dyDescent="0.75">
      <c r="A241" s="10" t="s">
        <v>677</v>
      </c>
      <c r="B241" s="11">
        <v>2</v>
      </c>
      <c r="C241" s="11">
        <v>3</v>
      </c>
      <c r="D241" s="11">
        <v>3</v>
      </c>
      <c r="E241" s="11">
        <v>8</v>
      </c>
    </row>
    <row r="242" spans="1:5" x14ac:dyDescent="0.75">
      <c r="A242" s="10" t="s">
        <v>124</v>
      </c>
      <c r="B242" s="11">
        <v>3</v>
      </c>
      <c r="C242" s="11">
        <v>3</v>
      </c>
      <c r="D242" s="11">
        <v>4</v>
      </c>
      <c r="E242" s="11">
        <v>10</v>
      </c>
    </row>
    <row r="243" spans="1:5" x14ac:dyDescent="0.75">
      <c r="A243" s="10" t="s">
        <v>1301</v>
      </c>
      <c r="B243" s="11">
        <v>2</v>
      </c>
      <c r="C243" s="11">
        <v>3</v>
      </c>
      <c r="D243" s="11">
        <v>2</v>
      </c>
      <c r="E243" s="11">
        <v>7</v>
      </c>
    </row>
    <row r="244" spans="1:5" x14ac:dyDescent="0.75">
      <c r="A244" s="10" t="s">
        <v>573</v>
      </c>
      <c r="B244" s="11">
        <v>4</v>
      </c>
      <c r="C244" s="11">
        <v>3</v>
      </c>
      <c r="D244" s="11">
        <v>2</v>
      </c>
      <c r="E244" s="11">
        <v>9</v>
      </c>
    </row>
    <row r="245" spans="1:5" x14ac:dyDescent="0.75">
      <c r="A245" s="10" t="s">
        <v>31</v>
      </c>
      <c r="B245" s="11">
        <v>4</v>
      </c>
      <c r="C245" s="11">
        <v>2</v>
      </c>
      <c r="D245" s="11">
        <v>1</v>
      </c>
      <c r="E245" s="11">
        <v>7</v>
      </c>
    </row>
    <row r="246" spans="1:5" x14ac:dyDescent="0.75">
      <c r="A246" s="10" t="s">
        <v>691</v>
      </c>
      <c r="B246" s="11">
        <v>2</v>
      </c>
      <c r="C246" s="11">
        <v>2</v>
      </c>
      <c r="D246" s="11"/>
      <c r="E246" s="11">
        <v>4</v>
      </c>
    </row>
    <row r="247" spans="1:5" x14ac:dyDescent="0.75">
      <c r="A247" s="10" t="s">
        <v>1215</v>
      </c>
      <c r="B247" s="11">
        <v>2</v>
      </c>
      <c r="C247" s="11">
        <v>3</v>
      </c>
      <c r="D247" s="11">
        <v>2</v>
      </c>
      <c r="E247" s="11">
        <v>7</v>
      </c>
    </row>
    <row r="248" spans="1:5" x14ac:dyDescent="0.75">
      <c r="A248" s="10" t="s">
        <v>883</v>
      </c>
      <c r="B248" s="11">
        <v>2</v>
      </c>
      <c r="C248" s="11">
        <v>1</v>
      </c>
      <c r="D248" s="11">
        <v>1</v>
      </c>
      <c r="E248" s="11">
        <v>4</v>
      </c>
    </row>
    <row r="249" spans="1:5" x14ac:dyDescent="0.75">
      <c r="A249" s="10" t="s">
        <v>1143</v>
      </c>
      <c r="B249" s="11">
        <v>3</v>
      </c>
      <c r="C249" s="11">
        <v>2</v>
      </c>
      <c r="D249" s="11">
        <v>2</v>
      </c>
      <c r="E249" s="11">
        <v>7</v>
      </c>
    </row>
    <row r="250" spans="1:5" x14ac:dyDescent="0.75">
      <c r="A250" s="10" t="s">
        <v>266</v>
      </c>
      <c r="B250" s="11">
        <v>2</v>
      </c>
      <c r="C250" s="11"/>
      <c r="D250" s="11"/>
      <c r="E250" s="11">
        <v>2</v>
      </c>
    </row>
    <row r="251" spans="1:5" x14ac:dyDescent="0.75">
      <c r="A251" s="10" t="s">
        <v>1257</v>
      </c>
      <c r="B251" s="11">
        <v>2</v>
      </c>
      <c r="C251" s="11">
        <v>2</v>
      </c>
      <c r="D251" s="11">
        <v>2</v>
      </c>
      <c r="E251" s="11">
        <v>6</v>
      </c>
    </row>
    <row r="252" spans="1:5" x14ac:dyDescent="0.75">
      <c r="A252" s="10" t="s">
        <v>965</v>
      </c>
      <c r="B252" s="11">
        <v>3</v>
      </c>
      <c r="C252" s="11">
        <v>1</v>
      </c>
      <c r="D252" s="11">
        <v>2</v>
      </c>
      <c r="E252" s="11">
        <v>6</v>
      </c>
    </row>
    <row r="253" spans="1:5" x14ac:dyDescent="0.75">
      <c r="A253" s="10" t="s">
        <v>557</v>
      </c>
      <c r="B253" s="11">
        <v>3</v>
      </c>
      <c r="C253" s="11">
        <v>2</v>
      </c>
      <c r="D253" s="11">
        <v>1</v>
      </c>
      <c r="E253" s="11">
        <v>6</v>
      </c>
    </row>
    <row r="254" spans="1:5" x14ac:dyDescent="0.75">
      <c r="A254" s="10" t="s">
        <v>1199</v>
      </c>
      <c r="B254" s="11">
        <v>2</v>
      </c>
      <c r="C254" s="11">
        <v>2</v>
      </c>
      <c r="D254" s="11">
        <v>2</v>
      </c>
      <c r="E254" s="11">
        <v>6</v>
      </c>
    </row>
    <row r="255" spans="1:5" x14ac:dyDescent="0.75">
      <c r="A255" s="10" t="s">
        <v>567</v>
      </c>
      <c r="B255" s="11">
        <v>3</v>
      </c>
      <c r="C255" s="11">
        <v>2</v>
      </c>
      <c r="D255" s="11">
        <v>2</v>
      </c>
      <c r="E255" s="11">
        <v>7</v>
      </c>
    </row>
    <row r="256" spans="1:5" x14ac:dyDescent="0.75">
      <c r="A256" s="10" t="s">
        <v>326</v>
      </c>
      <c r="B256" s="11">
        <v>3</v>
      </c>
      <c r="C256" s="11">
        <v>3</v>
      </c>
      <c r="D256" s="11">
        <v>3</v>
      </c>
      <c r="E256" s="11">
        <v>9</v>
      </c>
    </row>
    <row r="257" spans="1:5" x14ac:dyDescent="0.75">
      <c r="A257" s="10" t="s">
        <v>1181</v>
      </c>
      <c r="B257" s="11">
        <v>2</v>
      </c>
      <c r="C257" s="11">
        <v>3</v>
      </c>
      <c r="D257" s="11">
        <v>4</v>
      </c>
      <c r="E257" s="11">
        <v>9</v>
      </c>
    </row>
    <row r="258" spans="1:5" x14ac:dyDescent="0.75">
      <c r="A258" s="10" t="s">
        <v>497</v>
      </c>
      <c r="B258" s="11">
        <v>3</v>
      </c>
      <c r="C258" s="11">
        <v>2</v>
      </c>
      <c r="D258" s="11">
        <v>4</v>
      </c>
      <c r="E258" s="11">
        <v>9</v>
      </c>
    </row>
    <row r="259" spans="1:5" x14ac:dyDescent="0.75">
      <c r="A259" s="10" t="s">
        <v>547</v>
      </c>
      <c r="B259" s="11">
        <v>3</v>
      </c>
      <c r="C259" s="11">
        <v>2</v>
      </c>
      <c r="D259" s="11">
        <v>3</v>
      </c>
      <c r="E259" s="11">
        <v>8</v>
      </c>
    </row>
    <row r="260" spans="1:5" x14ac:dyDescent="0.75">
      <c r="A260" s="10" t="s">
        <v>461</v>
      </c>
      <c r="B260" s="11">
        <v>2</v>
      </c>
      <c r="C260" s="11">
        <v>3</v>
      </c>
      <c r="D260" s="11">
        <v>4</v>
      </c>
      <c r="E260" s="11">
        <v>9</v>
      </c>
    </row>
    <row r="261" spans="1:5" x14ac:dyDescent="0.75">
      <c r="A261" s="10" t="s">
        <v>581</v>
      </c>
      <c r="B261" s="11">
        <v>3</v>
      </c>
      <c r="C261" s="11">
        <v>2</v>
      </c>
      <c r="D261" s="11">
        <v>3</v>
      </c>
      <c r="E261" s="11">
        <v>8</v>
      </c>
    </row>
    <row r="262" spans="1:5" x14ac:dyDescent="0.75">
      <c r="A262" s="10" t="s">
        <v>649</v>
      </c>
      <c r="B262" s="11">
        <v>2</v>
      </c>
      <c r="C262" s="11">
        <v>3</v>
      </c>
      <c r="D262" s="11">
        <v>3</v>
      </c>
      <c r="E262" s="11">
        <v>8</v>
      </c>
    </row>
    <row r="263" spans="1:5" x14ac:dyDescent="0.75">
      <c r="A263" s="10" t="s">
        <v>509</v>
      </c>
      <c r="B263" s="11">
        <v>3</v>
      </c>
      <c r="C263" s="11">
        <v>3</v>
      </c>
      <c r="D263" s="11">
        <v>2</v>
      </c>
      <c r="E263" s="11">
        <v>8</v>
      </c>
    </row>
    <row r="264" spans="1:5" x14ac:dyDescent="0.75">
      <c r="A264" s="10" t="s">
        <v>388</v>
      </c>
      <c r="B264" s="11">
        <v>3</v>
      </c>
      <c r="C264" s="11">
        <v>3</v>
      </c>
      <c r="D264" s="11">
        <v>2</v>
      </c>
      <c r="E264" s="11">
        <v>8</v>
      </c>
    </row>
    <row r="265" spans="1:5" x14ac:dyDescent="0.75">
      <c r="A265" s="10" t="s">
        <v>1203</v>
      </c>
      <c r="B265" s="11">
        <v>2</v>
      </c>
      <c r="C265" s="11">
        <v>3</v>
      </c>
      <c r="D265" s="11">
        <v>1</v>
      </c>
      <c r="E265" s="11">
        <v>6</v>
      </c>
    </row>
    <row r="266" spans="1:5" x14ac:dyDescent="0.75">
      <c r="A266" s="10" t="s">
        <v>1055</v>
      </c>
      <c r="B266" s="11">
        <v>2</v>
      </c>
      <c r="C266" s="11">
        <v>2</v>
      </c>
      <c r="D266" s="11">
        <v>2</v>
      </c>
      <c r="E266" s="11">
        <v>6</v>
      </c>
    </row>
    <row r="267" spans="1:5" x14ac:dyDescent="0.75">
      <c r="A267" s="10" t="s">
        <v>747</v>
      </c>
      <c r="B267" s="11">
        <v>3</v>
      </c>
      <c r="C267" s="11">
        <v>1</v>
      </c>
      <c r="D267" s="11">
        <v>4</v>
      </c>
      <c r="E267" s="11">
        <v>8</v>
      </c>
    </row>
    <row r="268" spans="1:5" x14ac:dyDescent="0.75">
      <c r="A268" s="10" t="s">
        <v>392</v>
      </c>
      <c r="B268" s="11">
        <v>4</v>
      </c>
      <c r="C268" s="11">
        <v>2</v>
      </c>
      <c r="D268" s="11">
        <v>2</v>
      </c>
      <c r="E268" s="11">
        <v>8</v>
      </c>
    </row>
    <row r="269" spans="1:5" x14ac:dyDescent="0.75">
      <c r="A269" s="10" t="s">
        <v>2127</v>
      </c>
      <c r="B269" s="11"/>
      <c r="C269" s="11">
        <v>4</v>
      </c>
      <c r="D269" s="11">
        <v>3</v>
      </c>
      <c r="E269" s="11">
        <v>7</v>
      </c>
    </row>
    <row r="270" spans="1:5" x14ac:dyDescent="0.75">
      <c r="A270" s="10" t="s">
        <v>1165</v>
      </c>
      <c r="B270" s="11">
        <v>2</v>
      </c>
      <c r="C270" s="11">
        <v>3</v>
      </c>
      <c r="D270" s="11">
        <v>2</v>
      </c>
      <c r="E270" s="11">
        <v>7</v>
      </c>
    </row>
    <row r="271" spans="1:5" x14ac:dyDescent="0.75">
      <c r="A271" s="10" t="s">
        <v>947</v>
      </c>
      <c r="B271" s="11">
        <v>3</v>
      </c>
      <c r="C271" s="11">
        <v>3</v>
      </c>
      <c r="D271" s="11">
        <v>2</v>
      </c>
      <c r="E271" s="11">
        <v>8</v>
      </c>
    </row>
    <row r="272" spans="1:5" x14ac:dyDescent="0.75">
      <c r="A272" s="10" t="s">
        <v>1129</v>
      </c>
      <c r="B272" s="11">
        <v>2</v>
      </c>
      <c r="C272" s="11">
        <v>2</v>
      </c>
      <c r="D272" s="11">
        <v>3</v>
      </c>
      <c r="E272" s="11">
        <v>7</v>
      </c>
    </row>
    <row r="273" spans="1:5" x14ac:dyDescent="0.75">
      <c r="A273" s="10" t="s">
        <v>2450</v>
      </c>
      <c r="B273" s="11">
        <v>758</v>
      </c>
      <c r="C273" s="11">
        <v>748</v>
      </c>
      <c r="D273" s="11">
        <v>824</v>
      </c>
      <c r="E273" s="11">
        <v>2330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2331"/>
  <sheetViews>
    <sheetView tabSelected="1" topLeftCell="D1" workbookViewId="0">
      <pane ySplit="1" topLeftCell="A2" activePane="bottomLeft" state="frozen"/>
      <selection pane="bottomLeft" activeCell="I1318" sqref="I1318"/>
    </sheetView>
  </sheetViews>
  <sheetFormatPr defaultRowHeight="14.75" x14ac:dyDescent="0.75"/>
  <cols>
    <col min="1" max="7" width="12" customWidth="1"/>
    <col min="8" max="9" width="17" customWidth="1"/>
    <col min="10" max="13" width="12" customWidth="1"/>
    <col min="14" max="14" width="20" customWidth="1"/>
    <col min="15" max="15" width="12" customWidth="1"/>
  </cols>
  <sheetData>
    <row r="1" spans="1:15" ht="30" customHeight="1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idden="1" x14ac:dyDescent="0.75">
      <c r="A2" s="2">
        <v>46289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4">
        <v>46289.000081365739</v>
      </c>
      <c r="I2" s="4">
        <v>46289.099279629627</v>
      </c>
      <c r="J2" s="3">
        <f t="shared" ref="J2:J65" si="0">ROUND((I2-H2)*1440,0)</f>
        <v>143</v>
      </c>
      <c r="K2" s="3" t="s">
        <v>21</v>
      </c>
      <c r="L2" s="3" t="s">
        <v>22</v>
      </c>
      <c r="M2" s="3" t="s">
        <v>22</v>
      </c>
      <c r="N2" s="3" t="s">
        <v>23</v>
      </c>
      <c r="O2" s="3" t="s">
        <v>24</v>
      </c>
    </row>
    <row r="3" spans="1:15" hidden="1" x14ac:dyDescent="0.75">
      <c r="A3" s="2">
        <v>46289</v>
      </c>
      <c r="B3" s="3" t="s">
        <v>25</v>
      </c>
      <c r="C3" s="3" t="s">
        <v>26</v>
      </c>
      <c r="D3" s="3" t="s">
        <v>27</v>
      </c>
      <c r="E3" s="3" t="s">
        <v>28</v>
      </c>
      <c r="F3" s="3" t="s">
        <v>29</v>
      </c>
      <c r="G3" s="3" t="s">
        <v>30</v>
      </c>
      <c r="H3" s="4">
        <v>46289.00048263889</v>
      </c>
      <c r="I3" s="4">
        <v>46289.235105439817</v>
      </c>
      <c r="J3" s="3">
        <f t="shared" si="0"/>
        <v>338</v>
      </c>
      <c r="K3" s="3" t="s">
        <v>31</v>
      </c>
      <c r="L3" s="3" t="s">
        <v>22</v>
      </c>
      <c r="M3" s="3" t="s">
        <v>22</v>
      </c>
      <c r="N3" s="3" t="s">
        <v>23</v>
      </c>
      <c r="O3" s="3" t="s">
        <v>32</v>
      </c>
    </row>
    <row r="4" spans="1:15" hidden="1" x14ac:dyDescent="0.75">
      <c r="A4" s="2">
        <v>46289</v>
      </c>
      <c r="B4" s="3" t="s">
        <v>33</v>
      </c>
      <c r="C4" s="3" t="s">
        <v>34</v>
      </c>
      <c r="D4" s="3"/>
      <c r="E4" s="3"/>
      <c r="F4" s="3" t="s">
        <v>17</v>
      </c>
      <c r="G4" s="3" t="s">
        <v>18</v>
      </c>
      <c r="H4" s="4">
        <v>46289.005243287043</v>
      </c>
      <c r="I4" s="4">
        <v>46289.04030173611</v>
      </c>
      <c r="J4" s="3">
        <f t="shared" si="0"/>
        <v>50</v>
      </c>
      <c r="K4" s="3" t="s">
        <v>35</v>
      </c>
      <c r="L4" s="3" t="s">
        <v>36</v>
      </c>
      <c r="M4" s="3" t="s">
        <v>36</v>
      </c>
      <c r="N4" s="3" t="s">
        <v>23</v>
      </c>
      <c r="O4" s="3" t="s">
        <v>37</v>
      </c>
    </row>
    <row r="5" spans="1:15" hidden="1" x14ac:dyDescent="0.75">
      <c r="A5" s="2">
        <v>46289</v>
      </c>
      <c r="B5" s="3" t="s">
        <v>38</v>
      </c>
      <c r="C5" s="3" t="s">
        <v>39</v>
      </c>
      <c r="D5" s="3" t="s">
        <v>17</v>
      </c>
      <c r="E5" s="3" t="s">
        <v>18</v>
      </c>
      <c r="F5" s="3" t="s">
        <v>40</v>
      </c>
      <c r="G5" s="3" t="s">
        <v>41</v>
      </c>
      <c r="H5" s="4">
        <v>46289.007008564811</v>
      </c>
      <c r="I5" s="4">
        <v>46289.284218171299</v>
      </c>
      <c r="J5" s="3">
        <f t="shared" si="0"/>
        <v>399</v>
      </c>
      <c r="K5" s="3" t="s">
        <v>42</v>
      </c>
      <c r="L5" s="3" t="s">
        <v>43</v>
      </c>
      <c r="M5" s="3" t="s">
        <v>44</v>
      </c>
      <c r="N5" s="3" t="s">
        <v>45</v>
      </c>
      <c r="O5" s="3" t="s">
        <v>46</v>
      </c>
    </row>
    <row r="6" spans="1:15" hidden="1" x14ac:dyDescent="0.75">
      <c r="A6" s="2">
        <v>46289</v>
      </c>
      <c r="B6" s="3" t="s">
        <v>47</v>
      </c>
      <c r="C6" s="3" t="s">
        <v>48</v>
      </c>
      <c r="D6" s="3" t="s">
        <v>49</v>
      </c>
      <c r="E6" s="3" t="s">
        <v>50</v>
      </c>
      <c r="F6" s="3" t="s">
        <v>27</v>
      </c>
      <c r="G6" s="3" t="s">
        <v>28</v>
      </c>
      <c r="H6" s="4">
        <v>46289.007579745368</v>
      </c>
      <c r="I6" s="4">
        <v>46289.043971990737</v>
      </c>
      <c r="J6" s="3">
        <f t="shared" si="0"/>
        <v>52</v>
      </c>
      <c r="K6" s="3" t="s">
        <v>51</v>
      </c>
      <c r="L6" s="3" t="s">
        <v>52</v>
      </c>
      <c r="M6" s="3"/>
      <c r="N6" s="3" t="s">
        <v>23</v>
      </c>
      <c r="O6" s="3" t="s">
        <v>53</v>
      </c>
    </row>
    <row r="7" spans="1:15" hidden="1" x14ac:dyDescent="0.75">
      <c r="A7" s="2">
        <v>46289</v>
      </c>
      <c r="B7" s="3" t="s">
        <v>54</v>
      </c>
      <c r="C7" s="3" t="s">
        <v>55</v>
      </c>
      <c r="D7" s="3" t="s">
        <v>56</v>
      </c>
      <c r="E7" s="3" t="s">
        <v>57</v>
      </c>
      <c r="F7" s="3" t="s">
        <v>58</v>
      </c>
      <c r="G7" s="3" t="s">
        <v>59</v>
      </c>
      <c r="H7" s="4">
        <v>46289.01220138889</v>
      </c>
      <c r="I7" s="4">
        <v>46289.109706828713</v>
      </c>
      <c r="J7" s="3">
        <f t="shared" si="0"/>
        <v>140</v>
      </c>
      <c r="K7" s="3" t="s">
        <v>60</v>
      </c>
      <c r="L7" s="3" t="s">
        <v>36</v>
      </c>
      <c r="M7" s="3" t="s">
        <v>36</v>
      </c>
      <c r="N7" s="3" t="s">
        <v>23</v>
      </c>
      <c r="O7" s="3" t="s">
        <v>61</v>
      </c>
    </row>
    <row r="8" spans="1:15" hidden="1" x14ac:dyDescent="0.75">
      <c r="A8" s="2">
        <v>46289</v>
      </c>
      <c r="B8" s="3" t="s">
        <v>62</v>
      </c>
      <c r="C8" s="3" t="s">
        <v>63</v>
      </c>
      <c r="D8" s="3"/>
      <c r="E8" s="3"/>
      <c r="F8" s="3" t="s">
        <v>17</v>
      </c>
      <c r="G8" s="3" t="s">
        <v>18</v>
      </c>
      <c r="H8" s="4">
        <v>46289.012778935183</v>
      </c>
      <c r="I8" s="4">
        <v>46289.050617013891</v>
      </c>
      <c r="J8" s="3">
        <f t="shared" si="0"/>
        <v>54</v>
      </c>
      <c r="K8" s="3" t="s">
        <v>64</v>
      </c>
      <c r="L8" s="3" t="s">
        <v>43</v>
      </c>
      <c r="M8" s="3" t="s">
        <v>44</v>
      </c>
      <c r="N8" s="3" t="s">
        <v>23</v>
      </c>
      <c r="O8" s="3" t="s">
        <v>65</v>
      </c>
    </row>
    <row r="9" spans="1:15" hidden="1" x14ac:dyDescent="0.75">
      <c r="A9" s="2">
        <v>46289</v>
      </c>
      <c r="B9" s="3" t="s">
        <v>66</v>
      </c>
      <c r="C9" s="3" t="s">
        <v>67</v>
      </c>
      <c r="D9" s="3" t="s">
        <v>68</v>
      </c>
      <c r="E9" s="3" t="s">
        <v>69</v>
      </c>
      <c r="F9" s="3" t="s">
        <v>58</v>
      </c>
      <c r="G9" s="3" t="s">
        <v>59</v>
      </c>
      <c r="H9" s="4">
        <v>46289.013820949083</v>
      </c>
      <c r="I9" s="4">
        <v>46289.107674999999</v>
      </c>
      <c r="J9" s="3">
        <f t="shared" si="0"/>
        <v>135</v>
      </c>
      <c r="K9" s="3" t="s">
        <v>70</v>
      </c>
      <c r="L9" s="3" t="s">
        <v>36</v>
      </c>
      <c r="M9" s="3" t="s">
        <v>36</v>
      </c>
      <c r="N9" s="3" t="s">
        <v>23</v>
      </c>
      <c r="O9" s="3" t="s">
        <v>71</v>
      </c>
    </row>
    <row r="10" spans="1:15" hidden="1" x14ac:dyDescent="0.75">
      <c r="A10" s="2">
        <v>46289</v>
      </c>
      <c r="B10" s="3" t="s">
        <v>72</v>
      </c>
      <c r="C10" s="3" t="s">
        <v>73</v>
      </c>
      <c r="D10" s="3" t="s">
        <v>56</v>
      </c>
      <c r="E10" s="3" t="s">
        <v>57</v>
      </c>
      <c r="F10" s="3" t="s">
        <v>74</v>
      </c>
      <c r="G10" s="3" t="s">
        <v>75</v>
      </c>
      <c r="H10" s="4">
        <v>46289.013922337967</v>
      </c>
      <c r="I10" s="4">
        <v>46289.099512037043</v>
      </c>
      <c r="J10" s="3">
        <f t="shared" si="0"/>
        <v>123</v>
      </c>
      <c r="K10" s="3" t="s">
        <v>76</v>
      </c>
      <c r="L10" s="3" t="s">
        <v>77</v>
      </c>
      <c r="M10" s="3" t="s">
        <v>78</v>
      </c>
      <c r="N10" s="3" t="s">
        <v>23</v>
      </c>
      <c r="O10" s="3" t="s">
        <v>79</v>
      </c>
    </row>
    <row r="11" spans="1:15" hidden="1" x14ac:dyDescent="0.75">
      <c r="A11" s="2">
        <v>46289</v>
      </c>
      <c r="B11" s="3" t="s">
        <v>80</v>
      </c>
      <c r="C11" s="3" t="s">
        <v>81</v>
      </c>
      <c r="D11" s="3" t="s">
        <v>82</v>
      </c>
      <c r="E11" s="3" t="s">
        <v>83</v>
      </c>
      <c r="F11" s="3" t="s">
        <v>84</v>
      </c>
      <c r="G11" s="3" t="s">
        <v>85</v>
      </c>
      <c r="H11" s="4">
        <v>46289.014228356478</v>
      </c>
      <c r="I11" s="4">
        <v>46289.098105902784</v>
      </c>
      <c r="J11" s="3">
        <f t="shared" si="0"/>
        <v>121</v>
      </c>
      <c r="K11" s="3" t="s">
        <v>86</v>
      </c>
      <c r="L11" s="3" t="s">
        <v>36</v>
      </c>
      <c r="M11" s="3" t="s">
        <v>36</v>
      </c>
      <c r="N11" s="3" t="s">
        <v>45</v>
      </c>
      <c r="O11" s="3" t="s">
        <v>87</v>
      </c>
    </row>
    <row r="12" spans="1:15" hidden="1" x14ac:dyDescent="0.75">
      <c r="A12" s="2">
        <v>46289</v>
      </c>
      <c r="B12" s="3" t="s">
        <v>88</v>
      </c>
      <c r="C12" s="3" t="s">
        <v>89</v>
      </c>
      <c r="D12" s="3" t="s">
        <v>49</v>
      </c>
      <c r="E12" s="3" t="s">
        <v>50</v>
      </c>
      <c r="F12" s="3" t="s">
        <v>27</v>
      </c>
      <c r="G12" s="3" t="s">
        <v>28</v>
      </c>
      <c r="H12" s="4">
        <v>46289.017783680552</v>
      </c>
      <c r="I12" s="4">
        <v>46289.056438310188</v>
      </c>
      <c r="J12" s="3">
        <f t="shared" si="0"/>
        <v>56</v>
      </c>
      <c r="K12" s="3" t="s">
        <v>90</v>
      </c>
      <c r="L12" s="3" t="s">
        <v>77</v>
      </c>
      <c r="M12" s="3" t="s">
        <v>78</v>
      </c>
      <c r="N12" s="3" t="s">
        <v>23</v>
      </c>
      <c r="O12" s="3" t="s">
        <v>91</v>
      </c>
    </row>
    <row r="13" spans="1:15" hidden="1" x14ac:dyDescent="0.75">
      <c r="A13" s="2">
        <v>46289</v>
      </c>
      <c r="B13" s="3" t="s">
        <v>92</v>
      </c>
      <c r="C13" s="3" t="s">
        <v>93</v>
      </c>
      <c r="D13" s="3" t="s">
        <v>94</v>
      </c>
      <c r="E13" s="3" t="s">
        <v>95</v>
      </c>
      <c r="F13" s="3" t="s">
        <v>17</v>
      </c>
      <c r="G13" s="3" t="s">
        <v>18</v>
      </c>
      <c r="H13" s="4">
        <v>46289.022096875</v>
      </c>
      <c r="I13" s="4">
        <v>46289.07014398148</v>
      </c>
      <c r="J13" s="3">
        <f t="shared" si="0"/>
        <v>69</v>
      </c>
      <c r="K13" s="3" t="s">
        <v>96</v>
      </c>
      <c r="L13" s="3" t="s">
        <v>77</v>
      </c>
      <c r="M13" s="3" t="s">
        <v>78</v>
      </c>
      <c r="N13" s="3" t="s">
        <v>23</v>
      </c>
      <c r="O13" s="3" t="s">
        <v>97</v>
      </c>
    </row>
    <row r="14" spans="1:15" hidden="1" x14ac:dyDescent="0.75">
      <c r="A14" s="2">
        <v>46289</v>
      </c>
      <c r="B14" s="3" t="s">
        <v>98</v>
      </c>
      <c r="C14" s="3" t="s">
        <v>99</v>
      </c>
      <c r="D14" s="3" t="s">
        <v>100</v>
      </c>
      <c r="E14" s="3" t="s">
        <v>101</v>
      </c>
      <c r="F14" s="3" t="s">
        <v>27</v>
      </c>
      <c r="G14" s="3" t="s">
        <v>28</v>
      </c>
      <c r="H14" s="4">
        <v>46289.023256597233</v>
      </c>
      <c r="I14" s="4">
        <v>46289.108554861108</v>
      </c>
      <c r="J14" s="3">
        <f t="shared" si="0"/>
        <v>123</v>
      </c>
      <c r="K14" s="3" t="s">
        <v>102</v>
      </c>
      <c r="L14" s="3" t="s">
        <v>36</v>
      </c>
      <c r="M14" s="3" t="s">
        <v>36</v>
      </c>
      <c r="N14" s="3" t="s">
        <v>23</v>
      </c>
      <c r="O14" s="3" t="s">
        <v>103</v>
      </c>
    </row>
    <row r="15" spans="1:15" hidden="1" x14ac:dyDescent="0.75">
      <c r="A15" s="2">
        <v>46289</v>
      </c>
      <c r="B15" s="3" t="s">
        <v>104</v>
      </c>
      <c r="C15" s="3" t="s">
        <v>105</v>
      </c>
      <c r="D15" s="3" t="s">
        <v>56</v>
      </c>
      <c r="E15" s="3" t="s">
        <v>57</v>
      </c>
      <c r="F15" s="3" t="s">
        <v>106</v>
      </c>
      <c r="G15" s="3" t="s">
        <v>107</v>
      </c>
      <c r="H15" s="4">
        <v>46289.023431944443</v>
      </c>
      <c r="I15" s="4">
        <v>46289.103673495367</v>
      </c>
      <c r="J15" s="3">
        <f t="shared" si="0"/>
        <v>116</v>
      </c>
      <c r="K15" s="3" t="s">
        <v>108</v>
      </c>
      <c r="L15" s="3" t="s">
        <v>36</v>
      </c>
      <c r="M15" s="3" t="s">
        <v>36</v>
      </c>
      <c r="N15" s="3" t="s">
        <v>23</v>
      </c>
      <c r="O15" s="3" t="s">
        <v>109</v>
      </c>
    </row>
    <row r="16" spans="1:15" hidden="1" x14ac:dyDescent="0.75">
      <c r="A16" s="2">
        <v>46289</v>
      </c>
      <c r="B16" s="3" t="s">
        <v>110</v>
      </c>
      <c r="C16" s="3" t="s">
        <v>111</v>
      </c>
      <c r="D16" s="3" t="s">
        <v>56</v>
      </c>
      <c r="E16" s="3" t="s">
        <v>57</v>
      </c>
      <c r="F16" s="3" t="s">
        <v>94</v>
      </c>
      <c r="G16" s="3" t="s">
        <v>95</v>
      </c>
      <c r="H16" s="4">
        <v>46289.024519328697</v>
      </c>
      <c r="I16" s="4">
        <v>46289.091069212962</v>
      </c>
      <c r="J16" s="3">
        <f t="shared" si="0"/>
        <v>96</v>
      </c>
      <c r="K16" s="3" t="s">
        <v>112</v>
      </c>
      <c r="L16" s="3" t="s">
        <v>36</v>
      </c>
      <c r="M16" s="3" t="s">
        <v>36</v>
      </c>
      <c r="N16" s="3" t="s">
        <v>23</v>
      </c>
      <c r="O16" s="3" t="s">
        <v>113</v>
      </c>
    </row>
    <row r="17" spans="1:15" hidden="1" x14ac:dyDescent="0.75">
      <c r="A17" s="2">
        <v>46289</v>
      </c>
      <c r="B17" s="3" t="s">
        <v>114</v>
      </c>
      <c r="C17" s="3" t="s">
        <v>115</v>
      </c>
      <c r="D17" s="3" t="s">
        <v>116</v>
      </c>
      <c r="E17" s="3" t="s">
        <v>117</v>
      </c>
      <c r="F17" s="3" t="s">
        <v>17</v>
      </c>
      <c r="G17" s="3" t="s">
        <v>18</v>
      </c>
      <c r="H17" s="4">
        <v>46289.024699884263</v>
      </c>
      <c r="I17" s="4">
        <v>46289.042121874998</v>
      </c>
      <c r="J17" s="3">
        <f t="shared" si="0"/>
        <v>25</v>
      </c>
      <c r="K17" s="3" t="s">
        <v>118</v>
      </c>
      <c r="L17" s="3" t="s">
        <v>36</v>
      </c>
      <c r="M17" s="3" t="s">
        <v>36</v>
      </c>
      <c r="N17" s="3" t="s">
        <v>23</v>
      </c>
      <c r="O17" s="3" t="s">
        <v>119</v>
      </c>
    </row>
    <row r="18" spans="1:15" hidden="1" x14ac:dyDescent="0.75">
      <c r="A18" s="2">
        <v>46289</v>
      </c>
      <c r="B18" s="3" t="s">
        <v>120</v>
      </c>
      <c r="C18" s="3" t="s">
        <v>121</v>
      </c>
      <c r="D18" s="3" t="s">
        <v>56</v>
      </c>
      <c r="E18" s="3" t="s">
        <v>57</v>
      </c>
      <c r="F18" s="3" t="s">
        <v>122</v>
      </c>
      <c r="G18" s="3" t="s">
        <v>123</v>
      </c>
      <c r="H18" s="4">
        <v>46289.025640509259</v>
      </c>
      <c r="I18" s="4">
        <v>46289.257554282412</v>
      </c>
      <c r="J18" s="3">
        <f t="shared" si="0"/>
        <v>334</v>
      </c>
      <c r="K18" s="3" t="s">
        <v>124</v>
      </c>
      <c r="L18" s="3" t="s">
        <v>22</v>
      </c>
      <c r="M18" s="3" t="s">
        <v>22</v>
      </c>
      <c r="N18" s="3" t="s">
        <v>23</v>
      </c>
      <c r="O18" s="3" t="s">
        <v>125</v>
      </c>
    </row>
    <row r="19" spans="1:15" hidden="1" x14ac:dyDescent="0.75">
      <c r="A19" s="2">
        <v>46289</v>
      </c>
      <c r="B19" s="3" t="s">
        <v>126</v>
      </c>
      <c r="C19" s="3" t="s">
        <v>127</v>
      </c>
      <c r="D19" s="3" t="s">
        <v>56</v>
      </c>
      <c r="E19" s="3" t="s">
        <v>57</v>
      </c>
      <c r="F19" s="3" t="s">
        <v>128</v>
      </c>
      <c r="G19" s="3" t="s">
        <v>129</v>
      </c>
      <c r="H19" s="4">
        <v>46289.026538078702</v>
      </c>
      <c r="I19" s="4">
        <v>46289.138251041673</v>
      </c>
      <c r="J19" s="3">
        <f t="shared" si="0"/>
        <v>161</v>
      </c>
      <c r="K19" s="3" t="s">
        <v>130</v>
      </c>
      <c r="L19" s="3" t="s">
        <v>36</v>
      </c>
      <c r="M19" s="3" t="s">
        <v>36</v>
      </c>
      <c r="N19" s="3" t="s">
        <v>23</v>
      </c>
      <c r="O19" s="3" t="s">
        <v>131</v>
      </c>
    </row>
    <row r="20" spans="1:15" hidden="1" x14ac:dyDescent="0.75">
      <c r="A20" s="2">
        <v>46289</v>
      </c>
      <c r="B20" s="3" t="s">
        <v>132</v>
      </c>
      <c r="C20" s="3" t="s">
        <v>133</v>
      </c>
      <c r="D20" s="3"/>
      <c r="E20" s="3"/>
      <c r="F20" s="3" t="s">
        <v>82</v>
      </c>
      <c r="G20" s="3" t="s">
        <v>83</v>
      </c>
      <c r="H20" s="4">
        <v>46289.026547800917</v>
      </c>
      <c r="I20" s="4">
        <v>46289.05779525463</v>
      </c>
      <c r="J20" s="3">
        <f t="shared" si="0"/>
        <v>45</v>
      </c>
      <c r="K20" s="3" t="s">
        <v>134</v>
      </c>
      <c r="L20" s="3" t="s">
        <v>36</v>
      </c>
      <c r="M20" s="3" t="s">
        <v>36</v>
      </c>
      <c r="N20" s="3" t="s">
        <v>23</v>
      </c>
      <c r="O20" s="3" t="s">
        <v>135</v>
      </c>
    </row>
    <row r="21" spans="1:15" hidden="1" x14ac:dyDescent="0.75">
      <c r="A21" s="2">
        <v>46289</v>
      </c>
      <c r="B21" s="3" t="s">
        <v>136</v>
      </c>
      <c r="C21" s="3" t="s">
        <v>137</v>
      </c>
      <c r="D21" s="3" t="s">
        <v>68</v>
      </c>
      <c r="E21" s="3" t="s">
        <v>69</v>
      </c>
      <c r="F21" s="3" t="s">
        <v>27</v>
      </c>
      <c r="G21" s="3" t="s">
        <v>28</v>
      </c>
      <c r="H21" s="4">
        <v>46289.028159490743</v>
      </c>
      <c r="I21" s="4">
        <v>46289.131683333333</v>
      </c>
      <c r="J21" s="3">
        <f t="shared" si="0"/>
        <v>149</v>
      </c>
      <c r="K21" s="3" t="s">
        <v>138</v>
      </c>
      <c r="L21" s="3" t="s">
        <v>36</v>
      </c>
      <c r="M21" s="3" t="s">
        <v>36</v>
      </c>
      <c r="N21" s="3" t="s">
        <v>23</v>
      </c>
      <c r="O21" s="3" t="s">
        <v>139</v>
      </c>
    </row>
    <row r="22" spans="1:15" hidden="1" x14ac:dyDescent="0.75">
      <c r="A22" s="2">
        <v>46289</v>
      </c>
      <c r="B22" s="3" t="s">
        <v>140</v>
      </c>
      <c r="C22" s="3" t="s">
        <v>141</v>
      </c>
      <c r="D22" s="3" t="s">
        <v>56</v>
      </c>
      <c r="E22" s="3" t="s">
        <v>57</v>
      </c>
      <c r="F22" s="3" t="s">
        <v>142</v>
      </c>
      <c r="G22" s="3" t="s">
        <v>143</v>
      </c>
      <c r="H22" s="4">
        <v>46289.028425578697</v>
      </c>
      <c r="I22" s="4">
        <v>46289.135979629631</v>
      </c>
      <c r="J22" s="3">
        <f t="shared" si="0"/>
        <v>155</v>
      </c>
      <c r="K22" s="3" t="s">
        <v>144</v>
      </c>
      <c r="L22" s="3" t="s">
        <v>36</v>
      </c>
      <c r="M22" s="3" t="s">
        <v>36</v>
      </c>
      <c r="N22" s="3" t="s">
        <v>23</v>
      </c>
      <c r="O22" s="3" t="s">
        <v>145</v>
      </c>
    </row>
    <row r="23" spans="1:15" hidden="1" x14ac:dyDescent="0.75">
      <c r="A23" s="2">
        <v>46289</v>
      </c>
      <c r="B23" s="3" t="s">
        <v>146</v>
      </c>
      <c r="C23" s="3" t="s">
        <v>147</v>
      </c>
      <c r="D23" s="3" t="s">
        <v>148</v>
      </c>
      <c r="E23" s="3" t="s">
        <v>149</v>
      </c>
      <c r="F23" s="3" t="s">
        <v>27</v>
      </c>
      <c r="G23" s="3" t="s">
        <v>28</v>
      </c>
      <c r="H23" s="4">
        <v>46289.02888125</v>
      </c>
      <c r="I23" s="4">
        <v>46289.096067824074</v>
      </c>
      <c r="J23" s="3">
        <f t="shared" si="0"/>
        <v>97</v>
      </c>
      <c r="K23" s="3" t="s">
        <v>150</v>
      </c>
      <c r="L23" s="3" t="s">
        <v>36</v>
      </c>
      <c r="M23" s="3" t="s">
        <v>36</v>
      </c>
      <c r="N23" s="3" t="s">
        <v>23</v>
      </c>
      <c r="O23" s="3" t="s">
        <v>151</v>
      </c>
    </row>
    <row r="24" spans="1:15" hidden="1" x14ac:dyDescent="0.75">
      <c r="A24" s="2">
        <v>46289</v>
      </c>
      <c r="B24" s="3" t="s">
        <v>152</v>
      </c>
      <c r="C24" s="3" t="s">
        <v>153</v>
      </c>
      <c r="D24" s="3" t="s">
        <v>56</v>
      </c>
      <c r="E24" s="3" t="s">
        <v>57</v>
      </c>
      <c r="F24" s="3" t="s">
        <v>148</v>
      </c>
      <c r="G24" s="3" t="s">
        <v>149</v>
      </c>
      <c r="H24" s="4">
        <v>46289.029363773137</v>
      </c>
      <c r="I24" s="4">
        <v>46289.127147222222</v>
      </c>
      <c r="J24" s="3">
        <f t="shared" si="0"/>
        <v>141</v>
      </c>
      <c r="K24" s="3" t="s">
        <v>154</v>
      </c>
      <c r="L24" s="3" t="s">
        <v>36</v>
      </c>
      <c r="M24" s="3" t="s">
        <v>36</v>
      </c>
      <c r="N24" s="3" t="s">
        <v>23</v>
      </c>
      <c r="O24" s="3" t="s">
        <v>155</v>
      </c>
    </row>
    <row r="25" spans="1:15" hidden="1" x14ac:dyDescent="0.75">
      <c r="A25" s="2">
        <v>46289</v>
      </c>
      <c r="B25" s="3" t="s">
        <v>156</v>
      </c>
      <c r="C25" s="3" t="s">
        <v>157</v>
      </c>
      <c r="D25" s="3" t="s">
        <v>158</v>
      </c>
      <c r="E25" s="3" t="s">
        <v>159</v>
      </c>
      <c r="F25" s="3" t="s">
        <v>27</v>
      </c>
      <c r="G25" s="3" t="s">
        <v>28</v>
      </c>
      <c r="H25" s="4">
        <v>46289.029865509263</v>
      </c>
      <c r="I25" s="4">
        <v>46289.073513194453</v>
      </c>
      <c r="J25" s="3">
        <f t="shared" si="0"/>
        <v>63</v>
      </c>
      <c r="K25" s="3" t="s">
        <v>160</v>
      </c>
      <c r="L25" s="3" t="s">
        <v>77</v>
      </c>
      <c r="M25" s="3" t="s">
        <v>78</v>
      </c>
      <c r="N25" s="3" t="s">
        <v>23</v>
      </c>
      <c r="O25" s="3" t="s">
        <v>161</v>
      </c>
    </row>
    <row r="26" spans="1:15" hidden="1" x14ac:dyDescent="0.75">
      <c r="A26" s="2">
        <v>46289</v>
      </c>
      <c r="B26" s="3" t="s">
        <v>162</v>
      </c>
      <c r="C26" s="3" t="s">
        <v>163</v>
      </c>
      <c r="D26" s="3" t="s">
        <v>56</v>
      </c>
      <c r="E26" s="3" t="s">
        <v>57</v>
      </c>
      <c r="F26" s="3" t="s">
        <v>116</v>
      </c>
      <c r="G26" s="3" t="s">
        <v>117</v>
      </c>
      <c r="H26" s="4">
        <v>46289.030327083332</v>
      </c>
      <c r="I26" s="4">
        <v>46289.125421874996</v>
      </c>
      <c r="J26" s="3">
        <f t="shared" si="0"/>
        <v>137</v>
      </c>
      <c r="K26" s="3" t="s">
        <v>164</v>
      </c>
      <c r="L26" s="3" t="s">
        <v>36</v>
      </c>
      <c r="M26" s="3" t="s">
        <v>36</v>
      </c>
      <c r="N26" s="3" t="s">
        <v>45</v>
      </c>
      <c r="O26" s="3" t="s">
        <v>165</v>
      </c>
    </row>
    <row r="27" spans="1:15" hidden="1" x14ac:dyDescent="0.75">
      <c r="A27" s="2">
        <v>46289</v>
      </c>
      <c r="B27" s="3" t="s">
        <v>166</v>
      </c>
      <c r="C27" s="3" t="s">
        <v>167</v>
      </c>
      <c r="D27" s="3" t="s">
        <v>56</v>
      </c>
      <c r="E27" s="3" t="s">
        <v>57</v>
      </c>
      <c r="F27" s="3" t="s">
        <v>82</v>
      </c>
      <c r="G27" s="3" t="s">
        <v>83</v>
      </c>
      <c r="H27" s="4">
        <v>46289.031526736107</v>
      </c>
      <c r="I27" s="4">
        <v>46289.054468055547</v>
      </c>
      <c r="J27" s="3">
        <f t="shared" si="0"/>
        <v>33</v>
      </c>
      <c r="K27" s="3" t="s">
        <v>168</v>
      </c>
      <c r="L27" s="3" t="s">
        <v>36</v>
      </c>
      <c r="M27" s="3" t="s">
        <v>36</v>
      </c>
      <c r="N27" s="3" t="s">
        <v>23</v>
      </c>
      <c r="O27" s="3" t="s">
        <v>169</v>
      </c>
    </row>
    <row r="28" spans="1:15" hidden="1" x14ac:dyDescent="0.75">
      <c r="A28" s="2">
        <v>46289</v>
      </c>
      <c r="B28" s="3" t="s">
        <v>170</v>
      </c>
      <c r="C28" s="3" t="s">
        <v>171</v>
      </c>
      <c r="D28" s="3" t="s">
        <v>56</v>
      </c>
      <c r="E28" s="3" t="s">
        <v>57</v>
      </c>
      <c r="F28" s="3" t="s">
        <v>172</v>
      </c>
      <c r="G28" s="3" t="s">
        <v>173</v>
      </c>
      <c r="H28" s="4">
        <v>46289.032603240739</v>
      </c>
      <c r="I28" s="4">
        <v>46289.134071875</v>
      </c>
      <c r="J28" s="3">
        <f t="shared" si="0"/>
        <v>146</v>
      </c>
      <c r="K28" s="3" t="s">
        <v>174</v>
      </c>
      <c r="L28" s="3" t="s">
        <v>36</v>
      </c>
      <c r="M28" s="3" t="s">
        <v>36</v>
      </c>
      <c r="N28" s="3" t="s">
        <v>23</v>
      </c>
      <c r="O28" s="3" t="s">
        <v>175</v>
      </c>
    </row>
    <row r="29" spans="1:15" hidden="1" x14ac:dyDescent="0.75">
      <c r="A29" s="2">
        <v>46289</v>
      </c>
      <c r="B29" s="3" t="s">
        <v>176</v>
      </c>
      <c r="C29" s="3" t="s">
        <v>177</v>
      </c>
      <c r="D29" s="3"/>
      <c r="E29" s="3"/>
      <c r="F29" s="3" t="s">
        <v>17</v>
      </c>
      <c r="G29" s="3" t="s">
        <v>18</v>
      </c>
      <c r="H29" s="4">
        <v>46289.032661921286</v>
      </c>
      <c r="I29" s="4">
        <v>46289.175365162038</v>
      </c>
      <c r="J29" s="3">
        <f t="shared" si="0"/>
        <v>205</v>
      </c>
      <c r="K29" s="3" t="s">
        <v>178</v>
      </c>
      <c r="L29" s="3" t="s">
        <v>43</v>
      </c>
      <c r="M29" s="3" t="s">
        <v>44</v>
      </c>
      <c r="N29" s="3" t="s">
        <v>23</v>
      </c>
      <c r="O29" s="3" t="s">
        <v>179</v>
      </c>
    </row>
    <row r="30" spans="1:15" hidden="1" x14ac:dyDescent="0.75">
      <c r="A30" s="2">
        <v>46289</v>
      </c>
      <c r="B30" s="3" t="s">
        <v>180</v>
      </c>
      <c r="C30" s="3" t="s">
        <v>181</v>
      </c>
      <c r="D30" s="3" t="s">
        <v>17</v>
      </c>
      <c r="E30" s="3" t="s">
        <v>18</v>
      </c>
      <c r="F30" s="3" t="s">
        <v>182</v>
      </c>
      <c r="G30" s="3" t="s">
        <v>183</v>
      </c>
      <c r="H30" s="4">
        <v>46289.034095833333</v>
      </c>
      <c r="I30" s="4">
        <v>46289.110073263888</v>
      </c>
      <c r="J30" s="3">
        <f t="shared" si="0"/>
        <v>109</v>
      </c>
      <c r="K30" s="3" t="s">
        <v>184</v>
      </c>
      <c r="L30" s="3" t="s">
        <v>77</v>
      </c>
      <c r="M30" s="3" t="s">
        <v>78</v>
      </c>
      <c r="N30" s="3" t="s">
        <v>23</v>
      </c>
      <c r="O30" s="3" t="s">
        <v>185</v>
      </c>
    </row>
    <row r="31" spans="1:15" hidden="1" x14ac:dyDescent="0.75">
      <c r="A31" s="2">
        <v>46289</v>
      </c>
      <c r="B31" s="3" t="s">
        <v>186</v>
      </c>
      <c r="C31" s="3" t="s">
        <v>187</v>
      </c>
      <c r="D31" s="3" t="s">
        <v>27</v>
      </c>
      <c r="E31" s="3" t="s">
        <v>28</v>
      </c>
      <c r="F31" s="3" t="s">
        <v>82</v>
      </c>
      <c r="G31" s="3" t="s">
        <v>83</v>
      </c>
      <c r="H31" s="4">
        <v>46289.035488541667</v>
      </c>
      <c r="I31" s="4">
        <v>46289.150177777781</v>
      </c>
      <c r="J31" s="3">
        <f t="shared" si="0"/>
        <v>165</v>
      </c>
      <c r="K31" s="3" t="s">
        <v>188</v>
      </c>
      <c r="L31" s="3" t="s">
        <v>22</v>
      </c>
      <c r="M31" s="3" t="s">
        <v>22</v>
      </c>
      <c r="N31" s="3" t="s">
        <v>23</v>
      </c>
      <c r="O31" s="3" t="s">
        <v>189</v>
      </c>
    </row>
    <row r="32" spans="1:15" hidden="1" x14ac:dyDescent="0.75">
      <c r="A32" s="2">
        <v>46289</v>
      </c>
      <c r="B32" s="3" t="s">
        <v>190</v>
      </c>
      <c r="C32" s="3" t="s">
        <v>191</v>
      </c>
      <c r="D32" s="3" t="s">
        <v>56</v>
      </c>
      <c r="E32" s="3" t="s">
        <v>57</v>
      </c>
      <c r="F32" s="3" t="s">
        <v>19</v>
      </c>
      <c r="G32" s="3" t="s">
        <v>20</v>
      </c>
      <c r="H32" s="4">
        <v>46289.035782523148</v>
      </c>
      <c r="I32" s="4">
        <v>46289.062146990742</v>
      </c>
      <c r="J32" s="3">
        <f t="shared" si="0"/>
        <v>38</v>
      </c>
      <c r="K32" s="3" t="s">
        <v>192</v>
      </c>
      <c r="L32" s="3" t="s">
        <v>36</v>
      </c>
      <c r="M32" s="3" t="s">
        <v>36</v>
      </c>
      <c r="N32" s="3" t="s">
        <v>23</v>
      </c>
      <c r="O32" s="3" t="s">
        <v>193</v>
      </c>
    </row>
    <row r="33" spans="1:15" hidden="1" x14ac:dyDescent="0.75">
      <c r="A33" s="2">
        <v>46289</v>
      </c>
      <c r="B33" s="3" t="s">
        <v>194</v>
      </c>
      <c r="C33" s="3" t="s">
        <v>195</v>
      </c>
      <c r="D33" s="3" t="s">
        <v>56</v>
      </c>
      <c r="E33" s="3" t="s">
        <v>57</v>
      </c>
      <c r="F33" s="3" t="s">
        <v>196</v>
      </c>
      <c r="G33" s="3" t="s">
        <v>197</v>
      </c>
      <c r="H33" s="4">
        <v>46289.036781249997</v>
      </c>
      <c r="I33" s="4">
        <v>46289.111035416667</v>
      </c>
      <c r="J33" s="3">
        <f t="shared" si="0"/>
        <v>107</v>
      </c>
      <c r="K33" s="3" t="s">
        <v>198</v>
      </c>
      <c r="L33" s="3" t="s">
        <v>36</v>
      </c>
      <c r="M33" s="3" t="s">
        <v>36</v>
      </c>
      <c r="N33" s="3" t="s">
        <v>45</v>
      </c>
      <c r="O33" s="3" t="s">
        <v>199</v>
      </c>
    </row>
    <row r="34" spans="1:15" hidden="1" x14ac:dyDescent="0.75">
      <c r="A34" s="2">
        <v>46289</v>
      </c>
      <c r="B34" s="3" t="s">
        <v>200</v>
      </c>
      <c r="C34" s="3" t="s">
        <v>201</v>
      </c>
      <c r="D34" s="3" t="s">
        <v>27</v>
      </c>
      <c r="E34" s="3" t="s">
        <v>28</v>
      </c>
      <c r="F34" s="3" t="s">
        <v>202</v>
      </c>
      <c r="G34" s="3" t="s">
        <v>203</v>
      </c>
      <c r="H34" s="4">
        <v>46289.037769560193</v>
      </c>
      <c r="I34" s="4">
        <v>46289.297851157397</v>
      </c>
      <c r="J34" s="3">
        <f t="shared" si="0"/>
        <v>375</v>
      </c>
      <c r="K34" s="3" t="s">
        <v>204</v>
      </c>
      <c r="L34" s="3" t="s">
        <v>43</v>
      </c>
      <c r="M34" s="3" t="s">
        <v>44</v>
      </c>
      <c r="N34" s="3" t="s">
        <v>23</v>
      </c>
      <c r="O34" s="3" t="s">
        <v>205</v>
      </c>
    </row>
    <row r="35" spans="1:15" hidden="1" x14ac:dyDescent="0.75">
      <c r="A35" s="2">
        <v>46289</v>
      </c>
      <c r="B35" s="3" t="s">
        <v>206</v>
      </c>
      <c r="C35" s="3" t="s">
        <v>207</v>
      </c>
      <c r="D35" s="3" t="s">
        <v>56</v>
      </c>
      <c r="E35" s="3" t="s">
        <v>57</v>
      </c>
      <c r="F35" s="3" t="s">
        <v>208</v>
      </c>
      <c r="G35" s="3" t="s">
        <v>209</v>
      </c>
      <c r="H35" s="4">
        <v>46289.037818634257</v>
      </c>
      <c r="I35" s="4">
        <v>46289.137228009262</v>
      </c>
      <c r="J35" s="3">
        <f t="shared" si="0"/>
        <v>143</v>
      </c>
      <c r="K35" s="3" t="s">
        <v>210</v>
      </c>
      <c r="L35" s="3" t="s">
        <v>36</v>
      </c>
      <c r="M35" s="3" t="s">
        <v>36</v>
      </c>
      <c r="N35" s="3" t="s">
        <v>23</v>
      </c>
      <c r="O35" s="3" t="s">
        <v>211</v>
      </c>
    </row>
    <row r="36" spans="1:15" hidden="1" x14ac:dyDescent="0.75">
      <c r="A36" s="2">
        <v>46289</v>
      </c>
      <c r="B36" s="3" t="s">
        <v>212</v>
      </c>
      <c r="C36" s="3" t="s">
        <v>213</v>
      </c>
      <c r="D36" s="3" t="s">
        <v>82</v>
      </c>
      <c r="E36" s="3" t="s">
        <v>83</v>
      </c>
      <c r="F36" s="3" t="s">
        <v>27</v>
      </c>
      <c r="G36" s="3" t="s">
        <v>28</v>
      </c>
      <c r="H36" s="4">
        <v>46289.038917939812</v>
      </c>
      <c r="I36" s="4">
        <v>46289.136067013889</v>
      </c>
      <c r="J36" s="3">
        <f t="shared" si="0"/>
        <v>140</v>
      </c>
      <c r="K36" s="3" t="s">
        <v>214</v>
      </c>
      <c r="L36" s="3" t="s">
        <v>77</v>
      </c>
      <c r="M36" s="3" t="s">
        <v>78</v>
      </c>
      <c r="N36" s="3" t="s">
        <v>23</v>
      </c>
      <c r="O36" s="3" t="s">
        <v>215</v>
      </c>
    </row>
    <row r="37" spans="1:15" hidden="1" x14ac:dyDescent="0.75">
      <c r="A37" s="2">
        <v>46289</v>
      </c>
      <c r="B37" s="3" t="s">
        <v>216</v>
      </c>
      <c r="C37" s="3" t="s">
        <v>217</v>
      </c>
      <c r="D37" s="3" t="s">
        <v>56</v>
      </c>
      <c r="E37" s="3" t="s">
        <v>57</v>
      </c>
      <c r="F37" s="3" t="s">
        <v>218</v>
      </c>
      <c r="G37" s="3" t="s">
        <v>219</v>
      </c>
      <c r="H37" s="4">
        <v>46289.038974074072</v>
      </c>
      <c r="I37" s="4">
        <v>46289.134141203707</v>
      </c>
      <c r="J37" s="3">
        <f t="shared" si="0"/>
        <v>137</v>
      </c>
      <c r="K37" s="3" t="s">
        <v>220</v>
      </c>
      <c r="L37" s="3" t="s">
        <v>77</v>
      </c>
      <c r="M37" s="3" t="s">
        <v>78</v>
      </c>
      <c r="N37" s="3" t="s">
        <v>23</v>
      </c>
      <c r="O37" s="3" t="s">
        <v>221</v>
      </c>
    </row>
    <row r="38" spans="1:15" hidden="1" x14ac:dyDescent="0.75">
      <c r="A38" s="2">
        <v>46289</v>
      </c>
      <c r="B38" s="3" t="s">
        <v>222</v>
      </c>
      <c r="C38" s="3" t="s">
        <v>223</v>
      </c>
      <c r="D38" s="3" t="s">
        <v>17</v>
      </c>
      <c r="E38" s="3" t="s">
        <v>18</v>
      </c>
      <c r="F38" s="3" t="s">
        <v>218</v>
      </c>
      <c r="G38" s="3" t="s">
        <v>219</v>
      </c>
      <c r="H38" s="4">
        <v>46289.039861458332</v>
      </c>
      <c r="I38" s="4">
        <v>46289.090303703713</v>
      </c>
      <c r="J38" s="3">
        <f t="shared" si="0"/>
        <v>73</v>
      </c>
      <c r="K38" s="3" t="s">
        <v>224</v>
      </c>
      <c r="L38" s="3" t="s">
        <v>77</v>
      </c>
      <c r="M38" s="3" t="s">
        <v>78</v>
      </c>
      <c r="N38" s="3" t="s">
        <v>23</v>
      </c>
      <c r="O38" s="3" t="s">
        <v>225</v>
      </c>
    </row>
    <row r="39" spans="1:15" hidden="1" x14ac:dyDescent="0.75">
      <c r="A39" s="2">
        <v>46289</v>
      </c>
      <c r="B39" s="3" t="s">
        <v>226</v>
      </c>
      <c r="C39" s="3" t="s">
        <v>227</v>
      </c>
      <c r="D39" s="3" t="s">
        <v>228</v>
      </c>
      <c r="E39" s="3" t="s">
        <v>229</v>
      </c>
      <c r="F39" s="3" t="s">
        <v>27</v>
      </c>
      <c r="G39" s="3" t="s">
        <v>28</v>
      </c>
      <c r="H39" s="4">
        <v>46289.039962268522</v>
      </c>
      <c r="I39" s="4">
        <v>46289.505853703697</v>
      </c>
      <c r="J39" s="3">
        <f t="shared" si="0"/>
        <v>671</v>
      </c>
      <c r="K39" s="3" t="s">
        <v>230</v>
      </c>
      <c r="L39" s="3" t="s">
        <v>77</v>
      </c>
      <c r="M39" s="3" t="s">
        <v>78</v>
      </c>
      <c r="N39" s="3" t="s">
        <v>23</v>
      </c>
      <c r="O39" s="3" t="s">
        <v>231</v>
      </c>
    </row>
    <row r="40" spans="1:15" hidden="1" x14ac:dyDescent="0.75">
      <c r="A40" s="2">
        <v>46289</v>
      </c>
      <c r="B40" s="3" t="s">
        <v>232</v>
      </c>
      <c r="C40" s="3" t="s">
        <v>233</v>
      </c>
      <c r="D40" s="3" t="s">
        <v>27</v>
      </c>
      <c r="E40" s="3" t="s">
        <v>28</v>
      </c>
      <c r="F40" s="3" t="s">
        <v>234</v>
      </c>
      <c r="G40" s="3" t="s">
        <v>235</v>
      </c>
      <c r="H40" s="4">
        <v>46289.040264467592</v>
      </c>
      <c r="I40" s="4">
        <v>46289.074883449073</v>
      </c>
      <c r="J40" s="3">
        <f t="shared" si="0"/>
        <v>50</v>
      </c>
      <c r="K40" s="3" t="s">
        <v>236</v>
      </c>
      <c r="L40" s="3" t="s">
        <v>77</v>
      </c>
      <c r="M40" s="3" t="s">
        <v>78</v>
      </c>
      <c r="N40" s="3" t="s">
        <v>23</v>
      </c>
      <c r="O40" s="3" t="s">
        <v>237</v>
      </c>
    </row>
    <row r="41" spans="1:15" hidden="1" x14ac:dyDescent="0.75">
      <c r="A41" s="2">
        <v>46289</v>
      </c>
      <c r="B41" s="3" t="s">
        <v>238</v>
      </c>
      <c r="C41" s="3" t="s">
        <v>239</v>
      </c>
      <c r="D41" s="3" t="s">
        <v>56</v>
      </c>
      <c r="E41" s="3" t="s">
        <v>57</v>
      </c>
      <c r="F41" s="3" t="s">
        <v>56</v>
      </c>
      <c r="G41" s="3" t="s">
        <v>57</v>
      </c>
      <c r="H41" s="4">
        <v>46289.041288773151</v>
      </c>
      <c r="I41" s="4">
        <v>46289.043154050923</v>
      </c>
      <c r="J41" s="3">
        <f t="shared" si="0"/>
        <v>3</v>
      </c>
      <c r="K41" s="3" t="s">
        <v>240</v>
      </c>
      <c r="L41" s="3" t="s">
        <v>52</v>
      </c>
      <c r="M41" s="3"/>
      <c r="N41" s="3" t="s">
        <v>23</v>
      </c>
      <c r="O41" s="3" t="s">
        <v>241</v>
      </c>
    </row>
    <row r="42" spans="1:15" hidden="1" x14ac:dyDescent="0.75">
      <c r="A42" s="2">
        <v>46289</v>
      </c>
      <c r="B42" s="3" t="s">
        <v>242</v>
      </c>
      <c r="C42" s="3" t="s">
        <v>243</v>
      </c>
      <c r="D42" s="3" t="s">
        <v>56</v>
      </c>
      <c r="E42" s="3" t="s">
        <v>57</v>
      </c>
      <c r="F42" s="3" t="s">
        <v>244</v>
      </c>
      <c r="G42" s="3" t="s">
        <v>245</v>
      </c>
      <c r="H42" s="4">
        <v>46289.042252777777</v>
      </c>
      <c r="I42" s="4">
        <v>46289.143188541668</v>
      </c>
      <c r="J42" s="3">
        <f t="shared" si="0"/>
        <v>145</v>
      </c>
      <c r="K42" s="3" t="s">
        <v>246</v>
      </c>
      <c r="L42" s="3" t="s">
        <v>36</v>
      </c>
      <c r="M42" s="3" t="s">
        <v>36</v>
      </c>
      <c r="N42" s="3" t="s">
        <v>45</v>
      </c>
      <c r="O42" s="3" t="s">
        <v>247</v>
      </c>
    </row>
    <row r="43" spans="1:15" hidden="1" x14ac:dyDescent="0.75">
      <c r="A43" s="2">
        <v>46289</v>
      </c>
      <c r="B43" s="3" t="s">
        <v>238</v>
      </c>
      <c r="C43" s="3" t="s">
        <v>239</v>
      </c>
      <c r="D43" s="3" t="s">
        <v>56</v>
      </c>
      <c r="E43" s="3" t="s">
        <v>57</v>
      </c>
      <c r="F43" s="3" t="s">
        <v>248</v>
      </c>
      <c r="G43" s="3" t="s">
        <v>249</v>
      </c>
      <c r="H43" s="4">
        <v>46289.043157870372</v>
      </c>
      <c r="I43" s="4">
        <v>46289.044776157411</v>
      </c>
      <c r="J43" s="3">
        <f t="shared" si="0"/>
        <v>2</v>
      </c>
      <c r="K43" s="3" t="s">
        <v>240</v>
      </c>
      <c r="L43" s="3" t="s">
        <v>52</v>
      </c>
      <c r="M43" s="3"/>
      <c r="N43" s="3" t="s">
        <v>23</v>
      </c>
      <c r="O43" s="3" t="s">
        <v>241</v>
      </c>
    </row>
    <row r="44" spans="1:15" hidden="1" x14ac:dyDescent="0.75">
      <c r="A44" s="2">
        <v>46289</v>
      </c>
      <c r="B44" s="3" t="s">
        <v>250</v>
      </c>
      <c r="C44" s="3" t="s">
        <v>251</v>
      </c>
      <c r="D44" s="3" t="s">
        <v>56</v>
      </c>
      <c r="E44" s="3" t="s">
        <v>57</v>
      </c>
      <c r="F44" s="3" t="s">
        <v>27</v>
      </c>
      <c r="G44" s="3" t="s">
        <v>28</v>
      </c>
      <c r="H44" s="4">
        <v>46289.043303356477</v>
      </c>
      <c r="I44" s="4">
        <v>46289.156008796293</v>
      </c>
      <c r="J44" s="3">
        <f t="shared" si="0"/>
        <v>162</v>
      </c>
      <c r="K44" s="3" t="s">
        <v>252</v>
      </c>
      <c r="L44" s="3" t="s">
        <v>36</v>
      </c>
      <c r="M44" s="3" t="s">
        <v>36</v>
      </c>
      <c r="N44" s="3" t="s">
        <v>23</v>
      </c>
      <c r="O44" s="3" t="s">
        <v>253</v>
      </c>
    </row>
    <row r="45" spans="1:15" hidden="1" x14ac:dyDescent="0.75">
      <c r="A45" s="2">
        <v>46289</v>
      </c>
      <c r="B45" s="3" t="s">
        <v>254</v>
      </c>
      <c r="C45" s="3" t="s">
        <v>255</v>
      </c>
      <c r="D45" s="3" t="s">
        <v>56</v>
      </c>
      <c r="E45" s="3" t="s">
        <v>57</v>
      </c>
      <c r="F45" s="3" t="s">
        <v>49</v>
      </c>
      <c r="G45" s="3" t="s">
        <v>50</v>
      </c>
      <c r="H45" s="4">
        <v>46289.044248958337</v>
      </c>
      <c r="I45" s="4">
        <v>46289.138053240742</v>
      </c>
      <c r="J45" s="3">
        <f t="shared" si="0"/>
        <v>135</v>
      </c>
      <c r="K45" s="3" t="s">
        <v>256</v>
      </c>
      <c r="L45" s="3" t="s">
        <v>36</v>
      </c>
      <c r="M45" s="3" t="s">
        <v>36</v>
      </c>
      <c r="N45" s="3" t="s">
        <v>45</v>
      </c>
      <c r="O45" s="3" t="s">
        <v>257</v>
      </c>
    </row>
    <row r="46" spans="1:15" hidden="1" x14ac:dyDescent="0.75">
      <c r="A46" s="2">
        <v>46289</v>
      </c>
      <c r="B46" s="3" t="s">
        <v>238</v>
      </c>
      <c r="C46" s="3" t="s">
        <v>239</v>
      </c>
      <c r="D46" s="3" t="s">
        <v>248</v>
      </c>
      <c r="E46" s="3" t="s">
        <v>249</v>
      </c>
      <c r="F46" s="3"/>
      <c r="G46" s="3"/>
      <c r="H46" s="4">
        <v>46289.044779050928</v>
      </c>
      <c r="I46" s="4">
        <v>46289.046805787038</v>
      </c>
      <c r="J46" s="3">
        <f t="shared" si="0"/>
        <v>3</v>
      </c>
      <c r="K46" s="3" t="s">
        <v>240</v>
      </c>
      <c r="L46" s="3" t="s">
        <v>52</v>
      </c>
      <c r="M46" s="3"/>
      <c r="N46" s="3" t="s">
        <v>23</v>
      </c>
      <c r="O46" s="3" t="s">
        <v>241</v>
      </c>
    </row>
    <row r="47" spans="1:15" hidden="1" x14ac:dyDescent="0.75">
      <c r="A47" s="2">
        <v>46289</v>
      </c>
      <c r="B47" s="3" t="s">
        <v>258</v>
      </c>
      <c r="C47" s="3" t="s">
        <v>259</v>
      </c>
      <c r="D47" s="3" t="s">
        <v>27</v>
      </c>
      <c r="E47" s="3" t="s">
        <v>28</v>
      </c>
      <c r="F47" s="3" t="s">
        <v>49</v>
      </c>
      <c r="G47" s="3" t="s">
        <v>50</v>
      </c>
      <c r="H47" s="4">
        <v>46289.045243402783</v>
      </c>
      <c r="I47" s="4">
        <v>46289.086901620372</v>
      </c>
      <c r="J47" s="3">
        <f t="shared" si="0"/>
        <v>60</v>
      </c>
      <c r="K47" s="3" t="s">
        <v>260</v>
      </c>
      <c r="L47" s="3" t="s">
        <v>52</v>
      </c>
      <c r="M47" s="3"/>
      <c r="N47" s="3" t="s">
        <v>23</v>
      </c>
      <c r="O47" s="3" t="s">
        <v>261</v>
      </c>
    </row>
    <row r="48" spans="1:15" hidden="1" x14ac:dyDescent="0.75">
      <c r="A48" s="2">
        <v>46289</v>
      </c>
      <c r="B48" s="3" t="s">
        <v>262</v>
      </c>
      <c r="C48" s="3" t="s">
        <v>263</v>
      </c>
      <c r="D48" s="3" t="s">
        <v>56</v>
      </c>
      <c r="E48" s="3" t="s">
        <v>57</v>
      </c>
      <c r="F48" s="3" t="s">
        <v>264</v>
      </c>
      <c r="G48" s="3" t="s">
        <v>265</v>
      </c>
      <c r="H48" s="4">
        <v>46289.045283680563</v>
      </c>
      <c r="I48" s="4">
        <v>46289.23486759259</v>
      </c>
      <c r="J48" s="3">
        <f t="shared" si="0"/>
        <v>273</v>
      </c>
      <c r="K48" s="3" t="s">
        <v>266</v>
      </c>
      <c r="L48" s="3" t="s">
        <v>22</v>
      </c>
      <c r="M48" s="3" t="s">
        <v>22</v>
      </c>
      <c r="N48" s="3" t="s">
        <v>23</v>
      </c>
      <c r="O48" s="3" t="s">
        <v>267</v>
      </c>
    </row>
    <row r="49" spans="1:15" hidden="1" x14ac:dyDescent="0.75">
      <c r="A49" s="2">
        <v>46289</v>
      </c>
      <c r="B49" s="3" t="s">
        <v>268</v>
      </c>
      <c r="C49" s="3" t="s">
        <v>269</v>
      </c>
      <c r="D49" s="3" t="s">
        <v>56</v>
      </c>
      <c r="E49" s="3" t="s">
        <v>57</v>
      </c>
      <c r="F49" s="3" t="s">
        <v>270</v>
      </c>
      <c r="G49" s="3" t="s">
        <v>271</v>
      </c>
      <c r="H49" s="4">
        <v>46289.046575347224</v>
      </c>
      <c r="I49" s="4">
        <v>46289.142036805562</v>
      </c>
      <c r="J49" s="3">
        <f t="shared" si="0"/>
        <v>137</v>
      </c>
      <c r="K49" s="3" t="s">
        <v>272</v>
      </c>
      <c r="L49" s="3" t="s">
        <v>36</v>
      </c>
      <c r="M49" s="3" t="s">
        <v>36</v>
      </c>
      <c r="N49" s="3" t="s">
        <v>45</v>
      </c>
      <c r="O49" s="3" t="s">
        <v>273</v>
      </c>
    </row>
    <row r="50" spans="1:15" hidden="1" x14ac:dyDescent="0.75">
      <c r="A50" s="2">
        <v>46289</v>
      </c>
      <c r="B50" s="3" t="s">
        <v>238</v>
      </c>
      <c r="C50" s="3" t="s">
        <v>239</v>
      </c>
      <c r="D50" s="3"/>
      <c r="E50" s="3"/>
      <c r="F50" s="3"/>
      <c r="G50" s="3"/>
      <c r="H50" s="4">
        <v>46289.046811458327</v>
      </c>
      <c r="I50" s="4">
        <v>46289.047958912037</v>
      </c>
      <c r="J50" s="3">
        <f t="shared" si="0"/>
        <v>2</v>
      </c>
      <c r="K50" s="3" t="s">
        <v>240</v>
      </c>
      <c r="L50" s="3" t="s">
        <v>52</v>
      </c>
      <c r="M50" s="3"/>
      <c r="N50" s="3" t="s">
        <v>23</v>
      </c>
      <c r="O50" s="3" t="s">
        <v>241</v>
      </c>
    </row>
    <row r="51" spans="1:15" hidden="1" x14ac:dyDescent="0.75">
      <c r="A51" s="2">
        <v>46289</v>
      </c>
      <c r="B51" s="3" t="s">
        <v>274</v>
      </c>
      <c r="C51" s="3" t="s">
        <v>275</v>
      </c>
      <c r="D51" s="3" t="s">
        <v>17</v>
      </c>
      <c r="E51" s="3" t="s">
        <v>18</v>
      </c>
      <c r="F51" s="3" t="s">
        <v>122</v>
      </c>
      <c r="G51" s="3" t="s">
        <v>123</v>
      </c>
      <c r="H51" s="4">
        <v>46289.04785949074</v>
      </c>
      <c r="I51" s="4">
        <v>46289.293122916657</v>
      </c>
      <c r="J51" s="3">
        <f t="shared" si="0"/>
        <v>353</v>
      </c>
      <c r="K51" s="3" t="s">
        <v>276</v>
      </c>
      <c r="L51" s="3" t="s">
        <v>22</v>
      </c>
      <c r="M51" s="3" t="s">
        <v>22</v>
      </c>
      <c r="N51" s="3" t="s">
        <v>23</v>
      </c>
      <c r="O51" s="3" t="s">
        <v>277</v>
      </c>
    </row>
    <row r="52" spans="1:15" hidden="1" x14ac:dyDescent="0.75">
      <c r="A52" s="2">
        <v>46289</v>
      </c>
      <c r="B52" s="3" t="s">
        <v>238</v>
      </c>
      <c r="C52" s="3" t="s">
        <v>239</v>
      </c>
      <c r="D52" s="3"/>
      <c r="E52" s="3"/>
      <c r="F52" s="3"/>
      <c r="G52" s="3"/>
      <c r="H52" s="4">
        <v>46289.047963078701</v>
      </c>
      <c r="I52" s="4">
        <v>46289.048014814813</v>
      </c>
      <c r="J52" s="3">
        <f t="shared" si="0"/>
        <v>0</v>
      </c>
      <c r="K52" s="3" t="s">
        <v>240</v>
      </c>
      <c r="L52" s="3" t="s">
        <v>52</v>
      </c>
      <c r="M52" s="3"/>
      <c r="N52" s="3" t="s">
        <v>23</v>
      </c>
      <c r="O52" s="3" t="s">
        <v>241</v>
      </c>
    </row>
    <row r="53" spans="1:15" hidden="1" x14ac:dyDescent="0.75">
      <c r="A53" s="2">
        <v>46289</v>
      </c>
      <c r="B53" s="3" t="s">
        <v>238</v>
      </c>
      <c r="C53" s="3" t="s">
        <v>239</v>
      </c>
      <c r="D53" s="3"/>
      <c r="E53" s="3"/>
      <c r="F53" s="3"/>
      <c r="G53" s="3"/>
      <c r="H53" s="4">
        <v>46289.04801979167</v>
      </c>
      <c r="I53" s="4">
        <v>46289.048536111113</v>
      </c>
      <c r="J53" s="3">
        <f t="shared" si="0"/>
        <v>1</v>
      </c>
      <c r="K53" s="3" t="s">
        <v>240</v>
      </c>
      <c r="L53" s="3" t="s">
        <v>52</v>
      </c>
      <c r="M53" s="3"/>
      <c r="N53" s="3" t="s">
        <v>23</v>
      </c>
      <c r="O53" s="3" t="s">
        <v>241</v>
      </c>
    </row>
    <row r="54" spans="1:15" hidden="1" x14ac:dyDescent="0.75">
      <c r="A54" s="2">
        <v>46289</v>
      </c>
      <c r="B54" s="3" t="s">
        <v>238</v>
      </c>
      <c r="C54" s="3" t="s">
        <v>239</v>
      </c>
      <c r="D54" s="3"/>
      <c r="E54" s="3"/>
      <c r="F54" s="3"/>
      <c r="G54" s="3"/>
      <c r="H54" s="4">
        <v>46289.048539467592</v>
      </c>
      <c r="I54" s="4">
        <v>46289.048710532406</v>
      </c>
      <c r="J54" s="3">
        <f t="shared" si="0"/>
        <v>0</v>
      </c>
      <c r="K54" s="3" t="s">
        <v>240</v>
      </c>
      <c r="L54" s="3" t="s">
        <v>52</v>
      </c>
      <c r="M54" s="3"/>
      <c r="N54" s="3" t="s">
        <v>23</v>
      </c>
      <c r="O54" s="3" t="s">
        <v>241</v>
      </c>
    </row>
    <row r="55" spans="1:15" hidden="1" x14ac:dyDescent="0.75">
      <c r="A55" s="2">
        <v>46289</v>
      </c>
      <c r="B55" s="3" t="s">
        <v>238</v>
      </c>
      <c r="C55" s="3" t="s">
        <v>239</v>
      </c>
      <c r="D55" s="3"/>
      <c r="E55" s="3"/>
      <c r="F55" s="3"/>
      <c r="G55" s="3"/>
      <c r="H55" s="4">
        <v>46289.048712268523</v>
      </c>
      <c r="I55" s="4">
        <v>46289.052815509262</v>
      </c>
      <c r="J55" s="3">
        <f t="shared" si="0"/>
        <v>6</v>
      </c>
      <c r="K55" s="3" t="s">
        <v>240</v>
      </c>
      <c r="L55" s="3" t="s">
        <v>52</v>
      </c>
      <c r="M55" s="3"/>
      <c r="N55" s="3" t="s">
        <v>23</v>
      </c>
      <c r="O55" s="3" t="s">
        <v>241</v>
      </c>
    </row>
    <row r="56" spans="1:15" hidden="1" x14ac:dyDescent="0.75">
      <c r="A56" s="2">
        <v>46289</v>
      </c>
      <c r="B56" s="3" t="s">
        <v>278</v>
      </c>
      <c r="C56" s="3" t="s">
        <v>279</v>
      </c>
      <c r="D56" s="3" t="s">
        <v>280</v>
      </c>
      <c r="E56" s="3" t="s">
        <v>281</v>
      </c>
      <c r="F56" s="3" t="s">
        <v>27</v>
      </c>
      <c r="G56" s="3" t="s">
        <v>28</v>
      </c>
      <c r="H56" s="4">
        <v>46289.049105555547</v>
      </c>
      <c r="I56" s="4">
        <v>46289.189484374998</v>
      </c>
      <c r="J56" s="3">
        <f t="shared" si="0"/>
        <v>202</v>
      </c>
      <c r="K56" s="3" t="s">
        <v>282</v>
      </c>
      <c r="L56" s="3" t="s">
        <v>36</v>
      </c>
      <c r="M56" s="3" t="s">
        <v>36</v>
      </c>
      <c r="N56" s="3" t="s">
        <v>23</v>
      </c>
      <c r="O56" s="3" t="s">
        <v>283</v>
      </c>
    </row>
    <row r="57" spans="1:15" hidden="1" x14ac:dyDescent="0.75">
      <c r="A57" s="2">
        <v>46289</v>
      </c>
      <c r="B57" s="3" t="s">
        <v>284</v>
      </c>
      <c r="C57" s="3" t="s">
        <v>285</v>
      </c>
      <c r="D57" s="3" t="s">
        <v>27</v>
      </c>
      <c r="E57" s="3" t="s">
        <v>28</v>
      </c>
      <c r="F57" s="3" t="s">
        <v>286</v>
      </c>
      <c r="G57" s="3" t="s">
        <v>287</v>
      </c>
      <c r="H57" s="4">
        <v>46289.049312268522</v>
      </c>
      <c r="I57" s="4">
        <v>46289.327654513887</v>
      </c>
      <c r="J57" s="3">
        <f t="shared" si="0"/>
        <v>401</v>
      </c>
      <c r="K57" s="3" t="s">
        <v>288</v>
      </c>
      <c r="L57" s="3" t="s">
        <v>43</v>
      </c>
      <c r="M57" s="3" t="s">
        <v>44</v>
      </c>
      <c r="N57" s="3" t="s">
        <v>23</v>
      </c>
      <c r="O57" s="3" t="s">
        <v>289</v>
      </c>
    </row>
    <row r="58" spans="1:15" hidden="1" x14ac:dyDescent="0.75">
      <c r="A58" s="2">
        <v>46289</v>
      </c>
      <c r="B58" s="3" t="s">
        <v>238</v>
      </c>
      <c r="C58" s="3" t="s">
        <v>239</v>
      </c>
      <c r="D58" s="3"/>
      <c r="E58" s="3"/>
      <c r="F58" s="3"/>
      <c r="G58" s="3"/>
      <c r="H58" s="4">
        <v>46289.052821180558</v>
      </c>
      <c r="I58" s="4">
        <v>46289.053797337961</v>
      </c>
      <c r="J58" s="3">
        <f t="shared" si="0"/>
        <v>1</v>
      </c>
      <c r="K58" s="3" t="s">
        <v>240</v>
      </c>
      <c r="L58" s="3" t="s">
        <v>52</v>
      </c>
      <c r="M58" s="3"/>
      <c r="N58" s="3" t="s">
        <v>23</v>
      </c>
      <c r="O58" s="3" t="s">
        <v>241</v>
      </c>
    </row>
    <row r="59" spans="1:15" hidden="1" x14ac:dyDescent="0.75">
      <c r="A59" s="2">
        <v>46289</v>
      </c>
      <c r="B59" s="3" t="s">
        <v>238</v>
      </c>
      <c r="C59" s="3" t="s">
        <v>239</v>
      </c>
      <c r="D59" s="3"/>
      <c r="E59" s="3"/>
      <c r="F59" s="3"/>
      <c r="G59" s="3"/>
      <c r="H59" s="4">
        <v>46289.053802662027</v>
      </c>
      <c r="I59" s="4">
        <v>46289.055434374997</v>
      </c>
      <c r="J59" s="3">
        <f t="shared" si="0"/>
        <v>2</v>
      </c>
      <c r="K59" s="3" t="s">
        <v>240</v>
      </c>
      <c r="L59" s="3" t="s">
        <v>52</v>
      </c>
      <c r="M59" s="3"/>
      <c r="N59" s="3" t="s">
        <v>23</v>
      </c>
      <c r="O59" s="3" t="s">
        <v>241</v>
      </c>
    </row>
    <row r="60" spans="1:15" hidden="1" x14ac:dyDescent="0.75">
      <c r="A60" s="2">
        <v>46289</v>
      </c>
      <c r="B60" s="3" t="s">
        <v>290</v>
      </c>
      <c r="C60" s="3" t="s">
        <v>291</v>
      </c>
      <c r="D60" s="3" t="s">
        <v>208</v>
      </c>
      <c r="E60" s="3" t="s">
        <v>209</v>
      </c>
      <c r="F60" s="3" t="s">
        <v>56</v>
      </c>
      <c r="G60" s="3" t="s">
        <v>57</v>
      </c>
      <c r="H60" s="4">
        <v>46289.054342708332</v>
      </c>
      <c r="I60" s="4">
        <v>46289.165377199082</v>
      </c>
      <c r="J60" s="3">
        <f t="shared" si="0"/>
        <v>160</v>
      </c>
      <c r="K60" s="3" t="s">
        <v>292</v>
      </c>
      <c r="L60" s="3" t="s">
        <v>36</v>
      </c>
      <c r="M60" s="3" t="s">
        <v>36</v>
      </c>
      <c r="N60" s="3" t="s">
        <v>23</v>
      </c>
      <c r="O60" s="3" t="s">
        <v>293</v>
      </c>
    </row>
    <row r="61" spans="1:15" hidden="1" x14ac:dyDescent="0.75">
      <c r="A61" s="2">
        <v>46289</v>
      </c>
      <c r="B61" s="3" t="s">
        <v>238</v>
      </c>
      <c r="C61" s="3" t="s">
        <v>239</v>
      </c>
      <c r="D61" s="3"/>
      <c r="E61" s="3"/>
      <c r="F61" s="3"/>
      <c r="G61" s="3"/>
      <c r="H61" s="4">
        <v>46289.055439583331</v>
      </c>
      <c r="I61" s="4">
        <v>46289.055778935188</v>
      </c>
      <c r="J61" s="3">
        <f t="shared" si="0"/>
        <v>0</v>
      </c>
      <c r="K61" s="3" t="s">
        <v>240</v>
      </c>
      <c r="L61" s="3" t="s">
        <v>52</v>
      </c>
      <c r="M61" s="3"/>
      <c r="N61" s="3" t="s">
        <v>23</v>
      </c>
      <c r="O61" s="3" t="s">
        <v>241</v>
      </c>
    </row>
    <row r="62" spans="1:15" hidden="1" x14ac:dyDescent="0.75">
      <c r="A62" s="2">
        <v>46289</v>
      </c>
      <c r="B62" s="3" t="s">
        <v>238</v>
      </c>
      <c r="C62" s="3" t="s">
        <v>239</v>
      </c>
      <c r="D62" s="3"/>
      <c r="E62" s="3"/>
      <c r="F62" s="3"/>
      <c r="G62" s="3"/>
      <c r="H62" s="4">
        <v>46289.055782407413</v>
      </c>
      <c r="I62" s="4">
        <v>46289.056122800917</v>
      </c>
      <c r="J62" s="3">
        <f t="shared" si="0"/>
        <v>0</v>
      </c>
      <c r="K62" s="3" t="s">
        <v>240</v>
      </c>
      <c r="L62" s="3" t="s">
        <v>52</v>
      </c>
      <c r="M62" s="3"/>
      <c r="N62" s="3" t="s">
        <v>23</v>
      </c>
      <c r="O62" s="3" t="s">
        <v>241</v>
      </c>
    </row>
    <row r="63" spans="1:15" hidden="1" x14ac:dyDescent="0.75">
      <c r="A63" s="2">
        <v>46289</v>
      </c>
      <c r="B63" s="3" t="s">
        <v>238</v>
      </c>
      <c r="C63" s="3" t="s">
        <v>239</v>
      </c>
      <c r="D63" s="3"/>
      <c r="E63" s="3"/>
      <c r="F63" s="3"/>
      <c r="G63" s="3"/>
      <c r="H63" s="4">
        <v>46289.056123958333</v>
      </c>
      <c r="I63" s="4">
        <v>46289.056357754627</v>
      </c>
      <c r="J63" s="3">
        <f t="shared" si="0"/>
        <v>0</v>
      </c>
      <c r="K63" s="3" t="s">
        <v>240</v>
      </c>
      <c r="L63" s="3" t="s">
        <v>52</v>
      </c>
      <c r="M63" s="3"/>
      <c r="N63" s="3" t="s">
        <v>23</v>
      </c>
      <c r="O63" s="3" t="s">
        <v>241</v>
      </c>
    </row>
    <row r="64" spans="1:15" hidden="1" x14ac:dyDescent="0.75">
      <c r="A64" s="2">
        <v>46289</v>
      </c>
      <c r="B64" s="3" t="s">
        <v>238</v>
      </c>
      <c r="C64" s="3" t="s">
        <v>239</v>
      </c>
      <c r="D64" s="3"/>
      <c r="E64" s="3"/>
      <c r="F64" s="3"/>
      <c r="G64" s="3"/>
      <c r="H64" s="4">
        <v>46289.056360532413</v>
      </c>
      <c r="I64" s="4">
        <v>46289.058334027781</v>
      </c>
      <c r="J64" s="3">
        <f t="shared" si="0"/>
        <v>3</v>
      </c>
      <c r="K64" s="3" t="s">
        <v>240</v>
      </c>
      <c r="L64" s="3" t="s">
        <v>52</v>
      </c>
      <c r="M64" s="3"/>
      <c r="N64" s="3" t="s">
        <v>23</v>
      </c>
      <c r="O64" s="3" t="s">
        <v>241</v>
      </c>
    </row>
    <row r="65" spans="1:15" hidden="1" x14ac:dyDescent="0.75">
      <c r="A65" s="2">
        <v>46289</v>
      </c>
      <c r="B65" s="3" t="s">
        <v>294</v>
      </c>
      <c r="C65" s="3" t="s">
        <v>295</v>
      </c>
      <c r="D65" s="3" t="s">
        <v>27</v>
      </c>
      <c r="E65" s="3" t="s">
        <v>28</v>
      </c>
      <c r="F65" s="3" t="s">
        <v>148</v>
      </c>
      <c r="G65" s="3" t="s">
        <v>149</v>
      </c>
      <c r="H65" s="4">
        <v>46289.056997685177</v>
      </c>
      <c r="I65" s="4">
        <v>46289.121213425933</v>
      </c>
      <c r="J65" s="3">
        <f t="shared" si="0"/>
        <v>92</v>
      </c>
      <c r="K65" s="3" t="s">
        <v>296</v>
      </c>
      <c r="L65" s="3" t="s">
        <v>77</v>
      </c>
      <c r="M65" s="3" t="s">
        <v>78</v>
      </c>
      <c r="N65" s="3" t="s">
        <v>23</v>
      </c>
      <c r="O65" s="3" t="s">
        <v>297</v>
      </c>
    </row>
    <row r="66" spans="1:15" hidden="1" x14ac:dyDescent="0.75">
      <c r="A66" s="2">
        <v>46289</v>
      </c>
      <c r="B66" s="3" t="s">
        <v>298</v>
      </c>
      <c r="C66" s="3" t="s">
        <v>299</v>
      </c>
      <c r="D66" s="3" t="s">
        <v>56</v>
      </c>
      <c r="E66" s="3" t="s">
        <v>57</v>
      </c>
      <c r="F66" s="3" t="s">
        <v>158</v>
      </c>
      <c r="G66" s="3" t="s">
        <v>159</v>
      </c>
      <c r="H66" s="4">
        <v>46289.057920949082</v>
      </c>
      <c r="I66" s="4">
        <v>46289.142211226848</v>
      </c>
      <c r="J66" s="3">
        <f t="shared" ref="J66:J129" si="1">ROUND((I66-H66)*1440,0)</f>
        <v>121</v>
      </c>
      <c r="K66" s="3" t="s">
        <v>300</v>
      </c>
      <c r="L66" s="3" t="s">
        <v>77</v>
      </c>
      <c r="M66" s="3" t="s">
        <v>78</v>
      </c>
      <c r="N66" s="3" t="s">
        <v>23</v>
      </c>
      <c r="O66" s="3" t="s">
        <v>301</v>
      </c>
    </row>
    <row r="67" spans="1:15" hidden="1" x14ac:dyDescent="0.75">
      <c r="A67" s="2">
        <v>46289</v>
      </c>
      <c r="B67" s="3" t="s">
        <v>238</v>
      </c>
      <c r="C67" s="3" t="s">
        <v>239</v>
      </c>
      <c r="D67" s="3"/>
      <c r="E67" s="3"/>
      <c r="F67" s="3"/>
      <c r="G67" s="3"/>
      <c r="H67" s="4">
        <v>46289.058335416667</v>
      </c>
      <c r="I67" s="4">
        <v>46289.058625231482</v>
      </c>
      <c r="J67" s="3">
        <f t="shared" si="1"/>
        <v>0</v>
      </c>
      <c r="K67" s="3" t="s">
        <v>240</v>
      </c>
      <c r="L67" s="3" t="s">
        <v>52</v>
      </c>
      <c r="M67" s="3"/>
      <c r="N67" s="3" t="s">
        <v>23</v>
      </c>
      <c r="O67" s="3" t="s">
        <v>241</v>
      </c>
    </row>
    <row r="68" spans="1:15" hidden="1" x14ac:dyDescent="0.75">
      <c r="A68" s="2">
        <v>46289</v>
      </c>
      <c r="B68" s="3" t="s">
        <v>238</v>
      </c>
      <c r="C68" s="3" t="s">
        <v>239</v>
      </c>
      <c r="D68" s="3"/>
      <c r="E68" s="3"/>
      <c r="F68" s="3"/>
      <c r="G68" s="3"/>
      <c r="H68" s="4">
        <v>46289.05862650463</v>
      </c>
      <c r="I68" s="4">
        <v>46289.058972800929</v>
      </c>
      <c r="J68" s="3">
        <f t="shared" si="1"/>
        <v>0</v>
      </c>
      <c r="K68" s="3" t="s">
        <v>240</v>
      </c>
      <c r="L68" s="3" t="s">
        <v>52</v>
      </c>
      <c r="M68" s="3"/>
      <c r="N68" s="3" t="s">
        <v>23</v>
      </c>
      <c r="O68" s="3" t="s">
        <v>241</v>
      </c>
    </row>
    <row r="69" spans="1:15" hidden="1" x14ac:dyDescent="0.75">
      <c r="A69" s="2">
        <v>46289</v>
      </c>
      <c r="B69" s="3" t="s">
        <v>238</v>
      </c>
      <c r="C69" s="3" t="s">
        <v>239</v>
      </c>
      <c r="D69" s="3"/>
      <c r="E69" s="3"/>
      <c r="F69" s="3" t="s">
        <v>82</v>
      </c>
      <c r="G69" s="3" t="s">
        <v>83</v>
      </c>
      <c r="H69" s="4">
        <v>46289.058976967593</v>
      </c>
      <c r="I69" s="4">
        <v>46289.059560300928</v>
      </c>
      <c r="J69" s="3">
        <f t="shared" si="1"/>
        <v>1</v>
      </c>
      <c r="K69" s="3" t="s">
        <v>240</v>
      </c>
      <c r="L69" s="3" t="s">
        <v>52</v>
      </c>
      <c r="M69" s="3"/>
      <c r="N69" s="3" t="s">
        <v>23</v>
      </c>
      <c r="O69" s="3" t="s">
        <v>241</v>
      </c>
    </row>
    <row r="70" spans="1:15" hidden="1" x14ac:dyDescent="0.75">
      <c r="A70" s="2">
        <v>46289</v>
      </c>
      <c r="B70" s="3" t="s">
        <v>238</v>
      </c>
      <c r="C70" s="3" t="s">
        <v>239</v>
      </c>
      <c r="D70" s="3" t="s">
        <v>82</v>
      </c>
      <c r="E70" s="3" t="s">
        <v>83</v>
      </c>
      <c r="F70" s="3" t="s">
        <v>82</v>
      </c>
      <c r="G70" s="3" t="s">
        <v>83</v>
      </c>
      <c r="H70" s="4">
        <v>46289.059567013886</v>
      </c>
      <c r="I70" s="4">
        <v>46289.059850694437</v>
      </c>
      <c r="J70" s="3">
        <f>ROUND((I70-H70)*1440,0)</f>
        <v>0</v>
      </c>
      <c r="K70" s="3" t="s">
        <v>240</v>
      </c>
      <c r="L70" s="3" t="s">
        <v>52</v>
      </c>
      <c r="M70" s="3"/>
      <c r="N70" s="3" t="s">
        <v>23</v>
      </c>
      <c r="O70" s="3" t="s">
        <v>241</v>
      </c>
    </row>
    <row r="71" spans="1:15" hidden="1" x14ac:dyDescent="0.75">
      <c r="A71" s="2">
        <v>46289</v>
      </c>
      <c r="B71" s="3" t="s">
        <v>302</v>
      </c>
      <c r="C71" s="3" t="s">
        <v>303</v>
      </c>
      <c r="D71" s="3" t="s">
        <v>56</v>
      </c>
      <c r="E71" s="3" t="s">
        <v>57</v>
      </c>
      <c r="F71" s="3" t="s">
        <v>304</v>
      </c>
      <c r="G71" s="3" t="s">
        <v>305</v>
      </c>
      <c r="H71" s="4">
        <v>46289.059645486108</v>
      </c>
      <c r="I71" s="4">
        <v>46289.257714814812</v>
      </c>
      <c r="J71" s="3">
        <f>ROUND((I71-H71)*1440,0)</f>
        <v>285</v>
      </c>
      <c r="K71" s="3" t="s">
        <v>306</v>
      </c>
      <c r="L71" s="3" t="s">
        <v>22</v>
      </c>
      <c r="M71" s="3" t="s">
        <v>22</v>
      </c>
      <c r="N71" s="3" t="s">
        <v>23</v>
      </c>
      <c r="O71" s="3" t="s">
        <v>307</v>
      </c>
    </row>
    <row r="72" spans="1:15" hidden="1" x14ac:dyDescent="0.75">
      <c r="A72" s="2">
        <v>46289</v>
      </c>
      <c r="B72" s="3" t="s">
        <v>238</v>
      </c>
      <c r="C72" s="3" t="s">
        <v>239</v>
      </c>
      <c r="D72" s="3" t="s">
        <v>82</v>
      </c>
      <c r="E72" s="3" t="s">
        <v>83</v>
      </c>
      <c r="F72" s="3"/>
      <c r="G72" s="3"/>
      <c r="H72" s="4">
        <v>46289.059853935178</v>
      </c>
      <c r="I72" s="4">
        <v>46289.061181481477</v>
      </c>
      <c r="J72" s="3">
        <f>ROUND((I72-H72)*1440,0)</f>
        <v>2</v>
      </c>
      <c r="K72" s="3" t="s">
        <v>240</v>
      </c>
      <c r="L72" s="3" t="s">
        <v>52</v>
      </c>
      <c r="M72" s="3"/>
      <c r="N72" s="3" t="s">
        <v>23</v>
      </c>
      <c r="O72" s="3" t="s">
        <v>241</v>
      </c>
    </row>
    <row r="73" spans="1:15" hidden="1" x14ac:dyDescent="0.75">
      <c r="A73" s="2">
        <v>46289</v>
      </c>
      <c r="B73" s="3" t="s">
        <v>238</v>
      </c>
      <c r="C73" s="3" t="s">
        <v>239</v>
      </c>
      <c r="D73" s="3"/>
      <c r="E73" s="3"/>
      <c r="F73" s="3"/>
      <c r="G73" s="3"/>
      <c r="H73" s="4">
        <v>46289.061183680547</v>
      </c>
      <c r="I73" s="4">
        <v>46289.066466319447</v>
      </c>
      <c r="J73" s="3">
        <f>ROUND((I73-H73)*1440,0)</f>
        <v>8</v>
      </c>
      <c r="K73" s="3" t="s">
        <v>240</v>
      </c>
      <c r="L73" s="3" t="s">
        <v>52</v>
      </c>
      <c r="M73" s="3"/>
      <c r="N73" s="3" t="s">
        <v>23</v>
      </c>
      <c r="O73" s="3" t="s">
        <v>241</v>
      </c>
    </row>
    <row r="74" spans="1:15" hidden="1" x14ac:dyDescent="0.75">
      <c r="A74" s="2">
        <v>46289</v>
      </c>
      <c r="B74" s="3" t="s">
        <v>308</v>
      </c>
      <c r="C74" s="3" t="s">
        <v>309</v>
      </c>
      <c r="D74" s="3" t="s">
        <v>56</v>
      </c>
      <c r="E74" s="3" t="s">
        <v>57</v>
      </c>
      <c r="F74" s="3" t="s">
        <v>100</v>
      </c>
      <c r="G74" s="3" t="s">
        <v>101</v>
      </c>
      <c r="H74" s="4">
        <v>46289.061450231478</v>
      </c>
      <c r="I74" s="4">
        <v>46289.093760763892</v>
      </c>
      <c r="J74" s="3">
        <f>ROUND((I74-H74)*1440,0)</f>
        <v>47</v>
      </c>
      <c r="K74" s="3" t="s">
        <v>310</v>
      </c>
      <c r="L74" s="3" t="s">
        <v>36</v>
      </c>
      <c r="M74" s="3" t="s">
        <v>36</v>
      </c>
      <c r="N74" s="3" t="s">
        <v>45</v>
      </c>
      <c r="O74" s="3" t="s">
        <v>311</v>
      </c>
    </row>
    <row r="75" spans="1:15" hidden="1" x14ac:dyDescent="0.75">
      <c r="A75" s="2">
        <v>46289</v>
      </c>
      <c r="B75" s="3" t="s">
        <v>312</v>
      </c>
      <c r="C75" s="3" t="s">
        <v>313</v>
      </c>
      <c r="D75" s="3"/>
      <c r="E75" s="3"/>
      <c r="F75" s="3" t="s">
        <v>27</v>
      </c>
      <c r="G75" s="3" t="s">
        <v>28</v>
      </c>
      <c r="H75" s="4">
        <v>46289.065796527779</v>
      </c>
      <c r="I75" s="4">
        <v>46289.103912384257</v>
      </c>
      <c r="J75" s="3">
        <f>ROUND((I75-H75)*1440,0)</f>
        <v>55</v>
      </c>
      <c r="K75" s="3" t="s">
        <v>314</v>
      </c>
      <c r="L75" s="3" t="s">
        <v>36</v>
      </c>
      <c r="M75" s="3" t="s">
        <v>36</v>
      </c>
      <c r="N75" s="3" t="s">
        <v>23</v>
      </c>
      <c r="O75" s="3" t="s">
        <v>315</v>
      </c>
    </row>
    <row r="76" spans="1:15" hidden="1" x14ac:dyDescent="0.75">
      <c r="A76" s="2">
        <v>46289</v>
      </c>
      <c r="B76" s="3" t="s">
        <v>238</v>
      </c>
      <c r="C76" s="3" t="s">
        <v>239</v>
      </c>
      <c r="D76" s="3"/>
      <c r="E76" s="3"/>
      <c r="F76" s="3"/>
      <c r="G76" s="3"/>
      <c r="H76" s="4">
        <v>46289.06647002315</v>
      </c>
      <c r="I76" s="4">
        <v>46289.067392013887</v>
      </c>
      <c r="J76" s="3">
        <f>ROUND((I76-H76)*1440,0)</f>
        <v>1</v>
      </c>
      <c r="K76" s="3" t="s">
        <v>240</v>
      </c>
      <c r="L76" s="3" t="s">
        <v>52</v>
      </c>
      <c r="M76" s="3"/>
      <c r="N76" s="3" t="s">
        <v>23</v>
      </c>
      <c r="O76" s="3" t="s">
        <v>241</v>
      </c>
    </row>
    <row r="77" spans="1:15" hidden="1" x14ac:dyDescent="0.75">
      <c r="A77" s="2">
        <v>46289</v>
      </c>
      <c r="B77" s="3" t="s">
        <v>238</v>
      </c>
      <c r="C77" s="3" t="s">
        <v>239</v>
      </c>
      <c r="D77" s="3"/>
      <c r="E77" s="3"/>
      <c r="F77" s="3"/>
      <c r="G77" s="3"/>
      <c r="H77" s="4">
        <v>46289.067392708334</v>
      </c>
      <c r="I77" s="4">
        <v>46289.068440972223</v>
      </c>
      <c r="J77" s="3">
        <f>ROUND((I77-H77)*1440,0)</f>
        <v>2</v>
      </c>
      <c r="K77" s="3" t="s">
        <v>240</v>
      </c>
      <c r="L77" s="3" t="s">
        <v>52</v>
      </c>
      <c r="M77" s="3"/>
      <c r="N77" s="3" t="s">
        <v>23</v>
      </c>
      <c r="O77" s="3" t="s">
        <v>241</v>
      </c>
    </row>
    <row r="78" spans="1:15" hidden="1" x14ac:dyDescent="0.75">
      <c r="A78" s="2">
        <v>46289</v>
      </c>
      <c r="B78" s="3" t="s">
        <v>238</v>
      </c>
      <c r="C78" s="3" t="s">
        <v>239</v>
      </c>
      <c r="D78" s="3"/>
      <c r="E78" s="3"/>
      <c r="F78" s="3" t="s">
        <v>316</v>
      </c>
      <c r="G78" s="3" t="s">
        <v>317</v>
      </c>
      <c r="H78" s="4">
        <v>46289.068442592587</v>
      </c>
      <c r="I78" s="4">
        <v>46289.07015428241</v>
      </c>
      <c r="J78" s="3">
        <f>ROUND((I78-H78)*1440,0)</f>
        <v>2</v>
      </c>
      <c r="K78" s="3" t="s">
        <v>240</v>
      </c>
      <c r="L78" s="3" t="s">
        <v>52</v>
      </c>
      <c r="M78" s="3"/>
      <c r="N78" s="3" t="s">
        <v>23</v>
      </c>
      <c r="O78" s="3" t="s">
        <v>241</v>
      </c>
    </row>
    <row r="79" spans="1:15" hidden="1" x14ac:dyDescent="0.75">
      <c r="A79" s="2">
        <v>46289</v>
      </c>
      <c r="B79" s="3" t="s">
        <v>318</v>
      </c>
      <c r="C79" s="3" t="s">
        <v>319</v>
      </c>
      <c r="D79" s="3" t="s">
        <v>56</v>
      </c>
      <c r="E79" s="3" t="s">
        <v>57</v>
      </c>
      <c r="F79" s="3" t="s">
        <v>320</v>
      </c>
      <c r="G79" s="3" t="s">
        <v>321</v>
      </c>
      <c r="H79" s="4">
        <v>46289.06861412037</v>
      </c>
      <c r="I79" s="4">
        <v>46289.133758564807</v>
      </c>
      <c r="J79" s="3">
        <f>ROUND((I79-H79)*1440,0)</f>
        <v>94</v>
      </c>
      <c r="K79" s="3" t="s">
        <v>322</v>
      </c>
      <c r="L79" s="3" t="s">
        <v>36</v>
      </c>
      <c r="M79" s="3" t="s">
        <v>36</v>
      </c>
      <c r="N79" s="3" t="s">
        <v>23</v>
      </c>
      <c r="O79" s="3" t="s">
        <v>323</v>
      </c>
    </row>
    <row r="80" spans="1:15" hidden="1" x14ac:dyDescent="0.75">
      <c r="A80" s="2">
        <v>46289</v>
      </c>
      <c r="B80" s="3" t="s">
        <v>324</v>
      </c>
      <c r="C80" s="3" t="s">
        <v>325</v>
      </c>
      <c r="D80" s="3" t="s">
        <v>17</v>
      </c>
      <c r="E80" s="3" t="s">
        <v>18</v>
      </c>
      <c r="F80" s="3" t="s">
        <v>304</v>
      </c>
      <c r="G80" s="3" t="s">
        <v>305</v>
      </c>
      <c r="H80" s="4">
        <v>46289.068850000003</v>
      </c>
      <c r="I80" s="4">
        <v>46289.303344560183</v>
      </c>
      <c r="J80" s="3">
        <f>ROUND((I80-H80)*1440,0)</f>
        <v>338</v>
      </c>
      <c r="K80" s="3" t="s">
        <v>326</v>
      </c>
      <c r="L80" s="3" t="s">
        <v>22</v>
      </c>
      <c r="M80" s="3" t="s">
        <v>22</v>
      </c>
      <c r="N80" s="3" t="s">
        <v>23</v>
      </c>
      <c r="O80" s="3" t="s">
        <v>327</v>
      </c>
    </row>
    <row r="81" spans="1:15" hidden="1" x14ac:dyDescent="0.75">
      <c r="A81" s="2">
        <v>46289</v>
      </c>
      <c r="B81" s="3" t="s">
        <v>328</v>
      </c>
      <c r="C81" s="3" t="s">
        <v>329</v>
      </c>
      <c r="D81" s="3"/>
      <c r="E81" s="3"/>
      <c r="F81" s="3" t="s">
        <v>17</v>
      </c>
      <c r="G81" s="3" t="s">
        <v>18</v>
      </c>
      <c r="H81" s="4">
        <v>46289.069022337957</v>
      </c>
      <c r="I81" s="4">
        <v>46289.443961689823</v>
      </c>
      <c r="J81" s="3">
        <f>ROUND((I81-H81)*1440,0)</f>
        <v>540</v>
      </c>
      <c r="K81" s="3" t="s">
        <v>330</v>
      </c>
      <c r="L81" s="3" t="s">
        <v>43</v>
      </c>
      <c r="M81" s="3" t="s">
        <v>44</v>
      </c>
      <c r="N81" s="3" t="s">
        <v>23</v>
      </c>
      <c r="O81" s="3" t="s">
        <v>331</v>
      </c>
    </row>
    <row r="82" spans="1:15" hidden="1" x14ac:dyDescent="0.75">
      <c r="A82" s="2">
        <v>46289</v>
      </c>
      <c r="B82" s="3" t="s">
        <v>238</v>
      </c>
      <c r="C82" s="3" t="s">
        <v>239</v>
      </c>
      <c r="D82" s="3" t="s">
        <v>316</v>
      </c>
      <c r="E82" s="3" t="s">
        <v>317</v>
      </c>
      <c r="F82" s="3"/>
      <c r="G82" s="3"/>
      <c r="H82" s="4">
        <v>46289.07015428241</v>
      </c>
      <c r="I82" s="4">
        <v>46289.075709837962</v>
      </c>
      <c r="J82" s="3">
        <f>ROUND((I82-H82)*1440,0)</f>
        <v>8</v>
      </c>
      <c r="K82" s="3" t="s">
        <v>240</v>
      </c>
      <c r="L82" s="3" t="s">
        <v>52</v>
      </c>
      <c r="M82" s="3"/>
      <c r="N82" s="3" t="s">
        <v>23</v>
      </c>
      <c r="O82" s="3" t="s">
        <v>241</v>
      </c>
    </row>
    <row r="83" spans="1:15" hidden="1" x14ac:dyDescent="0.75">
      <c r="A83" s="2">
        <v>46289</v>
      </c>
      <c r="B83" s="3" t="s">
        <v>332</v>
      </c>
      <c r="C83" s="3" t="s">
        <v>333</v>
      </c>
      <c r="D83" s="3" t="s">
        <v>56</v>
      </c>
      <c r="E83" s="3" t="s">
        <v>57</v>
      </c>
      <c r="F83" s="3" t="s">
        <v>334</v>
      </c>
      <c r="G83" s="3" t="s">
        <v>335</v>
      </c>
      <c r="H83" s="4">
        <v>46289.072592476849</v>
      </c>
      <c r="I83" s="4">
        <v>46289.191498148153</v>
      </c>
      <c r="J83" s="3">
        <f>ROUND((I83-H83)*1440,0)</f>
        <v>171</v>
      </c>
      <c r="K83" s="3" t="s">
        <v>336</v>
      </c>
      <c r="L83" s="3" t="s">
        <v>36</v>
      </c>
      <c r="M83" s="3" t="s">
        <v>36</v>
      </c>
      <c r="N83" s="3" t="s">
        <v>23</v>
      </c>
      <c r="O83" s="3" t="s">
        <v>337</v>
      </c>
    </row>
    <row r="84" spans="1:15" hidden="1" x14ac:dyDescent="0.75">
      <c r="A84" s="2">
        <v>46289</v>
      </c>
      <c r="B84" s="3" t="s">
        <v>338</v>
      </c>
      <c r="C84" s="3" t="s">
        <v>339</v>
      </c>
      <c r="D84" s="3" t="s">
        <v>27</v>
      </c>
      <c r="E84" s="3" t="s">
        <v>28</v>
      </c>
      <c r="F84" s="3" t="s">
        <v>40</v>
      </c>
      <c r="G84" s="3" t="s">
        <v>41</v>
      </c>
      <c r="H84" s="4">
        <v>46289.075266898151</v>
      </c>
      <c r="I84" s="4">
        <v>46289.332618171298</v>
      </c>
      <c r="J84" s="3">
        <f>ROUND((I84-H84)*1440,0)</f>
        <v>371</v>
      </c>
      <c r="K84" s="3" t="s">
        <v>340</v>
      </c>
      <c r="L84" s="3" t="s">
        <v>43</v>
      </c>
      <c r="M84" s="3" t="s">
        <v>44</v>
      </c>
      <c r="N84" s="3" t="s">
        <v>45</v>
      </c>
      <c r="O84" s="3" t="s">
        <v>341</v>
      </c>
    </row>
    <row r="85" spans="1:15" hidden="1" x14ac:dyDescent="0.75">
      <c r="A85" s="2">
        <v>46289</v>
      </c>
      <c r="B85" s="3" t="s">
        <v>238</v>
      </c>
      <c r="C85" s="3" t="s">
        <v>239</v>
      </c>
      <c r="D85" s="3"/>
      <c r="E85" s="3"/>
      <c r="F85" s="3"/>
      <c r="G85" s="3"/>
      <c r="H85" s="4">
        <v>46289.075709837962</v>
      </c>
      <c r="I85" s="4">
        <v>46289.082710416667</v>
      </c>
      <c r="J85" s="3">
        <f>ROUND((I85-H85)*1440,0)</f>
        <v>10</v>
      </c>
      <c r="K85" s="3" t="s">
        <v>240</v>
      </c>
      <c r="L85" s="3" t="s">
        <v>52</v>
      </c>
      <c r="M85" s="3"/>
      <c r="N85" s="3" t="s">
        <v>23</v>
      </c>
      <c r="O85" s="3" t="s">
        <v>241</v>
      </c>
    </row>
    <row r="86" spans="1:15" hidden="1" x14ac:dyDescent="0.75">
      <c r="A86" s="2">
        <v>46289</v>
      </c>
      <c r="B86" s="3" t="s">
        <v>342</v>
      </c>
      <c r="C86" s="3" t="s">
        <v>343</v>
      </c>
      <c r="D86" s="3" t="s">
        <v>17</v>
      </c>
      <c r="E86" s="3" t="s">
        <v>18</v>
      </c>
      <c r="F86" s="3" t="s">
        <v>344</v>
      </c>
      <c r="G86" s="3" t="s">
        <v>345</v>
      </c>
      <c r="H86" s="4">
        <v>46289.077225694447</v>
      </c>
      <c r="I86" s="4">
        <v>46289.344866203697</v>
      </c>
      <c r="J86" s="3">
        <f>ROUND((I86-H86)*1440,0)</f>
        <v>385</v>
      </c>
      <c r="K86" s="3" t="s">
        <v>346</v>
      </c>
      <c r="L86" s="3" t="s">
        <v>43</v>
      </c>
      <c r="M86" s="3" t="s">
        <v>44</v>
      </c>
      <c r="N86" s="3" t="s">
        <v>23</v>
      </c>
      <c r="O86" s="3" t="s">
        <v>347</v>
      </c>
    </row>
    <row r="87" spans="1:15" hidden="1" x14ac:dyDescent="0.75">
      <c r="A87" s="2">
        <v>46289</v>
      </c>
      <c r="B87" s="3" t="s">
        <v>348</v>
      </c>
      <c r="C87" s="3" t="s">
        <v>349</v>
      </c>
      <c r="D87" s="3" t="s">
        <v>17</v>
      </c>
      <c r="E87" s="3" t="s">
        <v>18</v>
      </c>
      <c r="F87" s="3" t="s">
        <v>350</v>
      </c>
      <c r="G87" s="3" t="s">
        <v>351</v>
      </c>
      <c r="H87" s="4">
        <v>46289.077947800928</v>
      </c>
      <c r="I87" s="4">
        <v>46289.319507986111</v>
      </c>
      <c r="J87" s="3">
        <f>ROUND((I87-H87)*1440,0)</f>
        <v>348</v>
      </c>
      <c r="K87" s="3" t="s">
        <v>352</v>
      </c>
      <c r="L87" s="3" t="s">
        <v>43</v>
      </c>
      <c r="M87" s="3" t="s">
        <v>44</v>
      </c>
      <c r="N87" s="3" t="s">
        <v>23</v>
      </c>
      <c r="O87" s="3" t="s">
        <v>353</v>
      </c>
    </row>
    <row r="88" spans="1:15" hidden="1" x14ac:dyDescent="0.75">
      <c r="A88" s="2">
        <v>46289</v>
      </c>
      <c r="B88" s="3" t="s">
        <v>354</v>
      </c>
      <c r="C88" s="3" t="s">
        <v>355</v>
      </c>
      <c r="D88" s="3" t="s">
        <v>334</v>
      </c>
      <c r="E88" s="3" t="s">
        <v>335</v>
      </c>
      <c r="F88" s="3" t="s">
        <v>27</v>
      </c>
      <c r="G88" s="3" t="s">
        <v>28</v>
      </c>
      <c r="H88" s="4">
        <v>46289.079918634263</v>
      </c>
      <c r="I88" s="4">
        <v>46289.163744444442</v>
      </c>
      <c r="J88" s="3">
        <f>ROUND((I88-H88)*1440,0)</f>
        <v>121</v>
      </c>
      <c r="K88" s="3" t="s">
        <v>356</v>
      </c>
      <c r="L88" s="3" t="s">
        <v>77</v>
      </c>
      <c r="M88" s="3" t="s">
        <v>78</v>
      </c>
      <c r="N88" s="3" t="s">
        <v>23</v>
      </c>
      <c r="O88" s="3" t="s">
        <v>357</v>
      </c>
    </row>
    <row r="89" spans="1:15" hidden="1" x14ac:dyDescent="0.75">
      <c r="A89" s="2">
        <v>46289</v>
      </c>
      <c r="B89" s="3" t="s">
        <v>358</v>
      </c>
      <c r="C89" s="3" t="s">
        <v>359</v>
      </c>
      <c r="D89" s="3" t="s">
        <v>17</v>
      </c>
      <c r="E89" s="3" t="s">
        <v>18</v>
      </c>
      <c r="F89" s="3" t="s">
        <v>360</v>
      </c>
      <c r="G89" s="3" t="s">
        <v>361</v>
      </c>
      <c r="H89" s="4">
        <v>46289.081635995368</v>
      </c>
      <c r="I89" s="4">
        <v>46289.334921296293</v>
      </c>
      <c r="J89" s="3">
        <f>ROUND((I89-H89)*1440,0)</f>
        <v>365</v>
      </c>
      <c r="K89" s="3" t="s">
        <v>362</v>
      </c>
      <c r="L89" s="3" t="s">
        <v>43</v>
      </c>
      <c r="M89" s="3" t="s">
        <v>44</v>
      </c>
      <c r="N89" s="3" t="s">
        <v>23</v>
      </c>
      <c r="O89" s="3" t="s">
        <v>363</v>
      </c>
    </row>
    <row r="90" spans="1:15" hidden="1" x14ac:dyDescent="0.75">
      <c r="A90" s="2">
        <v>46289</v>
      </c>
      <c r="B90" s="3" t="s">
        <v>238</v>
      </c>
      <c r="C90" s="3" t="s">
        <v>239</v>
      </c>
      <c r="D90" s="3"/>
      <c r="E90" s="3"/>
      <c r="F90" s="3"/>
      <c r="G90" s="3"/>
      <c r="H90" s="4">
        <v>46289.082717013887</v>
      </c>
      <c r="I90" s="4">
        <v>46289.087213541658</v>
      </c>
      <c r="J90" s="3">
        <f>ROUND((I90-H90)*1440,0)</f>
        <v>6</v>
      </c>
      <c r="K90" s="3" t="s">
        <v>240</v>
      </c>
      <c r="L90" s="3" t="s">
        <v>52</v>
      </c>
      <c r="M90" s="3"/>
      <c r="N90" s="3" t="s">
        <v>23</v>
      </c>
      <c r="O90" s="3" t="s">
        <v>241</v>
      </c>
    </row>
    <row r="91" spans="1:15" hidden="1" x14ac:dyDescent="0.75">
      <c r="A91" s="2">
        <v>46289</v>
      </c>
      <c r="B91" s="3" t="s">
        <v>364</v>
      </c>
      <c r="C91" s="3" t="s">
        <v>365</v>
      </c>
      <c r="D91" s="3" t="s">
        <v>27</v>
      </c>
      <c r="E91" s="3" t="s">
        <v>28</v>
      </c>
      <c r="F91" s="3" t="s">
        <v>366</v>
      </c>
      <c r="G91" s="3" t="s">
        <v>367</v>
      </c>
      <c r="H91" s="4">
        <v>46289.085967708343</v>
      </c>
      <c r="I91" s="4">
        <v>46289.123617592602</v>
      </c>
      <c r="J91" s="3">
        <f>ROUND((I91-H91)*1440,0)</f>
        <v>54</v>
      </c>
      <c r="K91" s="3" t="s">
        <v>368</v>
      </c>
      <c r="L91" s="3" t="s">
        <v>77</v>
      </c>
      <c r="M91" s="3" t="s">
        <v>78</v>
      </c>
      <c r="N91" s="3" t="s">
        <v>23</v>
      </c>
      <c r="O91" s="3" t="s">
        <v>369</v>
      </c>
    </row>
    <row r="92" spans="1:15" hidden="1" x14ac:dyDescent="0.75">
      <c r="A92" s="2">
        <v>46289</v>
      </c>
      <c r="B92" s="3" t="s">
        <v>370</v>
      </c>
      <c r="C92" s="3" t="s">
        <v>371</v>
      </c>
      <c r="D92" s="3" t="s">
        <v>158</v>
      </c>
      <c r="E92" s="3" t="s">
        <v>159</v>
      </c>
      <c r="F92" s="3" t="s">
        <v>27</v>
      </c>
      <c r="G92" s="3" t="s">
        <v>28</v>
      </c>
      <c r="H92" s="4">
        <v>46289.086726851849</v>
      </c>
      <c r="I92" s="4">
        <v>46289.130301620367</v>
      </c>
      <c r="J92" s="3">
        <f>ROUND((I92-H92)*1440,0)</f>
        <v>63</v>
      </c>
      <c r="K92" s="3" t="s">
        <v>372</v>
      </c>
      <c r="L92" s="3" t="s">
        <v>77</v>
      </c>
      <c r="M92" s="3" t="s">
        <v>78</v>
      </c>
      <c r="N92" s="3" t="s">
        <v>23</v>
      </c>
      <c r="O92" s="3" t="s">
        <v>373</v>
      </c>
    </row>
    <row r="93" spans="1:15" hidden="1" x14ac:dyDescent="0.75">
      <c r="A93" s="2">
        <v>46289</v>
      </c>
      <c r="B93" s="3" t="s">
        <v>238</v>
      </c>
      <c r="C93" s="3" t="s">
        <v>239</v>
      </c>
      <c r="D93" s="3"/>
      <c r="E93" s="3"/>
      <c r="F93" s="3"/>
      <c r="G93" s="3"/>
      <c r="H93" s="4">
        <v>46289.087213541658</v>
      </c>
      <c r="I93" s="4">
        <v>46289.091066435183</v>
      </c>
      <c r="J93" s="3">
        <f>ROUND((I93-H93)*1440,0)</f>
        <v>6</v>
      </c>
      <c r="K93" s="3" t="s">
        <v>240</v>
      </c>
      <c r="L93" s="3" t="s">
        <v>52</v>
      </c>
      <c r="M93" s="3"/>
      <c r="N93" s="3" t="s">
        <v>23</v>
      </c>
      <c r="O93" s="3" t="s">
        <v>241</v>
      </c>
    </row>
    <row r="94" spans="1:15" hidden="1" x14ac:dyDescent="0.75">
      <c r="A94" s="2">
        <v>46289</v>
      </c>
      <c r="B94" s="3" t="s">
        <v>374</v>
      </c>
      <c r="C94" s="3" t="s">
        <v>375</v>
      </c>
      <c r="D94" s="3" t="s">
        <v>56</v>
      </c>
      <c r="E94" s="3" t="s">
        <v>57</v>
      </c>
      <c r="F94" s="3" t="s">
        <v>280</v>
      </c>
      <c r="G94" s="3" t="s">
        <v>281</v>
      </c>
      <c r="H94" s="4">
        <v>46289.087680439807</v>
      </c>
      <c r="I94" s="4">
        <v>46289.159010763891</v>
      </c>
      <c r="J94" s="3">
        <f>ROUND((I94-H94)*1440,0)</f>
        <v>103</v>
      </c>
      <c r="K94" s="3" t="s">
        <v>376</v>
      </c>
      <c r="L94" s="3" t="s">
        <v>36</v>
      </c>
      <c r="M94" s="3" t="s">
        <v>36</v>
      </c>
      <c r="N94" s="3" t="s">
        <v>23</v>
      </c>
      <c r="O94" s="3" t="s">
        <v>377</v>
      </c>
    </row>
    <row r="95" spans="1:15" hidden="1" x14ac:dyDescent="0.75">
      <c r="A95" s="2">
        <v>46289</v>
      </c>
      <c r="B95" s="3" t="s">
        <v>238</v>
      </c>
      <c r="C95" s="3" t="s">
        <v>239</v>
      </c>
      <c r="D95" s="3"/>
      <c r="E95" s="3"/>
      <c r="F95" s="3" t="s">
        <v>182</v>
      </c>
      <c r="G95" s="3" t="s">
        <v>183</v>
      </c>
      <c r="H95" s="4">
        <v>46289.091068634261</v>
      </c>
      <c r="I95" s="4">
        <v>46289.102672106477</v>
      </c>
      <c r="J95" s="3">
        <f>ROUND((I95-H95)*1440,0)</f>
        <v>17</v>
      </c>
      <c r="K95" s="3" t="s">
        <v>240</v>
      </c>
      <c r="L95" s="3" t="s">
        <v>52</v>
      </c>
      <c r="M95" s="3"/>
      <c r="N95" s="3" t="s">
        <v>23</v>
      </c>
      <c r="O95" s="3" t="s">
        <v>241</v>
      </c>
    </row>
    <row r="96" spans="1:15" hidden="1" x14ac:dyDescent="0.75">
      <c r="A96" s="2">
        <v>46289</v>
      </c>
      <c r="B96" s="3" t="s">
        <v>378</v>
      </c>
      <c r="C96" s="3" t="s">
        <v>379</v>
      </c>
      <c r="D96" s="3" t="s">
        <v>17</v>
      </c>
      <c r="E96" s="3" t="s">
        <v>18</v>
      </c>
      <c r="F96" s="3" t="s">
        <v>148</v>
      </c>
      <c r="G96" s="3" t="s">
        <v>149</v>
      </c>
      <c r="H96" s="4">
        <v>46289.093067708331</v>
      </c>
      <c r="I96" s="4">
        <v>46289.147914699082</v>
      </c>
      <c r="J96" s="3">
        <f>ROUND((I96-H96)*1440,0)</f>
        <v>79</v>
      </c>
      <c r="K96" s="3" t="s">
        <v>380</v>
      </c>
      <c r="L96" s="3" t="s">
        <v>36</v>
      </c>
      <c r="M96" s="3" t="s">
        <v>36</v>
      </c>
      <c r="N96" s="3" t="s">
        <v>23</v>
      </c>
      <c r="O96" s="3" t="s">
        <v>381</v>
      </c>
    </row>
    <row r="97" spans="1:15" hidden="1" x14ac:dyDescent="0.75">
      <c r="A97" s="2">
        <v>46289</v>
      </c>
      <c r="B97" s="3" t="s">
        <v>382</v>
      </c>
      <c r="C97" s="3" t="s">
        <v>383</v>
      </c>
      <c r="D97" s="3" t="s">
        <v>84</v>
      </c>
      <c r="E97" s="3" t="s">
        <v>85</v>
      </c>
      <c r="F97" s="3" t="s">
        <v>82</v>
      </c>
      <c r="G97" s="3" t="s">
        <v>83</v>
      </c>
      <c r="H97" s="4">
        <v>46289.095831250001</v>
      </c>
      <c r="I97" s="4">
        <v>46289.195417939824</v>
      </c>
      <c r="J97" s="3">
        <f>ROUND((I97-H97)*1440,0)</f>
        <v>143</v>
      </c>
      <c r="K97" s="3" t="s">
        <v>384</v>
      </c>
      <c r="L97" s="3" t="s">
        <v>36</v>
      </c>
      <c r="M97" s="3" t="s">
        <v>36</v>
      </c>
      <c r="N97" s="3" t="s">
        <v>23</v>
      </c>
      <c r="O97" s="3" t="s">
        <v>385</v>
      </c>
    </row>
    <row r="98" spans="1:15" hidden="1" x14ac:dyDescent="0.75">
      <c r="A98" s="2">
        <v>46289</v>
      </c>
      <c r="B98" s="3" t="s">
        <v>386</v>
      </c>
      <c r="C98" s="3" t="s">
        <v>387</v>
      </c>
      <c r="D98" s="3" t="s">
        <v>17</v>
      </c>
      <c r="E98" s="3" t="s">
        <v>18</v>
      </c>
      <c r="F98" s="3" t="s">
        <v>304</v>
      </c>
      <c r="G98" s="3" t="s">
        <v>305</v>
      </c>
      <c r="H98" s="4">
        <v>46289.103115046288</v>
      </c>
      <c r="I98" s="4">
        <v>46289.323237731478</v>
      </c>
      <c r="J98" s="3">
        <f>ROUND((I98-H98)*1440,0)</f>
        <v>317</v>
      </c>
      <c r="K98" s="3" t="s">
        <v>388</v>
      </c>
      <c r="L98" s="3" t="s">
        <v>22</v>
      </c>
      <c r="M98" s="3" t="s">
        <v>22</v>
      </c>
      <c r="N98" s="3" t="s">
        <v>23</v>
      </c>
      <c r="O98" s="3" t="s">
        <v>389</v>
      </c>
    </row>
    <row r="99" spans="1:15" hidden="1" x14ac:dyDescent="0.75">
      <c r="A99" s="2">
        <v>46289</v>
      </c>
      <c r="B99" s="3" t="s">
        <v>390</v>
      </c>
      <c r="C99" s="3" t="s">
        <v>391</v>
      </c>
      <c r="D99" s="3" t="s">
        <v>56</v>
      </c>
      <c r="E99" s="3" t="s">
        <v>57</v>
      </c>
      <c r="F99" s="3" t="s">
        <v>17</v>
      </c>
      <c r="G99" s="3" t="s">
        <v>18</v>
      </c>
      <c r="H99" s="4">
        <v>46289.103409143521</v>
      </c>
      <c r="I99" s="4">
        <v>46289.191669675929</v>
      </c>
      <c r="J99" s="3">
        <f>ROUND((I99-H99)*1440,0)</f>
        <v>127</v>
      </c>
      <c r="K99" s="3" t="s">
        <v>392</v>
      </c>
      <c r="L99" s="3" t="s">
        <v>22</v>
      </c>
      <c r="M99" s="3" t="s">
        <v>22</v>
      </c>
      <c r="N99" s="3" t="s">
        <v>23</v>
      </c>
      <c r="O99" s="3" t="s">
        <v>393</v>
      </c>
    </row>
    <row r="100" spans="1:15" hidden="1" x14ac:dyDescent="0.75">
      <c r="A100" s="2">
        <v>46289</v>
      </c>
      <c r="B100" s="3" t="s">
        <v>394</v>
      </c>
      <c r="C100" s="3" t="s">
        <v>395</v>
      </c>
      <c r="D100" s="3" t="s">
        <v>17</v>
      </c>
      <c r="E100" s="3" t="s">
        <v>18</v>
      </c>
      <c r="F100" s="3" t="s">
        <v>228</v>
      </c>
      <c r="G100" s="3" t="s">
        <v>229</v>
      </c>
      <c r="H100" s="4">
        <v>46289.103732175929</v>
      </c>
      <c r="I100" s="4">
        <v>46289.148986458327</v>
      </c>
      <c r="J100" s="3">
        <f>ROUND((I100-H100)*1440,0)</f>
        <v>65</v>
      </c>
      <c r="K100" s="3" t="s">
        <v>396</v>
      </c>
      <c r="L100" s="3" t="s">
        <v>77</v>
      </c>
      <c r="M100" s="3" t="s">
        <v>78</v>
      </c>
      <c r="N100" s="3" t="s">
        <v>23</v>
      </c>
      <c r="O100" s="3" t="s">
        <v>397</v>
      </c>
    </row>
    <row r="101" spans="1:15" hidden="1" x14ac:dyDescent="0.75">
      <c r="A101" s="2">
        <v>46289</v>
      </c>
      <c r="B101" s="3" t="s">
        <v>398</v>
      </c>
      <c r="C101" s="3" t="s">
        <v>399</v>
      </c>
      <c r="D101" s="3" t="s">
        <v>17</v>
      </c>
      <c r="E101" s="3" t="s">
        <v>18</v>
      </c>
      <c r="F101" s="3" t="s">
        <v>400</v>
      </c>
      <c r="G101" s="3" t="s">
        <v>401</v>
      </c>
      <c r="H101" s="4">
        <v>46289.104346527783</v>
      </c>
      <c r="I101" s="4">
        <v>46289.137557407397</v>
      </c>
      <c r="J101" s="3">
        <f>ROUND((I101-H101)*1440,0)</f>
        <v>48</v>
      </c>
      <c r="K101" s="3" t="s">
        <v>402</v>
      </c>
      <c r="L101" s="3" t="s">
        <v>36</v>
      </c>
      <c r="M101" s="3" t="s">
        <v>36</v>
      </c>
      <c r="N101" s="3" t="s">
        <v>23</v>
      </c>
      <c r="O101" s="3" t="s">
        <v>403</v>
      </c>
    </row>
    <row r="102" spans="1:15" hidden="1" x14ac:dyDescent="0.75">
      <c r="A102" s="2">
        <v>46289</v>
      </c>
      <c r="B102" s="3" t="s">
        <v>404</v>
      </c>
      <c r="C102" s="3" t="s">
        <v>405</v>
      </c>
      <c r="D102" s="3" t="s">
        <v>27</v>
      </c>
      <c r="E102" s="3" t="s">
        <v>28</v>
      </c>
      <c r="F102" s="3" t="s">
        <v>19</v>
      </c>
      <c r="G102" s="3" t="s">
        <v>20</v>
      </c>
      <c r="H102" s="4">
        <v>46289.108876273152</v>
      </c>
      <c r="I102" s="4">
        <v>46289.223155324071</v>
      </c>
      <c r="J102" s="3">
        <f>ROUND((I102-H102)*1440,0)</f>
        <v>165</v>
      </c>
      <c r="K102" s="3" t="s">
        <v>406</v>
      </c>
      <c r="L102" s="3" t="s">
        <v>36</v>
      </c>
      <c r="M102" s="3" t="s">
        <v>36</v>
      </c>
      <c r="N102" s="3" t="s">
        <v>23</v>
      </c>
      <c r="O102" s="3" t="s">
        <v>407</v>
      </c>
    </row>
    <row r="103" spans="1:15" hidden="1" x14ac:dyDescent="0.75">
      <c r="A103" s="2">
        <v>46289</v>
      </c>
      <c r="B103" s="3" t="s">
        <v>408</v>
      </c>
      <c r="C103" s="3" t="s">
        <v>409</v>
      </c>
      <c r="D103" s="3" t="s">
        <v>27</v>
      </c>
      <c r="E103" s="3" t="s">
        <v>28</v>
      </c>
      <c r="F103" s="3" t="s">
        <v>410</v>
      </c>
      <c r="G103" s="3" t="s">
        <v>411</v>
      </c>
      <c r="H103" s="4">
        <v>46289.11247453704</v>
      </c>
      <c r="I103" s="4">
        <v>46289.369637384261</v>
      </c>
      <c r="J103" s="3">
        <f>ROUND((I103-H103)*1440,0)</f>
        <v>370</v>
      </c>
      <c r="K103" s="3" t="s">
        <v>412</v>
      </c>
      <c r="L103" s="3" t="s">
        <v>43</v>
      </c>
      <c r="M103" s="3" t="s">
        <v>44</v>
      </c>
      <c r="N103" s="3" t="s">
        <v>23</v>
      </c>
      <c r="O103" s="3" t="s">
        <v>413</v>
      </c>
    </row>
    <row r="104" spans="1:15" hidden="1" x14ac:dyDescent="0.75">
      <c r="A104" s="2">
        <v>46289</v>
      </c>
      <c r="B104" s="3" t="s">
        <v>414</v>
      </c>
      <c r="C104" s="3" t="s">
        <v>415</v>
      </c>
      <c r="D104" s="3" t="s">
        <v>17</v>
      </c>
      <c r="E104" s="3" t="s">
        <v>18</v>
      </c>
      <c r="F104" s="3" t="s">
        <v>416</v>
      </c>
      <c r="G104" s="3" t="s">
        <v>417</v>
      </c>
      <c r="H104" s="4">
        <v>46289.114726041669</v>
      </c>
      <c r="I104" s="4">
        <v>46289.148625462964</v>
      </c>
      <c r="J104" s="3">
        <f>ROUND((I104-H104)*1440,0)</f>
        <v>49</v>
      </c>
      <c r="K104" s="3" t="s">
        <v>418</v>
      </c>
      <c r="L104" s="3" t="s">
        <v>36</v>
      </c>
      <c r="M104" s="3" t="s">
        <v>36</v>
      </c>
      <c r="N104" s="3" t="s">
        <v>23</v>
      </c>
      <c r="O104" s="3" t="s">
        <v>419</v>
      </c>
    </row>
    <row r="105" spans="1:15" hidden="1" x14ac:dyDescent="0.75">
      <c r="A105" s="2">
        <v>46289</v>
      </c>
      <c r="B105" s="3" t="s">
        <v>420</v>
      </c>
      <c r="C105" s="3" t="s">
        <v>421</v>
      </c>
      <c r="D105" s="3" t="s">
        <v>17</v>
      </c>
      <c r="E105" s="3" t="s">
        <v>18</v>
      </c>
      <c r="F105" s="3" t="s">
        <v>234</v>
      </c>
      <c r="G105" s="3" t="s">
        <v>235</v>
      </c>
      <c r="H105" s="4">
        <v>46289.119344560182</v>
      </c>
      <c r="I105" s="4">
        <v>46289.148359837956</v>
      </c>
      <c r="J105" s="3">
        <f>ROUND((I105-H105)*1440,0)</f>
        <v>42</v>
      </c>
      <c r="K105" s="3" t="s">
        <v>422</v>
      </c>
      <c r="L105" s="3" t="s">
        <v>77</v>
      </c>
      <c r="M105" s="3" t="s">
        <v>78</v>
      </c>
      <c r="N105" s="3" t="s">
        <v>23</v>
      </c>
      <c r="O105" s="3" t="s">
        <v>423</v>
      </c>
    </row>
    <row r="106" spans="1:15" hidden="1" x14ac:dyDescent="0.75">
      <c r="A106" s="2">
        <v>46289</v>
      </c>
      <c r="B106" s="3" t="s">
        <v>424</v>
      </c>
      <c r="C106" s="3" t="s">
        <v>425</v>
      </c>
      <c r="D106" s="3" t="s">
        <v>27</v>
      </c>
      <c r="E106" s="3" t="s">
        <v>28</v>
      </c>
      <c r="F106" s="3" t="s">
        <v>122</v>
      </c>
      <c r="G106" s="3" t="s">
        <v>123</v>
      </c>
      <c r="H106" s="4">
        <v>46289.120343171293</v>
      </c>
      <c r="I106" s="4">
        <v>46289.362320717592</v>
      </c>
      <c r="J106" s="3">
        <f>ROUND((I106-H106)*1440,0)</f>
        <v>348</v>
      </c>
      <c r="K106" s="3" t="s">
        <v>426</v>
      </c>
      <c r="L106" s="3" t="s">
        <v>22</v>
      </c>
      <c r="M106" s="3" t="s">
        <v>22</v>
      </c>
      <c r="N106" s="3" t="s">
        <v>23</v>
      </c>
      <c r="O106" s="3" t="s">
        <v>427</v>
      </c>
    </row>
    <row r="107" spans="1:15" hidden="1" x14ac:dyDescent="0.75">
      <c r="A107" s="2">
        <v>46289</v>
      </c>
      <c r="B107" s="3" t="s">
        <v>428</v>
      </c>
      <c r="C107" s="3" t="s">
        <v>429</v>
      </c>
      <c r="D107" s="3" t="s">
        <v>17</v>
      </c>
      <c r="E107" s="3" t="s">
        <v>18</v>
      </c>
      <c r="F107" s="3" t="s">
        <v>244</v>
      </c>
      <c r="G107" s="3" t="s">
        <v>245</v>
      </c>
      <c r="H107" s="4">
        <v>46289.120450694441</v>
      </c>
      <c r="I107" s="4">
        <v>46289.136930208333</v>
      </c>
      <c r="J107" s="3">
        <f>ROUND((I107-H107)*1440,0)</f>
        <v>24</v>
      </c>
      <c r="K107" s="3" t="s">
        <v>430</v>
      </c>
      <c r="L107" s="3" t="s">
        <v>36</v>
      </c>
      <c r="M107" s="3" t="s">
        <v>36</v>
      </c>
      <c r="N107" s="3" t="s">
        <v>45</v>
      </c>
      <c r="O107" s="3" t="s">
        <v>431</v>
      </c>
    </row>
    <row r="108" spans="1:15" hidden="1" x14ac:dyDescent="0.75">
      <c r="A108" s="2">
        <v>46289</v>
      </c>
      <c r="B108" s="3" t="s">
        <v>432</v>
      </c>
      <c r="C108" s="3" t="s">
        <v>433</v>
      </c>
      <c r="D108" s="3" t="s">
        <v>17</v>
      </c>
      <c r="E108" s="3" t="s">
        <v>18</v>
      </c>
      <c r="F108" s="3" t="s">
        <v>27</v>
      </c>
      <c r="G108" s="3" t="s">
        <v>28</v>
      </c>
      <c r="H108" s="4">
        <v>46289.121700347219</v>
      </c>
      <c r="I108" s="4">
        <v>46289.148622685178</v>
      </c>
      <c r="J108" s="3">
        <f>ROUND((I108-H108)*1440,0)</f>
        <v>39</v>
      </c>
      <c r="K108" s="3" t="s">
        <v>434</v>
      </c>
      <c r="L108" s="3" t="s">
        <v>36</v>
      </c>
      <c r="M108" s="3" t="s">
        <v>36</v>
      </c>
      <c r="N108" s="3" t="s">
        <v>23</v>
      </c>
      <c r="O108" s="3" t="s">
        <v>435</v>
      </c>
    </row>
    <row r="109" spans="1:15" hidden="1" x14ac:dyDescent="0.75">
      <c r="A109" s="2">
        <v>46289</v>
      </c>
      <c r="B109" s="3" t="s">
        <v>436</v>
      </c>
      <c r="C109" s="3" t="s">
        <v>437</v>
      </c>
      <c r="D109" s="3" t="s">
        <v>56</v>
      </c>
      <c r="E109" s="3" t="s">
        <v>57</v>
      </c>
      <c r="F109" s="3" t="s">
        <v>27</v>
      </c>
      <c r="G109" s="3" t="s">
        <v>28</v>
      </c>
      <c r="H109" s="4">
        <v>46289.123496064807</v>
      </c>
      <c r="I109" s="4">
        <v>46289.226223958343</v>
      </c>
      <c r="J109" s="3">
        <f>ROUND((I109-H109)*1440,0)</f>
        <v>148</v>
      </c>
      <c r="K109" s="3" t="s">
        <v>438</v>
      </c>
      <c r="L109" s="3" t="s">
        <v>36</v>
      </c>
      <c r="M109" s="3" t="s">
        <v>36</v>
      </c>
      <c r="N109" s="3" t="s">
        <v>23</v>
      </c>
      <c r="O109" s="3" t="s">
        <v>439</v>
      </c>
    </row>
    <row r="110" spans="1:15" hidden="1" x14ac:dyDescent="0.75">
      <c r="A110" s="2">
        <v>46289</v>
      </c>
      <c r="B110" s="3" t="s">
        <v>440</v>
      </c>
      <c r="C110" s="3" t="s">
        <v>441</v>
      </c>
      <c r="D110" s="3" t="s">
        <v>27</v>
      </c>
      <c r="E110" s="3" t="s">
        <v>28</v>
      </c>
      <c r="F110" s="3"/>
      <c r="G110" s="3"/>
      <c r="H110" s="4">
        <v>46289.131040856482</v>
      </c>
      <c r="I110" s="4">
        <v>46289.166874305563</v>
      </c>
      <c r="J110" s="3">
        <f>ROUND((I110-H110)*1440,0)</f>
        <v>52</v>
      </c>
      <c r="K110" s="3" t="s">
        <v>442</v>
      </c>
      <c r="L110" s="3" t="s">
        <v>36</v>
      </c>
      <c r="M110" s="3" t="s">
        <v>36</v>
      </c>
      <c r="N110" s="3" t="s">
        <v>443</v>
      </c>
      <c r="O110" s="3" t="s">
        <v>444</v>
      </c>
    </row>
    <row r="111" spans="1:15" hidden="1" x14ac:dyDescent="0.75">
      <c r="A111" s="2">
        <v>46289</v>
      </c>
      <c r="B111" s="3" t="s">
        <v>445</v>
      </c>
      <c r="C111" s="3" t="s">
        <v>446</v>
      </c>
      <c r="D111" s="3"/>
      <c r="E111" s="3"/>
      <c r="F111" s="3" t="s">
        <v>447</v>
      </c>
      <c r="G111" s="3" t="s">
        <v>448</v>
      </c>
      <c r="H111" s="4">
        <v>46289.137249768522</v>
      </c>
      <c r="I111" s="4">
        <v>46289.237943055552</v>
      </c>
      <c r="J111" s="3">
        <f>ROUND((I111-H111)*1440,0)</f>
        <v>145</v>
      </c>
      <c r="K111" s="3" t="s">
        <v>449</v>
      </c>
      <c r="L111" s="3" t="s">
        <v>43</v>
      </c>
      <c r="M111" s="3" t="s">
        <v>44</v>
      </c>
      <c r="N111" s="3" t="s">
        <v>45</v>
      </c>
      <c r="O111" s="3" t="s">
        <v>450</v>
      </c>
    </row>
    <row r="112" spans="1:15" hidden="1" x14ac:dyDescent="0.75">
      <c r="A112" s="2">
        <v>46289</v>
      </c>
      <c r="B112" s="3" t="s">
        <v>451</v>
      </c>
      <c r="C112" s="3" t="s">
        <v>452</v>
      </c>
      <c r="D112" s="3" t="s">
        <v>17</v>
      </c>
      <c r="E112" s="3" t="s">
        <v>18</v>
      </c>
      <c r="F112" s="3" t="s">
        <v>158</v>
      </c>
      <c r="G112" s="3" t="s">
        <v>159</v>
      </c>
      <c r="H112" s="4">
        <v>46289.140673495371</v>
      </c>
      <c r="I112" s="4">
        <v>46289.168484490743</v>
      </c>
      <c r="J112" s="3">
        <f>ROUND((I112-H112)*1440,0)</f>
        <v>40</v>
      </c>
      <c r="K112" s="3" t="s">
        <v>96</v>
      </c>
      <c r="L112" s="3" t="s">
        <v>77</v>
      </c>
      <c r="M112" s="3" t="s">
        <v>78</v>
      </c>
      <c r="N112" s="3" t="s">
        <v>23</v>
      </c>
      <c r="O112" s="3" t="s">
        <v>97</v>
      </c>
    </row>
    <row r="113" spans="1:15" hidden="1" x14ac:dyDescent="0.75">
      <c r="A113" s="2">
        <v>46289</v>
      </c>
      <c r="B113" s="3" t="s">
        <v>453</v>
      </c>
      <c r="C113" s="3" t="s">
        <v>454</v>
      </c>
      <c r="D113" s="3" t="s">
        <v>27</v>
      </c>
      <c r="E113" s="3" t="s">
        <v>28</v>
      </c>
      <c r="F113" s="3" t="s">
        <v>360</v>
      </c>
      <c r="G113" s="3" t="s">
        <v>361</v>
      </c>
      <c r="H113" s="4">
        <v>46289.143101620371</v>
      </c>
      <c r="I113" s="4">
        <v>46289.391595370369</v>
      </c>
      <c r="J113" s="3">
        <f>ROUND((I113-H113)*1440,0)</f>
        <v>358</v>
      </c>
      <c r="K113" s="3" t="s">
        <v>455</v>
      </c>
      <c r="L113" s="3" t="s">
        <v>43</v>
      </c>
      <c r="M113" s="3" t="s">
        <v>44</v>
      </c>
      <c r="N113" s="3" t="s">
        <v>23</v>
      </c>
      <c r="O113" s="3" t="s">
        <v>456</v>
      </c>
    </row>
    <row r="114" spans="1:15" hidden="1" x14ac:dyDescent="0.75">
      <c r="A114" s="2">
        <v>46289</v>
      </c>
      <c r="B114" s="3" t="s">
        <v>457</v>
      </c>
      <c r="C114" s="3" t="s">
        <v>458</v>
      </c>
      <c r="D114" s="3" t="s">
        <v>459</v>
      </c>
      <c r="E114" s="3" t="s">
        <v>460</v>
      </c>
      <c r="F114" s="3" t="s">
        <v>27</v>
      </c>
      <c r="G114" s="3" t="s">
        <v>28</v>
      </c>
      <c r="H114" s="4">
        <v>46289.148193981477</v>
      </c>
      <c r="I114" s="4">
        <v>46289.3589474537</v>
      </c>
      <c r="J114" s="3">
        <f>ROUND((I114-H114)*1440,0)</f>
        <v>303</v>
      </c>
      <c r="K114" s="3" t="s">
        <v>461</v>
      </c>
      <c r="L114" s="3" t="s">
        <v>22</v>
      </c>
      <c r="M114" s="3" t="s">
        <v>22</v>
      </c>
      <c r="N114" s="3" t="s">
        <v>23</v>
      </c>
      <c r="O114" s="3" t="s">
        <v>462</v>
      </c>
    </row>
    <row r="115" spans="1:15" hidden="1" x14ac:dyDescent="0.75">
      <c r="A115" s="2">
        <v>46289</v>
      </c>
      <c r="B115" s="3" t="s">
        <v>463</v>
      </c>
      <c r="C115" s="3" t="s">
        <v>464</v>
      </c>
      <c r="D115" s="3"/>
      <c r="E115" s="3"/>
      <c r="F115" s="3" t="s">
        <v>344</v>
      </c>
      <c r="G115" s="3" t="s">
        <v>345</v>
      </c>
      <c r="H115" s="4">
        <v>46289.151871180547</v>
      </c>
      <c r="I115" s="4">
        <v>46289.218859143519</v>
      </c>
      <c r="J115" s="3">
        <f>ROUND((I115-H115)*1440,0)</f>
        <v>96</v>
      </c>
      <c r="K115" s="3" t="s">
        <v>465</v>
      </c>
      <c r="L115" s="3" t="s">
        <v>43</v>
      </c>
      <c r="M115" s="3" t="s">
        <v>44</v>
      </c>
      <c r="N115" s="3" t="s">
        <v>23</v>
      </c>
      <c r="O115" s="3" t="s">
        <v>466</v>
      </c>
    </row>
    <row r="116" spans="1:15" hidden="1" x14ac:dyDescent="0.75">
      <c r="A116" s="2">
        <v>46289</v>
      </c>
      <c r="B116" s="3" t="s">
        <v>467</v>
      </c>
      <c r="C116" s="3" t="s">
        <v>468</v>
      </c>
      <c r="D116" s="3" t="s">
        <v>122</v>
      </c>
      <c r="E116" s="3" t="s">
        <v>123</v>
      </c>
      <c r="F116" s="3" t="s">
        <v>17</v>
      </c>
      <c r="G116" s="3" t="s">
        <v>18</v>
      </c>
      <c r="H116" s="4">
        <v>46289.152206018523</v>
      </c>
      <c r="I116" s="4">
        <v>46289.360358680548</v>
      </c>
      <c r="J116" s="3">
        <f>ROUND((I116-H116)*1440,0)</f>
        <v>300</v>
      </c>
      <c r="K116" s="3" t="s">
        <v>469</v>
      </c>
      <c r="L116" s="3" t="s">
        <v>22</v>
      </c>
      <c r="M116" s="3" t="s">
        <v>22</v>
      </c>
      <c r="N116" s="3" t="s">
        <v>23</v>
      </c>
      <c r="O116" s="3" t="s">
        <v>470</v>
      </c>
    </row>
    <row r="117" spans="1:15" hidden="1" x14ac:dyDescent="0.75">
      <c r="A117" s="2">
        <v>46289</v>
      </c>
      <c r="B117" s="3" t="s">
        <v>471</v>
      </c>
      <c r="C117" s="3" t="s">
        <v>472</v>
      </c>
      <c r="D117" s="3" t="s">
        <v>304</v>
      </c>
      <c r="E117" s="3" t="s">
        <v>305</v>
      </c>
      <c r="F117" s="3" t="s">
        <v>27</v>
      </c>
      <c r="G117" s="3" t="s">
        <v>28</v>
      </c>
      <c r="H117" s="4">
        <v>46289.152628009258</v>
      </c>
      <c r="I117" s="4">
        <v>46289.360691666669</v>
      </c>
      <c r="J117" s="3">
        <f>ROUND((I117-H117)*1440,0)</f>
        <v>300</v>
      </c>
      <c r="K117" s="3" t="s">
        <v>473</v>
      </c>
      <c r="L117" s="3" t="s">
        <v>43</v>
      </c>
      <c r="M117" s="3" t="s">
        <v>44</v>
      </c>
      <c r="N117" s="3" t="s">
        <v>23</v>
      </c>
      <c r="O117" s="3" t="s">
        <v>474</v>
      </c>
    </row>
    <row r="118" spans="1:15" hidden="1" x14ac:dyDescent="0.75">
      <c r="A118" s="2">
        <v>46289</v>
      </c>
      <c r="B118" s="3" t="s">
        <v>475</v>
      </c>
      <c r="C118" s="3" t="s">
        <v>476</v>
      </c>
      <c r="D118" s="3" t="s">
        <v>27</v>
      </c>
      <c r="E118" s="3" t="s">
        <v>28</v>
      </c>
      <c r="F118" s="3" t="s">
        <v>182</v>
      </c>
      <c r="G118" s="3" t="s">
        <v>183</v>
      </c>
      <c r="H118" s="4">
        <v>46289.162782638887</v>
      </c>
      <c r="I118" s="4">
        <v>46289.255001736114</v>
      </c>
      <c r="J118" s="3">
        <f>ROUND((I118-H118)*1440,0)</f>
        <v>133</v>
      </c>
      <c r="K118" s="3" t="s">
        <v>477</v>
      </c>
      <c r="L118" s="3" t="s">
        <v>77</v>
      </c>
      <c r="M118" s="3" t="s">
        <v>78</v>
      </c>
      <c r="N118" s="3" t="s">
        <v>23</v>
      </c>
      <c r="O118" s="3" t="s">
        <v>478</v>
      </c>
    </row>
    <row r="119" spans="1:15" hidden="1" x14ac:dyDescent="0.75">
      <c r="A119" s="2">
        <v>46289</v>
      </c>
      <c r="B119" s="3" t="s">
        <v>479</v>
      </c>
      <c r="C119" s="3" t="s">
        <v>480</v>
      </c>
      <c r="D119" s="3" t="s">
        <v>304</v>
      </c>
      <c r="E119" s="3" t="s">
        <v>305</v>
      </c>
      <c r="F119" s="3" t="s">
        <v>58</v>
      </c>
      <c r="G119" s="3" t="s">
        <v>59</v>
      </c>
      <c r="H119" s="4">
        <v>46289.166759259257</v>
      </c>
      <c r="I119" s="4">
        <v>46289.370015277767</v>
      </c>
      <c r="J119" s="3">
        <f>ROUND((I119-H119)*1440,0)</f>
        <v>293</v>
      </c>
      <c r="K119" s="3" t="s">
        <v>481</v>
      </c>
      <c r="L119" s="3" t="s">
        <v>22</v>
      </c>
      <c r="M119" s="3" t="s">
        <v>22</v>
      </c>
      <c r="N119" s="3" t="s">
        <v>23</v>
      </c>
      <c r="O119" s="3" t="s">
        <v>482</v>
      </c>
    </row>
    <row r="120" spans="1:15" hidden="1" x14ac:dyDescent="0.75">
      <c r="A120" s="2">
        <v>46289</v>
      </c>
      <c r="B120" s="3" t="s">
        <v>483</v>
      </c>
      <c r="C120" s="3" t="s">
        <v>484</v>
      </c>
      <c r="D120" s="3"/>
      <c r="E120" s="3"/>
      <c r="F120" s="3" t="s">
        <v>17</v>
      </c>
      <c r="G120" s="3" t="s">
        <v>18</v>
      </c>
      <c r="H120" s="4">
        <v>46289.171899537039</v>
      </c>
      <c r="I120" s="4">
        <v>46289.221741203713</v>
      </c>
      <c r="J120" s="3">
        <f>ROUND((I120-H120)*1440,0)</f>
        <v>72</v>
      </c>
      <c r="K120" s="3" t="s">
        <v>485</v>
      </c>
      <c r="L120" s="3" t="s">
        <v>36</v>
      </c>
      <c r="M120" s="3" t="s">
        <v>36</v>
      </c>
      <c r="N120" s="3" t="s">
        <v>23</v>
      </c>
      <c r="O120" s="3" t="s">
        <v>486</v>
      </c>
    </row>
    <row r="121" spans="1:15" hidden="1" x14ac:dyDescent="0.75">
      <c r="A121" s="2">
        <v>46289</v>
      </c>
      <c r="B121" s="3" t="s">
        <v>487</v>
      </c>
      <c r="C121" s="3" t="s">
        <v>488</v>
      </c>
      <c r="D121" s="3" t="s">
        <v>58</v>
      </c>
      <c r="E121" s="3" t="s">
        <v>59</v>
      </c>
      <c r="F121" s="3"/>
      <c r="G121" s="3"/>
      <c r="H121" s="4">
        <v>46289.181101851849</v>
      </c>
      <c r="I121" s="4">
        <v>46289.216995833332</v>
      </c>
      <c r="J121" s="3">
        <f>ROUND((I121-H121)*1440,0)</f>
        <v>52</v>
      </c>
      <c r="K121" s="3" t="s">
        <v>489</v>
      </c>
      <c r="L121" s="3" t="s">
        <v>36</v>
      </c>
      <c r="M121" s="3" t="s">
        <v>36</v>
      </c>
      <c r="N121" s="3" t="s">
        <v>443</v>
      </c>
      <c r="O121" s="3" t="s">
        <v>490</v>
      </c>
    </row>
    <row r="122" spans="1:15" hidden="1" x14ac:dyDescent="0.75">
      <c r="A122" s="2">
        <v>46289</v>
      </c>
      <c r="B122" s="3" t="s">
        <v>491</v>
      </c>
      <c r="C122" s="3" t="s">
        <v>492</v>
      </c>
      <c r="D122" s="3" t="s">
        <v>17</v>
      </c>
      <c r="E122" s="3" t="s">
        <v>18</v>
      </c>
      <c r="F122" s="3" t="s">
        <v>172</v>
      </c>
      <c r="G122" s="3" t="s">
        <v>173</v>
      </c>
      <c r="H122" s="4">
        <v>46289.191815046303</v>
      </c>
      <c r="I122" s="4">
        <v>46289.214623495369</v>
      </c>
      <c r="J122" s="3">
        <f>ROUND((I122-H122)*1440,0)</f>
        <v>33</v>
      </c>
      <c r="K122" s="3" t="s">
        <v>493</v>
      </c>
      <c r="L122" s="3" t="s">
        <v>36</v>
      </c>
      <c r="M122" s="3" t="s">
        <v>36</v>
      </c>
      <c r="N122" s="3" t="s">
        <v>23</v>
      </c>
      <c r="O122" s="3" t="s">
        <v>494</v>
      </c>
    </row>
    <row r="123" spans="1:15" hidden="1" x14ac:dyDescent="0.75">
      <c r="A123" s="2">
        <v>46289</v>
      </c>
      <c r="B123" s="3" t="s">
        <v>495</v>
      </c>
      <c r="C123" s="3" t="s">
        <v>496</v>
      </c>
      <c r="D123" s="3" t="s">
        <v>459</v>
      </c>
      <c r="E123" s="3" t="s">
        <v>460</v>
      </c>
      <c r="F123" s="3" t="s">
        <v>17</v>
      </c>
      <c r="G123" s="3" t="s">
        <v>18</v>
      </c>
      <c r="H123" s="4">
        <v>46289.193241435183</v>
      </c>
      <c r="I123" s="4">
        <v>46289.392543402777</v>
      </c>
      <c r="J123" s="3">
        <f>ROUND((I123-H123)*1440,0)</f>
        <v>287</v>
      </c>
      <c r="K123" s="3" t="s">
        <v>497</v>
      </c>
      <c r="L123" s="3" t="s">
        <v>22</v>
      </c>
      <c r="M123" s="3" t="s">
        <v>22</v>
      </c>
      <c r="N123" s="3" t="s">
        <v>23</v>
      </c>
      <c r="O123" s="3" t="s">
        <v>498</v>
      </c>
    </row>
    <row r="124" spans="1:15" hidden="1" x14ac:dyDescent="0.75">
      <c r="A124" s="2">
        <v>46289</v>
      </c>
      <c r="B124" s="3" t="s">
        <v>499</v>
      </c>
      <c r="C124" s="3" t="s">
        <v>500</v>
      </c>
      <c r="D124" s="3" t="s">
        <v>56</v>
      </c>
      <c r="E124" s="3" t="s">
        <v>57</v>
      </c>
      <c r="F124" s="3" t="s">
        <v>228</v>
      </c>
      <c r="G124" s="3" t="s">
        <v>229</v>
      </c>
      <c r="H124" s="4">
        <v>46289.195125925929</v>
      </c>
      <c r="I124" s="4">
        <v>46289.287481944448</v>
      </c>
      <c r="J124" s="3">
        <f>ROUND((I124-H124)*1440,0)</f>
        <v>133</v>
      </c>
      <c r="K124" s="3" t="s">
        <v>501</v>
      </c>
      <c r="L124" s="3" t="s">
        <v>77</v>
      </c>
      <c r="M124" s="3" t="s">
        <v>78</v>
      </c>
      <c r="N124" s="3" t="s">
        <v>23</v>
      </c>
      <c r="O124" s="3" t="s">
        <v>502</v>
      </c>
    </row>
    <row r="125" spans="1:15" hidden="1" x14ac:dyDescent="0.75">
      <c r="A125" s="2">
        <v>46289</v>
      </c>
      <c r="B125" s="3" t="s">
        <v>503</v>
      </c>
      <c r="C125" s="3" t="s">
        <v>504</v>
      </c>
      <c r="D125" s="3" t="s">
        <v>304</v>
      </c>
      <c r="E125" s="3" t="s">
        <v>305</v>
      </c>
      <c r="F125" s="3" t="s">
        <v>17</v>
      </c>
      <c r="G125" s="3" t="s">
        <v>18</v>
      </c>
      <c r="H125" s="4">
        <v>46289.19947511574</v>
      </c>
      <c r="I125" s="4">
        <v>46289.407719907409</v>
      </c>
      <c r="J125" s="3">
        <f>ROUND((I125-H125)*1440,0)</f>
        <v>300</v>
      </c>
      <c r="K125" s="3" t="s">
        <v>505</v>
      </c>
      <c r="L125" s="3" t="s">
        <v>43</v>
      </c>
      <c r="M125" s="3" t="s">
        <v>44</v>
      </c>
      <c r="N125" s="3" t="s">
        <v>23</v>
      </c>
      <c r="O125" s="3" t="s">
        <v>506</v>
      </c>
    </row>
    <row r="126" spans="1:15" hidden="1" x14ac:dyDescent="0.75">
      <c r="A126" s="2">
        <v>46289</v>
      </c>
      <c r="B126" s="3" t="s">
        <v>507</v>
      </c>
      <c r="C126" s="3" t="s">
        <v>508</v>
      </c>
      <c r="D126" s="3" t="s">
        <v>122</v>
      </c>
      <c r="E126" s="3" t="s">
        <v>123</v>
      </c>
      <c r="F126" s="3" t="s">
        <v>27</v>
      </c>
      <c r="G126" s="3" t="s">
        <v>28</v>
      </c>
      <c r="H126" s="4">
        <v>46289.203842013892</v>
      </c>
      <c r="I126" s="4">
        <v>46289.421760069446</v>
      </c>
      <c r="J126" s="3">
        <f>ROUND((I126-H126)*1440,0)</f>
        <v>314</v>
      </c>
      <c r="K126" s="3" t="s">
        <v>509</v>
      </c>
      <c r="L126" s="3" t="s">
        <v>22</v>
      </c>
      <c r="M126" s="3" t="s">
        <v>22</v>
      </c>
      <c r="N126" s="3" t="s">
        <v>23</v>
      </c>
      <c r="O126" s="3" t="s">
        <v>510</v>
      </c>
    </row>
    <row r="127" spans="1:15" hidden="1" x14ac:dyDescent="0.75">
      <c r="A127" s="2">
        <v>46289</v>
      </c>
      <c r="B127" s="3" t="s">
        <v>511</v>
      </c>
      <c r="C127" s="3" t="s">
        <v>512</v>
      </c>
      <c r="D127" s="3" t="s">
        <v>513</v>
      </c>
      <c r="E127" s="3" t="s">
        <v>514</v>
      </c>
      <c r="F127" s="3" t="s">
        <v>17</v>
      </c>
      <c r="G127" s="3" t="s">
        <v>18</v>
      </c>
      <c r="H127" s="4">
        <v>46289.205639930558</v>
      </c>
      <c r="I127" s="4">
        <v>46289.365816666657</v>
      </c>
      <c r="J127" s="3">
        <f>ROUND((I127-H127)*1440,0)</f>
        <v>231</v>
      </c>
      <c r="K127" s="3" t="s">
        <v>515</v>
      </c>
      <c r="L127" s="3" t="s">
        <v>36</v>
      </c>
      <c r="M127" s="3" t="s">
        <v>36</v>
      </c>
      <c r="N127" s="3" t="s">
        <v>23</v>
      </c>
      <c r="O127" s="3" t="s">
        <v>516</v>
      </c>
    </row>
    <row r="128" spans="1:15" hidden="1" x14ac:dyDescent="0.75">
      <c r="A128" s="2">
        <v>46289</v>
      </c>
      <c r="B128" s="3" t="s">
        <v>517</v>
      </c>
      <c r="C128" s="3" t="s">
        <v>518</v>
      </c>
      <c r="D128" s="3" t="s">
        <v>304</v>
      </c>
      <c r="E128" s="3" t="s">
        <v>305</v>
      </c>
      <c r="F128" s="3" t="s">
        <v>56</v>
      </c>
      <c r="G128" s="3" t="s">
        <v>57</v>
      </c>
      <c r="H128" s="4">
        <v>46289.214216666667</v>
      </c>
      <c r="I128" s="4">
        <v>46289.411600115738</v>
      </c>
      <c r="J128" s="3">
        <f>ROUND((I128-H128)*1440,0)</f>
        <v>284</v>
      </c>
      <c r="K128" s="3" t="s">
        <v>519</v>
      </c>
      <c r="L128" s="3" t="s">
        <v>22</v>
      </c>
      <c r="M128" s="3" t="s">
        <v>22</v>
      </c>
      <c r="N128" s="3" t="s">
        <v>23</v>
      </c>
      <c r="O128" s="3" t="s">
        <v>520</v>
      </c>
    </row>
    <row r="129" spans="1:15" hidden="1" x14ac:dyDescent="0.75">
      <c r="A129" s="2">
        <v>46289</v>
      </c>
      <c r="B129" s="3" t="s">
        <v>521</v>
      </c>
      <c r="C129" s="3" t="s">
        <v>522</v>
      </c>
      <c r="D129" s="3" t="s">
        <v>264</v>
      </c>
      <c r="E129" s="3" t="s">
        <v>265</v>
      </c>
      <c r="F129" s="3" t="s">
        <v>56</v>
      </c>
      <c r="G129" s="3" t="s">
        <v>57</v>
      </c>
      <c r="H129" s="4">
        <v>46289.238609953703</v>
      </c>
      <c r="I129" s="4">
        <v>46289.418698726848</v>
      </c>
      <c r="J129" s="3">
        <f>ROUND((I129-H129)*1440,0)</f>
        <v>259</v>
      </c>
      <c r="K129" s="3" t="s">
        <v>523</v>
      </c>
      <c r="L129" s="3" t="s">
        <v>22</v>
      </c>
      <c r="M129" s="3" t="s">
        <v>22</v>
      </c>
      <c r="N129" s="3" t="s">
        <v>23</v>
      </c>
      <c r="O129" s="3" t="s">
        <v>524</v>
      </c>
    </row>
    <row r="130" spans="1:15" hidden="1" x14ac:dyDescent="0.75">
      <c r="A130" s="2">
        <v>46289</v>
      </c>
      <c r="B130" s="3" t="s">
        <v>525</v>
      </c>
      <c r="C130" s="3" t="s">
        <v>526</v>
      </c>
      <c r="D130" s="3" t="s">
        <v>527</v>
      </c>
      <c r="E130" s="3" t="s">
        <v>528</v>
      </c>
      <c r="F130" s="3" t="s">
        <v>17</v>
      </c>
      <c r="G130" s="3" t="s">
        <v>18</v>
      </c>
      <c r="H130" s="4">
        <v>46289.242669328713</v>
      </c>
      <c r="I130" s="4">
        <v>46289.442800925928</v>
      </c>
      <c r="J130" s="3">
        <f>ROUND((I130-H130)*1440,0)</f>
        <v>288</v>
      </c>
      <c r="K130" s="3" t="s">
        <v>529</v>
      </c>
      <c r="L130" s="3" t="s">
        <v>77</v>
      </c>
      <c r="M130" s="3" t="s">
        <v>78</v>
      </c>
      <c r="N130" s="3" t="s">
        <v>23</v>
      </c>
      <c r="O130" s="3" t="s">
        <v>530</v>
      </c>
    </row>
    <row r="131" spans="1:15" hidden="1" x14ac:dyDescent="0.75">
      <c r="A131" s="2">
        <v>46289</v>
      </c>
      <c r="B131" s="3" t="s">
        <v>531</v>
      </c>
      <c r="C131" s="3" t="s">
        <v>532</v>
      </c>
      <c r="D131" s="3" t="s">
        <v>304</v>
      </c>
      <c r="E131" s="3" t="s">
        <v>305</v>
      </c>
      <c r="F131" s="3" t="s">
        <v>27</v>
      </c>
      <c r="G131" s="3" t="s">
        <v>28</v>
      </c>
      <c r="H131" s="4">
        <v>46289.245234722221</v>
      </c>
      <c r="I131" s="4">
        <v>46289.459556828697</v>
      </c>
      <c r="J131" s="3">
        <f>ROUND((I131-H131)*1440,0)</f>
        <v>309</v>
      </c>
      <c r="K131" s="3" t="s">
        <v>533</v>
      </c>
      <c r="L131" s="3" t="s">
        <v>43</v>
      </c>
      <c r="M131" s="3" t="s">
        <v>44</v>
      </c>
      <c r="N131" s="3" t="s">
        <v>23</v>
      </c>
      <c r="O131" s="3" t="s">
        <v>534</v>
      </c>
    </row>
    <row r="132" spans="1:15" hidden="1" x14ac:dyDescent="0.75">
      <c r="A132" s="2">
        <v>46289</v>
      </c>
      <c r="B132" s="3" t="s">
        <v>535</v>
      </c>
      <c r="C132" s="3" t="s">
        <v>536</v>
      </c>
      <c r="D132" s="3" t="s">
        <v>29</v>
      </c>
      <c r="E132" s="3" t="s">
        <v>30</v>
      </c>
      <c r="F132" s="3" t="s">
        <v>17</v>
      </c>
      <c r="G132" s="3" t="s">
        <v>18</v>
      </c>
      <c r="H132" s="4">
        <v>46289.245473148148</v>
      </c>
      <c r="I132" s="4">
        <v>46289.437574074072</v>
      </c>
      <c r="J132" s="3">
        <f>ROUND((I132-H132)*1440,0)</f>
        <v>277</v>
      </c>
      <c r="K132" s="3" t="s">
        <v>537</v>
      </c>
      <c r="L132" s="3" t="s">
        <v>36</v>
      </c>
      <c r="M132" s="3" t="s">
        <v>36</v>
      </c>
      <c r="N132" s="3" t="s">
        <v>23</v>
      </c>
      <c r="O132" s="3" t="s">
        <v>538</v>
      </c>
    </row>
    <row r="133" spans="1:15" hidden="1" x14ac:dyDescent="0.75">
      <c r="A133" s="2">
        <v>46289</v>
      </c>
      <c r="B133" s="3" t="s">
        <v>539</v>
      </c>
      <c r="C133" s="3" t="s">
        <v>540</v>
      </c>
      <c r="D133" s="3" t="s">
        <v>541</v>
      </c>
      <c r="E133" s="3" t="s">
        <v>542</v>
      </c>
      <c r="F133" s="3" t="s">
        <v>17</v>
      </c>
      <c r="G133" s="3" t="s">
        <v>18</v>
      </c>
      <c r="H133" s="4">
        <v>46289.256370717587</v>
      </c>
      <c r="I133" s="4">
        <v>46289.42045740741</v>
      </c>
      <c r="J133" s="3">
        <f>ROUND((I133-H133)*1440,0)</f>
        <v>236</v>
      </c>
      <c r="K133" s="3" t="s">
        <v>543</v>
      </c>
      <c r="L133" s="3" t="s">
        <v>77</v>
      </c>
      <c r="M133" s="3" t="s">
        <v>78</v>
      </c>
      <c r="N133" s="3" t="s">
        <v>23</v>
      </c>
      <c r="O133" s="3" t="s">
        <v>544</v>
      </c>
    </row>
    <row r="134" spans="1:15" hidden="1" x14ac:dyDescent="0.75">
      <c r="A134" s="2">
        <v>46289</v>
      </c>
      <c r="B134" s="3" t="s">
        <v>545</v>
      </c>
      <c r="C134" s="3" t="s">
        <v>546</v>
      </c>
      <c r="D134" s="3" t="s">
        <v>122</v>
      </c>
      <c r="E134" s="3" t="s">
        <v>123</v>
      </c>
      <c r="F134" s="3" t="s">
        <v>56</v>
      </c>
      <c r="G134" s="3" t="s">
        <v>57</v>
      </c>
      <c r="H134" s="4">
        <v>46289.264292476852</v>
      </c>
      <c r="I134" s="4">
        <v>46289.480888194441</v>
      </c>
      <c r="J134" s="3">
        <f>ROUND((I134-H134)*1440,0)</f>
        <v>312</v>
      </c>
      <c r="K134" s="3" t="s">
        <v>547</v>
      </c>
      <c r="L134" s="3" t="s">
        <v>22</v>
      </c>
      <c r="M134" s="3" t="s">
        <v>22</v>
      </c>
      <c r="N134" s="3" t="s">
        <v>23</v>
      </c>
      <c r="O134" s="3" t="s">
        <v>548</v>
      </c>
    </row>
    <row r="135" spans="1:15" hidden="1" x14ac:dyDescent="0.75">
      <c r="A135" s="2">
        <v>46289</v>
      </c>
      <c r="B135" s="3" t="s">
        <v>549</v>
      </c>
      <c r="C135" s="3" t="s">
        <v>550</v>
      </c>
      <c r="D135" s="3" t="s">
        <v>551</v>
      </c>
      <c r="E135" s="3" t="s">
        <v>552</v>
      </c>
      <c r="F135" s="3" t="s">
        <v>17</v>
      </c>
      <c r="G135" s="3" t="s">
        <v>18</v>
      </c>
      <c r="H135" s="4">
        <v>46289.269005324073</v>
      </c>
      <c r="I135" s="4">
        <v>46289.470947106478</v>
      </c>
      <c r="J135" s="3">
        <f>ROUND((I135-H135)*1440,0)</f>
        <v>291</v>
      </c>
      <c r="K135" s="3" t="s">
        <v>553</v>
      </c>
      <c r="L135" s="3" t="s">
        <v>77</v>
      </c>
      <c r="M135" s="3" t="s">
        <v>78</v>
      </c>
      <c r="N135" s="3" t="s">
        <v>23</v>
      </c>
      <c r="O135" s="3" t="s">
        <v>554</v>
      </c>
    </row>
    <row r="136" spans="1:15" hidden="1" x14ac:dyDescent="0.75">
      <c r="A136" s="2">
        <v>46289</v>
      </c>
      <c r="B136" s="3" t="s">
        <v>555</v>
      </c>
      <c r="C136" s="3" t="s">
        <v>556</v>
      </c>
      <c r="D136" s="3" t="s">
        <v>264</v>
      </c>
      <c r="E136" s="3" t="s">
        <v>265</v>
      </c>
      <c r="F136" s="3" t="s">
        <v>17</v>
      </c>
      <c r="G136" s="3" t="s">
        <v>18</v>
      </c>
      <c r="H136" s="4">
        <v>46289.273943749999</v>
      </c>
      <c r="I136" s="4">
        <v>46289.458409143517</v>
      </c>
      <c r="J136" s="3">
        <f>ROUND((I136-H136)*1440,0)</f>
        <v>266</v>
      </c>
      <c r="K136" s="3" t="s">
        <v>557</v>
      </c>
      <c r="L136" s="3" t="s">
        <v>22</v>
      </c>
      <c r="M136" s="3" t="s">
        <v>22</v>
      </c>
      <c r="N136" s="3" t="s">
        <v>23</v>
      </c>
      <c r="O136" s="3" t="s">
        <v>558</v>
      </c>
    </row>
    <row r="137" spans="1:15" hidden="1" x14ac:dyDescent="0.75">
      <c r="A137" s="2">
        <v>46289</v>
      </c>
      <c r="B137" s="3" t="s">
        <v>559</v>
      </c>
      <c r="C137" s="3" t="s">
        <v>560</v>
      </c>
      <c r="D137" s="3" t="s">
        <v>304</v>
      </c>
      <c r="E137" s="3" t="s">
        <v>305</v>
      </c>
      <c r="F137" s="3" t="s">
        <v>17</v>
      </c>
      <c r="G137" s="3" t="s">
        <v>18</v>
      </c>
      <c r="H137" s="4">
        <v>46289.27442627315</v>
      </c>
      <c r="I137" s="4">
        <v>46289.482158796287</v>
      </c>
      <c r="J137" s="3">
        <f>ROUND((I137-H137)*1440,0)</f>
        <v>299</v>
      </c>
      <c r="K137" s="3" t="s">
        <v>561</v>
      </c>
      <c r="L137" s="3" t="s">
        <v>43</v>
      </c>
      <c r="M137" s="3" t="s">
        <v>44</v>
      </c>
      <c r="N137" s="3" t="s">
        <v>23</v>
      </c>
      <c r="O137" s="3" t="s">
        <v>562</v>
      </c>
    </row>
    <row r="138" spans="1:15" hidden="1" x14ac:dyDescent="0.75">
      <c r="A138" s="2">
        <v>46289</v>
      </c>
      <c r="B138" s="3" t="s">
        <v>563</v>
      </c>
      <c r="C138" s="3" t="s">
        <v>564</v>
      </c>
      <c r="D138" s="3" t="s">
        <v>565</v>
      </c>
      <c r="E138" s="3" t="s">
        <v>566</v>
      </c>
      <c r="F138" s="3" t="s">
        <v>17</v>
      </c>
      <c r="G138" s="3" t="s">
        <v>18</v>
      </c>
      <c r="H138" s="4">
        <v>46289.274606134262</v>
      </c>
      <c r="I138" s="4">
        <v>46289.466803703697</v>
      </c>
      <c r="J138" s="3">
        <f>ROUND((I138-H138)*1440,0)</f>
        <v>277</v>
      </c>
      <c r="K138" s="3" t="s">
        <v>567</v>
      </c>
      <c r="L138" s="3" t="s">
        <v>22</v>
      </c>
      <c r="M138" s="3" t="s">
        <v>22</v>
      </c>
      <c r="N138" s="3" t="s">
        <v>23</v>
      </c>
      <c r="O138" s="3" t="s">
        <v>568</v>
      </c>
    </row>
    <row r="139" spans="1:15" hidden="1" x14ac:dyDescent="0.75">
      <c r="A139" s="2">
        <v>46289</v>
      </c>
      <c r="B139" s="3" t="s">
        <v>569</v>
      </c>
      <c r="C139" s="3" t="s">
        <v>570</v>
      </c>
      <c r="D139" s="3" t="s">
        <v>571</v>
      </c>
      <c r="E139" s="3" t="s">
        <v>572</v>
      </c>
      <c r="F139" s="3" t="s">
        <v>17</v>
      </c>
      <c r="G139" s="3" t="s">
        <v>18</v>
      </c>
      <c r="H139" s="4">
        <v>46289.281789583343</v>
      </c>
      <c r="I139" s="4">
        <v>46289.48682997685</v>
      </c>
      <c r="J139" s="3">
        <f>ROUND((I139-H139)*1440,0)</f>
        <v>295</v>
      </c>
      <c r="K139" s="3" t="s">
        <v>573</v>
      </c>
      <c r="L139" s="3" t="s">
        <v>22</v>
      </c>
      <c r="M139" s="3" t="s">
        <v>22</v>
      </c>
      <c r="N139" s="3" t="s">
        <v>23</v>
      </c>
      <c r="O139" s="3" t="s">
        <v>574</v>
      </c>
    </row>
    <row r="140" spans="1:15" hidden="1" x14ac:dyDescent="0.75">
      <c r="A140" s="2">
        <v>46289</v>
      </c>
      <c r="B140" s="3" t="s">
        <v>575</v>
      </c>
      <c r="C140" s="3" t="s">
        <v>576</v>
      </c>
      <c r="D140" s="3" t="s">
        <v>264</v>
      </c>
      <c r="E140" s="3" t="s">
        <v>265</v>
      </c>
      <c r="F140" s="3" t="s">
        <v>27</v>
      </c>
      <c r="G140" s="3" t="s">
        <v>28</v>
      </c>
      <c r="H140" s="4">
        <v>46289.297572453703</v>
      </c>
      <c r="I140" s="4">
        <v>46289.492529282397</v>
      </c>
      <c r="J140" s="3">
        <f>ROUND((I140-H140)*1440,0)</f>
        <v>281</v>
      </c>
      <c r="K140" s="3" t="s">
        <v>266</v>
      </c>
      <c r="L140" s="3" t="s">
        <v>22</v>
      </c>
      <c r="M140" s="3" t="s">
        <v>22</v>
      </c>
      <c r="N140" s="3" t="s">
        <v>23</v>
      </c>
      <c r="O140" s="3" t="s">
        <v>267</v>
      </c>
    </row>
    <row r="141" spans="1:15" hidden="1" x14ac:dyDescent="0.75">
      <c r="A141" s="2">
        <v>46289</v>
      </c>
      <c r="B141" s="3" t="s">
        <v>577</v>
      </c>
      <c r="C141" s="3" t="s">
        <v>578</v>
      </c>
      <c r="D141" s="3" t="s">
        <v>29</v>
      </c>
      <c r="E141" s="3" t="s">
        <v>30</v>
      </c>
      <c r="F141" s="3" t="s">
        <v>27</v>
      </c>
      <c r="G141" s="3" t="s">
        <v>28</v>
      </c>
      <c r="H141" s="4">
        <v>46289.300077893517</v>
      </c>
      <c r="I141" s="4">
        <v>46289.50183321759</v>
      </c>
      <c r="J141" s="3">
        <f>ROUND((I141-H141)*1440,0)</f>
        <v>291</v>
      </c>
      <c r="K141" s="3" t="s">
        <v>31</v>
      </c>
      <c r="L141" s="3" t="s">
        <v>22</v>
      </c>
      <c r="M141" s="3" t="s">
        <v>22</v>
      </c>
      <c r="N141" s="3" t="s">
        <v>23</v>
      </c>
      <c r="O141" s="3" t="s">
        <v>32</v>
      </c>
    </row>
    <row r="142" spans="1:15" hidden="1" x14ac:dyDescent="0.75">
      <c r="A142" s="2">
        <v>46289</v>
      </c>
      <c r="B142" s="3" t="s">
        <v>579</v>
      </c>
      <c r="C142" s="3" t="s">
        <v>580</v>
      </c>
      <c r="D142" s="3" t="s">
        <v>122</v>
      </c>
      <c r="E142" s="3" t="s">
        <v>123</v>
      </c>
      <c r="F142" s="3" t="s">
        <v>17</v>
      </c>
      <c r="G142" s="3" t="s">
        <v>18</v>
      </c>
      <c r="H142" s="4">
        <v>46289.303301157408</v>
      </c>
      <c r="I142" s="4">
        <v>46289.514684490743</v>
      </c>
      <c r="J142" s="3">
        <f>ROUND((I142-H142)*1440,0)</f>
        <v>304</v>
      </c>
      <c r="K142" s="3" t="s">
        <v>581</v>
      </c>
      <c r="L142" s="3" t="s">
        <v>22</v>
      </c>
      <c r="M142" s="3" t="s">
        <v>22</v>
      </c>
      <c r="N142" s="3" t="s">
        <v>23</v>
      </c>
      <c r="O142" s="3" t="s">
        <v>582</v>
      </c>
    </row>
    <row r="143" spans="1:15" hidden="1" x14ac:dyDescent="0.75">
      <c r="A143" s="2">
        <v>46289</v>
      </c>
      <c r="B143" s="3" t="s">
        <v>583</v>
      </c>
      <c r="C143" s="3" t="s">
        <v>584</v>
      </c>
      <c r="D143" s="3" t="s">
        <v>344</v>
      </c>
      <c r="E143" s="3" t="s">
        <v>345</v>
      </c>
      <c r="F143" s="3" t="s">
        <v>17</v>
      </c>
      <c r="G143" s="3" t="s">
        <v>18</v>
      </c>
      <c r="H143" s="4">
        <v>46289.308537152778</v>
      </c>
      <c r="I143" s="4">
        <v>46289.619538194442</v>
      </c>
      <c r="J143" s="3">
        <f>ROUND((I143-H143)*1440,0)</f>
        <v>448</v>
      </c>
      <c r="K143" s="3" t="s">
        <v>585</v>
      </c>
      <c r="L143" s="3" t="s">
        <v>43</v>
      </c>
      <c r="M143" s="3" t="s">
        <v>44</v>
      </c>
      <c r="N143" s="3" t="s">
        <v>23</v>
      </c>
      <c r="O143" s="3" t="s">
        <v>586</v>
      </c>
    </row>
    <row r="144" spans="1:15" hidden="1" x14ac:dyDescent="0.75">
      <c r="A144" s="2">
        <v>46289</v>
      </c>
      <c r="B144" s="3" t="s">
        <v>587</v>
      </c>
      <c r="C144" s="3" t="s">
        <v>588</v>
      </c>
      <c r="D144" s="3" t="s">
        <v>304</v>
      </c>
      <c r="E144" s="3" t="s">
        <v>305</v>
      </c>
      <c r="F144" s="3" t="s">
        <v>17</v>
      </c>
      <c r="G144" s="3" t="s">
        <v>18</v>
      </c>
      <c r="H144" s="4">
        <v>46289.324117592587</v>
      </c>
      <c r="I144" s="4">
        <v>46289.534436111113</v>
      </c>
      <c r="J144" s="3">
        <f>ROUND((I144-H144)*1440,0)</f>
        <v>303</v>
      </c>
      <c r="K144" s="3" t="s">
        <v>306</v>
      </c>
      <c r="L144" s="3" t="s">
        <v>22</v>
      </c>
      <c r="M144" s="3" t="s">
        <v>22</v>
      </c>
      <c r="N144" s="3" t="s">
        <v>23</v>
      </c>
      <c r="O144" s="3" t="s">
        <v>307</v>
      </c>
    </row>
    <row r="145" spans="1:15" hidden="1" x14ac:dyDescent="0.75">
      <c r="A145" s="2">
        <v>46289</v>
      </c>
      <c r="B145" s="3" t="s">
        <v>589</v>
      </c>
      <c r="C145" s="3" t="s">
        <v>590</v>
      </c>
      <c r="D145" s="3" t="s">
        <v>344</v>
      </c>
      <c r="E145" s="3" t="s">
        <v>345</v>
      </c>
      <c r="F145" s="3" t="s">
        <v>27</v>
      </c>
      <c r="G145" s="3" t="s">
        <v>28</v>
      </c>
      <c r="H145" s="4">
        <v>46289.326902199071</v>
      </c>
      <c r="I145" s="4">
        <v>46289.634514699072</v>
      </c>
      <c r="J145" s="3">
        <f>ROUND((I145-H145)*1440,0)</f>
        <v>443</v>
      </c>
      <c r="K145" s="3" t="s">
        <v>465</v>
      </c>
      <c r="L145" s="3" t="s">
        <v>43</v>
      </c>
      <c r="M145" s="3" t="s">
        <v>44</v>
      </c>
      <c r="N145" s="3" t="s">
        <v>23</v>
      </c>
      <c r="O145" s="3" t="s">
        <v>466</v>
      </c>
    </row>
    <row r="146" spans="1:15" hidden="1" x14ac:dyDescent="0.75">
      <c r="A146" s="2">
        <v>46289</v>
      </c>
      <c r="B146" s="3" t="s">
        <v>591</v>
      </c>
      <c r="C146" s="3" t="s">
        <v>592</v>
      </c>
      <c r="D146" s="3" t="s">
        <v>447</v>
      </c>
      <c r="E146" s="3" t="s">
        <v>448</v>
      </c>
      <c r="F146" s="3" t="s">
        <v>27</v>
      </c>
      <c r="G146" s="3" t="s">
        <v>28</v>
      </c>
      <c r="H146" s="4">
        <v>46289.35822858796</v>
      </c>
      <c r="I146" s="4">
        <v>46289.701589004631</v>
      </c>
      <c r="J146" s="3">
        <f>ROUND((I146-H146)*1440,0)</f>
        <v>494</v>
      </c>
      <c r="K146" s="3" t="s">
        <v>449</v>
      </c>
      <c r="L146" s="3" t="s">
        <v>43</v>
      </c>
      <c r="M146" s="3" t="s">
        <v>44</v>
      </c>
      <c r="N146" s="3" t="s">
        <v>23</v>
      </c>
      <c r="O146" s="3" t="s">
        <v>450</v>
      </c>
    </row>
    <row r="147" spans="1:15" hidden="1" x14ac:dyDescent="0.75">
      <c r="A147" s="2">
        <v>46289</v>
      </c>
      <c r="B147" s="3" t="s">
        <v>593</v>
      </c>
      <c r="C147" s="3" t="s">
        <v>594</v>
      </c>
      <c r="D147" s="3" t="s">
        <v>82</v>
      </c>
      <c r="E147" s="3" t="s">
        <v>83</v>
      </c>
      <c r="F147" s="3" t="s">
        <v>82</v>
      </c>
      <c r="G147" s="3" t="s">
        <v>83</v>
      </c>
      <c r="H147" s="4">
        <v>46289.377795023152</v>
      </c>
      <c r="I147" s="4">
        <v>46289.643724768517</v>
      </c>
      <c r="J147" s="3">
        <f>ROUND((I147-H147)*1440,0)</f>
        <v>383</v>
      </c>
      <c r="K147" s="3" t="s">
        <v>595</v>
      </c>
      <c r="L147" s="3" t="s">
        <v>22</v>
      </c>
      <c r="M147" s="3" t="s">
        <v>22</v>
      </c>
      <c r="N147" s="3" t="s">
        <v>23</v>
      </c>
      <c r="O147" s="3" t="s">
        <v>596</v>
      </c>
    </row>
    <row r="148" spans="1:15" hidden="1" x14ac:dyDescent="0.75">
      <c r="A148" s="2">
        <v>46289</v>
      </c>
      <c r="B148" s="3" t="s">
        <v>597</v>
      </c>
      <c r="C148" s="3" t="s">
        <v>598</v>
      </c>
      <c r="D148" s="3" t="s">
        <v>27</v>
      </c>
      <c r="E148" s="3" t="s">
        <v>28</v>
      </c>
      <c r="F148" s="3" t="s">
        <v>17</v>
      </c>
      <c r="G148" s="3" t="s">
        <v>18</v>
      </c>
      <c r="H148" s="4">
        <v>46289.389962037043</v>
      </c>
      <c r="I148" s="4">
        <v>46289.421674189813</v>
      </c>
      <c r="J148" s="3">
        <f>ROUND((I148-H148)*1440,0)</f>
        <v>46</v>
      </c>
      <c r="K148" s="3" t="s">
        <v>214</v>
      </c>
      <c r="L148" s="3" t="s">
        <v>77</v>
      </c>
      <c r="M148" s="3" t="s">
        <v>78</v>
      </c>
      <c r="N148" s="3" t="s">
        <v>23</v>
      </c>
      <c r="O148" s="3" t="s">
        <v>215</v>
      </c>
    </row>
    <row r="149" spans="1:15" hidden="1" x14ac:dyDescent="0.75">
      <c r="A149" s="2">
        <v>46289</v>
      </c>
      <c r="B149" s="3" t="s">
        <v>599</v>
      </c>
      <c r="C149" s="3" t="s">
        <v>600</v>
      </c>
      <c r="D149" s="3" t="s">
        <v>40</v>
      </c>
      <c r="E149" s="3" t="s">
        <v>41</v>
      </c>
      <c r="F149" s="3" t="s">
        <v>27</v>
      </c>
      <c r="G149" s="3" t="s">
        <v>28</v>
      </c>
      <c r="H149" s="4">
        <v>46289.400184722217</v>
      </c>
      <c r="I149" s="4">
        <v>46289.718249537043</v>
      </c>
      <c r="J149" s="3">
        <f>ROUND((I149-H149)*1440,0)</f>
        <v>458</v>
      </c>
      <c r="K149" s="3" t="s">
        <v>42</v>
      </c>
      <c r="L149" s="3" t="s">
        <v>43</v>
      </c>
      <c r="M149" s="3" t="s">
        <v>44</v>
      </c>
      <c r="N149" s="3" t="s">
        <v>23</v>
      </c>
      <c r="O149" s="3" t="s">
        <v>46</v>
      </c>
    </row>
    <row r="150" spans="1:15" hidden="1" x14ac:dyDescent="0.75">
      <c r="A150" s="2">
        <v>46289</v>
      </c>
      <c r="B150" s="3" t="s">
        <v>601</v>
      </c>
      <c r="C150" s="3" t="s">
        <v>602</v>
      </c>
      <c r="D150" s="3" t="s">
        <v>202</v>
      </c>
      <c r="E150" s="3" t="s">
        <v>203</v>
      </c>
      <c r="F150" s="3" t="s">
        <v>27</v>
      </c>
      <c r="G150" s="3" t="s">
        <v>28</v>
      </c>
      <c r="H150" s="4">
        <v>46289.402206944447</v>
      </c>
      <c r="I150" s="4">
        <v>46289.719316782408</v>
      </c>
      <c r="J150" s="3">
        <f>ROUND((I150-H150)*1440,0)</f>
        <v>457</v>
      </c>
      <c r="K150" s="3" t="s">
        <v>204</v>
      </c>
      <c r="L150" s="3" t="s">
        <v>43</v>
      </c>
      <c r="M150" s="3" t="s">
        <v>44</v>
      </c>
      <c r="N150" s="3" t="s">
        <v>23</v>
      </c>
      <c r="O150" s="3" t="s">
        <v>205</v>
      </c>
    </row>
    <row r="151" spans="1:15" hidden="1" x14ac:dyDescent="0.75">
      <c r="A151" s="2">
        <v>46289</v>
      </c>
      <c r="B151" s="3" t="s">
        <v>603</v>
      </c>
      <c r="C151" s="3" t="s">
        <v>604</v>
      </c>
      <c r="D151" s="3" t="s">
        <v>17</v>
      </c>
      <c r="E151" s="3" t="s">
        <v>18</v>
      </c>
      <c r="F151" s="3"/>
      <c r="G151" s="3"/>
      <c r="H151" s="4">
        <v>46289.410295717593</v>
      </c>
      <c r="I151" s="4">
        <v>46289.561923958332</v>
      </c>
      <c r="J151" s="3">
        <f>ROUND((I151-H151)*1440,0)</f>
        <v>218</v>
      </c>
      <c r="K151" s="3" t="s">
        <v>178</v>
      </c>
      <c r="L151" s="3" t="s">
        <v>43</v>
      </c>
      <c r="M151" s="3" t="s">
        <v>44</v>
      </c>
      <c r="N151" s="3" t="s">
        <v>443</v>
      </c>
      <c r="O151" s="3" t="s">
        <v>179</v>
      </c>
    </row>
    <row r="152" spans="1:15" hidden="1" x14ac:dyDescent="0.75">
      <c r="A152" s="2">
        <v>46289</v>
      </c>
      <c r="B152" s="3" t="s">
        <v>605</v>
      </c>
      <c r="C152" s="3" t="s">
        <v>606</v>
      </c>
      <c r="D152" s="3" t="s">
        <v>82</v>
      </c>
      <c r="E152" s="3" t="s">
        <v>83</v>
      </c>
      <c r="F152" s="3" t="s">
        <v>17</v>
      </c>
      <c r="G152" s="3" t="s">
        <v>18</v>
      </c>
      <c r="H152" s="4">
        <v>46289.411695254632</v>
      </c>
      <c r="I152" s="4">
        <v>46289.495129513889</v>
      </c>
      <c r="J152" s="3">
        <f>ROUND((I152-H152)*1440,0)</f>
        <v>120</v>
      </c>
      <c r="K152" s="3" t="s">
        <v>607</v>
      </c>
      <c r="L152" s="3" t="s">
        <v>22</v>
      </c>
      <c r="M152" s="3" t="s">
        <v>22</v>
      </c>
      <c r="N152" s="3" t="s">
        <v>23</v>
      </c>
      <c r="O152" s="3" t="s">
        <v>608</v>
      </c>
    </row>
    <row r="153" spans="1:15" hidden="1" x14ac:dyDescent="0.75">
      <c r="A153" s="2">
        <v>46289</v>
      </c>
      <c r="B153" s="3" t="s">
        <v>609</v>
      </c>
      <c r="C153" s="3" t="s">
        <v>610</v>
      </c>
      <c r="D153" s="3" t="s">
        <v>366</v>
      </c>
      <c r="E153" s="3" t="s">
        <v>367</v>
      </c>
      <c r="F153" s="3" t="s">
        <v>27</v>
      </c>
      <c r="G153" s="3" t="s">
        <v>28</v>
      </c>
      <c r="H153" s="4">
        <v>46289.413581944442</v>
      </c>
      <c r="I153" s="4">
        <v>46289.453445023151</v>
      </c>
      <c r="J153" s="3">
        <f>ROUND((I153-H153)*1440,0)</f>
        <v>57</v>
      </c>
      <c r="K153" s="3" t="s">
        <v>368</v>
      </c>
      <c r="L153" s="3" t="s">
        <v>77</v>
      </c>
      <c r="M153" s="3" t="s">
        <v>78</v>
      </c>
      <c r="N153" s="3" t="s">
        <v>23</v>
      </c>
      <c r="O153" s="3" t="s">
        <v>369</v>
      </c>
    </row>
    <row r="154" spans="1:15" hidden="1" x14ac:dyDescent="0.75">
      <c r="A154" s="2">
        <v>46289</v>
      </c>
      <c r="B154" s="3" t="s">
        <v>611</v>
      </c>
      <c r="C154" s="3" t="s">
        <v>612</v>
      </c>
      <c r="D154" s="3" t="s">
        <v>228</v>
      </c>
      <c r="E154" s="3" t="s">
        <v>229</v>
      </c>
      <c r="F154" s="3" t="s">
        <v>17</v>
      </c>
      <c r="G154" s="3" t="s">
        <v>18</v>
      </c>
      <c r="H154" s="4">
        <v>46289.415077430553</v>
      </c>
      <c r="I154" s="4">
        <v>46289.460675462957</v>
      </c>
      <c r="J154" s="3">
        <f>ROUND((I154-H154)*1440,0)</f>
        <v>66</v>
      </c>
      <c r="K154" s="3" t="s">
        <v>396</v>
      </c>
      <c r="L154" s="3" t="s">
        <v>77</v>
      </c>
      <c r="M154" s="3" t="s">
        <v>78</v>
      </c>
      <c r="N154" s="3" t="s">
        <v>23</v>
      </c>
      <c r="O154" s="3" t="s">
        <v>397</v>
      </c>
    </row>
    <row r="155" spans="1:15" hidden="1" x14ac:dyDescent="0.75">
      <c r="A155" s="2">
        <v>46289</v>
      </c>
      <c r="B155" s="3" t="s">
        <v>613</v>
      </c>
      <c r="C155" s="3" t="s">
        <v>614</v>
      </c>
      <c r="D155" s="3" t="s">
        <v>615</v>
      </c>
      <c r="E155" s="3" t="s">
        <v>616</v>
      </c>
      <c r="F155" s="3" t="s">
        <v>82</v>
      </c>
      <c r="G155" s="3" t="s">
        <v>83</v>
      </c>
      <c r="H155" s="4">
        <v>46289.417123032406</v>
      </c>
      <c r="I155" s="4">
        <v>46289.522443634261</v>
      </c>
      <c r="J155" s="3">
        <f>ROUND((I155-H155)*1440,0)</f>
        <v>152</v>
      </c>
      <c r="K155" s="3" t="s">
        <v>617</v>
      </c>
      <c r="L155" s="3" t="s">
        <v>36</v>
      </c>
      <c r="M155" s="3" t="s">
        <v>36</v>
      </c>
      <c r="N155" s="3" t="s">
        <v>23</v>
      </c>
      <c r="O155" s="3" t="s">
        <v>618</v>
      </c>
    </row>
    <row r="156" spans="1:15" hidden="1" x14ac:dyDescent="0.75">
      <c r="A156" s="2">
        <v>46289</v>
      </c>
      <c r="B156" s="3" t="s">
        <v>619</v>
      </c>
      <c r="C156" s="3" t="s">
        <v>620</v>
      </c>
      <c r="D156" s="3" t="s">
        <v>234</v>
      </c>
      <c r="E156" s="3" t="s">
        <v>235</v>
      </c>
      <c r="F156" s="3" t="s">
        <v>17</v>
      </c>
      <c r="G156" s="3" t="s">
        <v>18</v>
      </c>
      <c r="H156" s="4">
        <v>46289.417291666658</v>
      </c>
      <c r="I156" s="4">
        <v>46289.450438657397</v>
      </c>
      <c r="J156" s="3">
        <f>ROUND((I156-H156)*1440,0)</f>
        <v>48</v>
      </c>
      <c r="K156" s="3" t="s">
        <v>422</v>
      </c>
      <c r="L156" s="3" t="s">
        <v>77</v>
      </c>
      <c r="M156" s="3" t="s">
        <v>78</v>
      </c>
      <c r="N156" s="3" t="s">
        <v>23</v>
      </c>
      <c r="O156" s="3" t="s">
        <v>423</v>
      </c>
    </row>
    <row r="157" spans="1:15" hidden="1" x14ac:dyDescent="0.75">
      <c r="A157" s="2">
        <v>46289</v>
      </c>
      <c r="B157" s="3" t="s">
        <v>621</v>
      </c>
      <c r="C157" s="3" t="s">
        <v>622</v>
      </c>
      <c r="D157" s="3" t="s">
        <v>27</v>
      </c>
      <c r="E157" s="3" t="s">
        <v>28</v>
      </c>
      <c r="F157" s="3" t="s">
        <v>158</v>
      </c>
      <c r="G157" s="3" t="s">
        <v>159</v>
      </c>
      <c r="H157" s="4">
        <v>46289.418344907397</v>
      </c>
      <c r="I157" s="4">
        <v>46289.469041435194</v>
      </c>
      <c r="J157" s="3">
        <f>ROUND((I157-H157)*1440,0)</f>
        <v>73</v>
      </c>
      <c r="K157" s="3" t="s">
        <v>623</v>
      </c>
      <c r="L157" s="3" t="s">
        <v>77</v>
      </c>
      <c r="M157" s="3" t="s">
        <v>78</v>
      </c>
      <c r="N157" s="3" t="s">
        <v>23</v>
      </c>
      <c r="O157" s="3" t="s">
        <v>624</v>
      </c>
    </row>
    <row r="158" spans="1:15" hidden="1" x14ac:dyDescent="0.75">
      <c r="A158" s="2">
        <v>46289</v>
      </c>
      <c r="B158" s="3" t="s">
        <v>625</v>
      </c>
      <c r="C158" s="3" t="s">
        <v>626</v>
      </c>
      <c r="D158" s="3" t="s">
        <v>56</v>
      </c>
      <c r="E158" s="3" t="s">
        <v>57</v>
      </c>
      <c r="F158" s="3" t="s">
        <v>17</v>
      </c>
      <c r="G158" s="3" t="s">
        <v>18</v>
      </c>
      <c r="H158" s="4">
        <v>46289.419434606483</v>
      </c>
      <c r="I158" s="4">
        <v>46289.516046412027</v>
      </c>
      <c r="J158" s="3">
        <f>ROUND((I158-H158)*1440,0)</f>
        <v>139</v>
      </c>
      <c r="K158" s="3" t="s">
        <v>292</v>
      </c>
      <c r="L158" s="3" t="s">
        <v>36</v>
      </c>
      <c r="M158" s="3" t="s">
        <v>36</v>
      </c>
      <c r="N158" s="3" t="s">
        <v>23</v>
      </c>
      <c r="O158" s="3" t="s">
        <v>293</v>
      </c>
    </row>
    <row r="159" spans="1:15" hidden="1" x14ac:dyDescent="0.75">
      <c r="A159" s="2">
        <v>46289</v>
      </c>
      <c r="B159" s="3" t="s">
        <v>627</v>
      </c>
      <c r="C159" s="3" t="s">
        <v>628</v>
      </c>
      <c r="D159" s="3" t="s">
        <v>94</v>
      </c>
      <c r="E159" s="3" t="s">
        <v>95</v>
      </c>
      <c r="F159" s="3" t="s">
        <v>27</v>
      </c>
      <c r="G159" s="3" t="s">
        <v>28</v>
      </c>
      <c r="H159" s="4">
        <v>46289.420364814818</v>
      </c>
      <c r="I159" s="4">
        <v>46289.477427430553</v>
      </c>
      <c r="J159" s="3">
        <f>ROUND((I159-H159)*1440,0)</f>
        <v>82</v>
      </c>
      <c r="K159" s="3" t="s">
        <v>629</v>
      </c>
      <c r="L159" s="3" t="s">
        <v>77</v>
      </c>
      <c r="M159" s="3" t="s">
        <v>78</v>
      </c>
      <c r="N159" s="3" t="s">
        <v>23</v>
      </c>
      <c r="O159" s="3" t="s">
        <v>630</v>
      </c>
    </row>
    <row r="160" spans="1:15" hidden="1" x14ac:dyDescent="0.75">
      <c r="A160" s="2">
        <v>46289</v>
      </c>
      <c r="B160" s="3" t="s">
        <v>631</v>
      </c>
      <c r="C160" s="3" t="s">
        <v>632</v>
      </c>
      <c r="D160" s="3" t="s">
        <v>182</v>
      </c>
      <c r="E160" s="3" t="s">
        <v>183</v>
      </c>
      <c r="F160" s="3" t="s">
        <v>27</v>
      </c>
      <c r="G160" s="3" t="s">
        <v>28</v>
      </c>
      <c r="H160" s="4">
        <v>46289.420793055557</v>
      </c>
      <c r="I160" s="4">
        <v>46289.505555902782</v>
      </c>
      <c r="J160" s="3">
        <f>ROUND((I160-H160)*1440,0)</f>
        <v>122</v>
      </c>
      <c r="K160" s="3" t="s">
        <v>477</v>
      </c>
      <c r="L160" s="3" t="s">
        <v>77</v>
      </c>
      <c r="M160" s="3" t="s">
        <v>78</v>
      </c>
      <c r="N160" s="3" t="s">
        <v>23</v>
      </c>
      <c r="O160" s="3" t="s">
        <v>478</v>
      </c>
    </row>
    <row r="161" spans="1:15" hidden="1" x14ac:dyDescent="0.75">
      <c r="A161" s="2">
        <v>46289</v>
      </c>
      <c r="B161" s="3" t="s">
        <v>633</v>
      </c>
      <c r="C161" s="3" t="s">
        <v>634</v>
      </c>
      <c r="D161" s="3" t="s">
        <v>416</v>
      </c>
      <c r="E161" s="3" t="s">
        <v>417</v>
      </c>
      <c r="F161" s="3" t="s">
        <v>17</v>
      </c>
      <c r="G161" s="3" t="s">
        <v>18</v>
      </c>
      <c r="H161" s="4">
        <v>46289.421320833331</v>
      </c>
      <c r="I161" s="4">
        <v>46289.457321527778</v>
      </c>
      <c r="J161" s="3">
        <f>ROUND((I161-H161)*1440,0)</f>
        <v>52</v>
      </c>
      <c r="K161" s="3" t="s">
        <v>418</v>
      </c>
      <c r="L161" s="3" t="s">
        <v>36</v>
      </c>
      <c r="M161" s="3" t="s">
        <v>36</v>
      </c>
      <c r="N161" s="3" t="s">
        <v>23</v>
      </c>
      <c r="O161" s="3" t="s">
        <v>419</v>
      </c>
    </row>
    <row r="162" spans="1:15" hidden="1" x14ac:dyDescent="0.75">
      <c r="A162" s="2">
        <v>46289</v>
      </c>
      <c r="B162" s="3" t="s">
        <v>635</v>
      </c>
      <c r="C162" s="3" t="s">
        <v>636</v>
      </c>
      <c r="D162" s="3" t="s">
        <v>615</v>
      </c>
      <c r="E162" s="3" t="s">
        <v>616</v>
      </c>
      <c r="F162" s="3" t="s">
        <v>17</v>
      </c>
      <c r="G162" s="3" t="s">
        <v>18</v>
      </c>
      <c r="H162" s="4">
        <v>46289.421583796298</v>
      </c>
      <c r="I162" s="4">
        <v>46289.559670833332</v>
      </c>
      <c r="J162" s="3">
        <f>ROUND((I162-H162)*1440,0)</f>
        <v>199</v>
      </c>
      <c r="K162" s="3" t="s">
        <v>637</v>
      </c>
      <c r="L162" s="3" t="s">
        <v>22</v>
      </c>
      <c r="M162" s="3" t="s">
        <v>22</v>
      </c>
      <c r="N162" s="3" t="s">
        <v>23</v>
      </c>
      <c r="O162" s="3" t="s">
        <v>638</v>
      </c>
    </row>
    <row r="163" spans="1:15" hidden="1" x14ac:dyDescent="0.75">
      <c r="A163" s="2">
        <v>46289</v>
      </c>
      <c r="B163" s="3" t="s">
        <v>639</v>
      </c>
      <c r="C163" s="3" t="s">
        <v>640</v>
      </c>
      <c r="D163" s="3" t="s">
        <v>158</v>
      </c>
      <c r="E163" s="3" t="s">
        <v>159</v>
      </c>
      <c r="F163" s="3" t="s">
        <v>56</v>
      </c>
      <c r="G163" s="3" t="s">
        <v>57</v>
      </c>
      <c r="H163" s="4">
        <v>46289.422472337959</v>
      </c>
      <c r="I163" s="4">
        <v>46289.509762499998</v>
      </c>
      <c r="J163" s="3">
        <f>ROUND((I163-H163)*1440,0)</f>
        <v>126</v>
      </c>
      <c r="K163" s="3" t="s">
        <v>641</v>
      </c>
      <c r="L163" s="3" t="s">
        <v>36</v>
      </c>
      <c r="M163" s="3" t="s">
        <v>36</v>
      </c>
      <c r="N163" s="3" t="s">
        <v>23</v>
      </c>
      <c r="O163" s="3" t="s">
        <v>642</v>
      </c>
    </row>
    <row r="164" spans="1:15" hidden="1" x14ac:dyDescent="0.75">
      <c r="A164" s="2">
        <v>46289</v>
      </c>
      <c r="B164" s="3" t="s">
        <v>643</v>
      </c>
      <c r="C164" s="3" t="s">
        <v>644</v>
      </c>
      <c r="D164" s="3" t="s">
        <v>68</v>
      </c>
      <c r="E164" s="3" t="s">
        <v>69</v>
      </c>
      <c r="F164" s="3" t="s">
        <v>84</v>
      </c>
      <c r="G164" s="3" t="s">
        <v>85</v>
      </c>
      <c r="H164" s="4">
        <v>46289.423772800918</v>
      </c>
      <c r="I164" s="4">
        <v>46289.524428009259</v>
      </c>
      <c r="J164" s="3">
        <f>ROUND((I164-H164)*1440,0)</f>
        <v>145</v>
      </c>
      <c r="K164" s="3" t="s">
        <v>645</v>
      </c>
      <c r="L164" s="3" t="s">
        <v>36</v>
      </c>
      <c r="M164" s="3" t="s">
        <v>36</v>
      </c>
      <c r="N164" s="3" t="s">
        <v>45</v>
      </c>
      <c r="O164" s="3" t="s">
        <v>646</v>
      </c>
    </row>
    <row r="165" spans="1:15" hidden="1" x14ac:dyDescent="0.75">
      <c r="A165" s="2">
        <v>46289</v>
      </c>
      <c r="B165" s="3" t="s">
        <v>647</v>
      </c>
      <c r="C165" s="3" t="s">
        <v>648</v>
      </c>
      <c r="D165" s="3" t="s">
        <v>17</v>
      </c>
      <c r="E165" s="3" t="s">
        <v>18</v>
      </c>
      <c r="F165" s="3" t="s">
        <v>122</v>
      </c>
      <c r="G165" s="3" t="s">
        <v>123</v>
      </c>
      <c r="H165" s="4">
        <v>46289.423900462964</v>
      </c>
      <c r="I165" s="4">
        <v>46289.663895717589</v>
      </c>
      <c r="J165" s="3">
        <f>ROUND((I165-H165)*1440,0)</f>
        <v>346</v>
      </c>
      <c r="K165" s="3" t="s">
        <v>649</v>
      </c>
      <c r="L165" s="3" t="s">
        <v>22</v>
      </c>
      <c r="M165" s="3" t="s">
        <v>22</v>
      </c>
      <c r="N165" s="3" t="s">
        <v>23</v>
      </c>
      <c r="O165" s="3" t="s">
        <v>650</v>
      </c>
    </row>
    <row r="166" spans="1:15" hidden="1" x14ac:dyDescent="0.75">
      <c r="A166" s="2">
        <v>46289</v>
      </c>
      <c r="B166" s="3" t="s">
        <v>651</v>
      </c>
      <c r="C166" s="3" t="s">
        <v>652</v>
      </c>
      <c r="D166" s="3" t="s">
        <v>27</v>
      </c>
      <c r="E166" s="3" t="s">
        <v>28</v>
      </c>
      <c r="F166" s="3" t="s">
        <v>304</v>
      </c>
      <c r="G166" s="3" t="s">
        <v>305</v>
      </c>
      <c r="H166" s="4">
        <v>46289.423943402777</v>
      </c>
      <c r="I166" s="4">
        <v>46289.65513240741</v>
      </c>
      <c r="J166" s="3">
        <f>ROUND((I166-H166)*1440,0)</f>
        <v>333</v>
      </c>
      <c r="K166" s="3" t="s">
        <v>653</v>
      </c>
      <c r="L166" s="3" t="s">
        <v>22</v>
      </c>
      <c r="M166" s="3" t="s">
        <v>22</v>
      </c>
      <c r="N166" s="3" t="s">
        <v>23</v>
      </c>
      <c r="O166" s="3" t="s">
        <v>654</v>
      </c>
    </row>
    <row r="167" spans="1:15" hidden="1" x14ac:dyDescent="0.75">
      <c r="A167" s="2">
        <v>46289</v>
      </c>
      <c r="B167" s="3" t="s">
        <v>655</v>
      </c>
      <c r="C167" s="3" t="s">
        <v>656</v>
      </c>
      <c r="D167" s="3" t="s">
        <v>56</v>
      </c>
      <c r="E167" s="3" t="s">
        <v>57</v>
      </c>
      <c r="F167" s="3" t="s">
        <v>122</v>
      </c>
      <c r="G167" s="3" t="s">
        <v>123</v>
      </c>
      <c r="H167" s="4">
        <v>46289.424187268523</v>
      </c>
      <c r="I167" s="4">
        <v>46289.643077893517</v>
      </c>
      <c r="J167" s="3">
        <f>ROUND((I167-H167)*1440,0)</f>
        <v>315</v>
      </c>
      <c r="K167" s="3" t="s">
        <v>657</v>
      </c>
      <c r="L167" s="3" t="s">
        <v>22</v>
      </c>
      <c r="M167" s="3" t="s">
        <v>22</v>
      </c>
      <c r="N167" s="3" t="s">
        <v>23</v>
      </c>
      <c r="O167" s="3" t="s">
        <v>658</v>
      </c>
    </row>
    <row r="168" spans="1:15" hidden="1" x14ac:dyDescent="0.75">
      <c r="A168" s="2">
        <v>46289</v>
      </c>
      <c r="B168" s="3" t="s">
        <v>659</v>
      </c>
      <c r="C168" s="3" t="s">
        <v>660</v>
      </c>
      <c r="D168" s="3" t="s">
        <v>17</v>
      </c>
      <c r="E168" s="3" t="s">
        <v>18</v>
      </c>
      <c r="F168" s="3" t="s">
        <v>304</v>
      </c>
      <c r="G168" s="3" t="s">
        <v>305</v>
      </c>
      <c r="H168" s="4">
        <v>46289.424679166666</v>
      </c>
      <c r="I168" s="4">
        <v>46289.652181134261</v>
      </c>
      <c r="J168" s="3">
        <f>ROUND((I168-H168)*1440,0)</f>
        <v>328</v>
      </c>
      <c r="K168" s="3" t="s">
        <v>661</v>
      </c>
      <c r="L168" s="3" t="s">
        <v>22</v>
      </c>
      <c r="M168" s="3" t="s">
        <v>22</v>
      </c>
      <c r="N168" s="3" t="s">
        <v>23</v>
      </c>
      <c r="O168" s="3" t="s">
        <v>662</v>
      </c>
    </row>
    <row r="169" spans="1:15" hidden="1" x14ac:dyDescent="0.75">
      <c r="A169" s="2">
        <v>46289</v>
      </c>
      <c r="B169" s="3" t="s">
        <v>663</v>
      </c>
      <c r="C169" s="3" t="s">
        <v>664</v>
      </c>
      <c r="D169" s="3" t="s">
        <v>82</v>
      </c>
      <c r="E169" s="3" t="s">
        <v>83</v>
      </c>
      <c r="F169" s="3"/>
      <c r="G169" s="3"/>
      <c r="H169" s="4">
        <v>46289.426115277784</v>
      </c>
      <c r="I169" s="4">
        <v>46289.463834606482</v>
      </c>
      <c r="J169" s="3">
        <f>ROUND((I169-H169)*1440,0)</f>
        <v>54</v>
      </c>
      <c r="K169" s="3" t="s">
        <v>665</v>
      </c>
      <c r="L169" s="3" t="s">
        <v>36</v>
      </c>
      <c r="M169" s="3" t="s">
        <v>36</v>
      </c>
      <c r="N169" s="3" t="s">
        <v>443</v>
      </c>
      <c r="O169" s="3" t="s">
        <v>666</v>
      </c>
    </row>
    <row r="170" spans="1:15" hidden="1" x14ac:dyDescent="0.75">
      <c r="A170" s="2">
        <v>46289</v>
      </c>
      <c r="B170" s="3" t="s">
        <v>667</v>
      </c>
      <c r="C170" s="3" t="s">
        <v>668</v>
      </c>
      <c r="D170" s="3" t="s">
        <v>49</v>
      </c>
      <c r="E170" s="3" t="s">
        <v>50</v>
      </c>
      <c r="F170" s="3" t="s">
        <v>27</v>
      </c>
      <c r="G170" s="3" t="s">
        <v>28</v>
      </c>
      <c r="H170" s="4">
        <v>46289.429297106479</v>
      </c>
      <c r="I170" s="4">
        <v>46289.461854861111</v>
      </c>
      <c r="J170" s="3">
        <f>ROUND((I170-H170)*1440,0)</f>
        <v>47</v>
      </c>
      <c r="K170" s="3" t="s">
        <v>260</v>
      </c>
      <c r="L170" s="3" t="s">
        <v>52</v>
      </c>
      <c r="M170" s="3"/>
      <c r="N170" s="3" t="s">
        <v>23</v>
      </c>
      <c r="O170" s="3" t="s">
        <v>261</v>
      </c>
    </row>
    <row r="171" spans="1:15" hidden="1" x14ac:dyDescent="0.75">
      <c r="A171" s="2">
        <v>46289</v>
      </c>
      <c r="B171" s="3" t="s">
        <v>669</v>
      </c>
      <c r="C171" s="3" t="s">
        <v>670</v>
      </c>
      <c r="D171" s="3" t="s">
        <v>208</v>
      </c>
      <c r="E171" s="3" t="s">
        <v>209</v>
      </c>
      <c r="F171" s="3" t="s">
        <v>56</v>
      </c>
      <c r="G171" s="3" t="s">
        <v>57</v>
      </c>
      <c r="H171" s="4">
        <v>46289.430426620369</v>
      </c>
      <c r="I171" s="4">
        <v>46289.531287268517</v>
      </c>
      <c r="J171" s="3">
        <f>ROUND((I171-H171)*1440,0)</f>
        <v>145</v>
      </c>
      <c r="K171" s="3" t="s">
        <v>210</v>
      </c>
      <c r="L171" s="3" t="s">
        <v>36</v>
      </c>
      <c r="M171" s="3" t="s">
        <v>36</v>
      </c>
      <c r="N171" s="3" t="s">
        <v>23</v>
      </c>
      <c r="O171" s="3" t="s">
        <v>211</v>
      </c>
    </row>
    <row r="172" spans="1:15" hidden="1" x14ac:dyDescent="0.75">
      <c r="A172" s="2">
        <v>46289</v>
      </c>
      <c r="B172" s="3" t="s">
        <v>671</v>
      </c>
      <c r="C172" s="3" t="s">
        <v>672</v>
      </c>
      <c r="D172" s="3" t="s">
        <v>56</v>
      </c>
      <c r="E172" s="3" t="s">
        <v>57</v>
      </c>
      <c r="F172" s="3" t="s">
        <v>27</v>
      </c>
      <c r="G172" s="3" t="s">
        <v>28</v>
      </c>
      <c r="H172" s="4">
        <v>46289.431439699067</v>
      </c>
      <c r="I172" s="4">
        <v>46289.541365625002</v>
      </c>
      <c r="J172" s="3">
        <f>ROUND((I172-H172)*1440,0)</f>
        <v>158</v>
      </c>
      <c r="K172" s="3" t="s">
        <v>673</v>
      </c>
      <c r="L172" s="3" t="s">
        <v>36</v>
      </c>
      <c r="M172" s="3" t="s">
        <v>36</v>
      </c>
      <c r="N172" s="3" t="s">
        <v>23</v>
      </c>
      <c r="O172" s="3" t="s">
        <v>674</v>
      </c>
    </row>
    <row r="173" spans="1:15" hidden="1" x14ac:dyDescent="0.75">
      <c r="A173" s="2">
        <v>46289</v>
      </c>
      <c r="B173" s="3" t="s">
        <v>675</v>
      </c>
      <c r="C173" s="3" t="s">
        <v>676</v>
      </c>
      <c r="D173" s="3" t="s">
        <v>17</v>
      </c>
      <c r="E173" s="3" t="s">
        <v>18</v>
      </c>
      <c r="F173" s="3" t="s">
        <v>459</v>
      </c>
      <c r="G173" s="3" t="s">
        <v>460</v>
      </c>
      <c r="H173" s="4">
        <v>46289.432815624998</v>
      </c>
      <c r="I173" s="4">
        <v>46289.642170486113</v>
      </c>
      <c r="J173" s="3">
        <f>ROUND((I173-H173)*1440,0)</f>
        <v>301</v>
      </c>
      <c r="K173" s="3" t="s">
        <v>677</v>
      </c>
      <c r="L173" s="3" t="s">
        <v>22</v>
      </c>
      <c r="M173" s="3" t="s">
        <v>22</v>
      </c>
      <c r="N173" s="3" t="s">
        <v>23</v>
      </c>
      <c r="O173" s="3" t="s">
        <v>678</v>
      </c>
    </row>
    <row r="174" spans="1:15" hidden="1" x14ac:dyDescent="0.75">
      <c r="A174" s="2">
        <v>46289</v>
      </c>
      <c r="B174" s="3" t="s">
        <v>679</v>
      </c>
      <c r="C174" s="3" t="s">
        <v>680</v>
      </c>
      <c r="D174" s="3" t="s">
        <v>148</v>
      </c>
      <c r="E174" s="3" t="s">
        <v>149</v>
      </c>
      <c r="F174" s="3" t="s">
        <v>17</v>
      </c>
      <c r="G174" s="3" t="s">
        <v>18</v>
      </c>
      <c r="H174" s="4">
        <v>46289.432989699068</v>
      </c>
      <c r="I174" s="4">
        <v>46289.488349189807</v>
      </c>
      <c r="J174" s="3">
        <f>ROUND((I174-H174)*1440,0)</f>
        <v>80</v>
      </c>
      <c r="K174" s="3" t="s">
        <v>154</v>
      </c>
      <c r="L174" s="3" t="s">
        <v>36</v>
      </c>
      <c r="M174" s="3" t="s">
        <v>36</v>
      </c>
      <c r="N174" s="3" t="s">
        <v>23</v>
      </c>
      <c r="O174" s="3" t="s">
        <v>155</v>
      </c>
    </row>
    <row r="175" spans="1:15" hidden="1" x14ac:dyDescent="0.75">
      <c r="A175" s="2">
        <v>46289</v>
      </c>
      <c r="B175" s="3" t="s">
        <v>681</v>
      </c>
      <c r="C175" s="3" t="s">
        <v>682</v>
      </c>
      <c r="D175" s="3" t="s">
        <v>17</v>
      </c>
      <c r="E175" s="3" t="s">
        <v>18</v>
      </c>
      <c r="F175" s="3" t="s">
        <v>683</v>
      </c>
      <c r="G175" s="3" t="s">
        <v>684</v>
      </c>
      <c r="H175" s="4">
        <v>46289.433626273138</v>
      </c>
      <c r="I175" s="4">
        <v>46289.58083958333</v>
      </c>
      <c r="J175" s="3">
        <f>ROUND((I175-H175)*1440,0)</f>
        <v>212</v>
      </c>
      <c r="K175" s="3" t="s">
        <v>485</v>
      </c>
      <c r="L175" s="3" t="s">
        <v>36</v>
      </c>
      <c r="M175" s="3" t="s">
        <v>36</v>
      </c>
      <c r="N175" s="3" t="s">
        <v>23</v>
      </c>
      <c r="O175" s="3" t="s">
        <v>486</v>
      </c>
    </row>
    <row r="176" spans="1:15" hidden="1" x14ac:dyDescent="0.75">
      <c r="A176" s="2">
        <v>46289</v>
      </c>
      <c r="B176" s="3" t="s">
        <v>685</v>
      </c>
      <c r="C176" s="3" t="s">
        <v>686</v>
      </c>
      <c r="D176" s="3" t="s">
        <v>244</v>
      </c>
      <c r="E176" s="3" t="s">
        <v>245</v>
      </c>
      <c r="F176" s="3" t="s">
        <v>17</v>
      </c>
      <c r="G176" s="3" t="s">
        <v>18</v>
      </c>
      <c r="H176" s="4">
        <v>46289.433790277777</v>
      </c>
      <c r="I176" s="4">
        <v>46289.459483217594</v>
      </c>
      <c r="J176" s="3">
        <f>ROUND((I176-H176)*1440,0)</f>
        <v>37</v>
      </c>
      <c r="K176" s="3" t="s">
        <v>430</v>
      </c>
      <c r="L176" s="3" t="s">
        <v>36</v>
      </c>
      <c r="M176" s="3" t="s">
        <v>36</v>
      </c>
      <c r="N176" s="3" t="s">
        <v>23</v>
      </c>
      <c r="O176" s="3" t="s">
        <v>431</v>
      </c>
    </row>
    <row r="177" spans="1:15" hidden="1" x14ac:dyDescent="0.75">
      <c r="A177" s="2">
        <v>46289</v>
      </c>
      <c r="B177" s="3" t="s">
        <v>687</v>
      </c>
      <c r="C177" s="3" t="s">
        <v>688</v>
      </c>
      <c r="D177" s="3" t="s">
        <v>218</v>
      </c>
      <c r="E177" s="3" t="s">
        <v>219</v>
      </c>
      <c r="F177" s="3" t="s">
        <v>17</v>
      </c>
      <c r="G177" s="3" t="s">
        <v>18</v>
      </c>
      <c r="H177" s="4">
        <v>46289.434204282406</v>
      </c>
      <c r="I177" s="4">
        <v>46289.484513310177</v>
      </c>
      <c r="J177" s="3">
        <f>ROUND((I177-H177)*1440,0)</f>
        <v>72</v>
      </c>
      <c r="K177" s="3" t="s">
        <v>224</v>
      </c>
      <c r="L177" s="3" t="s">
        <v>77</v>
      </c>
      <c r="M177" s="3" t="s">
        <v>78</v>
      </c>
      <c r="N177" s="3" t="s">
        <v>23</v>
      </c>
      <c r="O177" s="3" t="s">
        <v>225</v>
      </c>
    </row>
    <row r="178" spans="1:15" hidden="1" x14ac:dyDescent="0.75">
      <c r="A178" s="2">
        <v>46289</v>
      </c>
      <c r="B178" s="3" t="s">
        <v>689</v>
      </c>
      <c r="C178" s="3" t="s">
        <v>690</v>
      </c>
      <c r="D178" s="3" t="s">
        <v>17</v>
      </c>
      <c r="E178" s="3" t="s">
        <v>18</v>
      </c>
      <c r="F178" s="3"/>
      <c r="G178" s="3"/>
      <c r="H178" s="4">
        <v>46289.43442395833</v>
      </c>
      <c r="I178" s="4">
        <v>46289.462033912037</v>
      </c>
      <c r="J178" s="3">
        <f>ROUND((I178-H178)*1440,0)</f>
        <v>40</v>
      </c>
      <c r="K178" s="3" t="s">
        <v>691</v>
      </c>
      <c r="L178" s="3" t="s">
        <v>22</v>
      </c>
      <c r="M178" s="3" t="s">
        <v>22</v>
      </c>
      <c r="N178" s="3" t="s">
        <v>443</v>
      </c>
      <c r="O178" s="3" t="s">
        <v>692</v>
      </c>
    </row>
    <row r="179" spans="1:15" hidden="1" x14ac:dyDescent="0.75">
      <c r="A179" s="2">
        <v>46289</v>
      </c>
      <c r="B179" s="3" t="s">
        <v>693</v>
      </c>
      <c r="C179" s="3" t="s">
        <v>694</v>
      </c>
      <c r="D179" s="3" t="s">
        <v>27</v>
      </c>
      <c r="E179" s="3" t="s">
        <v>28</v>
      </c>
      <c r="F179" s="3" t="s">
        <v>82</v>
      </c>
      <c r="G179" s="3" t="s">
        <v>83</v>
      </c>
      <c r="H179" s="4">
        <v>46289.435318750002</v>
      </c>
      <c r="I179" s="4">
        <v>46289.546993171287</v>
      </c>
      <c r="J179" s="3">
        <f>ROUND((I179-H179)*1440,0)</f>
        <v>161</v>
      </c>
      <c r="K179" s="3" t="s">
        <v>160</v>
      </c>
      <c r="L179" s="3" t="s">
        <v>77</v>
      </c>
      <c r="M179" s="3" t="s">
        <v>78</v>
      </c>
      <c r="N179" s="3" t="s">
        <v>23</v>
      </c>
      <c r="O179" s="3" t="s">
        <v>161</v>
      </c>
    </row>
    <row r="180" spans="1:15" hidden="1" x14ac:dyDescent="0.75">
      <c r="A180" s="2">
        <v>46289</v>
      </c>
      <c r="B180" s="3" t="s">
        <v>695</v>
      </c>
      <c r="C180" s="3" t="s">
        <v>696</v>
      </c>
      <c r="D180" s="3" t="s">
        <v>27</v>
      </c>
      <c r="E180" s="3" t="s">
        <v>28</v>
      </c>
      <c r="F180" s="3" t="s">
        <v>106</v>
      </c>
      <c r="G180" s="3" t="s">
        <v>107</v>
      </c>
      <c r="H180" s="4">
        <v>46289.437896875002</v>
      </c>
      <c r="I180" s="4">
        <v>46289.596010879628</v>
      </c>
      <c r="J180" s="3">
        <f>ROUND((I180-H180)*1440,0)</f>
        <v>228</v>
      </c>
      <c r="K180" s="3" t="s">
        <v>697</v>
      </c>
      <c r="L180" s="3" t="s">
        <v>77</v>
      </c>
      <c r="M180" s="3" t="s">
        <v>78</v>
      </c>
      <c r="N180" s="3" t="s">
        <v>23</v>
      </c>
      <c r="O180" s="3" t="s">
        <v>698</v>
      </c>
    </row>
    <row r="181" spans="1:15" hidden="1" x14ac:dyDescent="0.75">
      <c r="A181" s="2">
        <v>46289</v>
      </c>
      <c r="B181" s="3" t="s">
        <v>699</v>
      </c>
      <c r="C181" s="3" t="s">
        <v>700</v>
      </c>
      <c r="D181" s="3" t="s">
        <v>158</v>
      </c>
      <c r="E181" s="3" t="s">
        <v>159</v>
      </c>
      <c r="F181" s="3" t="s">
        <v>17</v>
      </c>
      <c r="G181" s="3" t="s">
        <v>18</v>
      </c>
      <c r="H181" s="4">
        <v>46289.439566782406</v>
      </c>
      <c r="I181" s="4">
        <v>46289.469582407408</v>
      </c>
      <c r="J181" s="3">
        <f>ROUND((I181-H181)*1440,0)</f>
        <v>43</v>
      </c>
      <c r="K181" s="3" t="s">
        <v>300</v>
      </c>
      <c r="L181" s="3" t="s">
        <v>77</v>
      </c>
      <c r="M181" s="3" t="s">
        <v>78</v>
      </c>
      <c r="N181" s="3" t="s">
        <v>23</v>
      </c>
      <c r="O181" s="3" t="s">
        <v>301</v>
      </c>
    </row>
    <row r="182" spans="1:15" hidden="1" x14ac:dyDescent="0.75">
      <c r="A182" s="2">
        <v>46289</v>
      </c>
      <c r="B182" s="3" t="s">
        <v>701</v>
      </c>
      <c r="C182" s="3" t="s">
        <v>702</v>
      </c>
      <c r="D182" s="3" t="s">
        <v>56</v>
      </c>
      <c r="E182" s="3" t="s">
        <v>57</v>
      </c>
      <c r="F182" s="3" t="s">
        <v>208</v>
      </c>
      <c r="G182" s="3" t="s">
        <v>209</v>
      </c>
      <c r="H182" s="4">
        <v>46289.440479513891</v>
      </c>
      <c r="I182" s="4">
        <v>46289.537964583331</v>
      </c>
      <c r="J182" s="3">
        <f>ROUND((I182-H182)*1440,0)</f>
        <v>140</v>
      </c>
      <c r="K182" s="3" t="s">
        <v>703</v>
      </c>
      <c r="L182" s="3" t="s">
        <v>36</v>
      </c>
      <c r="M182" s="3" t="s">
        <v>36</v>
      </c>
      <c r="N182" s="3" t="s">
        <v>23</v>
      </c>
      <c r="O182" s="3" t="s">
        <v>704</v>
      </c>
    </row>
    <row r="183" spans="1:15" hidden="1" x14ac:dyDescent="0.75">
      <c r="A183" s="2">
        <v>46289</v>
      </c>
      <c r="B183" s="3" t="s">
        <v>705</v>
      </c>
      <c r="C183" s="3" t="s">
        <v>706</v>
      </c>
      <c r="D183" s="3" t="s">
        <v>40</v>
      </c>
      <c r="E183" s="3" t="s">
        <v>41</v>
      </c>
      <c r="F183" s="3" t="s">
        <v>17</v>
      </c>
      <c r="G183" s="3" t="s">
        <v>18</v>
      </c>
      <c r="H183" s="4">
        <v>46289.444358333327</v>
      </c>
      <c r="I183" s="4">
        <v>46289.77342986111</v>
      </c>
      <c r="J183" s="3">
        <f>ROUND((I183-H183)*1440,0)</f>
        <v>474</v>
      </c>
      <c r="K183" s="3" t="s">
        <v>340</v>
      </c>
      <c r="L183" s="3" t="s">
        <v>43</v>
      </c>
      <c r="M183" s="3" t="s">
        <v>44</v>
      </c>
      <c r="N183" s="3" t="s">
        <v>23</v>
      </c>
      <c r="O183" s="3" t="s">
        <v>341</v>
      </c>
    </row>
    <row r="184" spans="1:15" hidden="1" x14ac:dyDescent="0.75">
      <c r="A184" s="2">
        <v>46289</v>
      </c>
      <c r="B184" s="3" t="s">
        <v>707</v>
      </c>
      <c r="C184" s="3" t="s">
        <v>708</v>
      </c>
      <c r="D184" s="3" t="s">
        <v>350</v>
      </c>
      <c r="E184" s="3" t="s">
        <v>351</v>
      </c>
      <c r="F184" s="3" t="s">
        <v>17</v>
      </c>
      <c r="G184" s="3" t="s">
        <v>18</v>
      </c>
      <c r="H184" s="4">
        <v>46289.445003935187</v>
      </c>
      <c r="I184" s="4">
        <v>46289.731280902779</v>
      </c>
      <c r="J184" s="3">
        <f>ROUND((I184-H184)*1440,0)</f>
        <v>412</v>
      </c>
      <c r="K184" s="3" t="s">
        <v>352</v>
      </c>
      <c r="L184" s="3" t="s">
        <v>43</v>
      </c>
      <c r="M184" s="3" t="s">
        <v>44</v>
      </c>
      <c r="N184" s="3" t="s">
        <v>23</v>
      </c>
      <c r="O184" s="3" t="s">
        <v>353</v>
      </c>
    </row>
    <row r="185" spans="1:15" hidden="1" x14ac:dyDescent="0.75">
      <c r="A185" s="2">
        <v>46289</v>
      </c>
      <c r="B185" s="3" t="s">
        <v>709</v>
      </c>
      <c r="C185" s="3" t="s">
        <v>710</v>
      </c>
      <c r="D185" s="3" t="s">
        <v>172</v>
      </c>
      <c r="E185" s="3" t="s">
        <v>173</v>
      </c>
      <c r="F185" s="3" t="s">
        <v>56</v>
      </c>
      <c r="G185" s="3" t="s">
        <v>57</v>
      </c>
      <c r="H185" s="4">
        <v>46289.446251041663</v>
      </c>
      <c r="I185" s="4">
        <v>46289.560322800928</v>
      </c>
      <c r="J185" s="3">
        <f>ROUND((I185-H185)*1440,0)</f>
        <v>164</v>
      </c>
      <c r="K185" s="3" t="s">
        <v>493</v>
      </c>
      <c r="L185" s="3" t="s">
        <v>36</v>
      </c>
      <c r="M185" s="3" t="s">
        <v>36</v>
      </c>
      <c r="N185" s="3" t="s">
        <v>23</v>
      </c>
      <c r="O185" s="3" t="s">
        <v>494</v>
      </c>
    </row>
    <row r="186" spans="1:15" hidden="1" x14ac:dyDescent="0.75">
      <c r="A186" s="2">
        <v>46289</v>
      </c>
      <c r="B186" s="3" t="s">
        <v>711</v>
      </c>
      <c r="C186" s="3" t="s">
        <v>712</v>
      </c>
      <c r="D186" s="3" t="s">
        <v>84</v>
      </c>
      <c r="E186" s="3" t="s">
        <v>85</v>
      </c>
      <c r="F186" s="3" t="s">
        <v>19</v>
      </c>
      <c r="G186" s="3" t="s">
        <v>20</v>
      </c>
      <c r="H186" s="4">
        <v>46289.446383101851</v>
      </c>
      <c r="I186" s="4">
        <v>46289.544367245369</v>
      </c>
      <c r="J186" s="3">
        <f>ROUND((I186-H186)*1440,0)</f>
        <v>141</v>
      </c>
      <c r="K186" s="3" t="s">
        <v>86</v>
      </c>
      <c r="L186" s="3" t="s">
        <v>36</v>
      </c>
      <c r="M186" s="3" t="s">
        <v>36</v>
      </c>
      <c r="N186" s="3" t="s">
        <v>23</v>
      </c>
      <c r="O186" s="3" t="s">
        <v>87</v>
      </c>
    </row>
    <row r="187" spans="1:15" hidden="1" x14ac:dyDescent="0.75">
      <c r="A187" s="2">
        <v>46289</v>
      </c>
      <c r="B187" s="3" t="s">
        <v>713</v>
      </c>
      <c r="C187" s="3" t="s">
        <v>714</v>
      </c>
      <c r="D187" s="3" t="s">
        <v>56</v>
      </c>
      <c r="E187" s="3" t="s">
        <v>57</v>
      </c>
      <c r="F187" s="3" t="s">
        <v>615</v>
      </c>
      <c r="G187" s="3" t="s">
        <v>616</v>
      </c>
      <c r="H187" s="4">
        <v>46289.446571759261</v>
      </c>
      <c r="I187" s="4">
        <v>46289.538198958333</v>
      </c>
      <c r="J187" s="3">
        <f>ROUND((I187-H187)*1440,0)</f>
        <v>132</v>
      </c>
      <c r="K187" s="3" t="s">
        <v>715</v>
      </c>
      <c r="L187" s="3" t="s">
        <v>36</v>
      </c>
      <c r="M187" s="3" t="s">
        <v>36</v>
      </c>
      <c r="N187" s="3" t="s">
        <v>45</v>
      </c>
      <c r="O187" s="3" t="s">
        <v>716</v>
      </c>
    </row>
    <row r="188" spans="1:15" hidden="1" x14ac:dyDescent="0.75">
      <c r="A188" s="2">
        <v>46289</v>
      </c>
      <c r="B188" s="3" t="s">
        <v>717</v>
      </c>
      <c r="C188" s="3" t="s">
        <v>718</v>
      </c>
      <c r="D188" s="3" t="s">
        <v>27</v>
      </c>
      <c r="E188" s="3" t="s">
        <v>28</v>
      </c>
      <c r="F188" s="3" t="s">
        <v>719</v>
      </c>
      <c r="G188" s="3" t="s">
        <v>720</v>
      </c>
      <c r="H188" s="4">
        <v>46289.446914814813</v>
      </c>
      <c r="I188" s="4">
        <v>46289.570796527783</v>
      </c>
      <c r="J188" s="3">
        <f>ROUND((I188-H188)*1440,0)</f>
        <v>178</v>
      </c>
      <c r="K188" s="3" t="s">
        <v>721</v>
      </c>
      <c r="L188" s="3" t="s">
        <v>22</v>
      </c>
      <c r="M188" s="3" t="s">
        <v>22</v>
      </c>
      <c r="N188" s="3" t="s">
        <v>23</v>
      </c>
      <c r="O188" s="3" t="s">
        <v>722</v>
      </c>
    </row>
    <row r="189" spans="1:15" hidden="1" x14ac:dyDescent="0.75">
      <c r="A189" s="2">
        <v>46289</v>
      </c>
      <c r="B189" s="3" t="s">
        <v>723</v>
      </c>
      <c r="C189" s="3" t="s">
        <v>724</v>
      </c>
      <c r="D189" s="3" t="s">
        <v>82</v>
      </c>
      <c r="E189" s="3" t="s">
        <v>83</v>
      </c>
      <c r="F189" s="3" t="s">
        <v>82</v>
      </c>
      <c r="G189" s="3" t="s">
        <v>83</v>
      </c>
      <c r="H189" s="4">
        <v>46289.447040740743</v>
      </c>
      <c r="I189" s="4">
        <v>46289.675272916669</v>
      </c>
      <c r="J189" s="3">
        <f>ROUND((I189-H189)*1440,0)</f>
        <v>329</v>
      </c>
      <c r="K189" s="3" t="s">
        <v>384</v>
      </c>
      <c r="L189" s="3" t="s">
        <v>36</v>
      </c>
      <c r="M189" s="3" t="s">
        <v>36</v>
      </c>
      <c r="N189" s="3" t="s">
        <v>23</v>
      </c>
      <c r="O189" s="3" t="s">
        <v>385</v>
      </c>
    </row>
    <row r="190" spans="1:15" hidden="1" x14ac:dyDescent="0.75">
      <c r="A190" s="2">
        <v>46289</v>
      </c>
      <c r="B190" s="3" t="s">
        <v>725</v>
      </c>
      <c r="C190" s="3" t="s">
        <v>726</v>
      </c>
      <c r="D190" s="3" t="s">
        <v>58</v>
      </c>
      <c r="E190" s="3" t="s">
        <v>59</v>
      </c>
      <c r="F190" s="3" t="s">
        <v>56</v>
      </c>
      <c r="G190" s="3" t="s">
        <v>57</v>
      </c>
      <c r="H190" s="4">
        <v>46289.447179166673</v>
      </c>
      <c r="I190" s="4">
        <v>46289.546322569448</v>
      </c>
      <c r="J190" s="3">
        <f>ROUND((I190-H190)*1440,0)</f>
        <v>143</v>
      </c>
      <c r="K190" s="3" t="s">
        <v>60</v>
      </c>
      <c r="L190" s="3" t="s">
        <v>36</v>
      </c>
      <c r="M190" s="3" t="s">
        <v>36</v>
      </c>
      <c r="N190" s="3" t="s">
        <v>23</v>
      </c>
      <c r="O190" s="3" t="s">
        <v>61</v>
      </c>
    </row>
    <row r="191" spans="1:15" hidden="1" x14ac:dyDescent="0.75">
      <c r="A191" s="2">
        <v>46289</v>
      </c>
      <c r="B191" s="3" t="s">
        <v>727</v>
      </c>
      <c r="C191" s="3" t="s">
        <v>728</v>
      </c>
      <c r="D191" s="3" t="s">
        <v>172</v>
      </c>
      <c r="E191" s="3" t="s">
        <v>173</v>
      </c>
      <c r="F191" s="3" t="s">
        <v>17</v>
      </c>
      <c r="G191" s="3" t="s">
        <v>18</v>
      </c>
      <c r="H191" s="4">
        <v>46289.447605092602</v>
      </c>
      <c r="I191" s="4">
        <v>46289.472195254632</v>
      </c>
      <c r="J191" s="3">
        <f>ROUND((I191-H191)*1440,0)</f>
        <v>35</v>
      </c>
      <c r="K191" s="3" t="s">
        <v>174</v>
      </c>
      <c r="L191" s="3" t="s">
        <v>36</v>
      </c>
      <c r="M191" s="3" t="s">
        <v>36</v>
      </c>
      <c r="N191" s="3" t="s">
        <v>23</v>
      </c>
      <c r="O191" s="3" t="s">
        <v>175</v>
      </c>
    </row>
    <row r="192" spans="1:15" hidden="1" x14ac:dyDescent="0.75">
      <c r="A192" s="2">
        <v>46289</v>
      </c>
      <c r="B192" s="3" t="s">
        <v>729</v>
      </c>
      <c r="C192" s="3" t="s">
        <v>730</v>
      </c>
      <c r="D192" s="3" t="s">
        <v>360</v>
      </c>
      <c r="E192" s="3" t="s">
        <v>361</v>
      </c>
      <c r="F192" s="3" t="s">
        <v>27</v>
      </c>
      <c r="G192" s="3" t="s">
        <v>28</v>
      </c>
      <c r="H192" s="4">
        <v>46289.448111458332</v>
      </c>
      <c r="I192" s="4">
        <v>46289.727703124998</v>
      </c>
      <c r="J192" s="3">
        <f>ROUND((I192-H192)*1440,0)</f>
        <v>403</v>
      </c>
      <c r="K192" s="3" t="s">
        <v>362</v>
      </c>
      <c r="L192" s="3" t="s">
        <v>43</v>
      </c>
      <c r="M192" s="3" t="s">
        <v>44</v>
      </c>
      <c r="N192" s="3" t="s">
        <v>23</v>
      </c>
      <c r="O192" s="3" t="s">
        <v>363</v>
      </c>
    </row>
    <row r="193" spans="1:15" hidden="1" x14ac:dyDescent="0.75">
      <c r="A193" s="2">
        <v>46289</v>
      </c>
      <c r="B193" s="3" t="s">
        <v>731</v>
      </c>
      <c r="C193" s="3" t="s">
        <v>732</v>
      </c>
      <c r="D193" s="3" t="s">
        <v>27</v>
      </c>
      <c r="E193" s="3" t="s">
        <v>28</v>
      </c>
      <c r="F193" s="3" t="s">
        <v>56</v>
      </c>
      <c r="G193" s="3" t="s">
        <v>57</v>
      </c>
      <c r="H193" s="4">
        <v>46289.448718171298</v>
      </c>
      <c r="I193" s="4">
        <v>46289.570607291673</v>
      </c>
      <c r="J193" s="3">
        <f>ROUND((I193-H193)*1440,0)</f>
        <v>176</v>
      </c>
      <c r="K193" s="3" t="s">
        <v>434</v>
      </c>
      <c r="L193" s="3" t="s">
        <v>36</v>
      </c>
      <c r="M193" s="3" t="s">
        <v>36</v>
      </c>
      <c r="N193" s="3" t="s">
        <v>23</v>
      </c>
      <c r="O193" s="3" t="s">
        <v>435</v>
      </c>
    </row>
    <row r="194" spans="1:15" hidden="1" x14ac:dyDescent="0.75">
      <c r="A194" s="2">
        <v>46289</v>
      </c>
      <c r="B194" s="3" t="s">
        <v>733</v>
      </c>
      <c r="C194" s="3" t="s">
        <v>734</v>
      </c>
      <c r="D194" s="3" t="s">
        <v>27</v>
      </c>
      <c r="E194" s="3" t="s">
        <v>28</v>
      </c>
      <c r="F194" s="3" t="s">
        <v>228</v>
      </c>
      <c r="G194" s="3" t="s">
        <v>229</v>
      </c>
      <c r="H194" s="4">
        <v>46289.449787731479</v>
      </c>
      <c r="I194" s="4">
        <v>46289.506689004629</v>
      </c>
      <c r="J194" s="3">
        <f>ROUND((I194-H194)*1440,0)</f>
        <v>82</v>
      </c>
      <c r="K194" s="3" t="s">
        <v>90</v>
      </c>
      <c r="L194" s="3" t="s">
        <v>77</v>
      </c>
      <c r="M194" s="3" t="s">
        <v>78</v>
      </c>
      <c r="N194" s="3" t="s">
        <v>23</v>
      </c>
      <c r="O194" s="3" t="s">
        <v>91</v>
      </c>
    </row>
    <row r="195" spans="1:15" hidden="1" x14ac:dyDescent="0.75">
      <c r="A195" s="2">
        <v>46289</v>
      </c>
      <c r="B195" s="3" t="s">
        <v>735</v>
      </c>
      <c r="C195" s="3" t="s">
        <v>736</v>
      </c>
      <c r="D195" s="3" t="s">
        <v>17</v>
      </c>
      <c r="E195" s="3" t="s">
        <v>18</v>
      </c>
      <c r="F195" s="3" t="s">
        <v>737</v>
      </c>
      <c r="G195" s="3" t="s">
        <v>738</v>
      </c>
      <c r="H195" s="4">
        <v>46289.450352662039</v>
      </c>
      <c r="I195" s="4">
        <v>46289.486116435182</v>
      </c>
      <c r="J195" s="3">
        <f>ROUND((I195-H195)*1440,0)</f>
        <v>51</v>
      </c>
      <c r="K195" s="3" t="s">
        <v>739</v>
      </c>
      <c r="L195" s="3" t="s">
        <v>77</v>
      </c>
      <c r="M195" s="3" t="s">
        <v>78</v>
      </c>
      <c r="N195" s="3" t="s">
        <v>45</v>
      </c>
      <c r="O195" s="3" t="s">
        <v>740</v>
      </c>
    </row>
    <row r="196" spans="1:15" hidden="1" x14ac:dyDescent="0.75">
      <c r="A196" s="2">
        <v>46289</v>
      </c>
      <c r="B196" s="3" t="s">
        <v>741</v>
      </c>
      <c r="C196" s="3" t="s">
        <v>742</v>
      </c>
      <c r="D196" s="3" t="s">
        <v>17</v>
      </c>
      <c r="E196" s="3" t="s">
        <v>18</v>
      </c>
      <c r="F196" s="3" t="s">
        <v>27</v>
      </c>
      <c r="G196" s="3" t="s">
        <v>28</v>
      </c>
      <c r="H196" s="4">
        <v>46289.451108333327</v>
      </c>
      <c r="I196" s="4">
        <v>46289.476024421303</v>
      </c>
      <c r="J196" s="3">
        <f>ROUND((I196-H196)*1440,0)</f>
        <v>36</v>
      </c>
      <c r="K196" s="3" t="s">
        <v>743</v>
      </c>
      <c r="L196" s="3" t="s">
        <v>77</v>
      </c>
      <c r="M196" s="3" t="s">
        <v>78</v>
      </c>
      <c r="N196" s="3" t="s">
        <v>23</v>
      </c>
      <c r="O196" s="3" t="s">
        <v>744</v>
      </c>
    </row>
    <row r="197" spans="1:15" hidden="1" x14ac:dyDescent="0.75">
      <c r="A197" s="2">
        <v>46289</v>
      </c>
      <c r="B197" s="3" t="s">
        <v>745</v>
      </c>
      <c r="C197" s="3" t="s">
        <v>746</v>
      </c>
      <c r="D197" s="3" t="s">
        <v>17</v>
      </c>
      <c r="E197" s="3" t="s">
        <v>18</v>
      </c>
      <c r="F197" s="3"/>
      <c r="G197" s="3"/>
      <c r="H197" s="4">
        <v>46289.453265393517</v>
      </c>
      <c r="I197" s="4">
        <v>46289.482492939816</v>
      </c>
      <c r="J197" s="3">
        <f>ROUND((I197-H197)*1440,0)</f>
        <v>42</v>
      </c>
      <c r="K197" s="3" t="s">
        <v>747</v>
      </c>
      <c r="L197" s="3" t="s">
        <v>22</v>
      </c>
      <c r="M197" s="3" t="s">
        <v>22</v>
      </c>
      <c r="N197" s="3" t="s">
        <v>443</v>
      </c>
      <c r="O197" s="3" t="s">
        <v>748</v>
      </c>
    </row>
    <row r="198" spans="1:15" hidden="1" x14ac:dyDescent="0.75">
      <c r="A198" s="2">
        <v>46289</v>
      </c>
      <c r="B198" s="3" t="s">
        <v>749</v>
      </c>
      <c r="C198" s="3" t="s">
        <v>750</v>
      </c>
      <c r="D198" s="3" t="s">
        <v>27</v>
      </c>
      <c r="E198" s="3" t="s">
        <v>28</v>
      </c>
      <c r="F198" s="3" t="s">
        <v>19</v>
      </c>
      <c r="G198" s="3" t="s">
        <v>20</v>
      </c>
      <c r="H198" s="4">
        <v>46289.45536122685</v>
      </c>
      <c r="I198" s="4">
        <v>46289.570893402779</v>
      </c>
      <c r="J198" s="3">
        <f>ROUND((I198-H198)*1440,0)</f>
        <v>166</v>
      </c>
      <c r="K198" s="3" t="s">
        <v>150</v>
      </c>
      <c r="L198" s="3" t="s">
        <v>36</v>
      </c>
      <c r="M198" s="3" t="s">
        <v>36</v>
      </c>
      <c r="N198" s="3" t="s">
        <v>23</v>
      </c>
      <c r="O198" s="3" t="s">
        <v>151</v>
      </c>
    </row>
    <row r="199" spans="1:15" hidden="1" x14ac:dyDescent="0.75">
      <c r="A199" s="2">
        <v>46289</v>
      </c>
      <c r="B199" s="3" t="s">
        <v>751</v>
      </c>
      <c r="C199" s="3" t="s">
        <v>752</v>
      </c>
      <c r="D199" s="3" t="s">
        <v>17</v>
      </c>
      <c r="E199" s="3" t="s">
        <v>18</v>
      </c>
      <c r="F199" s="3"/>
      <c r="G199" s="3"/>
      <c r="H199" s="4">
        <v>46289.456895833333</v>
      </c>
      <c r="I199" s="4">
        <v>46289.482489699083</v>
      </c>
      <c r="J199" s="3">
        <f>ROUND((I199-H199)*1440,0)</f>
        <v>37</v>
      </c>
      <c r="K199" s="3" t="s">
        <v>392</v>
      </c>
      <c r="L199" s="3" t="s">
        <v>22</v>
      </c>
      <c r="M199" s="3" t="s">
        <v>22</v>
      </c>
      <c r="N199" s="3" t="s">
        <v>443</v>
      </c>
      <c r="O199" s="3" t="s">
        <v>393</v>
      </c>
    </row>
    <row r="200" spans="1:15" hidden="1" x14ac:dyDescent="0.75">
      <c r="A200" s="2">
        <v>46289</v>
      </c>
      <c r="B200" s="3" t="s">
        <v>753</v>
      </c>
      <c r="C200" s="3" t="s">
        <v>754</v>
      </c>
      <c r="D200" s="3" t="s">
        <v>17</v>
      </c>
      <c r="E200" s="3" t="s">
        <v>18</v>
      </c>
      <c r="F200" s="3" t="s">
        <v>68</v>
      </c>
      <c r="G200" s="3" t="s">
        <v>69</v>
      </c>
      <c r="H200" s="4">
        <v>46289.457615740743</v>
      </c>
      <c r="I200" s="4">
        <v>46289.558044907397</v>
      </c>
      <c r="J200" s="3">
        <f>ROUND((I200-H200)*1440,0)</f>
        <v>145</v>
      </c>
      <c r="K200" s="3" t="s">
        <v>755</v>
      </c>
      <c r="L200" s="3" t="s">
        <v>43</v>
      </c>
      <c r="M200" s="3" t="s">
        <v>44</v>
      </c>
      <c r="N200" s="3" t="s">
        <v>23</v>
      </c>
      <c r="O200" s="3" t="s">
        <v>756</v>
      </c>
    </row>
    <row r="201" spans="1:15" hidden="1" x14ac:dyDescent="0.75">
      <c r="A201" s="2">
        <v>46289</v>
      </c>
      <c r="B201" s="3" t="s">
        <v>757</v>
      </c>
      <c r="C201" s="3" t="s">
        <v>758</v>
      </c>
      <c r="D201" s="3" t="s">
        <v>94</v>
      </c>
      <c r="E201" s="3" t="s">
        <v>95</v>
      </c>
      <c r="F201" s="3" t="s">
        <v>56</v>
      </c>
      <c r="G201" s="3" t="s">
        <v>57</v>
      </c>
      <c r="H201" s="4">
        <v>46289.458615972217</v>
      </c>
      <c r="I201" s="4">
        <v>46289.525327199073</v>
      </c>
      <c r="J201" s="3">
        <f>ROUND((I201-H201)*1440,0)</f>
        <v>96</v>
      </c>
      <c r="K201" s="3" t="s">
        <v>112</v>
      </c>
      <c r="L201" s="3" t="s">
        <v>36</v>
      </c>
      <c r="M201" s="3" t="s">
        <v>36</v>
      </c>
      <c r="N201" s="3" t="s">
        <v>23</v>
      </c>
      <c r="O201" s="3" t="s">
        <v>113</v>
      </c>
    </row>
    <row r="202" spans="1:15" hidden="1" x14ac:dyDescent="0.75">
      <c r="A202" s="2">
        <v>46289</v>
      </c>
      <c r="B202" s="3" t="s">
        <v>759</v>
      </c>
      <c r="C202" s="3" t="s">
        <v>760</v>
      </c>
      <c r="D202" s="3" t="s">
        <v>19</v>
      </c>
      <c r="E202" s="3" t="s">
        <v>20</v>
      </c>
      <c r="F202" s="3" t="s">
        <v>27</v>
      </c>
      <c r="G202" s="3" t="s">
        <v>28</v>
      </c>
      <c r="H202" s="4">
        <v>46289.459279745373</v>
      </c>
      <c r="I202" s="4">
        <v>46289.569806134263</v>
      </c>
      <c r="J202" s="3">
        <f>ROUND((I202-H202)*1440,0)</f>
        <v>159</v>
      </c>
      <c r="K202" s="3" t="s">
        <v>21</v>
      </c>
      <c r="L202" s="3" t="s">
        <v>22</v>
      </c>
      <c r="M202" s="3" t="s">
        <v>22</v>
      </c>
      <c r="N202" s="3" t="s">
        <v>23</v>
      </c>
      <c r="O202" s="3" t="s">
        <v>24</v>
      </c>
    </row>
    <row r="203" spans="1:15" hidden="1" x14ac:dyDescent="0.75">
      <c r="A203" s="2">
        <v>46289</v>
      </c>
      <c r="B203" s="3" t="s">
        <v>761</v>
      </c>
      <c r="C203" s="3" t="s">
        <v>762</v>
      </c>
      <c r="D203" s="3" t="s">
        <v>218</v>
      </c>
      <c r="E203" s="3" t="s">
        <v>219</v>
      </c>
      <c r="F203" s="3" t="s">
        <v>56</v>
      </c>
      <c r="G203" s="3" t="s">
        <v>57</v>
      </c>
      <c r="H203" s="4">
        <v>46289.459316087959</v>
      </c>
      <c r="I203" s="4">
        <v>46289.559440277779</v>
      </c>
      <c r="J203" s="3">
        <f>ROUND((I203-H203)*1440,0)</f>
        <v>144</v>
      </c>
      <c r="K203" s="3" t="s">
        <v>220</v>
      </c>
      <c r="L203" s="3" t="s">
        <v>77</v>
      </c>
      <c r="M203" s="3" t="s">
        <v>78</v>
      </c>
      <c r="N203" s="3" t="s">
        <v>23</v>
      </c>
      <c r="O203" s="3" t="s">
        <v>221</v>
      </c>
    </row>
    <row r="204" spans="1:15" hidden="1" x14ac:dyDescent="0.75">
      <c r="A204" s="2">
        <v>46289</v>
      </c>
      <c r="B204" s="3" t="s">
        <v>763</v>
      </c>
      <c r="C204" s="3" t="s">
        <v>764</v>
      </c>
      <c r="D204" s="3" t="s">
        <v>17</v>
      </c>
      <c r="E204" s="3" t="s">
        <v>18</v>
      </c>
      <c r="F204" s="3" t="s">
        <v>56</v>
      </c>
      <c r="G204" s="3" t="s">
        <v>57</v>
      </c>
      <c r="H204" s="4">
        <v>46289.459537731484</v>
      </c>
      <c r="I204" s="4">
        <v>46289.563931597222</v>
      </c>
      <c r="J204" s="3">
        <f>ROUND((I204-H204)*1440,0)</f>
        <v>150</v>
      </c>
      <c r="K204" s="3" t="s">
        <v>765</v>
      </c>
      <c r="L204" s="3" t="s">
        <v>43</v>
      </c>
      <c r="M204" s="3" t="s">
        <v>44</v>
      </c>
      <c r="N204" s="3" t="s">
        <v>23</v>
      </c>
      <c r="O204" s="3" t="s">
        <v>766</v>
      </c>
    </row>
    <row r="205" spans="1:15" hidden="1" x14ac:dyDescent="0.75">
      <c r="A205" s="2">
        <v>46289</v>
      </c>
      <c r="B205" s="3" t="s">
        <v>767</v>
      </c>
      <c r="C205" s="3" t="s">
        <v>768</v>
      </c>
      <c r="D205" s="3" t="s">
        <v>17</v>
      </c>
      <c r="E205" s="3" t="s">
        <v>18</v>
      </c>
      <c r="F205" s="3" t="s">
        <v>304</v>
      </c>
      <c r="G205" s="3" t="s">
        <v>305</v>
      </c>
      <c r="H205" s="4">
        <v>46289.460293055563</v>
      </c>
      <c r="I205" s="4">
        <v>46289.688489583343</v>
      </c>
      <c r="J205" s="3">
        <f>ROUND((I205-H205)*1440,0)</f>
        <v>329</v>
      </c>
      <c r="K205" s="3" t="s">
        <v>769</v>
      </c>
      <c r="L205" s="3" t="s">
        <v>43</v>
      </c>
      <c r="M205" s="3" t="s">
        <v>44</v>
      </c>
      <c r="N205" s="3" t="s">
        <v>23</v>
      </c>
      <c r="O205" s="3" t="s">
        <v>770</v>
      </c>
    </row>
    <row r="206" spans="1:15" hidden="1" x14ac:dyDescent="0.75">
      <c r="A206" s="2">
        <v>46289</v>
      </c>
      <c r="B206" s="3" t="s">
        <v>771</v>
      </c>
      <c r="C206" s="3" t="s">
        <v>772</v>
      </c>
      <c r="D206" s="3" t="s">
        <v>228</v>
      </c>
      <c r="E206" s="3" t="s">
        <v>229</v>
      </c>
      <c r="F206" s="3" t="s">
        <v>56</v>
      </c>
      <c r="G206" s="3" t="s">
        <v>57</v>
      </c>
      <c r="H206" s="4">
        <v>46289.460970949083</v>
      </c>
      <c r="I206" s="4">
        <v>46289.548892708342</v>
      </c>
      <c r="J206" s="3">
        <f>ROUND((I206-H206)*1440,0)</f>
        <v>127</v>
      </c>
      <c r="K206" s="3" t="s">
        <v>501</v>
      </c>
      <c r="L206" s="3" t="s">
        <v>77</v>
      </c>
      <c r="M206" s="3" t="s">
        <v>78</v>
      </c>
      <c r="N206" s="3" t="s">
        <v>23</v>
      </c>
      <c r="O206" s="3" t="s">
        <v>502</v>
      </c>
    </row>
    <row r="207" spans="1:15" hidden="1" x14ac:dyDescent="0.75">
      <c r="A207" s="2">
        <v>46289</v>
      </c>
      <c r="B207" s="3" t="s">
        <v>773</v>
      </c>
      <c r="C207" s="3" t="s">
        <v>774</v>
      </c>
      <c r="D207" s="3" t="s">
        <v>244</v>
      </c>
      <c r="E207" s="3" t="s">
        <v>245</v>
      </c>
      <c r="F207" s="3" t="s">
        <v>56</v>
      </c>
      <c r="G207" s="3" t="s">
        <v>57</v>
      </c>
      <c r="H207" s="4">
        <v>46289.463494791657</v>
      </c>
      <c r="I207" s="4">
        <v>46289.574791782397</v>
      </c>
      <c r="J207" s="3">
        <f>ROUND((I207-H207)*1440,0)</f>
        <v>160</v>
      </c>
      <c r="K207" s="3" t="s">
        <v>775</v>
      </c>
      <c r="L207" s="3" t="s">
        <v>36</v>
      </c>
      <c r="M207" s="3" t="s">
        <v>36</v>
      </c>
      <c r="N207" s="3" t="s">
        <v>23</v>
      </c>
      <c r="O207" s="3" t="s">
        <v>776</v>
      </c>
    </row>
    <row r="208" spans="1:15" hidden="1" x14ac:dyDescent="0.75">
      <c r="A208" s="2">
        <v>46289</v>
      </c>
      <c r="B208" s="3" t="s">
        <v>777</v>
      </c>
      <c r="C208" s="3" t="s">
        <v>778</v>
      </c>
      <c r="D208" s="3" t="s">
        <v>116</v>
      </c>
      <c r="E208" s="3" t="s">
        <v>117</v>
      </c>
      <c r="F208" s="3" t="s">
        <v>56</v>
      </c>
      <c r="G208" s="3" t="s">
        <v>57</v>
      </c>
      <c r="H208" s="4">
        <v>46289.463537037038</v>
      </c>
      <c r="I208" s="4">
        <v>46289.581593518516</v>
      </c>
      <c r="J208" s="3">
        <f>ROUND((I208-H208)*1440,0)</f>
        <v>170</v>
      </c>
      <c r="K208" s="3" t="s">
        <v>164</v>
      </c>
      <c r="L208" s="3" t="s">
        <v>36</v>
      </c>
      <c r="M208" s="3" t="s">
        <v>36</v>
      </c>
      <c r="N208" s="3" t="s">
        <v>23</v>
      </c>
      <c r="O208" s="3" t="s">
        <v>165</v>
      </c>
    </row>
    <row r="209" spans="1:15" hidden="1" x14ac:dyDescent="0.75">
      <c r="A209" s="2">
        <v>46289</v>
      </c>
      <c r="B209" s="3" t="s">
        <v>779</v>
      </c>
      <c r="C209" s="3" t="s">
        <v>780</v>
      </c>
      <c r="D209" s="3" t="s">
        <v>344</v>
      </c>
      <c r="E209" s="3" t="s">
        <v>345</v>
      </c>
      <c r="F209" s="3" t="s">
        <v>17</v>
      </c>
      <c r="G209" s="3" t="s">
        <v>18</v>
      </c>
      <c r="H209" s="4">
        <v>46289.46470138889</v>
      </c>
      <c r="I209" s="4">
        <v>46289.785930208331</v>
      </c>
      <c r="J209" s="3">
        <f>ROUND((I209-H209)*1440,0)</f>
        <v>463</v>
      </c>
      <c r="K209" s="3" t="s">
        <v>346</v>
      </c>
      <c r="L209" s="3" t="s">
        <v>43</v>
      </c>
      <c r="M209" s="3" t="s">
        <v>44</v>
      </c>
      <c r="N209" s="3" t="s">
        <v>23</v>
      </c>
      <c r="O209" s="3" t="s">
        <v>347</v>
      </c>
    </row>
    <row r="210" spans="1:15" hidden="1" x14ac:dyDescent="0.75">
      <c r="A210" s="2">
        <v>46289</v>
      </c>
      <c r="B210" s="3" t="s">
        <v>781</v>
      </c>
      <c r="C210" s="3" t="s">
        <v>782</v>
      </c>
      <c r="D210" s="3" t="s">
        <v>17</v>
      </c>
      <c r="E210" s="3" t="s">
        <v>18</v>
      </c>
      <c r="F210" s="3"/>
      <c r="G210" s="3"/>
      <c r="H210" s="4">
        <v>46289.465072685183</v>
      </c>
      <c r="I210" s="4">
        <v>46289.548229398148</v>
      </c>
      <c r="J210" s="3">
        <f>ROUND((I210-H210)*1440,0)</f>
        <v>120</v>
      </c>
      <c r="K210" s="3" t="s">
        <v>783</v>
      </c>
      <c r="L210" s="3" t="s">
        <v>77</v>
      </c>
      <c r="M210" s="3" t="s">
        <v>78</v>
      </c>
      <c r="N210" s="3" t="s">
        <v>45</v>
      </c>
      <c r="O210" s="3" t="s">
        <v>784</v>
      </c>
    </row>
    <row r="211" spans="1:15" hidden="1" x14ac:dyDescent="0.75">
      <c r="A211" s="2">
        <v>46289</v>
      </c>
      <c r="B211" s="3" t="s">
        <v>785</v>
      </c>
      <c r="C211" s="3" t="s">
        <v>786</v>
      </c>
      <c r="D211" s="3" t="s">
        <v>58</v>
      </c>
      <c r="E211" s="3" t="s">
        <v>59</v>
      </c>
      <c r="F211" s="3" t="s">
        <v>304</v>
      </c>
      <c r="G211" s="3" t="s">
        <v>305</v>
      </c>
      <c r="H211" s="4">
        <v>46289.46522233796</v>
      </c>
      <c r="I211" s="4">
        <v>46289.689220023152</v>
      </c>
      <c r="J211" s="3">
        <f>ROUND((I211-H211)*1440,0)</f>
        <v>323</v>
      </c>
      <c r="K211" s="3" t="s">
        <v>481</v>
      </c>
      <c r="L211" s="3" t="s">
        <v>22</v>
      </c>
      <c r="M211" s="3" t="s">
        <v>22</v>
      </c>
      <c r="N211" s="3" t="s">
        <v>23</v>
      </c>
      <c r="O211" s="3" t="s">
        <v>482</v>
      </c>
    </row>
    <row r="212" spans="1:15" hidden="1" x14ac:dyDescent="0.75">
      <c r="A212" s="2">
        <v>46289</v>
      </c>
      <c r="B212" s="3" t="s">
        <v>787</v>
      </c>
      <c r="C212" s="3" t="s">
        <v>788</v>
      </c>
      <c r="D212" s="3" t="s">
        <v>615</v>
      </c>
      <c r="E212" s="3" t="s">
        <v>616</v>
      </c>
      <c r="F212" s="3" t="s">
        <v>49</v>
      </c>
      <c r="G212" s="3" t="s">
        <v>50</v>
      </c>
      <c r="H212" s="4">
        <v>46289.46558275463</v>
      </c>
      <c r="I212" s="4">
        <v>46289.60529097222</v>
      </c>
      <c r="J212" s="3">
        <f>ROUND((I212-H212)*1440,0)</f>
        <v>201</v>
      </c>
      <c r="K212" s="3" t="s">
        <v>789</v>
      </c>
      <c r="L212" s="3" t="s">
        <v>36</v>
      </c>
      <c r="M212" s="3" t="s">
        <v>36</v>
      </c>
      <c r="N212" s="3" t="s">
        <v>23</v>
      </c>
      <c r="O212" s="3" t="s">
        <v>790</v>
      </c>
    </row>
    <row r="213" spans="1:15" hidden="1" x14ac:dyDescent="0.75">
      <c r="A213" s="2">
        <v>46289</v>
      </c>
      <c r="B213" s="3" t="s">
        <v>791</v>
      </c>
      <c r="C213" s="3" t="s">
        <v>792</v>
      </c>
      <c r="D213" s="3" t="s">
        <v>27</v>
      </c>
      <c r="E213" s="3" t="s">
        <v>28</v>
      </c>
      <c r="F213" s="3" t="s">
        <v>334</v>
      </c>
      <c r="G213" s="3" t="s">
        <v>335</v>
      </c>
      <c r="H213" s="4">
        <v>46289.466121759258</v>
      </c>
      <c r="I213" s="4">
        <v>46289.552616782406</v>
      </c>
      <c r="J213" s="3">
        <f>ROUND((I213-H213)*1440,0)</f>
        <v>125</v>
      </c>
      <c r="K213" s="3" t="s">
        <v>793</v>
      </c>
      <c r="L213" s="3" t="s">
        <v>77</v>
      </c>
      <c r="M213" s="3" t="s">
        <v>78</v>
      </c>
      <c r="N213" s="3" t="s">
        <v>23</v>
      </c>
      <c r="O213" s="3" t="s">
        <v>794</v>
      </c>
    </row>
    <row r="214" spans="1:15" hidden="1" x14ac:dyDescent="0.75">
      <c r="A214" s="2">
        <v>46289</v>
      </c>
      <c r="B214" s="3" t="s">
        <v>795</v>
      </c>
      <c r="C214" s="3" t="s">
        <v>796</v>
      </c>
      <c r="D214" s="3" t="s">
        <v>49</v>
      </c>
      <c r="E214" s="3" t="s">
        <v>50</v>
      </c>
      <c r="F214" s="3" t="s">
        <v>56</v>
      </c>
      <c r="G214" s="3" t="s">
        <v>57</v>
      </c>
      <c r="H214" s="4">
        <v>46289.466415509261</v>
      </c>
      <c r="I214" s="4">
        <v>46289.562968055558</v>
      </c>
      <c r="J214" s="3">
        <f>ROUND((I214-H214)*1440,0)</f>
        <v>139</v>
      </c>
      <c r="K214" s="3" t="s">
        <v>256</v>
      </c>
      <c r="L214" s="3" t="s">
        <v>36</v>
      </c>
      <c r="M214" s="3" t="s">
        <v>36</v>
      </c>
      <c r="N214" s="3" t="s">
        <v>23</v>
      </c>
      <c r="O214" s="3" t="s">
        <v>257</v>
      </c>
    </row>
    <row r="215" spans="1:15" hidden="1" x14ac:dyDescent="0.75">
      <c r="A215" s="2">
        <v>46289</v>
      </c>
      <c r="B215" s="3" t="s">
        <v>797</v>
      </c>
      <c r="C215" s="3" t="s">
        <v>798</v>
      </c>
      <c r="D215" s="3" t="s">
        <v>148</v>
      </c>
      <c r="E215" s="3" t="s">
        <v>149</v>
      </c>
      <c r="F215" s="3" t="s">
        <v>56</v>
      </c>
      <c r="G215" s="3" t="s">
        <v>57</v>
      </c>
      <c r="H215" s="4">
        <v>46289.466637962963</v>
      </c>
      <c r="I215" s="4">
        <v>46289.57435451389</v>
      </c>
      <c r="J215" s="3">
        <f>ROUND((I215-H215)*1440,0)</f>
        <v>155</v>
      </c>
      <c r="K215" s="3" t="s">
        <v>380</v>
      </c>
      <c r="L215" s="3" t="s">
        <v>36</v>
      </c>
      <c r="M215" s="3" t="s">
        <v>36</v>
      </c>
      <c r="N215" s="3" t="s">
        <v>23</v>
      </c>
      <c r="O215" s="3" t="s">
        <v>381</v>
      </c>
    </row>
    <row r="216" spans="1:15" hidden="1" x14ac:dyDescent="0.75">
      <c r="A216" s="2">
        <v>46289</v>
      </c>
      <c r="B216" s="3" t="s">
        <v>799</v>
      </c>
      <c r="C216" s="3" t="s">
        <v>800</v>
      </c>
      <c r="D216" s="3" t="s">
        <v>17</v>
      </c>
      <c r="E216" s="3" t="s">
        <v>18</v>
      </c>
      <c r="F216" s="3" t="s">
        <v>280</v>
      </c>
      <c r="G216" s="3" t="s">
        <v>281</v>
      </c>
      <c r="H216" s="4">
        <v>46289.469749652781</v>
      </c>
      <c r="I216" s="4">
        <v>46289.575276388889</v>
      </c>
      <c r="J216" s="3">
        <f>ROUND((I216-H216)*1440,0)</f>
        <v>152</v>
      </c>
      <c r="K216" s="3" t="s">
        <v>801</v>
      </c>
      <c r="L216" s="3" t="s">
        <v>77</v>
      </c>
      <c r="M216" s="3" t="s">
        <v>78</v>
      </c>
      <c r="N216" s="3" t="s">
        <v>23</v>
      </c>
      <c r="O216" s="3" t="s">
        <v>802</v>
      </c>
    </row>
    <row r="217" spans="1:15" hidden="1" x14ac:dyDescent="0.75">
      <c r="A217" s="2">
        <v>46289</v>
      </c>
      <c r="B217" s="3" t="s">
        <v>803</v>
      </c>
      <c r="C217" s="3" t="s">
        <v>804</v>
      </c>
      <c r="D217" s="3" t="s">
        <v>27</v>
      </c>
      <c r="E217" s="3" t="s">
        <v>28</v>
      </c>
      <c r="F217" s="3" t="s">
        <v>17</v>
      </c>
      <c r="G217" s="3" t="s">
        <v>18</v>
      </c>
      <c r="H217" s="4">
        <v>46289.469758217587</v>
      </c>
      <c r="I217" s="4">
        <v>46289.503545601852</v>
      </c>
      <c r="J217" s="3">
        <f>ROUND((I217-H217)*1440,0)</f>
        <v>49</v>
      </c>
      <c r="K217" s="3" t="s">
        <v>438</v>
      </c>
      <c r="L217" s="3" t="s">
        <v>36</v>
      </c>
      <c r="M217" s="3" t="s">
        <v>36</v>
      </c>
      <c r="N217" s="3" t="s">
        <v>23</v>
      </c>
      <c r="O217" s="3" t="s">
        <v>439</v>
      </c>
    </row>
    <row r="218" spans="1:15" hidden="1" x14ac:dyDescent="0.75">
      <c r="A218" s="2">
        <v>46289</v>
      </c>
      <c r="B218" s="3" t="s">
        <v>805</v>
      </c>
      <c r="C218" s="3" t="s">
        <v>806</v>
      </c>
      <c r="D218" s="3" t="s">
        <v>82</v>
      </c>
      <c r="E218" s="3" t="s">
        <v>83</v>
      </c>
      <c r="F218" s="3" t="s">
        <v>27</v>
      </c>
      <c r="G218" s="3" t="s">
        <v>28</v>
      </c>
      <c r="H218" s="4">
        <v>46289.469954050917</v>
      </c>
      <c r="I218" s="4">
        <v>46289.577682291667</v>
      </c>
      <c r="J218" s="3">
        <f>ROUND((I218-H218)*1440,0)</f>
        <v>155</v>
      </c>
      <c r="K218" s="3" t="s">
        <v>807</v>
      </c>
      <c r="L218" s="3" t="s">
        <v>77</v>
      </c>
      <c r="M218" s="3" t="s">
        <v>78</v>
      </c>
      <c r="N218" s="3" t="s">
        <v>23</v>
      </c>
      <c r="O218" s="3" t="s">
        <v>808</v>
      </c>
    </row>
    <row r="219" spans="1:15" hidden="1" x14ac:dyDescent="0.75">
      <c r="A219" s="2">
        <v>46289</v>
      </c>
      <c r="B219" s="3" t="s">
        <v>809</v>
      </c>
      <c r="C219" s="3" t="s">
        <v>810</v>
      </c>
      <c r="D219" s="3" t="s">
        <v>128</v>
      </c>
      <c r="E219" s="3" t="s">
        <v>129</v>
      </c>
      <c r="F219" s="3" t="s">
        <v>56</v>
      </c>
      <c r="G219" s="3" t="s">
        <v>57</v>
      </c>
      <c r="H219" s="4">
        <v>46289.471089930557</v>
      </c>
      <c r="I219" s="4">
        <v>46289.57254212963</v>
      </c>
      <c r="J219" s="3">
        <f>ROUND((I219-H219)*1440,0)</f>
        <v>146</v>
      </c>
      <c r="K219" s="3" t="s">
        <v>130</v>
      </c>
      <c r="L219" s="3" t="s">
        <v>36</v>
      </c>
      <c r="M219" s="3" t="s">
        <v>36</v>
      </c>
      <c r="N219" s="3" t="s">
        <v>23</v>
      </c>
      <c r="O219" s="3" t="s">
        <v>131</v>
      </c>
    </row>
    <row r="220" spans="1:15" hidden="1" x14ac:dyDescent="0.75">
      <c r="A220" s="2">
        <v>46289</v>
      </c>
      <c r="B220" s="3" t="s">
        <v>811</v>
      </c>
      <c r="C220" s="3" t="s">
        <v>812</v>
      </c>
      <c r="D220" s="3" t="s">
        <v>158</v>
      </c>
      <c r="E220" s="3" t="s">
        <v>159</v>
      </c>
      <c r="F220" s="3" t="s">
        <v>82</v>
      </c>
      <c r="G220" s="3" t="s">
        <v>83</v>
      </c>
      <c r="H220" s="4">
        <v>46289.47238900463</v>
      </c>
      <c r="I220" s="4">
        <v>46289.543815046287</v>
      </c>
      <c r="J220" s="3">
        <f>ROUND((I220-H220)*1440,0)</f>
        <v>103</v>
      </c>
      <c r="K220" s="3" t="s">
        <v>813</v>
      </c>
      <c r="L220" s="3" t="s">
        <v>36</v>
      </c>
      <c r="M220" s="3" t="s">
        <v>36</v>
      </c>
      <c r="N220" s="3" t="s">
        <v>23</v>
      </c>
      <c r="O220" s="3" t="s">
        <v>814</v>
      </c>
    </row>
    <row r="221" spans="1:15" hidden="1" x14ac:dyDescent="0.75">
      <c r="A221" s="2">
        <v>46289</v>
      </c>
      <c r="B221" s="3" t="s">
        <v>815</v>
      </c>
      <c r="C221" s="3" t="s">
        <v>816</v>
      </c>
      <c r="D221" s="3" t="s">
        <v>27</v>
      </c>
      <c r="E221" s="3" t="s">
        <v>28</v>
      </c>
      <c r="F221" s="3" t="s">
        <v>264</v>
      </c>
      <c r="G221" s="3" t="s">
        <v>265</v>
      </c>
      <c r="H221" s="4">
        <v>46289.472657986109</v>
      </c>
      <c r="I221" s="4">
        <v>46289.691299999999</v>
      </c>
      <c r="J221" s="3">
        <f>ROUND((I221-H221)*1440,0)</f>
        <v>315</v>
      </c>
      <c r="K221" s="3" t="s">
        <v>473</v>
      </c>
      <c r="L221" s="3" t="s">
        <v>43</v>
      </c>
      <c r="M221" s="3" t="s">
        <v>44</v>
      </c>
      <c r="N221" s="3" t="s">
        <v>23</v>
      </c>
      <c r="O221" s="3" t="s">
        <v>474</v>
      </c>
    </row>
    <row r="222" spans="1:15" hidden="1" x14ac:dyDescent="0.75">
      <c r="A222" s="2">
        <v>46289</v>
      </c>
      <c r="B222" s="3" t="s">
        <v>817</v>
      </c>
      <c r="C222" s="3" t="s">
        <v>818</v>
      </c>
      <c r="D222" s="3" t="s">
        <v>84</v>
      </c>
      <c r="E222" s="3" t="s">
        <v>85</v>
      </c>
      <c r="F222" s="3" t="s">
        <v>719</v>
      </c>
      <c r="G222" s="3" t="s">
        <v>720</v>
      </c>
      <c r="H222" s="4">
        <v>46289.472993518517</v>
      </c>
      <c r="I222" s="4">
        <v>46289.577990972219</v>
      </c>
      <c r="J222" s="3">
        <f>ROUND((I222-H222)*1440,0)</f>
        <v>151</v>
      </c>
      <c r="K222" s="3" t="s">
        <v>819</v>
      </c>
      <c r="L222" s="3" t="s">
        <v>36</v>
      </c>
      <c r="M222" s="3" t="s">
        <v>36</v>
      </c>
      <c r="N222" s="3" t="s">
        <v>23</v>
      </c>
      <c r="O222" s="3" t="s">
        <v>820</v>
      </c>
    </row>
    <row r="223" spans="1:15" hidden="1" x14ac:dyDescent="0.75">
      <c r="A223" s="2">
        <v>46289</v>
      </c>
      <c r="B223" s="3" t="s">
        <v>821</v>
      </c>
      <c r="C223" s="3" t="s">
        <v>822</v>
      </c>
      <c r="D223" s="3" t="s">
        <v>400</v>
      </c>
      <c r="E223" s="3" t="s">
        <v>401</v>
      </c>
      <c r="F223" s="3" t="s">
        <v>17</v>
      </c>
      <c r="G223" s="3" t="s">
        <v>18</v>
      </c>
      <c r="H223" s="4">
        <v>46289.473395370369</v>
      </c>
      <c r="I223" s="4">
        <v>46289.510850462961</v>
      </c>
      <c r="J223" s="3">
        <f>ROUND((I223-H223)*1440,0)</f>
        <v>54</v>
      </c>
      <c r="K223" s="3" t="s">
        <v>402</v>
      </c>
      <c r="L223" s="3" t="s">
        <v>36</v>
      </c>
      <c r="M223" s="3" t="s">
        <v>36</v>
      </c>
      <c r="N223" s="3" t="s">
        <v>23</v>
      </c>
      <c r="O223" s="3" t="s">
        <v>403</v>
      </c>
    </row>
    <row r="224" spans="1:15" hidden="1" x14ac:dyDescent="0.75">
      <c r="A224" s="2">
        <v>46289</v>
      </c>
      <c r="B224" s="3" t="s">
        <v>823</v>
      </c>
      <c r="C224" s="3" t="s">
        <v>824</v>
      </c>
      <c r="D224" s="3" t="s">
        <v>74</v>
      </c>
      <c r="E224" s="3" t="s">
        <v>75</v>
      </c>
      <c r="F224" s="3" t="s">
        <v>56</v>
      </c>
      <c r="G224" s="3" t="s">
        <v>57</v>
      </c>
      <c r="H224" s="4">
        <v>46289.474369097217</v>
      </c>
      <c r="I224" s="4">
        <v>46289.566813310194</v>
      </c>
      <c r="J224" s="3">
        <f>ROUND((I224-H224)*1440,0)</f>
        <v>133</v>
      </c>
      <c r="K224" s="3" t="s">
        <v>76</v>
      </c>
      <c r="L224" s="3" t="s">
        <v>77</v>
      </c>
      <c r="M224" s="3" t="s">
        <v>78</v>
      </c>
      <c r="N224" s="3" t="s">
        <v>23</v>
      </c>
      <c r="O224" s="3" t="s">
        <v>79</v>
      </c>
    </row>
    <row r="225" spans="1:15" hidden="1" x14ac:dyDescent="0.75">
      <c r="A225" s="2">
        <v>46289</v>
      </c>
      <c r="B225" s="3" t="s">
        <v>825</v>
      </c>
      <c r="C225" s="3" t="s">
        <v>826</v>
      </c>
      <c r="D225" s="3" t="s">
        <v>17</v>
      </c>
      <c r="E225" s="3" t="s">
        <v>18</v>
      </c>
      <c r="F225" s="3" t="s">
        <v>17</v>
      </c>
      <c r="G225" s="3" t="s">
        <v>18</v>
      </c>
      <c r="H225" s="4">
        <v>46289.474530555563</v>
      </c>
      <c r="I225" s="4">
        <v>46289.899719444453</v>
      </c>
      <c r="J225" s="3">
        <f>ROUND((I225-H225)*1440,0)</f>
        <v>612</v>
      </c>
      <c r="K225" s="3" t="s">
        <v>515</v>
      </c>
      <c r="L225" s="3" t="s">
        <v>36</v>
      </c>
      <c r="M225" s="3" t="s">
        <v>36</v>
      </c>
      <c r="N225" s="3" t="s">
        <v>23</v>
      </c>
      <c r="O225" s="3" t="s">
        <v>516</v>
      </c>
    </row>
    <row r="226" spans="1:15" hidden="1" x14ac:dyDescent="0.75">
      <c r="A226" s="2">
        <v>46289</v>
      </c>
      <c r="B226" s="3" t="s">
        <v>827</v>
      </c>
      <c r="C226" s="3" t="s">
        <v>828</v>
      </c>
      <c r="D226" s="3" t="s">
        <v>56</v>
      </c>
      <c r="E226" s="3" t="s">
        <v>57</v>
      </c>
      <c r="F226" s="3" t="s">
        <v>304</v>
      </c>
      <c r="G226" s="3" t="s">
        <v>305</v>
      </c>
      <c r="H226" s="4">
        <v>46289.474729861111</v>
      </c>
      <c r="I226" s="4">
        <v>46289.675676273153</v>
      </c>
      <c r="J226" s="3">
        <f>ROUND((I226-H226)*1440,0)</f>
        <v>289</v>
      </c>
      <c r="K226" s="3" t="s">
        <v>523</v>
      </c>
      <c r="L226" s="3" t="s">
        <v>22</v>
      </c>
      <c r="M226" s="3" t="s">
        <v>22</v>
      </c>
      <c r="N226" s="3" t="s">
        <v>23</v>
      </c>
      <c r="O226" s="3" t="s">
        <v>524</v>
      </c>
    </row>
    <row r="227" spans="1:15" hidden="1" x14ac:dyDescent="0.75">
      <c r="A227" s="2">
        <v>46289</v>
      </c>
      <c r="B227" s="3" t="s">
        <v>829</v>
      </c>
      <c r="C227" s="3" t="s">
        <v>830</v>
      </c>
      <c r="D227" s="3" t="s">
        <v>737</v>
      </c>
      <c r="E227" s="3" t="s">
        <v>738</v>
      </c>
      <c r="F227" s="3" t="s">
        <v>82</v>
      </c>
      <c r="G227" s="3" t="s">
        <v>83</v>
      </c>
      <c r="H227" s="4">
        <v>46289.475214814818</v>
      </c>
      <c r="I227" s="4">
        <v>46289.571632870371</v>
      </c>
      <c r="J227" s="3">
        <f>ROUND((I227-H227)*1440,0)</f>
        <v>139</v>
      </c>
      <c r="K227" s="3" t="s">
        <v>831</v>
      </c>
      <c r="L227" s="3" t="s">
        <v>77</v>
      </c>
      <c r="M227" s="3" t="s">
        <v>78</v>
      </c>
      <c r="N227" s="3" t="s">
        <v>23</v>
      </c>
      <c r="O227" s="3" t="s">
        <v>832</v>
      </c>
    </row>
    <row r="228" spans="1:15" hidden="1" x14ac:dyDescent="0.75">
      <c r="A228" s="2">
        <v>46289</v>
      </c>
      <c r="B228" s="3" t="s">
        <v>833</v>
      </c>
      <c r="C228" s="3" t="s">
        <v>834</v>
      </c>
      <c r="D228" s="3" t="s">
        <v>142</v>
      </c>
      <c r="E228" s="3" t="s">
        <v>143</v>
      </c>
      <c r="F228" s="3" t="s">
        <v>56</v>
      </c>
      <c r="G228" s="3" t="s">
        <v>57</v>
      </c>
      <c r="H228" s="4">
        <v>46289.479044328713</v>
      </c>
      <c r="I228" s="4">
        <v>46289.585739814807</v>
      </c>
      <c r="J228" s="3">
        <f>ROUND((I228-H228)*1440,0)</f>
        <v>154</v>
      </c>
      <c r="K228" s="3" t="s">
        <v>144</v>
      </c>
      <c r="L228" s="3" t="s">
        <v>36</v>
      </c>
      <c r="M228" s="3" t="s">
        <v>36</v>
      </c>
      <c r="N228" s="3" t="s">
        <v>23</v>
      </c>
      <c r="O228" s="3" t="s">
        <v>145</v>
      </c>
    </row>
    <row r="229" spans="1:15" hidden="1" x14ac:dyDescent="0.75">
      <c r="A229" s="2">
        <v>46289</v>
      </c>
      <c r="B229" s="3" t="s">
        <v>835</v>
      </c>
      <c r="C229" s="3" t="s">
        <v>836</v>
      </c>
      <c r="D229" s="3" t="s">
        <v>270</v>
      </c>
      <c r="E229" s="3" t="s">
        <v>271</v>
      </c>
      <c r="F229" s="3" t="s">
        <v>56</v>
      </c>
      <c r="G229" s="3" t="s">
        <v>57</v>
      </c>
      <c r="H229" s="4">
        <v>46289.479393981477</v>
      </c>
      <c r="I229" s="4">
        <v>46289.565631597223</v>
      </c>
      <c r="J229" s="3">
        <f>ROUND((I229-H229)*1440,0)</f>
        <v>124</v>
      </c>
      <c r="K229" s="3" t="s">
        <v>272</v>
      </c>
      <c r="L229" s="3" t="s">
        <v>36</v>
      </c>
      <c r="M229" s="3" t="s">
        <v>36</v>
      </c>
      <c r="N229" s="3" t="s">
        <v>23</v>
      </c>
      <c r="O229" s="3" t="s">
        <v>273</v>
      </c>
    </row>
    <row r="230" spans="1:15" hidden="1" x14ac:dyDescent="0.75">
      <c r="A230" s="2">
        <v>46289</v>
      </c>
      <c r="B230" s="3" t="s">
        <v>837</v>
      </c>
      <c r="C230" s="3" t="s">
        <v>838</v>
      </c>
      <c r="D230" s="3" t="s">
        <v>100</v>
      </c>
      <c r="E230" s="3" t="s">
        <v>101</v>
      </c>
      <c r="F230" s="3" t="s">
        <v>56</v>
      </c>
      <c r="G230" s="3" t="s">
        <v>57</v>
      </c>
      <c r="H230" s="4">
        <v>46289.479543981477</v>
      </c>
      <c r="I230" s="4">
        <v>46289.514043518517</v>
      </c>
      <c r="J230" s="3">
        <f>ROUND((I230-H230)*1440,0)</f>
        <v>50</v>
      </c>
      <c r="K230" s="3" t="s">
        <v>310</v>
      </c>
      <c r="L230" s="3" t="s">
        <v>36</v>
      </c>
      <c r="M230" s="3" t="s">
        <v>36</v>
      </c>
      <c r="N230" s="3" t="s">
        <v>23</v>
      </c>
      <c r="O230" s="3" t="s">
        <v>311</v>
      </c>
    </row>
    <row r="231" spans="1:15" hidden="1" x14ac:dyDescent="0.75">
      <c r="A231" s="2">
        <v>46289</v>
      </c>
      <c r="B231" s="3" t="s">
        <v>839</v>
      </c>
      <c r="C231" s="3" t="s">
        <v>840</v>
      </c>
      <c r="D231" s="3" t="s">
        <v>17</v>
      </c>
      <c r="E231" s="3" t="s">
        <v>18</v>
      </c>
      <c r="F231" s="3" t="s">
        <v>122</v>
      </c>
      <c r="G231" s="3" t="s">
        <v>123</v>
      </c>
      <c r="H231" s="4">
        <v>46289.479607407397</v>
      </c>
      <c r="I231" s="4">
        <v>46289.70737048611</v>
      </c>
      <c r="J231" s="3">
        <f>ROUND((I231-H231)*1440,0)</f>
        <v>328</v>
      </c>
      <c r="K231" s="3" t="s">
        <v>841</v>
      </c>
      <c r="L231" s="3" t="s">
        <v>22</v>
      </c>
      <c r="M231" s="3" t="s">
        <v>22</v>
      </c>
      <c r="N231" s="3" t="s">
        <v>23</v>
      </c>
      <c r="O231" s="3" t="s">
        <v>842</v>
      </c>
    </row>
    <row r="232" spans="1:15" hidden="1" x14ac:dyDescent="0.75">
      <c r="A232" s="2">
        <v>46289</v>
      </c>
      <c r="B232" s="3" t="s">
        <v>843</v>
      </c>
      <c r="C232" s="3" t="s">
        <v>844</v>
      </c>
      <c r="D232" s="3" t="s">
        <v>360</v>
      </c>
      <c r="E232" s="3" t="s">
        <v>361</v>
      </c>
      <c r="F232" s="3" t="s">
        <v>17</v>
      </c>
      <c r="G232" s="3" t="s">
        <v>18</v>
      </c>
      <c r="H232" s="4">
        <v>46289.482890162028</v>
      </c>
      <c r="I232" s="4">
        <v>46289.787381249997</v>
      </c>
      <c r="J232" s="3">
        <f>ROUND((I232-H232)*1440,0)</f>
        <v>438</v>
      </c>
      <c r="K232" s="3" t="s">
        <v>455</v>
      </c>
      <c r="L232" s="3" t="s">
        <v>43</v>
      </c>
      <c r="M232" s="3" t="s">
        <v>44</v>
      </c>
      <c r="N232" s="3" t="s">
        <v>23</v>
      </c>
      <c r="O232" s="3" t="s">
        <v>456</v>
      </c>
    </row>
    <row r="233" spans="1:15" hidden="1" x14ac:dyDescent="0.75">
      <c r="A233" s="2">
        <v>46289</v>
      </c>
      <c r="B233" s="3" t="s">
        <v>845</v>
      </c>
      <c r="C233" s="3" t="s">
        <v>846</v>
      </c>
      <c r="D233" s="3" t="s">
        <v>208</v>
      </c>
      <c r="E233" s="3" t="s">
        <v>209</v>
      </c>
      <c r="F233" s="3" t="s">
        <v>68</v>
      </c>
      <c r="G233" s="3" t="s">
        <v>69</v>
      </c>
      <c r="H233" s="4">
        <v>46289.482959143519</v>
      </c>
      <c r="I233" s="4">
        <v>46289.582215046299</v>
      </c>
      <c r="J233" s="3">
        <f>ROUND((I233-H233)*1440,0)</f>
        <v>143</v>
      </c>
      <c r="K233" s="3" t="s">
        <v>847</v>
      </c>
      <c r="L233" s="3" t="s">
        <v>77</v>
      </c>
      <c r="M233" s="3" t="s">
        <v>78</v>
      </c>
      <c r="N233" s="3" t="s">
        <v>23</v>
      </c>
      <c r="O233" s="3" t="s">
        <v>848</v>
      </c>
    </row>
    <row r="234" spans="1:15" hidden="1" x14ac:dyDescent="0.75">
      <c r="A234" s="2">
        <v>46289</v>
      </c>
      <c r="B234" s="3" t="s">
        <v>849</v>
      </c>
      <c r="C234" s="3" t="s">
        <v>850</v>
      </c>
      <c r="D234" s="3" t="s">
        <v>19</v>
      </c>
      <c r="E234" s="3" t="s">
        <v>20</v>
      </c>
      <c r="F234" s="3" t="s">
        <v>17</v>
      </c>
      <c r="G234" s="3" t="s">
        <v>18</v>
      </c>
      <c r="H234" s="4">
        <v>46289.483775578701</v>
      </c>
      <c r="I234" s="4">
        <v>46289.574244675932</v>
      </c>
      <c r="J234" s="3">
        <f>ROUND((I234-H234)*1440,0)</f>
        <v>130</v>
      </c>
      <c r="K234" s="3" t="s">
        <v>192</v>
      </c>
      <c r="L234" s="3" t="s">
        <v>36</v>
      </c>
      <c r="M234" s="3" t="s">
        <v>36</v>
      </c>
      <c r="N234" s="3" t="s">
        <v>23</v>
      </c>
      <c r="O234" s="3" t="s">
        <v>193</v>
      </c>
    </row>
    <row r="235" spans="1:15" hidden="1" x14ac:dyDescent="0.75">
      <c r="A235" s="2">
        <v>46289</v>
      </c>
      <c r="B235" s="3" t="s">
        <v>851</v>
      </c>
      <c r="C235" s="3" t="s">
        <v>852</v>
      </c>
      <c r="D235" s="3" t="s">
        <v>334</v>
      </c>
      <c r="E235" s="3" t="s">
        <v>335</v>
      </c>
      <c r="F235" s="3" t="s">
        <v>56</v>
      </c>
      <c r="G235" s="3" t="s">
        <v>57</v>
      </c>
      <c r="H235" s="4">
        <v>46289.484231249997</v>
      </c>
      <c r="I235" s="4">
        <v>46289.581611111113</v>
      </c>
      <c r="J235" s="3">
        <f>ROUND((I235-H235)*1440,0)</f>
        <v>140</v>
      </c>
      <c r="K235" s="3" t="s">
        <v>336</v>
      </c>
      <c r="L235" s="3" t="s">
        <v>36</v>
      </c>
      <c r="M235" s="3" t="s">
        <v>36</v>
      </c>
      <c r="N235" s="3" t="s">
        <v>23</v>
      </c>
      <c r="O235" s="3" t="s">
        <v>337</v>
      </c>
    </row>
    <row r="236" spans="1:15" hidden="1" x14ac:dyDescent="0.75">
      <c r="A236" s="2">
        <v>46289</v>
      </c>
      <c r="B236" s="3" t="s">
        <v>853</v>
      </c>
      <c r="C236" s="3" t="s">
        <v>854</v>
      </c>
      <c r="D236" s="3" t="s">
        <v>196</v>
      </c>
      <c r="E236" s="3" t="s">
        <v>197</v>
      </c>
      <c r="F236" s="3" t="s">
        <v>56</v>
      </c>
      <c r="G236" s="3" t="s">
        <v>57</v>
      </c>
      <c r="H236" s="4">
        <v>46289.484521990737</v>
      </c>
      <c r="I236" s="4">
        <v>46289.571676967593</v>
      </c>
      <c r="J236" s="3">
        <f>ROUND((I236-H236)*1440,0)</f>
        <v>126</v>
      </c>
      <c r="K236" s="3" t="s">
        <v>198</v>
      </c>
      <c r="L236" s="3" t="s">
        <v>36</v>
      </c>
      <c r="M236" s="3" t="s">
        <v>36</v>
      </c>
      <c r="N236" s="3" t="s">
        <v>23</v>
      </c>
      <c r="O236" s="3" t="s">
        <v>199</v>
      </c>
    </row>
    <row r="237" spans="1:15" hidden="1" x14ac:dyDescent="0.75">
      <c r="A237" s="2">
        <v>46289</v>
      </c>
      <c r="B237" s="3" t="s">
        <v>855</v>
      </c>
      <c r="C237" s="3" t="s">
        <v>856</v>
      </c>
      <c r="D237" s="3" t="s">
        <v>17</v>
      </c>
      <c r="E237" s="3" t="s">
        <v>18</v>
      </c>
      <c r="F237" s="3" t="s">
        <v>264</v>
      </c>
      <c r="G237" s="3" t="s">
        <v>265</v>
      </c>
      <c r="H237" s="4">
        <v>46289.484895138892</v>
      </c>
      <c r="I237" s="4">
        <v>46289.683379513888</v>
      </c>
      <c r="J237" s="3">
        <f>ROUND((I237-H237)*1440,0)</f>
        <v>286</v>
      </c>
      <c r="K237" s="3" t="s">
        <v>505</v>
      </c>
      <c r="L237" s="3" t="s">
        <v>43</v>
      </c>
      <c r="M237" s="3" t="s">
        <v>44</v>
      </c>
      <c r="N237" s="3" t="s">
        <v>23</v>
      </c>
      <c r="O237" s="3" t="s">
        <v>506</v>
      </c>
    </row>
    <row r="238" spans="1:15" hidden="1" x14ac:dyDescent="0.75">
      <c r="A238" s="2">
        <v>46289</v>
      </c>
      <c r="B238" s="3" t="s">
        <v>857</v>
      </c>
      <c r="C238" s="3" t="s">
        <v>858</v>
      </c>
      <c r="D238" s="3" t="s">
        <v>56</v>
      </c>
      <c r="E238" s="3" t="s">
        <v>57</v>
      </c>
      <c r="F238" s="3" t="s">
        <v>158</v>
      </c>
      <c r="G238" s="3" t="s">
        <v>159</v>
      </c>
      <c r="H238" s="4">
        <v>46289.487010532408</v>
      </c>
      <c r="I238" s="4">
        <v>46289.571272685193</v>
      </c>
      <c r="J238" s="3">
        <f>ROUND((I238-H238)*1440,0)</f>
        <v>121</v>
      </c>
      <c r="K238" s="3" t="s">
        <v>859</v>
      </c>
      <c r="L238" s="3" t="s">
        <v>36</v>
      </c>
      <c r="M238" s="3" t="s">
        <v>36</v>
      </c>
      <c r="N238" s="3" t="s">
        <v>23</v>
      </c>
      <c r="O238" s="3" t="s">
        <v>860</v>
      </c>
    </row>
    <row r="239" spans="1:15" hidden="1" x14ac:dyDescent="0.75">
      <c r="A239" s="2">
        <v>46289</v>
      </c>
      <c r="B239" s="3" t="s">
        <v>861</v>
      </c>
      <c r="C239" s="3" t="s">
        <v>862</v>
      </c>
      <c r="D239" s="3" t="s">
        <v>56</v>
      </c>
      <c r="E239" s="3" t="s">
        <v>57</v>
      </c>
      <c r="F239" s="3" t="s">
        <v>264</v>
      </c>
      <c r="G239" s="3" t="s">
        <v>265</v>
      </c>
      <c r="H239" s="4">
        <v>46289.487321527777</v>
      </c>
      <c r="I239" s="4">
        <v>46289.674808796299</v>
      </c>
      <c r="J239" s="3">
        <f>ROUND((I239-H239)*1440,0)</f>
        <v>270</v>
      </c>
      <c r="K239" s="3" t="s">
        <v>519</v>
      </c>
      <c r="L239" s="3" t="s">
        <v>22</v>
      </c>
      <c r="M239" s="3" t="s">
        <v>22</v>
      </c>
      <c r="N239" s="3" t="s">
        <v>23</v>
      </c>
      <c r="O239" s="3" t="s">
        <v>520</v>
      </c>
    </row>
    <row r="240" spans="1:15" hidden="1" x14ac:dyDescent="0.75">
      <c r="A240" s="2">
        <v>46289</v>
      </c>
      <c r="B240" s="3" t="s">
        <v>863</v>
      </c>
      <c r="C240" s="3" t="s">
        <v>864</v>
      </c>
      <c r="D240" s="3" t="s">
        <v>58</v>
      </c>
      <c r="E240" s="3" t="s">
        <v>59</v>
      </c>
      <c r="F240" s="3" t="s">
        <v>82</v>
      </c>
      <c r="G240" s="3" t="s">
        <v>83</v>
      </c>
      <c r="H240" s="4">
        <v>46289.490263078696</v>
      </c>
      <c r="I240" s="4">
        <v>46289.579253356482</v>
      </c>
      <c r="J240" s="3">
        <f>ROUND((I240-H240)*1440,0)</f>
        <v>128</v>
      </c>
      <c r="K240" s="3" t="s">
        <v>70</v>
      </c>
      <c r="L240" s="3" t="s">
        <v>36</v>
      </c>
      <c r="M240" s="3" t="s">
        <v>36</v>
      </c>
      <c r="N240" s="3" t="s">
        <v>23</v>
      </c>
      <c r="O240" s="3" t="s">
        <v>71</v>
      </c>
    </row>
    <row r="241" spans="1:15" hidden="1" x14ac:dyDescent="0.75">
      <c r="A241" s="2">
        <v>46289</v>
      </c>
      <c r="B241" s="3" t="s">
        <v>865</v>
      </c>
      <c r="C241" s="3" t="s">
        <v>866</v>
      </c>
      <c r="D241" s="3" t="s">
        <v>208</v>
      </c>
      <c r="E241" s="3" t="s">
        <v>209</v>
      </c>
      <c r="F241" s="3" t="s">
        <v>82</v>
      </c>
      <c r="G241" s="3" t="s">
        <v>83</v>
      </c>
      <c r="H241" s="4">
        <v>46289.490900115743</v>
      </c>
      <c r="I241" s="4">
        <v>46289.580511805558</v>
      </c>
      <c r="J241" s="3">
        <f>ROUND((I241-H241)*1440,0)</f>
        <v>129</v>
      </c>
      <c r="K241" s="3" t="s">
        <v>867</v>
      </c>
      <c r="L241" s="3" t="s">
        <v>36</v>
      </c>
      <c r="M241" s="3" t="s">
        <v>36</v>
      </c>
      <c r="N241" s="3" t="s">
        <v>23</v>
      </c>
      <c r="O241" s="3" t="s">
        <v>868</v>
      </c>
    </row>
    <row r="242" spans="1:15" hidden="1" x14ac:dyDescent="0.75">
      <c r="A242" s="2">
        <v>46289</v>
      </c>
      <c r="B242" s="3" t="s">
        <v>869</v>
      </c>
      <c r="C242" s="3" t="s">
        <v>870</v>
      </c>
      <c r="D242" s="3" t="s">
        <v>410</v>
      </c>
      <c r="E242" s="3" t="s">
        <v>411</v>
      </c>
      <c r="F242" s="3" t="s">
        <v>27</v>
      </c>
      <c r="G242" s="3" t="s">
        <v>28</v>
      </c>
      <c r="H242" s="4">
        <v>46289.490932291657</v>
      </c>
      <c r="I242" s="4">
        <v>46289.801802893518</v>
      </c>
      <c r="J242" s="3">
        <f>ROUND((I242-H242)*1440,0)</f>
        <v>448</v>
      </c>
      <c r="K242" s="3" t="s">
        <v>412</v>
      </c>
      <c r="L242" s="3" t="s">
        <v>43</v>
      </c>
      <c r="M242" s="3" t="s">
        <v>44</v>
      </c>
      <c r="N242" s="3" t="s">
        <v>23</v>
      </c>
      <c r="O242" s="3" t="s">
        <v>413</v>
      </c>
    </row>
    <row r="243" spans="1:15" hidden="1" x14ac:dyDescent="0.75">
      <c r="A243" s="2">
        <v>46289</v>
      </c>
      <c r="B243" s="3" t="s">
        <v>871</v>
      </c>
      <c r="C243" s="3" t="s">
        <v>872</v>
      </c>
      <c r="D243" s="3" t="s">
        <v>82</v>
      </c>
      <c r="E243" s="3" t="s">
        <v>83</v>
      </c>
      <c r="F243" s="3" t="s">
        <v>158</v>
      </c>
      <c r="G243" s="3" t="s">
        <v>159</v>
      </c>
      <c r="H243" s="4">
        <v>46289.491911111108</v>
      </c>
      <c r="I243" s="4">
        <v>46289.564471412043</v>
      </c>
      <c r="J243" s="3">
        <f>ROUND((I243-H243)*1440,0)</f>
        <v>104</v>
      </c>
      <c r="K243" s="3" t="s">
        <v>873</v>
      </c>
      <c r="L243" s="3" t="s">
        <v>36</v>
      </c>
      <c r="M243" s="3" t="s">
        <v>36</v>
      </c>
      <c r="N243" s="3" t="s">
        <v>23</v>
      </c>
      <c r="O243" s="3" t="s">
        <v>874</v>
      </c>
    </row>
    <row r="244" spans="1:15" hidden="1" x14ac:dyDescent="0.75">
      <c r="A244" s="2">
        <v>46289</v>
      </c>
      <c r="B244" s="3" t="s">
        <v>875</v>
      </c>
      <c r="C244" s="3" t="s">
        <v>876</v>
      </c>
      <c r="D244" s="3" t="s">
        <v>17</v>
      </c>
      <c r="E244" s="3" t="s">
        <v>18</v>
      </c>
      <c r="F244" s="3" t="s">
        <v>82</v>
      </c>
      <c r="G244" s="3" t="s">
        <v>83</v>
      </c>
      <c r="H244" s="4">
        <v>46289.492853587974</v>
      </c>
      <c r="I244" s="4">
        <v>46289.5883525463</v>
      </c>
      <c r="J244" s="3">
        <f>ROUND((I244-H244)*1440,0)</f>
        <v>138</v>
      </c>
      <c r="K244" s="3" t="s">
        <v>877</v>
      </c>
      <c r="L244" s="3" t="s">
        <v>22</v>
      </c>
      <c r="M244" s="3" t="s">
        <v>22</v>
      </c>
      <c r="N244" s="3" t="s">
        <v>23</v>
      </c>
      <c r="O244" s="3" t="s">
        <v>878</v>
      </c>
    </row>
    <row r="245" spans="1:15" hidden="1" x14ac:dyDescent="0.75">
      <c r="A245" s="2">
        <v>46289</v>
      </c>
      <c r="B245" s="3" t="s">
        <v>879</v>
      </c>
      <c r="C245" s="3" t="s">
        <v>880</v>
      </c>
      <c r="D245" s="3" t="s">
        <v>286</v>
      </c>
      <c r="E245" s="3" t="s">
        <v>287</v>
      </c>
      <c r="F245" s="3" t="s">
        <v>27</v>
      </c>
      <c r="G245" s="3" t="s">
        <v>28</v>
      </c>
      <c r="H245" s="4">
        <v>46289.493146759261</v>
      </c>
      <c r="I245" s="4">
        <v>46289.821464699067</v>
      </c>
      <c r="J245" s="3">
        <f>ROUND((I245-H245)*1440,0)</f>
        <v>473</v>
      </c>
      <c r="K245" s="3" t="s">
        <v>288</v>
      </c>
      <c r="L245" s="3" t="s">
        <v>43</v>
      </c>
      <c r="M245" s="3" t="s">
        <v>44</v>
      </c>
      <c r="N245" s="3" t="s">
        <v>23</v>
      </c>
      <c r="O245" s="3" t="s">
        <v>289</v>
      </c>
    </row>
    <row r="246" spans="1:15" hidden="1" x14ac:dyDescent="0.75">
      <c r="A246" s="2">
        <v>46289</v>
      </c>
      <c r="B246" s="3" t="s">
        <v>881</v>
      </c>
      <c r="C246" s="3" t="s">
        <v>882</v>
      </c>
      <c r="D246" s="3" t="s">
        <v>17</v>
      </c>
      <c r="E246" s="3" t="s">
        <v>18</v>
      </c>
      <c r="F246" s="3"/>
      <c r="G246" s="3"/>
      <c r="H246" s="4">
        <v>46289.494523379632</v>
      </c>
      <c r="I246" s="4">
        <v>46289.523747916668</v>
      </c>
      <c r="J246" s="3">
        <f>ROUND((I246-H246)*1440,0)</f>
        <v>42</v>
      </c>
      <c r="K246" s="3" t="s">
        <v>883</v>
      </c>
      <c r="L246" s="3" t="s">
        <v>22</v>
      </c>
      <c r="M246" s="3" t="s">
        <v>22</v>
      </c>
      <c r="N246" s="3" t="s">
        <v>443</v>
      </c>
      <c r="O246" s="3" t="s">
        <v>884</v>
      </c>
    </row>
    <row r="247" spans="1:15" hidden="1" x14ac:dyDescent="0.75">
      <c r="A247" s="2">
        <v>46289</v>
      </c>
      <c r="B247" s="3" t="s">
        <v>885</v>
      </c>
      <c r="C247" s="3" t="s">
        <v>886</v>
      </c>
      <c r="D247" s="3" t="s">
        <v>17</v>
      </c>
      <c r="E247" s="3" t="s">
        <v>18</v>
      </c>
      <c r="F247" s="3" t="s">
        <v>17</v>
      </c>
      <c r="G247" s="3" t="s">
        <v>18</v>
      </c>
      <c r="H247" s="4">
        <v>46289.496127546299</v>
      </c>
      <c r="I247" s="4">
        <v>46289.850777314823</v>
      </c>
      <c r="J247" s="3">
        <f>ROUND((I247-H247)*1440,0)</f>
        <v>511</v>
      </c>
      <c r="K247" s="3" t="s">
        <v>887</v>
      </c>
      <c r="L247" s="3" t="s">
        <v>36</v>
      </c>
      <c r="M247" s="3" t="s">
        <v>36</v>
      </c>
      <c r="N247" s="3" t="s">
        <v>23</v>
      </c>
      <c r="O247" s="3" t="s">
        <v>888</v>
      </c>
    </row>
    <row r="248" spans="1:15" hidden="1" x14ac:dyDescent="0.75">
      <c r="A248" s="2">
        <v>46289</v>
      </c>
      <c r="B248" s="3" t="s">
        <v>889</v>
      </c>
      <c r="C248" s="3" t="s">
        <v>890</v>
      </c>
      <c r="D248" s="3" t="s">
        <v>68</v>
      </c>
      <c r="E248" s="3" t="s">
        <v>69</v>
      </c>
      <c r="F248" s="3" t="s">
        <v>208</v>
      </c>
      <c r="G248" s="3" t="s">
        <v>209</v>
      </c>
      <c r="H248" s="4">
        <v>46289.496772685183</v>
      </c>
      <c r="I248" s="4">
        <v>46289.594920949072</v>
      </c>
      <c r="J248" s="3">
        <f>ROUND((I248-H248)*1440,0)</f>
        <v>141</v>
      </c>
      <c r="K248" s="3" t="s">
        <v>891</v>
      </c>
      <c r="L248" s="3" t="s">
        <v>77</v>
      </c>
      <c r="M248" s="3" t="s">
        <v>78</v>
      </c>
      <c r="N248" s="3" t="s">
        <v>23</v>
      </c>
      <c r="O248" s="3" t="s">
        <v>892</v>
      </c>
    </row>
    <row r="249" spans="1:15" hidden="1" x14ac:dyDescent="0.75">
      <c r="A249" s="2">
        <v>46289</v>
      </c>
      <c r="B249" s="3" t="s">
        <v>893</v>
      </c>
      <c r="C249" s="3" t="s">
        <v>894</v>
      </c>
      <c r="D249" s="3" t="s">
        <v>148</v>
      </c>
      <c r="E249" s="3" t="s">
        <v>149</v>
      </c>
      <c r="F249" s="3" t="s">
        <v>27</v>
      </c>
      <c r="G249" s="3" t="s">
        <v>28</v>
      </c>
      <c r="H249" s="4">
        <v>46289.498681828707</v>
      </c>
      <c r="I249" s="4">
        <v>46289.567230787034</v>
      </c>
      <c r="J249" s="3">
        <f>ROUND((I249-H249)*1440,0)</f>
        <v>99</v>
      </c>
      <c r="K249" s="3" t="s">
        <v>296</v>
      </c>
      <c r="L249" s="3" t="s">
        <v>77</v>
      </c>
      <c r="M249" s="3" t="s">
        <v>78</v>
      </c>
      <c r="N249" s="3" t="s">
        <v>23</v>
      </c>
      <c r="O249" s="3" t="s">
        <v>297</v>
      </c>
    </row>
    <row r="250" spans="1:15" hidden="1" x14ac:dyDescent="0.75">
      <c r="A250" s="2">
        <v>46289</v>
      </c>
      <c r="B250" s="3" t="s">
        <v>895</v>
      </c>
      <c r="C250" s="3" t="s">
        <v>896</v>
      </c>
      <c r="D250" s="3" t="s">
        <v>897</v>
      </c>
      <c r="E250" s="3" t="s">
        <v>898</v>
      </c>
      <c r="F250" s="3" t="s">
        <v>56</v>
      </c>
      <c r="G250" s="3" t="s">
        <v>57</v>
      </c>
      <c r="H250" s="4">
        <v>46289.49987777778</v>
      </c>
      <c r="I250" s="4">
        <v>46289.582769791668</v>
      </c>
      <c r="J250" s="3">
        <f>ROUND((I250-H250)*1440,0)</f>
        <v>119</v>
      </c>
      <c r="K250" s="3" t="s">
        <v>899</v>
      </c>
      <c r="L250" s="3" t="s">
        <v>36</v>
      </c>
      <c r="M250" s="3" t="s">
        <v>36</v>
      </c>
      <c r="N250" s="3" t="s">
        <v>23</v>
      </c>
      <c r="O250" s="3" t="s">
        <v>900</v>
      </c>
    </row>
    <row r="251" spans="1:15" hidden="1" x14ac:dyDescent="0.75">
      <c r="A251" s="2">
        <v>46289</v>
      </c>
      <c r="B251" s="3" t="s">
        <v>901</v>
      </c>
      <c r="C251" s="3" t="s">
        <v>902</v>
      </c>
      <c r="D251" s="3" t="s">
        <v>158</v>
      </c>
      <c r="E251" s="3" t="s">
        <v>159</v>
      </c>
      <c r="F251" s="3" t="s">
        <v>56</v>
      </c>
      <c r="G251" s="3" t="s">
        <v>57</v>
      </c>
      <c r="H251" s="4">
        <v>46289.501024074067</v>
      </c>
      <c r="I251" s="4">
        <v>46289.591625347217</v>
      </c>
      <c r="J251" s="3">
        <f>ROUND((I251-H251)*1440,0)</f>
        <v>130</v>
      </c>
      <c r="K251" s="3" t="s">
        <v>96</v>
      </c>
      <c r="L251" s="3" t="s">
        <v>77</v>
      </c>
      <c r="M251" s="3" t="s">
        <v>78</v>
      </c>
      <c r="N251" s="3" t="s">
        <v>23</v>
      </c>
      <c r="O251" s="3" t="s">
        <v>97</v>
      </c>
    </row>
    <row r="252" spans="1:15" hidden="1" x14ac:dyDescent="0.75">
      <c r="A252" s="2">
        <v>46289</v>
      </c>
      <c r="B252" s="3" t="s">
        <v>903</v>
      </c>
      <c r="C252" s="3" t="s">
        <v>904</v>
      </c>
      <c r="D252" s="3" t="s">
        <v>27</v>
      </c>
      <c r="E252" s="3" t="s">
        <v>28</v>
      </c>
      <c r="F252" s="3" t="s">
        <v>615</v>
      </c>
      <c r="G252" s="3" t="s">
        <v>616</v>
      </c>
      <c r="H252" s="4">
        <v>46289.502401157413</v>
      </c>
      <c r="I252" s="4">
        <v>46289.652417245372</v>
      </c>
      <c r="J252" s="3">
        <f>ROUND((I252-H252)*1440,0)</f>
        <v>216</v>
      </c>
      <c r="K252" s="3" t="s">
        <v>282</v>
      </c>
      <c r="L252" s="3" t="s">
        <v>36</v>
      </c>
      <c r="M252" s="3" t="s">
        <v>36</v>
      </c>
      <c r="N252" s="3" t="s">
        <v>45</v>
      </c>
      <c r="O252" s="3" t="s">
        <v>283</v>
      </c>
    </row>
    <row r="253" spans="1:15" hidden="1" x14ac:dyDescent="0.75">
      <c r="A253" s="2">
        <v>46289</v>
      </c>
      <c r="B253" s="3" t="s">
        <v>905</v>
      </c>
      <c r="C253" s="3" t="s">
        <v>906</v>
      </c>
      <c r="D253" s="3" t="s">
        <v>84</v>
      </c>
      <c r="E253" s="3" t="s">
        <v>85</v>
      </c>
      <c r="F253" s="3" t="s">
        <v>68</v>
      </c>
      <c r="G253" s="3" t="s">
        <v>69</v>
      </c>
      <c r="H253" s="4">
        <v>46289.50285902778</v>
      </c>
      <c r="I253" s="4">
        <v>46289.60547303241</v>
      </c>
      <c r="J253" s="3">
        <f>ROUND((I253-H253)*1440,0)</f>
        <v>148</v>
      </c>
      <c r="K253" s="3" t="s">
        <v>907</v>
      </c>
      <c r="L253" s="3" t="s">
        <v>36</v>
      </c>
      <c r="M253" s="3" t="s">
        <v>36</v>
      </c>
      <c r="N253" s="3" t="s">
        <v>23</v>
      </c>
      <c r="O253" s="3" t="s">
        <v>908</v>
      </c>
    </row>
    <row r="254" spans="1:15" hidden="1" x14ac:dyDescent="0.75">
      <c r="A254" s="2">
        <v>46289</v>
      </c>
      <c r="B254" s="3" t="s">
        <v>909</v>
      </c>
      <c r="C254" s="3" t="s">
        <v>910</v>
      </c>
      <c r="D254" s="3" t="s">
        <v>56</v>
      </c>
      <c r="E254" s="3" t="s">
        <v>57</v>
      </c>
      <c r="F254" s="3" t="s">
        <v>94</v>
      </c>
      <c r="G254" s="3" t="s">
        <v>95</v>
      </c>
      <c r="H254" s="4">
        <v>46289.503164004629</v>
      </c>
      <c r="I254" s="4">
        <v>46289.580176620373</v>
      </c>
      <c r="J254" s="3">
        <f>ROUND((I254-H254)*1440,0)</f>
        <v>111</v>
      </c>
      <c r="K254" s="3" t="s">
        <v>911</v>
      </c>
      <c r="L254" s="3" t="s">
        <v>36</v>
      </c>
      <c r="M254" s="3" t="s">
        <v>36</v>
      </c>
      <c r="N254" s="3" t="s">
        <v>23</v>
      </c>
      <c r="O254" s="3" t="s">
        <v>912</v>
      </c>
    </row>
    <row r="255" spans="1:15" hidden="1" x14ac:dyDescent="0.75">
      <c r="A255" s="2">
        <v>46289</v>
      </c>
      <c r="B255" s="3" t="s">
        <v>913</v>
      </c>
      <c r="C255" s="3" t="s">
        <v>914</v>
      </c>
      <c r="D255" s="3" t="s">
        <v>182</v>
      </c>
      <c r="E255" s="3" t="s">
        <v>183</v>
      </c>
      <c r="F255" s="3" t="s">
        <v>56</v>
      </c>
      <c r="G255" s="3" t="s">
        <v>57</v>
      </c>
      <c r="H255" s="4">
        <v>46289.503200925923</v>
      </c>
      <c r="I255" s="4">
        <v>46289.562423842603</v>
      </c>
      <c r="J255" s="3">
        <f>ROUND((I255-H255)*1440,0)</f>
        <v>85</v>
      </c>
      <c r="K255" s="3" t="s">
        <v>240</v>
      </c>
      <c r="L255" s="3" t="s">
        <v>52</v>
      </c>
      <c r="M255" s="3"/>
      <c r="N255" s="3" t="s">
        <v>23</v>
      </c>
      <c r="O255" s="3" t="s">
        <v>241</v>
      </c>
    </row>
    <row r="256" spans="1:15" hidden="1" x14ac:dyDescent="0.75">
      <c r="A256" s="2">
        <v>46289</v>
      </c>
      <c r="B256" s="3" t="s">
        <v>915</v>
      </c>
      <c r="C256" s="3" t="s">
        <v>916</v>
      </c>
      <c r="D256" s="3" t="s">
        <v>27</v>
      </c>
      <c r="E256" s="3" t="s">
        <v>28</v>
      </c>
      <c r="F256" s="3" t="s">
        <v>94</v>
      </c>
      <c r="G256" s="3" t="s">
        <v>95</v>
      </c>
      <c r="H256" s="4">
        <v>46289.503594212962</v>
      </c>
      <c r="I256" s="4">
        <v>46289.569153935183</v>
      </c>
      <c r="J256" s="3">
        <f>ROUND((I256-H256)*1440,0)</f>
        <v>94</v>
      </c>
      <c r="K256" s="3" t="s">
        <v>356</v>
      </c>
      <c r="L256" s="3" t="s">
        <v>77</v>
      </c>
      <c r="M256" s="3" t="s">
        <v>78</v>
      </c>
      <c r="N256" s="3" t="s">
        <v>23</v>
      </c>
      <c r="O256" s="3" t="s">
        <v>357</v>
      </c>
    </row>
    <row r="257" spans="1:15" hidden="1" x14ac:dyDescent="0.75">
      <c r="A257" s="2">
        <v>46289</v>
      </c>
      <c r="B257" s="3" t="s">
        <v>917</v>
      </c>
      <c r="C257" s="3" t="s">
        <v>918</v>
      </c>
      <c r="D257" s="3" t="s">
        <v>280</v>
      </c>
      <c r="E257" s="3" t="s">
        <v>281</v>
      </c>
      <c r="F257" s="3" t="s">
        <v>56</v>
      </c>
      <c r="G257" s="3" t="s">
        <v>57</v>
      </c>
      <c r="H257" s="4">
        <v>46289.504824884258</v>
      </c>
      <c r="I257" s="4">
        <v>46289.570227083343</v>
      </c>
      <c r="J257" s="3">
        <f>ROUND((I257-H257)*1440,0)</f>
        <v>94</v>
      </c>
      <c r="K257" s="3" t="s">
        <v>376</v>
      </c>
      <c r="L257" s="3" t="s">
        <v>36</v>
      </c>
      <c r="M257" s="3" t="s">
        <v>36</v>
      </c>
      <c r="N257" s="3" t="s">
        <v>23</v>
      </c>
      <c r="O257" s="3" t="s">
        <v>377</v>
      </c>
    </row>
    <row r="258" spans="1:15" hidden="1" x14ac:dyDescent="0.75">
      <c r="A258" s="2">
        <v>46289</v>
      </c>
      <c r="B258" s="3" t="s">
        <v>919</v>
      </c>
      <c r="C258" s="3" t="s">
        <v>920</v>
      </c>
      <c r="D258" s="3" t="s">
        <v>17</v>
      </c>
      <c r="E258" s="3" t="s">
        <v>18</v>
      </c>
      <c r="F258" s="3" t="s">
        <v>106</v>
      </c>
      <c r="G258" s="3" t="s">
        <v>107</v>
      </c>
      <c r="H258" s="4">
        <v>46289.505728587967</v>
      </c>
      <c r="I258" s="4">
        <v>46289.653519791667</v>
      </c>
      <c r="J258" s="3">
        <f>ROUND((I258-H258)*1440,0)</f>
        <v>213</v>
      </c>
      <c r="K258" s="3" t="s">
        <v>543</v>
      </c>
      <c r="L258" s="3" t="s">
        <v>77</v>
      </c>
      <c r="M258" s="3" t="s">
        <v>78</v>
      </c>
      <c r="N258" s="3" t="s">
        <v>23</v>
      </c>
      <c r="O258" s="3" t="s">
        <v>544</v>
      </c>
    </row>
    <row r="259" spans="1:15" hidden="1" x14ac:dyDescent="0.75">
      <c r="A259" s="2">
        <v>46289</v>
      </c>
      <c r="B259" s="3" t="s">
        <v>921</v>
      </c>
      <c r="C259" s="3" t="s">
        <v>922</v>
      </c>
      <c r="D259" s="3" t="s">
        <v>27</v>
      </c>
      <c r="E259" s="3" t="s">
        <v>28</v>
      </c>
      <c r="F259" s="3" t="s">
        <v>49</v>
      </c>
      <c r="G259" s="3" t="s">
        <v>50</v>
      </c>
      <c r="H259" s="4">
        <v>46289.507100810188</v>
      </c>
      <c r="I259" s="4">
        <v>46289.553703587961</v>
      </c>
      <c r="J259" s="3">
        <f>ROUND((I259-H259)*1440,0)</f>
        <v>67</v>
      </c>
      <c r="K259" s="3" t="s">
        <v>923</v>
      </c>
      <c r="L259" s="3" t="s">
        <v>52</v>
      </c>
      <c r="M259" s="3"/>
      <c r="N259" s="3" t="s">
        <v>23</v>
      </c>
      <c r="O259" s="3" t="s">
        <v>924</v>
      </c>
    </row>
    <row r="260" spans="1:15" hidden="1" x14ac:dyDescent="0.75">
      <c r="A260" s="2">
        <v>46289</v>
      </c>
      <c r="B260" s="3" t="s">
        <v>925</v>
      </c>
      <c r="C260" s="3" t="s">
        <v>926</v>
      </c>
      <c r="D260" s="3"/>
      <c r="E260" s="3"/>
      <c r="F260" s="3" t="s">
        <v>58</v>
      </c>
      <c r="G260" s="3" t="s">
        <v>59</v>
      </c>
      <c r="H260" s="4">
        <v>46289.507810416668</v>
      </c>
      <c r="I260" s="4">
        <v>46289.540758333344</v>
      </c>
      <c r="J260" s="3">
        <f>ROUND((I260-H260)*1440,0)</f>
        <v>47</v>
      </c>
      <c r="K260" s="3" t="s">
        <v>442</v>
      </c>
      <c r="L260" s="3" t="s">
        <v>36</v>
      </c>
      <c r="M260" s="3" t="s">
        <v>36</v>
      </c>
      <c r="N260" s="3" t="s">
        <v>23</v>
      </c>
      <c r="O260" s="3" t="s">
        <v>444</v>
      </c>
    </row>
    <row r="261" spans="1:15" hidden="1" x14ac:dyDescent="0.75">
      <c r="A261" s="2">
        <v>46289</v>
      </c>
      <c r="B261" s="3" t="s">
        <v>927</v>
      </c>
      <c r="C261" s="3" t="s">
        <v>928</v>
      </c>
      <c r="D261" s="3" t="s">
        <v>27</v>
      </c>
      <c r="E261" s="3" t="s">
        <v>28</v>
      </c>
      <c r="F261" s="3" t="s">
        <v>100</v>
      </c>
      <c r="G261" s="3" t="s">
        <v>101</v>
      </c>
      <c r="H261" s="4">
        <v>46289.508831828702</v>
      </c>
      <c r="I261" s="4">
        <v>46289.606239236113</v>
      </c>
      <c r="J261" s="3">
        <f>ROUND((I261-H261)*1440,0)</f>
        <v>140</v>
      </c>
      <c r="K261" s="3" t="s">
        <v>230</v>
      </c>
      <c r="L261" s="3" t="s">
        <v>77</v>
      </c>
      <c r="M261" s="3" t="s">
        <v>78</v>
      </c>
      <c r="N261" s="3" t="s">
        <v>45</v>
      </c>
      <c r="O261" s="3" t="s">
        <v>231</v>
      </c>
    </row>
    <row r="262" spans="1:15" hidden="1" x14ac:dyDescent="0.75">
      <c r="A262" s="2">
        <v>46289</v>
      </c>
      <c r="B262" s="3" t="s">
        <v>929</v>
      </c>
      <c r="C262" s="3" t="s">
        <v>930</v>
      </c>
      <c r="D262" s="3" t="s">
        <v>17</v>
      </c>
      <c r="E262" s="3" t="s">
        <v>18</v>
      </c>
      <c r="F262" s="3" t="s">
        <v>270</v>
      </c>
      <c r="G262" s="3" t="s">
        <v>271</v>
      </c>
      <c r="H262" s="4">
        <v>46289.509040740741</v>
      </c>
      <c r="I262" s="4">
        <v>46289.638822569454</v>
      </c>
      <c r="J262" s="3">
        <f>ROUND((I262-H262)*1440,0)</f>
        <v>187</v>
      </c>
      <c r="K262" s="3" t="s">
        <v>931</v>
      </c>
      <c r="L262" s="3" t="s">
        <v>77</v>
      </c>
      <c r="M262" s="3" t="s">
        <v>78</v>
      </c>
      <c r="N262" s="3" t="s">
        <v>45</v>
      </c>
      <c r="O262" s="3" t="s">
        <v>932</v>
      </c>
    </row>
    <row r="263" spans="1:15" hidden="1" x14ac:dyDescent="0.75">
      <c r="A263" s="2">
        <v>46289</v>
      </c>
      <c r="B263" s="3" t="s">
        <v>933</v>
      </c>
      <c r="C263" s="3" t="s">
        <v>934</v>
      </c>
      <c r="D263" s="3" t="s">
        <v>56</v>
      </c>
      <c r="E263" s="3" t="s">
        <v>57</v>
      </c>
      <c r="F263" s="3" t="s">
        <v>58</v>
      </c>
      <c r="G263" s="3" t="s">
        <v>59</v>
      </c>
      <c r="H263" s="4">
        <v>46289.510536921298</v>
      </c>
      <c r="I263" s="4">
        <v>46289.61149664352</v>
      </c>
      <c r="J263" s="3">
        <f>ROUND((I263-H263)*1440,0)</f>
        <v>145</v>
      </c>
      <c r="K263" s="3" t="s">
        <v>935</v>
      </c>
      <c r="L263" s="3" t="s">
        <v>36</v>
      </c>
      <c r="M263" s="3" t="s">
        <v>36</v>
      </c>
      <c r="N263" s="3" t="s">
        <v>23</v>
      </c>
      <c r="O263" s="3" t="s">
        <v>936</v>
      </c>
    </row>
    <row r="264" spans="1:15" hidden="1" x14ac:dyDescent="0.75">
      <c r="A264" s="2">
        <v>46289</v>
      </c>
      <c r="B264" s="3" t="s">
        <v>937</v>
      </c>
      <c r="C264" s="3" t="s">
        <v>938</v>
      </c>
      <c r="D264" s="3" t="s">
        <v>27</v>
      </c>
      <c r="E264" s="3" t="s">
        <v>28</v>
      </c>
      <c r="F264" s="3" t="s">
        <v>158</v>
      </c>
      <c r="G264" s="3" t="s">
        <v>159</v>
      </c>
      <c r="H264" s="4">
        <v>46289.511280555547</v>
      </c>
      <c r="I264" s="4">
        <v>46289.558502893517</v>
      </c>
      <c r="J264" s="3">
        <f>ROUND((I264-H264)*1440,0)</f>
        <v>68</v>
      </c>
      <c r="K264" s="3" t="s">
        <v>939</v>
      </c>
      <c r="L264" s="3" t="s">
        <v>77</v>
      </c>
      <c r="M264" s="3" t="s">
        <v>78</v>
      </c>
      <c r="N264" s="3" t="s">
        <v>23</v>
      </c>
      <c r="O264" s="3" t="s">
        <v>940</v>
      </c>
    </row>
    <row r="265" spans="1:15" hidden="1" x14ac:dyDescent="0.75">
      <c r="A265" s="2">
        <v>46289</v>
      </c>
      <c r="B265" s="3" t="s">
        <v>941</v>
      </c>
      <c r="C265" s="3" t="s">
        <v>942</v>
      </c>
      <c r="D265" s="3" t="s">
        <v>27</v>
      </c>
      <c r="E265" s="3" t="s">
        <v>28</v>
      </c>
      <c r="F265" s="3" t="s">
        <v>122</v>
      </c>
      <c r="G265" s="3" t="s">
        <v>123</v>
      </c>
      <c r="H265" s="4">
        <v>46289.513166087963</v>
      </c>
      <c r="I265" s="4">
        <v>46289.764520254626</v>
      </c>
      <c r="J265" s="3">
        <f>ROUND((I265-H265)*1440,0)</f>
        <v>362</v>
      </c>
      <c r="K265" s="3" t="s">
        <v>943</v>
      </c>
      <c r="L265" s="3" t="s">
        <v>43</v>
      </c>
      <c r="M265" s="3" t="s">
        <v>44</v>
      </c>
      <c r="N265" s="3" t="s">
        <v>23</v>
      </c>
      <c r="O265" s="3" t="s">
        <v>944</v>
      </c>
    </row>
    <row r="266" spans="1:15" hidden="1" x14ac:dyDescent="0.75">
      <c r="A266" s="2">
        <v>46289</v>
      </c>
      <c r="B266" s="3" t="s">
        <v>945</v>
      </c>
      <c r="C266" s="3" t="s">
        <v>946</v>
      </c>
      <c r="D266" s="3" t="s">
        <v>27</v>
      </c>
      <c r="E266" s="3" t="s">
        <v>28</v>
      </c>
      <c r="F266" s="3" t="s">
        <v>68</v>
      </c>
      <c r="G266" s="3" t="s">
        <v>69</v>
      </c>
      <c r="H266" s="4">
        <v>46289.515028587957</v>
      </c>
      <c r="I266" s="4">
        <v>46289.632488541669</v>
      </c>
      <c r="J266" s="3">
        <f>ROUND((I266-H266)*1440,0)</f>
        <v>169</v>
      </c>
      <c r="K266" s="3" t="s">
        <v>947</v>
      </c>
      <c r="L266" s="3" t="s">
        <v>22</v>
      </c>
      <c r="M266" s="3" t="s">
        <v>22</v>
      </c>
      <c r="N266" s="3" t="s">
        <v>23</v>
      </c>
      <c r="O266" s="3" t="s">
        <v>948</v>
      </c>
    </row>
    <row r="267" spans="1:15" hidden="1" x14ac:dyDescent="0.75">
      <c r="A267" s="2">
        <v>46289</v>
      </c>
      <c r="B267" s="3" t="s">
        <v>949</v>
      </c>
      <c r="C267" s="3" t="s">
        <v>950</v>
      </c>
      <c r="D267" s="3" t="s">
        <v>158</v>
      </c>
      <c r="E267" s="3" t="s">
        <v>159</v>
      </c>
      <c r="F267" s="3"/>
      <c r="G267" s="3"/>
      <c r="H267" s="4">
        <v>46289.515163773147</v>
      </c>
      <c r="I267" s="4">
        <v>46289.674382060177</v>
      </c>
      <c r="J267" s="3">
        <f>ROUND((I267-H267)*1440,0)</f>
        <v>229</v>
      </c>
      <c r="K267" s="3" t="s">
        <v>951</v>
      </c>
      <c r="L267" s="3" t="s">
        <v>36</v>
      </c>
      <c r="M267" s="3" t="s">
        <v>36</v>
      </c>
      <c r="N267" s="3" t="s">
        <v>443</v>
      </c>
      <c r="O267" s="3" t="s">
        <v>952</v>
      </c>
    </row>
    <row r="268" spans="1:15" hidden="1" x14ac:dyDescent="0.75">
      <c r="A268" s="2">
        <v>46289</v>
      </c>
      <c r="B268" s="3" t="s">
        <v>953</v>
      </c>
      <c r="C268" s="3" t="s">
        <v>954</v>
      </c>
      <c r="D268" s="3" t="s">
        <v>17</v>
      </c>
      <c r="E268" s="3" t="s">
        <v>18</v>
      </c>
      <c r="F268" s="3" t="s">
        <v>334</v>
      </c>
      <c r="G268" s="3" t="s">
        <v>335</v>
      </c>
      <c r="H268" s="4">
        <v>46289.515906018518</v>
      </c>
      <c r="I268" s="4">
        <v>46289.594400462956</v>
      </c>
      <c r="J268" s="3">
        <f>ROUND((I268-H268)*1440,0)</f>
        <v>113</v>
      </c>
      <c r="K268" s="3" t="s">
        <v>955</v>
      </c>
      <c r="L268" s="3" t="s">
        <v>77</v>
      </c>
      <c r="M268" s="3" t="s">
        <v>78</v>
      </c>
      <c r="N268" s="3" t="s">
        <v>23</v>
      </c>
      <c r="O268" s="3" t="s">
        <v>956</v>
      </c>
    </row>
    <row r="269" spans="1:15" hidden="1" x14ac:dyDescent="0.75">
      <c r="A269" s="2">
        <v>46289</v>
      </c>
      <c r="B269" s="3" t="s">
        <v>957</v>
      </c>
      <c r="C269" s="3" t="s">
        <v>958</v>
      </c>
      <c r="D269" s="3" t="s">
        <v>27</v>
      </c>
      <c r="E269" s="3" t="s">
        <v>28</v>
      </c>
      <c r="F269" s="3" t="s">
        <v>270</v>
      </c>
      <c r="G269" s="3" t="s">
        <v>271</v>
      </c>
      <c r="H269" s="4">
        <v>46289.515932523151</v>
      </c>
      <c r="I269" s="4">
        <v>46289.667463773148</v>
      </c>
      <c r="J269" s="3">
        <f>ROUND((I269-H269)*1440,0)</f>
        <v>218</v>
      </c>
      <c r="K269" s="3" t="s">
        <v>102</v>
      </c>
      <c r="L269" s="3" t="s">
        <v>36</v>
      </c>
      <c r="M269" s="3" t="s">
        <v>36</v>
      </c>
      <c r="N269" s="3" t="s">
        <v>45</v>
      </c>
      <c r="O269" s="3" t="s">
        <v>103</v>
      </c>
    </row>
    <row r="270" spans="1:15" hidden="1" x14ac:dyDescent="0.75">
      <c r="A270" s="2">
        <v>46289</v>
      </c>
      <c r="B270" s="3" t="s">
        <v>959</v>
      </c>
      <c r="C270" s="3" t="s">
        <v>960</v>
      </c>
      <c r="D270" s="3" t="s">
        <v>56</v>
      </c>
      <c r="E270" s="3" t="s">
        <v>57</v>
      </c>
      <c r="F270" s="3" t="s">
        <v>270</v>
      </c>
      <c r="G270" s="3" t="s">
        <v>271</v>
      </c>
      <c r="H270" s="4">
        <v>46289.517367708337</v>
      </c>
      <c r="I270" s="4">
        <v>46289.60899479167</v>
      </c>
      <c r="J270" s="3">
        <f>ROUND((I270-H270)*1440,0)</f>
        <v>132</v>
      </c>
      <c r="K270" s="3" t="s">
        <v>961</v>
      </c>
      <c r="L270" s="3" t="s">
        <v>36</v>
      </c>
      <c r="M270" s="3" t="s">
        <v>36</v>
      </c>
      <c r="N270" s="3" t="s">
        <v>45</v>
      </c>
      <c r="O270" s="3" t="s">
        <v>962</v>
      </c>
    </row>
    <row r="271" spans="1:15" hidden="1" x14ac:dyDescent="0.75">
      <c r="A271" s="2">
        <v>46289</v>
      </c>
      <c r="B271" s="3" t="s">
        <v>963</v>
      </c>
      <c r="C271" s="3" t="s">
        <v>964</v>
      </c>
      <c r="D271" s="3" t="s">
        <v>17</v>
      </c>
      <c r="E271" s="3" t="s">
        <v>18</v>
      </c>
      <c r="F271" s="3" t="s">
        <v>27</v>
      </c>
      <c r="G271" s="3" t="s">
        <v>28</v>
      </c>
      <c r="H271" s="4">
        <v>46289.517466435187</v>
      </c>
      <c r="I271" s="4">
        <v>46289.544083564811</v>
      </c>
      <c r="J271" s="3">
        <f>ROUND((I271-H271)*1440,0)</f>
        <v>38</v>
      </c>
      <c r="K271" s="3" t="s">
        <v>965</v>
      </c>
      <c r="L271" s="3" t="s">
        <v>22</v>
      </c>
      <c r="M271" s="3" t="s">
        <v>22</v>
      </c>
      <c r="N271" s="3" t="s">
        <v>23</v>
      </c>
      <c r="O271" s="3" t="s">
        <v>966</v>
      </c>
    </row>
    <row r="272" spans="1:15" hidden="1" x14ac:dyDescent="0.75">
      <c r="A272" s="2">
        <v>46289</v>
      </c>
      <c r="B272" s="3" t="s">
        <v>967</v>
      </c>
      <c r="C272" s="3" t="s">
        <v>968</v>
      </c>
      <c r="D272" s="3" t="s">
        <v>208</v>
      </c>
      <c r="E272" s="3" t="s">
        <v>209</v>
      </c>
      <c r="F272" s="3" t="s">
        <v>56</v>
      </c>
      <c r="G272" s="3" t="s">
        <v>57</v>
      </c>
      <c r="H272" s="4">
        <v>46289.51864328704</v>
      </c>
      <c r="I272" s="4">
        <v>46289.622346412027</v>
      </c>
      <c r="J272" s="3">
        <f>ROUND((I272-H272)*1440,0)</f>
        <v>149</v>
      </c>
      <c r="K272" s="3" t="s">
        <v>969</v>
      </c>
      <c r="L272" s="3" t="s">
        <v>36</v>
      </c>
      <c r="M272" s="3" t="s">
        <v>36</v>
      </c>
      <c r="N272" s="3" t="s">
        <v>23</v>
      </c>
      <c r="O272" s="3" t="s">
        <v>970</v>
      </c>
    </row>
    <row r="273" spans="1:15" hidden="1" x14ac:dyDescent="0.75">
      <c r="A273" s="2">
        <v>46289</v>
      </c>
      <c r="B273" s="3" t="s">
        <v>971</v>
      </c>
      <c r="C273" s="3" t="s">
        <v>972</v>
      </c>
      <c r="D273" s="3" t="s">
        <v>27</v>
      </c>
      <c r="E273" s="3" t="s">
        <v>28</v>
      </c>
      <c r="F273" s="3" t="s">
        <v>973</v>
      </c>
      <c r="G273" s="3" t="s">
        <v>974</v>
      </c>
      <c r="H273" s="4">
        <v>46289.518708680553</v>
      </c>
      <c r="I273" s="4">
        <v>46289.589315509264</v>
      </c>
      <c r="J273" s="3">
        <f>ROUND((I273-H273)*1440,0)</f>
        <v>102</v>
      </c>
      <c r="K273" s="3" t="s">
        <v>138</v>
      </c>
      <c r="L273" s="3" t="s">
        <v>36</v>
      </c>
      <c r="M273" s="3" t="s">
        <v>36</v>
      </c>
      <c r="N273" s="3" t="s">
        <v>45</v>
      </c>
      <c r="O273" s="3" t="s">
        <v>139</v>
      </c>
    </row>
    <row r="274" spans="1:15" hidden="1" x14ac:dyDescent="0.75">
      <c r="A274" s="2">
        <v>46289</v>
      </c>
      <c r="B274" s="3" t="s">
        <v>975</v>
      </c>
      <c r="C274" s="3" t="s">
        <v>976</v>
      </c>
      <c r="D274" s="3" t="s">
        <v>17</v>
      </c>
      <c r="E274" s="3" t="s">
        <v>18</v>
      </c>
      <c r="F274" s="3" t="s">
        <v>977</v>
      </c>
      <c r="G274" s="3" t="s">
        <v>978</v>
      </c>
      <c r="H274" s="4">
        <v>46289.518932291663</v>
      </c>
      <c r="I274" s="4">
        <v>46289.59131689815</v>
      </c>
      <c r="J274" s="3">
        <f>ROUND((I274-H274)*1440,0)</f>
        <v>104</v>
      </c>
      <c r="K274" s="3" t="s">
        <v>214</v>
      </c>
      <c r="L274" s="3" t="s">
        <v>77</v>
      </c>
      <c r="M274" s="3" t="s">
        <v>78</v>
      </c>
      <c r="N274" s="3" t="s">
        <v>45</v>
      </c>
      <c r="O274" s="3" t="s">
        <v>215</v>
      </c>
    </row>
    <row r="275" spans="1:15" hidden="1" x14ac:dyDescent="0.75">
      <c r="A275" s="2">
        <v>46289</v>
      </c>
      <c r="B275" s="3" t="s">
        <v>979</v>
      </c>
      <c r="C275" s="3" t="s">
        <v>980</v>
      </c>
      <c r="D275" s="3" t="s">
        <v>84</v>
      </c>
      <c r="E275" s="3" t="s">
        <v>85</v>
      </c>
      <c r="F275" s="3" t="s">
        <v>82</v>
      </c>
      <c r="G275" s="3" t="s">
        <v>83</v>
      </c>
      <c r="H275" s="4">
        <v>46289.519494444437</v>
      </c>
      <c r="I275" s="4">
        <v>46289.612469675929</v>
      </c>
      <c r="J275" s="3">
        <f>ROUND((I275-H275)*1440,0)</f>
        <v>134</v>
      </c>
      <c r="K275" s="3" t="s">
        <v>981</v>
      </c>
      <c r="L275" s="3" t="s">
        <v>36</v>
      </c>
      <c r="M275" s="3" t="s">
        <v>36</v>
      </c>
      <c r="N275" s="3" t="s">
        <v>23</v>
      </c>
      <c r="O275" s="3" t="s">
        <v>982</v>
      </c>
    </row>
    <row r="276" spans="1:15" hidden="1" x14ac:dyDescent="0.75">
      <c r="A276" s="2">
        <v>46289</v>
      </c>
      <c r="B276" s="3" t="s">
        <v>983</v>
      </c>
      <c r="C276" s="3" t="s">
        <v>984</v>
      </c>
      <c r="D276" s="3" t="s">
        <v>615</v>
      </c>
      <c r="E276" s="3" t="s">
        <v>616</v>
      </c>
      <c r="F276" s="3" t="s">
        <v>244</v>
      </c>
      <c r="G276" s="3" t="s">
        <v>245</v>
      </c>
      <c r="H276" s="4">
        <v>46289.522792129632</v>
      </c>
      <c r="I276" s="4">
        <v>46289.666439120367</v>
      </c>
      <c r="J276" s="3">
        <f>ROUND((I276-H276)*1440,0)</f>
        <v>207</v>
      </c>
      <c r="K276" s="3" t="s">
        <v>985</v>
      </c>
      <c r="L276" s="3" t="s">
        <v>36</v>
      </c>
      <c r="M276" s="3" t="s">
        <v>36</v>
      </c>
      <c r="N276" s="3" t="s">
        <v>45</v>
      </c>
      <c r="O276" s="3" t="s">
        <v>986</v>
      </c>
    </row>
    <row r="277" spans="1:15" hidden="1" x14ac:dyDescent="0.75">
      <c r="A277" s="2">
        <v>46289</v>
      </c>
      <c r="B277" s="3" t="s">
        <v>987</v>
      </c>
      <c r="C277" s="3" t="s">
        <v>988</v>
      </c>
      <c r="D277" s="3" t="s">
        <v>106</v>
      </c>
      <c r="E277" s="3" t="s">
        <v>107</v>
      </c>
      <c r="F277" s="3" t="s">
        <v>56</v>
      </c>
      <c r="G277" s="3" t="s">
        <v>57</v>
      </c>
      <c r="H277" s="4">
        <v>46289.523446874999</v>
      </c>
      <c r="I277" s="4">
        <v>46289.596395370369</v>
      </c>
      <c r="J277" s="3">
        <f>ROUND((I277-H277)*1440,0)</f>
        <v>105</v>
      </c>
      <c r="K277" s="3" t="s">
        <v>108</v>
      </c>
      <c r="L277" s="3" t="s">
        <v>36</v>
      </c>
      <c r="M277" s="3" t="s">
        <v>36</v>
      </c>
      <c r="N277" s="3" t="s">
        <v>23</v>
      </c>
      <c r="O277" s="3" t="s">
        <v>109</v>
      </c>
    </row>
    <row r="278" spans="1:15" hidden="1" x14ac:dyDescent="0.75">
      <c r="A278" s="2">
        <v>46289</v>
      </c>
      <c r="B278" s="3" t="s">
        <v>989</v>
      </c>
      <c r="C278" s="3" t="s">
        <v>990</v>
      </c>
      <c r="D278" s="3" t="s">
        <v>244</v>
      </c>
      <c r="E278" s="3" t="s">
        <v>245</v>
      </c>
      <c r="F278" s="3" t="s">
        <v>68</v>
      </c>
      <c r="G278" s="3" t="s">
        <v>69</v>
      </c>
      <c r="H278" s="4">
        <v>46289.526083680546</v>
      </c>
      <c r="I278" s="4">
        <v>46289.636760879628</v>
      </c>
      <c r="J278" s="3">
        <f>ROUND((I278-H278)*1440,0)</f>
        <v>159</v>
      </c>
      <c r="K278" s="3" t="s">
        <v>246</v>
      </c>
      <c r="L278" s="3" t="s">
        <v>36</v>
      </c>
      <c r="M278" s="3" t="s">
        <v>36</v>
      </c>
      <c r="N278" s="3" t="s">
        <v>23</v>
      </c>
      <c r="O278" s="3" t="s">
        <v>247</v>
      </c>
    </row>
    <row r="279" spans="1:15" hidden="1" x14ac:dyDescent="0.75">
      <c r="A279" s="2">
        <v>46289</v>
      </c>
      <c r="B279" s="3" t="s">
        <v>991</v>
      </c>
      <c r="C279" s="3" t="s">
        <v>992</v>
      </c>
      <c r="D279" s="3" t="s">
        <v>615</v>
      </c>
      <c r="E279" s="3" t="s">
        <v>616</v>
      </c>
      <c r="F279" s="3" t="s">
        <v>82</v>
      </c>
      <c r="G279" s="3" t="s">
        <v>83</v>
      </c>
      <c r="H279" s="4">
        <v>46289.526295949072</v>
      </c>
      <c r="I279" s="4">
        <v>46289.63351712963</v>
      </c>
      <c r="J279" s="3">
        <f>ROUND((I279-H279)*1440,0)</f>
        <v>154</v>
      </c>
      <c r="K279" s="3" t="s">
        <v>993</v>
      </c>
      <c r="L279" s="3" t="s">
        <v>36</v>
      </c>
      <c r="M279" s="3" t="s">
        <v>36</v>
      </c>
      <c r="N279" s="3" t="s">
        <v>23</v>
      </c>
      <c r="O279" s="3" t="s">
        <v>994</v>
      </c>
    </row>
    <row r="280" spans="1:15" hidden="1" x14ac:dyDescent="0.75">
      <c r="A280" s="2">
        <v>46289</v>
      </c>
      <c r="B280" s="3" t="s">
        <v>995</v>
      </c>
      <c r="C280" s="3" t="s">
        <v>996</v>
      </c>
      <c r="D280" s="3" t="s">
        <v>27</v>
      </c>
      <c r="E280" s="3" t="s">
        <v>28</v>
      </c>
      <c r="F280" s="3" t="s">
        <v>304</v>
      </c>
      <c r="G280" s="3" t="s">
        <v>305</v>
      </c>
      <c r="H280" s="4">
        <v>46289.527859606482</v>
      </c>
      <c r="I280" s="4">
        <v>46289.764192824077</v>
      </c>
      <c r="J280" s="3">
        <f>ROUND((I280-H280)*1440,0)</f>
        <v>340</v>
      </c>
      <c r="K280" s="3" t="s">
        <v>509</v>
      </c>
      <c r="L280" s="3" t="s">
        <v>22</v>
      </c>
      <c r="M280" s="3" t="s">
        <v>22</v>
      </c>
      <c r="N280" s="3" t="s">
        <v>23</v>
      </c>
      <c r="O280" s="3" t="s">
        <v>510</v>
      </c>
    </row>
    <row r="281" spans="1:15" hidden="1" x14ac:dyDescent="0.75">
      <c r="A281" s="2">
        <v>46289</v>
      </c>
      <c r="B281" s="3" t="s">
        <v>997</v>
      </c>
      <c r="C281" s="3" t="s">
        <v>998</v>
      </c>
      <c r="D281" s="3" t="s">
        <v>27</v>
      </c>
      <c r="E281" s="3" t="s">
        <v>28</v>
      </c>
      <c r="F281" s="3" t="s">
        <v>56</v>
      </c>
      <c r="G281" s="3" t="s">
        <v>57</v>
      </c>
      <c r="H281" s="4">
        <v>46289.528629745371</v>
      </c>
      <c r="I281" s="4">
        <v>46289.649277430559</v>
      </c>
      <c r="J281" s="3">
        <f>ROUND((I281-H281)*1440,0)</f>
        <v>174</v>
      </c>
      <c r="K281" s="3" t="s">
        <v>999</v>
      </c>
      <c r="L281" s="3" t="s">
        <v>36</v>
      </c>
      <c r="M281" s="3" t="s">
        <v>36</v>
      </c>
      <c r="N281" s="3" t="s">
        <v>23</v>
      </c>
      <c r="O281" s="3" t="s">
        <v>1000</v>
      </c>
    </row>
    <row r="282" spans="1:15" hidden="1" x14ac:dyDescent="0.75">
      <c r="A282" s="2">
        <v>46289</v>
      </c>
      <c r="B282" s="3" t="s">
        <v>1001</v>
      </c>
      <c r="C282" s="3" t="s">
        <v>1002</v>
      </c>
      <c r="D282" s="3" t="s">
        <v>19</v>
      </c>
      <c r="E282" s="3" t="s">
        <v>20</v>
      </c>
      <c r="F282" s="3" t="s">
        <v>56</v>
      </c>
      <c r="G282" s="3" t="s">
        <v>57</v>
      </c>
      <c r="H282" s="4">
        <v>46289.530686458333</v>
      </c>
      <c r="I282" s="4">
        <v>46289.561396643519</v>
      </c>
      <c r="J282" s="3">
        <f>ROUND((I282-H282)*1440,0)</f>
        <v>44</v>
      </c>
      <c r="K282" s="3" t="s">
        <v>406</v>
      </c>
      <c r="L282" s="3" t="s">
        <v>36</v>
      </c>
      <c r="M282" s="3" t="s">
        <v>36</v>
      </c>
      <c r="N282" s="3" t="s">
        <v>23</v>
      </c>
      <c r="O282" s="3" t="s">
        <v>407</v>
      </c>
    </row>
    <row r="283" spans="1:15" hidden="1" x14ac:dyDescent="0.75">
      <c r="A283" s="2">
        <v>46289</v>
      </c>
      <c r="B283" s="3" t="s">
        <v>1003</v>
      </c>
      <c r="C283" s="3" t="s">
        <v>1004</v>
      </c>
      <c r="D283" s="3" t="s">
        <v>27</v>
      </c>
      <c r="E283" s="3" t="s">
        <v>28</v>
      </c>
      <c r="F283" s="3" t="s">
        <v>1005</v>
      </c>
      <c r="G283" s="3" t="s">
        <v>1006</v>
      </c>
      <c r="H283" s="4">
        <v>46289.532599999999</v>
      </c>
      <c r="I283" s="4">
        <v>46289.619519560183</v>
      </c>
      <c r="J283" s="3">
        <f>ROUND((I283-H283)*1440,0)</f>
        <v>125</v>
      </c>
      <c r="K283" s="3" t="s">
        <v>372</v>
      </c>
      <c r="L283" s="3" t="s">
        <v>77</v>
      </c>
      <c r="M283" s="3" t="s">
        <v>78</v>
      </c>
      <c r="N283" s="3" t="s">
        <v>45</v>
      </c>
      <c r="O283" s="3" t="s">
        <v>373</v>
      </c>
    </row>
    <row r="284" spans="1:15" hidden="1" x14ac:dyDescent="0.75">
      <c r="A284" s="2">
        <v>46289</v>
      </c>
      <c r="B284" s="3" t="s">
        <v>1007</v>
      </c>
      <c r="C284" s="3" t="s">
        <v>1008</v>
      </c>
      <c r="D284" s="3" t="s">
        <v>58</v>
      </c>
      <c r="E284" s="3" t="s">
        <v>59</v>
      </c>
      <c r="F284" s="3" t="s">
        <v>56</v>
      </c>
      <c r="G284" s="3" t="s">
        <v>57</v>
      </c>
      <c r="H284" s="4">
        <v>46289.534092476853</v>
      </c>
      <c r="I284" s="4">
        <v>46289.638695601847</v>
      </c>
      <c r="J284" s="3">
        <f>ROUND((I284-H284)*1440,0)</f>
        <v>151</v>
      </c>
      <c r="K284" s="3" t="s">
        <v>1009</v>
      </c>
      <c r="L284" s="3" t="s">
        <v>36</v>
      </c>
      <c r="M284" s="3" t="s">
        <v>36</v>
      </c>
      <c r="N284" s="3" t="s">
        <v>23</v>
      </c>
      <c r="O284" s="3" t="s">
        <v>1010</v>
      </c>
    </row>
    <row r="285" spans="1:15" hidden="1" x14ac:dyDescent="0.75">
      <c r="A285" s="2">
        <v>46289</v>
      </c>
      <c r="B285" s="3" t="s">
        <v>1011</v>
      </c>
      <c r="C285" s="3" t="s">
        <v>1012</v>
      </c>
      <c r="D285" s="3" t="s">
        <v>27</v>
      </c>
      <c r="E285" s="3" t="s">
        <v>28</v>
      </c>
      <c r="F285" s="3" t="s">
        <v>1013</v>
      </c>
      <c r="G285" s="3" t="s">
        <v>1014</v>
      </c>
      <c r="H285" s="4">
        <v>46289.534788310193</v>
      </c>
      <c r="I285" s="4">
        <v>46289.649190856479</v>
      </c>
      <c r="J285" s="3">
        <f>ROUND((I285-H285)*1440,0)</f>
        <v>165</v>
      </c>
      <c r="K285" s="3" t="s">
        <v>1015</v>
      </c>
      <c r="L285" s="3" t="s">
        <v>77</v>
      </c>
      <c r="M285" s="3" t="s">
        <v>78</v>
      </c>
      <c r="N285" s="3" t="s">
        <v>45</v>
      </c>
      <c r="O285" s="3" t="s">
        <v>1016</v>
      </c>
    </row>
    <row r="286" spans="1:15" hidden="1" x14ac:dyDescent="0.75">
      <c r="A286" s="2">
        <v>46289</v>
      </c>
      <c r="B286" s="3" t="s">
        <v>1017</v>
      </c>
      <c r="C286" s="3" t="s">
        <v>1018</v>
      </c>
      <c r="D286" s="3" t="s">
        <v>27</v>
      </c>
      <c r="E286" s="3" t="s">
        <v>28</v>
      </c>
      <c r="F286" s="3" t="s">
        <v>148</v>
      </c>
      <c r="G286" s="3" t="s">
        <v>149</v>
      </c>
      <c r="H286" s="4">
        <v>46289.535482407409</v>
      </c>
      <c r="I286" s="4">
        <v>46289.602136805559</v>
      </c>
      <c r="J286" s="3">
        <f>ROUND((I286-H286)*1440,0)</f>
        <v>96</v>
      </c>
      <c r="K286" s="3" t="s">
        <v>368</v>
      </c>
      <c r="L286" s="3" t="s">
        <v>77</v>
      </c>
      <c r="M286" s="3" t="s">
        <v>78</v>
      </c>
      <c r="N286" s="3" t="s">
        <v>23</v>
      </c>
      <c r="O286" s="3" t="s">
        <v>369</v>
      </c>
    </row>
    <row r="287" spans="1:15" hidden="1" x14ac:dyDescent="0.75">
      <c r="A287" s="2">
        <v>46289</v>
      </c>
      <c r="B287" s="3" t="s">
        <v>1019</v>
      </c>
      <c r="C287" s="3" t="s">
        <v>1020</v>
      </c>
      <c r="D287" s="3" t="s">
        <v>320</v>
      </c>
      <c r="E287" s="3" t="s">
        <v>321</v>
      </c>
      <c r="F287" s="3" t="s">
        <v>56</v>
      </c>
      <c r="G287" s="3" t="s">
        <v>57</v>
      </c>
      <c r="H287" s="4">
        <v>46289.535677314823</v>
      </c>
      <c r="I287" s="4">
        <v>46289.59690798611</v>
      </c>
      <c r="J287" s="3">
        <f>ROUND((I287-H287)*1440,0)</f>
        <v>88</v>
      </c>
      <c r="K287" s="3" t="s">
        <v>322</v>
      </c>
      <c r="L287" s="3" t="s">
        <v>36</v>
      </c>
      <c r="M287" s="3" t="s">
        <v>36</v>
      </c>
      <c r="N287" s="3" t="s">
        <v>23</v>
      </c>
      <c r="O287" s="3" t="s">
        <v>323</v>
      </c>
    </row>
    <row r="288" spans="1:15" hidden="1" x14ac:dyDescent="0.75">
      <c r="A288" s="2">
        <v>46289</v>
      </c>
      <c r="B288" s="3" t="s">
        <v>1021</v>
      </c>
      <c r="C288" s="3" t="s">
        <v>1022</v>
      </c>
      <c r="D288" s="3" t="s">
        <v>27</v>
      </c>
      <c r="E288" s="3" t="s">
        <v>28</v>
      </c>
      <c r="F288" s="3" t="s">
        <v>218</v>
      </c>
      <c r="G288" s="3" t="s">
        <v>219</v>
      </c>
      <c r="H288" s="4">
        <v>46289.536999305557</v>
      </c>
      <c r="I288" s="4">
        <v>46289.597885300929</v>
      </c>
      <c r="J288" s="3">
        <f>ROUND((I288-H288)*1440,0)</f>
        <v>88</v>
      </c>
      <c r="K288" s="3" t="s">
        <v>1023</v>
      </c>
      <c r="L288" s="3" t="s">
        <v>77</v>
      </c>
      <c r="M288" s="3" t="s">
        <v>78</v>
      </c>
      <c r="N288" s="3" t="s">
        <v>23</v>
      </c>
      <c r="O288" s="3" t="s">
        <v>1024</v>
      </c>
    </row>
    <row r="289" spans="1:15" hidden="1" x14ac:dyDescent="0.75">
      <c r="A289" s="2">
        <v>46289</v>
      </c>
      <c r="B289" s="3" t="s">
        <v>1025</v>
      </c>
      <c r="C289" s="3" t="s">
        <v>1026</v>
      </c>
      <c r="D289" s="3" t="s">
        <v>17</v>
      </c>
      <c r="E289" s="3" t="s">
        <v>18</v>
      </c>
      <c r="F289" s="3" t="s">
        <v>304</v>
      </c>
      <c r="G289" s="3" t="s">
        <v>305</v>
      </c>
      <c r="H289" s="4">
        <v>46289.537432407407</v>
      </c>
      <c r="I289" s="4">
        <v>46289.753006250001</v>
      </c>
      <c r="J289" s="3">
        <f>ROUND((I289-H289)*1440,0)</f>
        <v>310</v>
      </c>
      <c r="K289" s="3" t="s">
        <v>557</v>
      </c>
      <c r="L289" s="3" t="s">
        <v>22</v>
      </c>
      <c r="M289" s="3" t="s">
        <v>22</v>
      </c>
      <c r="N289" s="3" t="s">
        <v>23</v>
      </c>
      <c r="O289" s="3" t="s">
        <v>558</v>
      </c>
    </row>
    <row r="290" spans="1:15" hidden="1" x14ac:dyDescent="0.75">
      <c r="A290" s="2">
        <v>46289</v>
      </c>
      <c r="B290" s="3" t="s">
        <v>1027</v>
      </c>
      <c r="C290" s="3" t="s">
        <v>1028</v>
      </c>
      <c r="D290" s="3"/>
      <c r="E290" s="3"/>
      <c r="F290" s="3" t="s">
        <v>27</v>
      </c>
      <c r="G290" s="3" t="s">
        <v>28</v>
      </c>
      <c r="H290" s="4">
        <v>46289.53812002315</v>
      </c>
      <c r="I290" s="4">
        <v>46289.589078240737</v>
      </c>
      <c r="J290" s="3">
        <f>ROUND((I290-H290)*1440,0)</f>
        <v>73</v>
      </c>
      <c r="K290" s="3" t="s">
        <v>489</v>
      </c>
      <c r="L290" s="3" t="s">
        <v>36</v>
      </c>
      <c r="M290" s="3" t="s">
        <v>36</v>
      </c>
      <c r="N290" s="3" t="s">
        <v>23</v>
      </c>
      <c r="O290" s="3" t="s">
        <v>490</v>
      </c>
    </row>
    <row r="291" spans="1:15" hidden="1" x14ac:dyDescent="0.75">
      <c r="A291" s="2">
        <v>46289</v>
      </c>
      <c r="B291" s="3" t="s">
        <v>1029</v>
      </c>
      <c r="C291" s="3" t="s">
        <v>1030</v>
      </c>
      <c r="D291" s="3" t="s">
        <v>27</v>
      </c>
      <c r="E291" s="3" t="s">
        <v>28</v>
      </c>
      <c r="F291" s="3" t="s">
        <v>1031</v>
      </c>
      <c r="G291" s="3" t="s">
        <v>1032</v>
      </c>
      <c r="H291" s="4">
        <v>46289.53934664352</v>
      </c>
      <c r="I291" s="4">
        <v>46289.61424988426</v>
      </c>
      <c r="J291" s="3">
        <f>ROUND((I291-H291)*1440,0)</f>
        <v>108</v>
      </c>
      <c r="K291" s="3" t="s">
        <v>1033</v>
      </c>
      <c r="L291" s="3" t="s">
        <v>77</v>
      </c>
      <c r="M291" s="3" t="s">
        <v>78</v>
      </c>
      <c r="N291" s="3" t="s">
        <v>23</v>
      </c>
      <c r="O291" s="3" t="s">
        <v>1034</v>
      </c>
    </row>
    <row r="292" spans="1:15" hidden="1" x14ac:dyDescent="0.75">
      <c r="A292" s="2">
        <v>46289</v>
      </c>
      <c r="B292" s="3" t="s">
        <v>1035</v>
      </c>
      <c r="C292" s="3" t="s">
        <v>1036</v>
      </c>
      <c r="D292" s="3" t="s">
        <v>84</v>
      </c>
      <c r="E292" s="3" t="s">
        <v>85</v>
      </c>
      <c r="F292" s="3"/>
      <c r="G292" s="3"/>
      <c r="H292" s="4">
        <v>46289.540069675917</v>
      </c>
      <c r="I292" s="4">
        <v>46289.563314236111</v>
      </c>
      <c r="J292" s="3">
        <f>ROUND((I292-H292)*1440,0)</f>
        <v>33</v>
      </c>
      <c r="K292" s="3" t="s">
        <v>1037</v>
      </c>
      <c r="L292" s="3" t="s">
        <v>77</v>
      </c>
      <c r="M292" s="3" t="s">
        <v>78</v>
      </c>
      <c r="N292" s="3" t="s">
        <v>45</v>
      </c>
      <c r="O292" s="3" t="s">
        <v>1038</v>
      </c>
    </row>
    <row r="293" spans="1:15" hidden="1" x14ac:dyDescent="0.75">
      <c r="A293" s="2">
        <v>46289</v>
      </c>
      <c r="B293" s="3" t="s">
        <v>1039</v>
      </c>
      <c r="C293" s="3" t="s">
        <v>1040</v>
      </c>
      <c r="D293" s="3" t="s">
        <v>17</v>
      </c>
      <c r="E293" s="3" t="s">
        <v>18</v>
      </c>
      <c r="F293" s="3" t="s">
        <v>344</v>
      </c>
      <c r="G293" s="3" t="s">
        <v>345</v>
      </c>
      <c r="H293" s="4">
        <v>46289.544770023153</v>
      </c>
      <c r="I293" s="4">
        <v>46289.81307546296</v>
      </c>
      <c r="J293" s="3">
        <f>ROUND((I293-H293)*1440,0)</f>
        <v>386</v>
      </c>
      <c r="K293" s="3" t="s">
        <v>1041</v>
      </c>
      <c r="L293" s="3" t="s">
        <v>43</v>
      </c>
      <c r="M293" s="3" t="s">
        <v>44</v>
      </c>
      <c r="N293" s="3" t="s">
        <v>23</v>
      </c>
      <c r="O293" s="3" t="s">
        <v>1042</v>
      </c>
    </row>
    <row r="294" spans="1:15" hidden="1" x14ac:dyDescent="0.75">
      <c r="A294" s="2">
        <v>46289</v>
      </c>
      <c r="B294" s="3" t="s">
        <v>1043</v>
      </c>
      <c r="C294" s="3" t="s">
        <v>1044</v>
      </c>
      <c r="D294" s="3" t="s">
        <v>82</v>
      </c>
      <c r="E294" s="3" t="s">
        <v>83</v>
      </c>
      <c r="F294" s="3" t="s">
        <v>56</v>
      </c>
      <c r="G294" s="3" t="s">
        <v>57</v>
      </c>
      <c r="H294" s="4">
        <v>46289.545404745368</v>
      </c>
      <c r="I294" s="4">
        <v>46289.5690181713</v>
      </c>
      <c r="J294" s="3">
        <f>ROUND((I294-H294)*1440,0)</f>
        <v>34</v>
      </c>
      <c r="K294" s="3" t="s">
        <v>1045</v>
      </c>
      <c r="L294" s="3" t="s">
        <v>36</v>
      </c>
      <c r="M294" s="3" t="s">
        <v>36</v>
      </c>
      <c r="N294" s="3" t="s">
        <v>23</v>
      </c>
      <c r="O294" s="3" t="s">
        <v>1046</v>
      </c>
    </row>
    <row r="295" spans="1:15" hidden="1" x14ac:dyDescent="0.75">
      <c r="A295" s="2">
        <v>46289</v>
      </c>
      <c r="B295" s="3" t="s">
        <v>1047</v>
      </c>
      <c r="C295" s="3" t="s">
        <v>1048</v>
      </c>
      <c r="D295" s="3" t="s">
        <v>56</v>
      </c>
      <c r="E295" s="3" t="s">
        <v>57</v>
      </c>
      <c r="F295" s="3" t="s">
        <v>17</v>
      </c>
      <c r="G295" s="3" t="s">
        <v>18</v>
      </c>
      <c r="H295" s="4">
        <v>46289.545866550929</v>
      </c>
      <c r="I295" s="4">
        <v>46289.645040972217</v>
      </c>
      <c r="J295" s="3">
        <f>ROUND((I295-H295)*1440,0)</f>
        <v>143</v>
      </c>
      <c r="K295" s="3" t="s">
        <v>1049</v>
      </c>
      <c r="L295" s="3" t="s">
        <v>22</v>
      </c>
      <c r="M295" s="3" t="s">
        <v>22</v>
      </c>
      <c r="N295" s="3" t="s">
        <v>23</v>
      </c>
      <c r="O295" s="3" t="s">
        <v>1050</v>
      </c>
    </row>
    <row r="296" spans="1:15" hidden="1" x14ac:dyDescent="0.75">
      <c r="A296" s="2">
        <v>46289</v>
      </c>
      <c r="B296" s="3" t="s">
        <v>1051</v>
      </c>
      <c r="C296" s="3" t="s">
        <v>1052</v>
      </c>
      <c r="D296" s="3" t="s">
        <v>158</v>
      </c>
      <c r="E296" s="3" t="s">
        <v>159</v>
      </c>
      <c r="F296" s="3" t="s">
        <v>27</v>
      </c>
      <c r="G296" s="3" t="s">
        <v>28</v>
      </c>
      <c r="H296" s="4">
        <v>46289.546322800918</v>
      </c>
      <c r="I296" s="4">
        <v>46289.600827199072</v>
      </c>
      <c r="J296" s="3">
        <f>ROUND((I296-H296)*1440,0)</f>
        <v>78</v>
      </c>
      <c r="K296" s="3" t="s">
        <v>623</v>
      </c>
      <c r="L296" s="3" t="s">
        <v>77</v>
      </c>
      <c r="M296" s="3" t="s">
        <v>78</v>
      </c>
      <c r="N296" s="3" t="s">
        <v>23</v>
      </c>
      <c r="O296" s="3" t="s">
        <v>624</v>
      </c>
    </row>
    <row r="297" spans="1:15" hidden="1" x14ac:dyDescent="0.75">
      <c r="A297" s="2">
        <v>46289</v>
      </c>
      <c r="B297" s="3" t="s">
        <v>1053</v>
      </c>
      <c r="C297" s="3" t="s">
        <v>1054</v>
      </c>
      <c r="D297" s="3" t="s">
        <v>264</v>
      </c>
      <c r="E297" s="3" t="s">
        <v>265</v>
      </c>
      <c r="F297" s="3" t="s">
        <v>17</v>
      </c>
      <c r="G297" s="3" t="s">
        <v>18</v>
      </c>
      <c r="H297" s="4">
        <v>46289.546992476848</v>
      </c>
      <c r="I297" s="4">
        <v>46289.734652314823</v>
      </c>
      <c r="J297" s="3">
        <f>ROUND((I297-H297)*1440,0)</f>
        <v>270</v>
      </c>
      <c r="K297" s="3" t="s">
        <v>1055</v>
      </c>
      <c r="L297" s="3" t="s">
        <v>22</v>
      </c>
      <c r="M297" s="3" t="s">
        <v>22</v>
      </c>
      <c r="N297" s="3" t="s">
        <v>23</v>
      </c>
      <c r="O297" s="3" t="s">
        <v>1056</v>
      </c>
    </row>
    <row r="298" spans="1:15" hidden="1" x14ac:dyDescent="0.75">
      <c r="A298" s="2">
        <v>46289</v>
      </c>
      <c r="B298" s="3" t="s">
        <v>1057</v>
      </c>
      <c r="C298" s="3" t="s">
        <v>1058</v>
      </c>
      <c r="D298" s="3" t="s">
        <v>304</v>
      </c>
      <c r="E298" s="3" t="s">
        <v>305</v>
      </c>
      <c r="F298" s="3" t="s">
        <v>58</v>
      </c>
      <c r="G298" s="3" t="s">
        <v>59</v>
      </c>
      <c r="H298" s="4">
        <v>46289.547064120372</v>
      </c>
      <c r="I298" s="4">
        <v>46289.753668865742</v>
      </c>
      <c r="J298" s="3">
        <f>ROUND((I298-H298)*1440,0)</f>
        <v>298</v>
      </c>
      <c r="K298" s="3" t="s">
        <v>388</v>
      </c>
      <c r="L298" s="3" t="s">
        <v>22</v>
      </c>
      <c r="M298" s="3" t="s">
        <v>22</v>
      </c>
      <c r="N298" s="3" t="s">
        <v>23</v>
      </c>
      <c r="O298" s="3" t="s">
        <v>389</v>
      </c>
    </row>
    <row r="299" spans="1:15" hidden="1" x14ac:dyDescent="0.75">
      <c r="A299" s="2">
        <v>46289</v>
      </c>
      <c r="B299" s="3" t="s">
        <v>1059</v>
      </c>
      <c r="C299" s="3" t="s">
        <v>1060</v>
      </c>
      <c r="D299" s="3" t="s">
        <v>737</v>
      </c>
      <c r="E299" s="3" t="s">
        <v>738</v>
      </c>
      <c r="F299" s="3" t="s">
        <v>27</v>
      </c>
      <c r="G299" s="3" t="s">
        <v>28</v>
      </c>
      <c r="H299" s="4">
        <v>46289.547837500002</v>
      </c>
      <c r="I299" s="4">
        <v>46289.602228587974</v>
      </c>
      <c r="J299" s="3">
        <f>ROUND((I299-H299)*1440,0)</f>
        <v>78</v>
      </c>
      <c r="K299" s="3" t="s">
        <v>739</v>
      </c>
      <c r="L299" s="3" t="s">
        <v>77</v>
      </c>
      <c r="M299" s="3" t="s">
        <v>78</v>
      </c>
      <c r="N299" s="3" t="s">
        <v>23</v>
      </c>
      <c r="O299" s="3" t="s">
        <v>740</v>
      </c>
    </row>
    <row r="300" spans="1:15" hidden="1" x14ac:dyDescent="0.75">
      <c r="A300" s="2">
        <v>46289</v>
      </c>
      <c r="B300" s="3" t="s">
        <v>1061</v>
      </c>
      <c r="C300" s="3" t="s">
        <v>1062</v>
      </c>
      <c r="D300" s="3" t="s">
        <v>17</v>
      </c>
      <c r="E300" s="3" t="s">
        <v>18</v>
      </c>
      <c r="F300" s="3" t="s">
        <v>17</v>
      </c>
      <c r="G300" s="3" t="s">
        <v>18</v>
      </c>
      <c r="H300" s="4">
        <v>46289.547968171297</v>
      </c>
      <c r="I300" s="4">
        <v>46289.902850810176</v>
      </c>
      <c r="J300" s="3">
        <f>ROUND((I300-H300)*1440,0)</f>
        <v>511</v>
      </c>
      <c r="K300" s="3" t="s">
        <v>430</v>
      </c>
      <c r="L300" s="3" t="s">
        <v>36</v>
      </c>
      <c r="M300" s="3" t="s">
        <v>36</v>
      </c>
      <c r="N300" s="3" t="s">
        <v>23</v>
      </c>
      <c r="O300" s="3" t="s">
        <v>431</v>
      </c>
    </row>
    <row r="301" spans="1:15" hidden="1" x14ac:dyDescent="0.75">
      <c r="A301" s="2">
        <v>46289</v>
      </c>
      <c r="B301" s="3" t="s">
        <v>1063</v>
      </c>
      <c r="C301" s="3" t="s">
        <v>1064</v>
      </c>
      <c r="D301" s="3" t="s">
        <v>122</v>
      </c>
      <c r="E301" s="3" t="s">
        <v>123</v>
      </c>
      <c r="F301" s="3" t="s">
        <v>17</v>
      </c>
      <c r="G301" s="3" t="s">
        <v>18</v>
      </c>
      <c r="H301" s="4">
        <v>46289.548024537027</v>
      </c>
      <c r="I301" s="4">
        <v>46289.760461226862</v>
      </c>
      <c r="J301" s="3">
        <f>ROUND((I301-H301)*1440,0)</f>
        <v>306</v>
      </c>
      <c r="K301" s="3" t="s">
        <v>124</v>
      </c>
      <c r="L301" s="3" t="s">
        <v>22</v>
      </c>
      <c r="M301" s="3" t="s">
        <v>22</v>
      </c>
      <c r="N301" s="3" t="s">
        <v>23</v>
      </c>
      <c r="O301" s="3" t="s">
        <v>125</v>
      </c>
    </row>
    <row r="302" spans="1:15" hidden="1" x14ac:dyDescent="0.75">
      <c r="A302" s="2">
        <v>46289</v>
      </c>
      <c r="B302" s="3" t="s">
        <v>1065</v>
      </c>
      <c r="C302" s="3" t="s">
        <v>1066</v>
      </c>
      <c r="D302" s="3" t="s">
        <v>27</v>
      </c>
      <c r="E302" s="3" t="s">
        <v>28</v>
      </c>
      <c r="F302" s="3" t="s">
        <v>977</v>
      </c>
      <c r="G302" s="3" t="s">
        <v>978</v>
      </c>
      <c r="H302" s="4">
        <v>46289.548322800933</v>
      </c>
      <c r="I302" s="4">
        <v>46289.634067708343</v>
      </c>
      <c r="J302" s="3">
        <f>ROUND((I302-H302)*1440,0)</f>
        <v>123</v>
      </c>
      <c r="K302" s="3" t="s">
        <v>260</v>
      </c>
      <c r="L302" s="3" t="s">
        <v>52</v>
      </c>
      <c r="M302" s="3"/>
      <c r="N302" s="3" t="s">
        <v>45</v>
      </c>
      <c r="O302" s="3" t="s">
        <v>261</v>
      </c>
    </row>
    <row r="303" spans="1:15" hidden="1" x14ac:dyDescent="0.75">
      <c r="A303" s="2">
        <v>46289</v>
      </c>
      <c r="B303" s="3" t="s">
        <v>1067</v>
      </c>
      <c r="C303" s="3" t="s">
        <v>1068</v>
      </c>
      <c r="D303" s="3" t="s">
        <v>615</v>
      </c>
      <c r="E303" s="3" t="s">
        <v>616</v>
      </c>
      <c r="F303" s="3" t="s">
        <v>56</v>
      </c>
      <c r="G303" s="3" t="s">
        <v>57</v>
      </c>
      <c r="H303" s="4">
        <v>46289.549264351852</v>
      </c>
      <c r="I303" s="4">
        <v>46289.639878819442</v>
      </c>
      <c r="J303" s="3">
        <f>ROUND((I303-H303)*1440,0)</f>
        <v>130</v>
      </c>
      <c r="K303" s="3" t="s">
        <v>1069</v>
      </c>
      <c r="L303" s="3" t="s">
        <v>36</v>
      </c>
      <c r="M303" s="3" t="s">
        <v>36</v>
      </c>
      <c r="N303" s="3" t="s">
        <v>23</v>
      </c>
      <c r="O303" s="3" t="s">
        <v>1070</v>
      </c>
    </row>
    <row r="304" spans="1:15" hidden="1" x14ac:dyDescent="0.75">
      <c r="A304" s="2">
        <v>46289</v>
      </c>
      <c r="B304" s="3" t="s">
        <v>1071</v>
      </c>
      <c r="C304" s="3" t="s">
        <v>1072</v>
      </c>
      <c r="D304" s="3" t="s">
        <v>17</v>
      </c>
      <c r="E304" s="3" t="s">
        <v>18</v>
      </c>
      <c r="F304" s="3"/>
      <c r="G304" s="3"/>
      <c r="H304" s="4">
        <v>46289.550141666667</v>
      </c>
      <c r="I304" s="4">
        <v>46289.584628819437</v>
      </c>
      <c r="J304" s="3">
        <f>ROUND((I304-H304)*1440,0)</f>
        <v>50</v>
      </c>
      <c r="K304" s="3" t="s">
        <v>537</v>
      </c>
      <c r="L304" s="3" t="s">
        <v>36</v>
      </c>
      <c r="M304" s="3" t="s">
        <v>36</v>
      </c>
      <c r="N304" s="3" t="s">
        <v>443</v>
      </c>
      <c r="O304" s="3" t="s">
        <v>538</v>
      </c>
    </row>
    <row r="305" spans="1:15" hidden="1" x14ac:dyDescent="0.75">
      <c r="A305" s="2">
        <v>46289</v>
      </c>
      <c r="B305" s="3" t="s">
        <v>1073</v>
      </c>
      <c r="C305" s="3" t="s">
        <v>1074</v>
      </c>
      <c r="D305" s="3" t="s">
        <v>27</v>
      </c>
      <c r="E305" s="3" t="s">
        <v>28</v>
      </c>
      <c r="F305" s="3" t="s">
        <v>737</v>
      </c>
      <c r="G305" s="3" t="s">
        <v>738</v>
      </c>
      <c r="H305" s="4">
        <v>46289.550284837962</v>
      </c>
      <c r="I305" s="4">
        <v>46289.591000231478</v>
      </c>
      <c r="J305" s="3">
        <f>ROUND((I305-H305)*1440,0)</f>
        <v>59</v>
      </c>
      <c r="K305" s="3" t="s">
        <v>252</v>
      </c>
      <c r="L305" s="3" t="s">
        <v>36</v>
      </c>
      <c r="M305" s="3" t="s">
        <v>36</v>
      </c>
      <c r="N305" s="3" t="s">
        <v>45</v>
      </c>
      <c r="O305" s="3" t="s">
        <v>253</v>
      </c>
    </row>
    <row r="306" spans="1:15" hidden="1" x14ac:dyDescent="0.75">
      <c r="A306" s="2">
        <v>46289</v>
      </c>
      <c r="B306" s="3" t="s">
        <v>1075</v>
      </c>
      <c r="C306" s="3" t="s">
        <v>1076</v>
      </c>
      <c r="D306" s="3" t="s">
        <v>27</v>
      </c>
      <c r="E306" s="3" t="s">
        <v>28</v>
      </c>
      <c r="F306" s="3" t="s">
        <v>196</v>
      </c>
      <c r="G306" s="3" t="s">
        <v>197</v>
      </c>
      <c r="H306" s="4">
        <v>46289.550952777783</v>
      </c>
      <c r="I306" s="4">
        <v>46289.605754398151</v>
      </c>
      <c r="J306" s="3">
        <f>ROUND((I306-H306)*1440,0)</f>
        <v>79</v>
      </c>
      <c r="K306" s="3" t="s">
        <v>1077</v>
      </c>
      <c r="L306" s="3" t="s">
        <v>36</v>
      </c>
      <c r="M306" s="3" t="s">
        <v>36</v>
      </c>
      <c r="N306" s="3" t="s">
        <v>45</v>
      </c>
      <c r="O306" s="3" t="s">
        <v>1078</v>
      </c>
    </row>
    <row r="307" spans="1:15" hidden="1" x14ac:dyDescent="0.75">
      <c r="A307" s="2">
        <v>46289</v>
      </c>
      <c r="B307" s="3" t="s">
        <v>1079</v>
      </c>
      <c r="C307" s="3" t="s">
        <v>1080</v>
      </c>
      <c r="D307" s="3" t="s">
        <v>228</v>
      </c>
      <c r="E307" s="3" t="s">
        <v>229</v>
      </c>
      <c r="F307" s="3" t="s">
        <v>27</v>
      </c>
      <c r="G307" s="3" t="s">
        <v>28</v>
      </c>
      <c r="H307" s="4">
        <v>46289.552485185188</v>
      </c>
      <c r="I307" s="4">
        <v>46289.610538773151</v>
      </c>
      <c r="J307" s="3">
        <f>ROUND((I307-H307)*1440,0)</f>
        <v>84</v>
      </c>
      <c r="K307" s="3" t="s">
        <v>90</v>
      </c>
      <c r="L307" s="3" t="s">
        <v>77</v>
      </c>
      <c r="M307" s="3" t="s">
        <v>78</v>
      </c>
      <c r="N307" s="3" t="s">
        <v>23</v>
      </c>
      <c r="O307" s="3" t="s">
        <v>91</v>
      </c>
    </row>
    <row r="308" spans="1:15" hidden="1" x14ac:dyDescent="0.75">
      <c r="A308" s="2">
        <v>46289</v>
      </c>
      <c r="B308" s="3" t="s">
        <v>1081</v>
      </c>
      <c r="C308" s="3" t="s">
        <v>1082</v>
      </c>
      <c r="D308" s="3" t="s">
        <v>82</v>
      </c>
      <c r="E308" s="3" t="s">
        <v>83</v>
      </c>
      <c r="F308" s="3" t="s">
        <v>84</v>
      </c>
      <c r="G308" s="3" t="s">
        <v>85</v>
      </c>
      <c r="H308" s="4">
        <v>46289.552594560177</v>
      </c>
      <c r="I308" s="4">
        <v>46289.641910300918</v>
      </c>
      <c r="J308" s="3">
        <f>ROUND((I308-H308)*1440,0)</f>
        <v>129</v>
      </c>
      <c r="K308" s="3" t="s">
        <v>134</v>
      </c>
      <c r="L308" s="3" t="s">
        <v>36</v>
      </c>
      <c r="M308" s="3" t="s">
        <v>36</v>
      </c>
      <c r="N308" s="3" t="s">
        <v>45</v>
      </c>
      <c r="O308" s="3" t="s">
        <v>135</v>
      </c>
    </row>
    <row r="309" spans="1:15" hidden="1" x14ac:dyDescent="0.75">
      <c r="A309" s="2">
        <v>46289</v>
      </c>
      <c r="B309" s="3" t="s">
        <v>1083</v>
      </c>
      <c r="C309" s="3" t="s">
        <v>1084</v>
      </c>
      <c r="D309" s="3" t="s">
        <v>17</v>
      </c>
      <c r="E309" s="3" t="s">
        <v>18</v>
      </c>
      <c r="F309" s="3" t="s">
        <v>1085</v>
      </c>
      <c r="G309" s="3" t="s">
        <v>1086</v>
      </c>
      <c r="H309" s="4">
        <v>46289.553695949071</v>
      </c>
      <c r="I309" s="4">
        <v>46289.745926041673</v>
      </c>
      <c r="J309" s="3">
        <f>ROUND((I309-H309)*1440,0)</f>
        <v>277</v>
      </c>
      <c r="K309" s="3" t="s">
        <v>330</v>
      </c>
      <c r="L309" s="3" t="s">
        <v>43</v>
      </c>
      <c r="M309" s="3" t="s">
        <v>44</v>
      </c>
      <c r="N309" s="3" t="s">
        <v>23</v>
      </c>
      <c r="O309" s="3" t="s">
        <v>331</v>
      </c>
    </row>
    <row r="310" spans="1:15" hidden="1" x14ac:dyDescent="0.75">
      <c r="A310" s="2">
        <v>46289</v>
      </c>
      <c r="B310" s="3" t="s">
        <v>1087</v>
      </c>
      <c r="C310" s="3" t="s">
        <v>1088</v>
      </c>
      <c r="D310" s="3" t="s">
        <v>56</v>
      </c>
      <c r="E310" s="3" t="s">
        <v>57</v>
      </c>
      <c r="F310" s="3" t="s">
        <v>128</v>
      </c>
      <c r="G310" s="3" t="s">
        <v>129</v>
      </c>
      <c r="H310" s="4">
        <v>46289.554339351853</v>
      </c>
      <c r="I310" s="4">
        <v>46289.66131087963</v>
      </c>
      <c r="J310" s="3">
        <f>ROUND((I310-H310)*1440,0)</f>
        <v>154</v>
      </c>
      <c r="K310" s="3" t="s">
        <v>1089</v>
      </c>
      <c r="L310" s="3" t="s">
        <v>36</v>
      </c>
      <c r="M310" s="3" t="s">
        <v>36</v>
      </c>
      <c r="N310" s="3" t="s">
        <v>23</v>
      </c>
      <c r="O310" s="3" t="s">
        <v>1090</v>
      </c>
    </row>
    <row r="311" spans="1:15" hidden="1" x14ac:dyDescent="0.75">
      <c r="A311" s="2">
        <v>46289</v>
      </c>
      <c r="B311" s="3" t="s">
        <v>1091</v>
      </c>
      <c r="C311" s="3" t="s">
        <v>1092</v>
      </c>
      <c r="D311" s="3" t="s">
        <v>17</v>
      </c>
      <c r="E311" s="3" t="s">
        <v>18</v>
      </c>
      <c r="F311" s="3" t="s">
        <v>17</v>
      </c>
      <c r="G311" s="3" t="s">
        <v>18</v>
      </c>
      <c r="H311" s="4">
        <v>46289.555952314811</v>
      </c>
      <c r="I311" s="4">
        <v>46289.999533333343</v>
      </c>
      <c r="J311" s="3">
        <f>ROUND((I311-H311)*1440,0)</f>
        <v>639</v>
      </c>
      <c r="K311" s="3" t="s">
        <v>1093</v>
      </c>
      <c r="L311" s="3" t="s">
        <v>43</v>
      </c>
      <c r="M311" s="3" t="s">
        <v>44</v>
      </c>
      <c r="N311" s="3" t="s">
        <v>23</v>
      </c>
      <c r="O311" s="3" t="s">
        <v>1094</v>
      </c>
    </row>
    <row r="312" spans="1:15" hidden="1" x14ac:dyDescent="0.75">
      <c r="A312" s="2">
        <v>46289</v>
      </c>
      <c r="B312" s="3" t="s">
        <v>1095</v>
      </c>
      <c r="C312" s="3" t="s">
        <v>1096</v>
      </c>
      <c r="D312" s="3" t="s">
        <v>17</v>
      </c>
      <c r="E312" s="3" t="s">
        <v>18</v>
      </c>
      <c r="F312" s="3" t="s">
        <v>17</v>
      </c>
      <c r="G312" s="3" t="s">
        <v>18</v>
      </c>
      <c r="H312" s="4">
        <v>46289.558492939817</v>
      </c>
      <c r="I312" s="4">
        <v>46289.989803703713</v>
      </c>
      <c r="J312" s="3">
        <f>ROUND((I312-H312)*1440,0)</f>
        <v>621</v>
      </c>
      <c r="K312" s="3" t="s">
        <v>418</v>
      </c>
      <c r="L312" s="3" t="s">
        <v>36</v>
      </c>
      <c r="M312" s="3" t="s">
        <v>36</v>
      </c>
      <c r="N312" s="3" t="s">
        <v>23</v>
      </c>
      <c r="O312" s="3" t="s">
        <v>419</v>
      </c>
    </row>
    <row r="313" spans="1:15" hidden="1" x14ac:dyDescent="0.75">
      <c r="A313" s="2">
        <v>46289</v>
      </c>
      <c r="B313" s="3" t="s">
        <v>1097</v>
      </c>
      <c r="C313" s="3" t="s">
        <v>1098</v>
      </c>
      <c r="D313" s="3" t="s">
        <v>234</v>
      </c>
      <c r="E313" s="3" t="s">
        <v>235</v>
      </c>
      <c r="F313" s="3" t="s">
        <v>27</v>
      </c>
      <c r="G313" s="3" t="s">
        <v>28</v>
      </c>
      <c r="H313" s="4">
        <v>46289.560026273153</v>
      </c>
      <c r="I313" s="4">
        <v>46289.605922800933</v>
      </c>
      <c r="J313" s="3">
        <f>ROUND((I313-H313)*1440,0)</f>
        <v>66</v>
      </c>
      <c r="K313" s="3" t="s">
        <v>236</v>
      </c>
      <c r="L313" s="3" t="s">
        <v>77</v>
      </c>
      <c r="M313" s="3" t="s">
        <v>78</v>
      </c>
      <c r="N313" s="3" t="s">
        <v>23</v>
      </c>
      <c r="O313" s="3" t="s">
        <v>237</v>
      </c>
    </row>
    <row r="314" spans="1:15" hidden="1" x14ac:dyDescent="0.75">
      <c r="A314" s="2">
        <v>46289</v>
      </c>
      <c r="B314" s="3" t="s">
        <v>1099</v>
      </c>
      <c r="C314" s="3" t="s">
        <v>1100</v>
      </c>
      <c r="D314" s="3" t="s">
        <v>17</v>
      </c>
      <c r="E314" s="3" t="s">
        <v>18</v>
      </c>
      <c r="F314" s="3" t="s">
        <v>1101</v>
      </c>
      <c r="G314" s="3" t="s">
        <v>1102</v>
      </c>
      <c r="H314" s="4">
        <v>46289.560220486113</v>
      </c>
      <c r="I314" s="4">
        <v>46289.590866087958</v>
      </c>
      <c r="J314" s="3">
        <f>ROUND((I314-H314)*1440,0)</f>
        <v>44</v>
      </c>
      <c r="K314" s="3" t="s">
        <v>396</v>
      </c>
      <c r="L314" s="3" t="s">
        <v>77</v>
      </c>
      <c r="M314" s="3" t="s">
        <v>78</v>
      </c>
      <c r="N314" s="3" t="s">
        <v>45</v>
      </c>
      <c r="O314" s="3" t="s">
        <v>397</v>
      </c>
    </row>
    <row r="315" spans="1:15" hidden="1" x14ac:dyDescent="0.75">
      <c r="A315" s="2">
        <v>46289</v>
      </c>
      <c r="B315" s="3" t="s">
        <v>1103</v>
      </c>
      <c r="C315" s="3" t="s">
        <v>1104</v>
      </c>
      <c r="D315" s="3" t="s">
        <v>82</v>
      </c>
      <c r="E315" s="3" t="s">
        <v>83</v>
      </c>
      <c r="F315" s="3" t="s">
        <v>82</v>
      </c>
      <c r="G315" s="3" t="s">
        <v>83</v>
      </c>
      <c r="H315" s="4">
        <v>46289.561128703703</v>
      </c>
      <c r="I315" s="4">
        <v>46289.595696643519</v>
      </c>
      <c r="J315" s="3">
        <f>ROUND((I315-H315)*1440,0)</f>
        <v>50</v>
      </c>
      <c r="K315" s="3" t="s">
        <v>1105</v>
      </c>
      <c r="L315" s="3" t="s">
        <v>36</v>
      </c>
      <c r="M315" s="3" t="s">
        <v>36</v>
      </c>
      <c r="N315" s="3" t="s">
        <v>23</v>
      </c>
      <c r="O315" s="3" t="s">
        <v>1106</v>
      </c>
    </row>
    <row r="316" spans="1:15" hidden="1" x14ac:dyDescent="0.75">
      <c r="A316" s="2">
        <v>46289</v>
      </c>
      <c r="B316" s="3" t="s">
        <v>1107</v>
      </c>
      <c r="C316" s="3" t="s">
        <v>1108</v>
      </c>
      <c r="D316" s="3"/>
      <c r="E316" s="3"/>
      <c r="F316" s="3" t="s">
        <v>17</v>
      </c>
      <c r="G316" s="3" t="s">
        <v>18</v>
      </c>
      <c r="H316" s="4">
        <v>46289.561668634262</v>
      </c>
      <c r="I316" s="4">
        <v>46289.593965856482</v>
      </c>
      <c r="J316" s="3">
        <f>ROUND((I316-H316)*1440,0)</f>
        <v>47</v>
      </c>
      <c r="K316" s="3" t="s">
        <v>1109</v>
      </c>
      <c r="L316" s="3" t="s">
        <v>22</v>
      </c>
      <c r="M316" s="3" t="s">
        <v>22</v>
      </c>
      <c r="N316" s="3" t="s">
        <v>23</v>
      </c>
      <c r="O316" s="3" t="s">
        <v>1110</v>
      </c>
    </row>
    <row r="317" spans="1:15" hidden="1" x14ac:dyDescent="0.75">
      <c r="A317" s="2">
        <v>46289</v>
      </c>
      <c r="B317" s="3" t="s">
        <v>1111</v>
      </c>
      <c r="C317" s="3" t="s">
        <v>1112</v>
      </c>
      <c r="D317" s="3" t="s">
        <v>27</v>
      </c>
      <c r="E317" s="3" t="s">
        <v>28</v>
      </c>
      <c r="F317" s="3" t="s">
        <v>1113</v>
      </c>
      <c r="G317" s="3" t="s">
        <v>1114</v>
      </c>
      <c r="H317" s="4">
        <v>46289.561708449073</v>
      </c>
      <c r="I317" s="4">
        <v>46289.722563194453</v>
      </c>
      <c r="J317" s="3">
        <f>ROUND((I317-H317)*1440,0)</f>
        <v>232</v>
      </c>
      <c r="K317" s="3" t="s">
        <v>1115</v>
      </c>
      <c r="L317" s="3" t="s">
        <v>77</v>
      </c>
      <c r="M317" s="3" t="s">
        <v>78</v>
      </c>
      <c r="N317" s="3" t="s">
        <v>23</v>
      </c>
      <c r="O317" s="3" t="s">
        <v>1116</v>
      </c>
    </row>
    <row r="318" spans="1:15" hidden="1" x14ac:dyDescent="0.75">
      <c r="A318" s="2">
        <v>46289</v>
      </c>
      <c r="B318" s="3" t="s">
        <v>1117</v>
      </c>
      <c r="C318" s="3" t="s">
        <v>1118</v>
      </c>
      <c r="D318" s="3" t="s">
        <v>17</v>
      </c>
      <c r="E318" s="3" t="s">
        <v>18</v>
      </c>
      <c r="F318" s="3" t="s">
        <v>17</v>
      </c>
      <c r="G318" s="3" t="s">
        <v>18</v>
      </c>
      <c r="H318" s="4">
        <v>46289.562436342603</v>
      </c>
      <c r="I318" s="4">
        <v>46289.944233912043</v>
      </c>
      <c r="J318" s="3">
        <f>ROUND((I318-H318)*1440,0)</f>
        <v>550</v>
      </c>
      <c r="K318" s="3" t="s">
        <v>1119</v>
      </c>
      <c r="L318" s="3" t="s">
        <v>43</v>
      </c>
      <c r="M318" s="3" t="s">
        <v>44</v>
      </c>
      <c r="N318" s="3" t="s">
        <v>23</v>
      </c>
      <c r="O318" s="3" t="s">
        <v>1120</v>
      </c>
    </row>
    <row r="319" spans="1:15" hidden="1" x14ac:dyDescent="0.75">
      <c r="A319" s="2">
        <v>46289</v>
      </c>
      <c r="B319" s="3" t="s">
        <v>1121</v>
      </c>
      <c r="C319" s="3" t="s">
        <v>1122</v>
      </c>
      <c r="D319" s="3" t="s">
        <v>27</v>
      </c>
      <c r="E319" s="3" t="s">
        <v>28</v>
      </c>
      <c r="F319" s="3" t="s">
        <v>182</v>
      </c>
      <c r="G319" s="3" t="s">
        <v>183</v>
      </c>
      <c r="H319" s="4">
        <v>46289.564462152783</v>
      </c>
      <c r="I319" s="4">
        <v>46289.658025231482</v>
      </c>
      <c r="J319" s="3">
        <f>ROUND((I319-H319)*1440,0)</f>
        <v>135</v>
      </c>
      <c r="K319" s="3" t="s">
        <v>743</v>
      </c>
      <c r="L319" s="3" t="s">
        <v>77</v>
      </c>
      <c r="M319" s="3" t="s">
        <v>78</v>
      </c>
      <c r="N319" s="3" t="s">
        <v>23</v>
      </c>
      <c r="O319" s="3" t="s">
        <v>744</v>
      </c>
    </row>
    <row r="320" spans="1:15" hidden="1" x14ac:dyDescent="0.75">
      <c r="A320" s="2">
        <v>46289</v>
      </c>
      <c r="B320" s="3" t="s">
        <v>1123</v>
      </c>
      <c r="C320" s="3" t="s">
        <v>1124</v>
      </c>
      <c r="D320" s="3" t="s">
        <v>82</v>
      </c>
      <c r="E320" s="3" t="s">
        <v>83</v>
      </c>
      <c r="F320" s="3" t="s">
        <v>400</v>
      </c>
      <c r="G320" s="3" t="s">
        <v>401</v>
      </c>
      <c r="H320" s="4">
        <v>46289.565710532414</v>
      </c>
      <c r="I320" s="4">
        <v>46289.658847453713</v>
      </c>
      <c r="J320" s="3">
        <f>ROUND((I320-H320)*1440,0)</f>
        <v>134</v>
      </c>
      <c r="K320" s="3" t="s">
        <v>1125</v>
      </c>
      <c r="L320" s="3" t="s">
        <v>36</v>
      </c>
      <c r="M320" s="3" t="s">
        <v>36</v>
      </c>
      <c r="N320" s="3" t="s">
        <v>23</v>
      </c>
      <c r="O320" s="3" t="s">
        <v>1126</v>
      </c>
    </row>
    <row r="321" spans="1:15" hidden="1" x14ac:dyDescent="0.75">
      <c r="A321" s="2">
        <v>46289</v>
      </c>
      <c r="B321" s="3" t="s">
        <v>1127</v>
      </c>
      <c r="C321" s="3" t="s">
        <v>1128</v>
      </c>
      <c r="D321" s="3" t="s">
        <v>615</v>
      </c>
      <c r="E321" s="3" t="s">
        <v>616</v>
      </c>
      <c r="F321" s="3" t="s">
        <v>19</v>
      </c>
      <c r="G321" s="3" t="s">
        <v>20</v>
      </c>
      <c r="H321" s="4">
        <v>46289.56854641204</v>
      </c>
      <c r="I321" s="4">
        <v>46289.677295601847</v>
      </c>
      <c r="J321" s="3">
        <f>ROUND((I321-H321)*1440,0)</f>
        <v>157</v>
      </c>
      <c r="K321" s="3" t="s">
        <v>1129</v>
      </c>
      <c r="L321" s="3" t="s">
        <v>22</v>
      </c>
      <c r="M321" s="3" t="s">
        <v>22</v>
      </c>
      <c r="N321" s="3" t="s">
        <v>23</v>
      </c>
      <c r="O321" s="3" t="s">
        <v>1130</v>
      </c>
    </row>
    <row r="322" spans="1:15" hidden="1" x14ac:dyDescent="0.75">
      <c r="A322" s="2">
        <v>46289</v>
      </c>
      <c r="B322" s="3" t="s">
        <v>1131</v>
      </c>
      <c r="C322" s="3" t="s">
        <v>1132</v>
      </c>
      <c r="D322" s="3" t="s">
        <v>17</v>
      </c>
      <c r="E322" s="3" t="s">
        <v>18</v>
      </c>
      <c r="F322" s="3" t="s">
        <v>304</v>
      </c>
      <c r="G322" s="3" t="s">
        <v>305</v>
      </c>
      <c r="H322" s="4">
        <v>46289.569284490739</v>
      </c>
      <c r="I322" s="4">
        <v>46289.797591550923</v>
      </c>
      <c r="J322" s="3">
        <f>ROUND((I322-H322)*1440,0)</f>
        <v>329</v>
      </c>
      <c r="K322" s="3" t="s">
        <v>497</v>
      </c>
      <c r="L322" s="3" t="s">
        <v>22</v>
      </c>
      <c r="M322" s="3" t="s">
        <v>22</v>
      </c>
      <c r="N322" s="3" t="s">
        <v>23</v>
      </c>
      <c r="O322" s="3" t="s">
        <v>498</v>
      </c>
    </row>
    <row r="323" spans="1:15" hidden="1" x14ac:dyDescent="0.75">
      <c r="A323" s="2">
        <v>46289</v>
      </c>
      <c r="B323" s="3" t="s">
        <v>1133</v>
      </c>
      <c r="C323" s="3" t="s">
        <v>1134</v>
      </c>
      <c r="D323" s="3" t="s">
        <v>17</v>
      </c>
      <c r="E323" s="3" t="s">
        <v>18</v>
      </c>
      <c r="F323" s="3" t="s">
        <v>122</v>
      </c>
      <c r="G323" s="3" t="s">
        <v>123</v>
      </c>
      <c r="H323" s="4">
        <v>46289.57097951389</v>
      </c>
      <c r="I323" s="4">
        <v>46289.796893287043</v>
      </c>
      <c r="J323" s="3">
        <f>ROUND((I323-H323)*1440,0)</f>
        <v>325</v>
      </c>
      <c r="K323" s="3" t="s">
        <v>567</v>
      </c>
      <c r="L323" s="3" t="s">
        <v>22</v>
      </c>
      <c r="M323" s="3" t="s">
        <v>22</v>
      </c>
      <c r="N323" s="3" t="s">
        <v>23</v>
      </c>
      <c r="O323" s="3" t="s">
        <v>568</v>
      </c>
    </row>
    <row r="324" spans="1:15" hidden="1" x14ac:dyDescent="0.75">
      <c r="A324" s="2">
        <v>46289</v>
      </c>
      <c r="B324" s="3" t="s">
        <v>1135</v>
      </c>
      <c r="C324" s="3" t="s">
        <v>1136</v>
      </c>
      <c r="D324" s="3" t="s">
        <v>17</v>
      </c>
      <c r="E324" s="3" t="s">
        <v>18</v>
      </c>
      <c r="F324" s="3"/>
      <c r="G324" s="3"/>
      <c r="H324" s="4">
        <v>46289.572644791668</v>
      </c>
      <c r="I324" s="4">
        <v>46289.604973032408</v>
      </c>
      <c r="J324" s="3">
        <f>ROUND((I324-H324)*1440,0)</f>
        <v>47</v>
      </c>
      <c r="K324" s="3" t="s">
        <v>154</v>
      </c>
      <c r="L324" s="3" t="s">
        <v>36</v>
      </c>
      <c r="M324" s="3" t="s">
        <v>36</v>
      </c>
      <c r="N324" s="3" t="s">
        <v>443</v>
      </c>
      <c r="O324" s="3" t="s">
        <v>155</v>
      </c>
    </row>
    <row r="325" spans="1:15" hidden="1" x14ac:dyDescent="0.75">
      <c r="A325" s="2">
        <v>46289</v>
      </c>
      <c r="B325" s="3" t="s">
        <v>1137</v>
      </c>
      <c r="C325" s="3" t="s">
        <v>1138</v>
      </c>
      <c r="D325" s="3" t="s">
        <v>56</v>
      </c>
      <c r="E325" s="3" t="s">
        <v>57</v>
      </c>
      <c r="F325" s="3" t="s">
        <v>304</v>
      </c>
      <c r="G325" s="3" t="s">
        <v>305</v>
      </c>
      <c r="H325" s="4">
        <v>46289.573268981483</v>
      </c>
      <c r="I325" s="4">
        <v>46289.774829166658</v>
      </c>
      <c r="J325" s="3">
        <f>ROUND((I325-H325)*1440,0)</f>
        <v>290</v>
      </c>
      <c r="K325" s="3" t="s">
        <v>547</v>
      </c>
      <c r="L325" s="3" t="s">
        <v>22</v>
      </c>
      <c r="M325" s="3" t="s">
        <v>22</v>
      </c>
      <c r="N325" s="3" t="s">
        <v>23</v>
      </c>
      <c r="O325" s="3" t="s">
        <v>548</v>
      </c>
    </row>
    <row r="326" spans="1:15" hidden="1" x14ac:dyDescent="0.75">
      <c r="A326" s="2">
        <v>46289</v>
      </c>
      <c r="B326" s="3" t="s">
        <v>1139</v>
      </c>
      <c r="C326" s="3" t="s">
        <v>1140</v>
      </c>
      <c r="D326" s="3" t="s">
        <v>17</v>
      </c>
      <c r="E326" s="3" t="s">
        <v>18</v>
      </c>
      <c r="F326" s="3" t="s">
        <v>27</v>
      </c>
      <c r="G326" s="3" t="s">
        <v>28</v>
      </c>
      <c r="H326" s="4">
        <v>46289.573645370372</v>
      </c>
      <c r="I326" s="4">
        <v>46289.608307175928</v>
      </c>
      <c r="J326" s="3">
        <f>ROUND((I326-H326)*1440,0)</f>
        <v>50</v>
      </c>
      <c r="K326" s="3" t="s">
        <v>224</v>
      </c>
      <c r="L326" s="3" t="s">
        <v>77</v>
      </c>
      <c r="M326" s="3" t="s">
        <v>78</v>
      </c>
      <c r="N326" s="3" t="s">
        <v>23</v>
      </c>
      <c r="O326" s="3" t="s">
        <v>225</v>
      </c>
    </row>
    <row r="327" spans="1:15" hidden="1" x14ac:dyDescent="0.75">
      <c r="A327" s="2">
        <v>46289</v>
      </c>
      <c r="B327" s="3" t="s">
        <v>1141</v>
      </c>
      <c r="C327" s="3" t="s">
        <v>1142</v>
      </c>
      <c r="D327" s="3" t="s">
        <v>17</v>
      </c>
      <c r="E327" s="3" t="s">
        <v>18</v>
      </c>
      <c r="F327" s="3" t="s">
        <v>615</v>
      </c>
      <c r="G327" s="3" t="s">
        <v>616</v>
      </c>
      <c r="H327" s="4">
        <v>46289.575058796298</v>
      </c>
      <c r="I327" s="4">
        <v>46289.719579398137</v>
      </c>
      <c r="J327" s="3">
        <f>ROUND((I327-H327)*1440,0)</f>
        <v>208</v>
      </c>
      <c r="K327" s="3" t="s">
        <v>1143</v>
      </c>
      <c r="L327" s="3" t="s">
        <v>22</v>
      </c>
      <c r="M327" s="3" t="s">
        <v>22</v>
      </c>
      <c r="N327" s="3" t="s">
        <v>45</v>
      </c>
      <c r="O327" s="3" t="s">
        <v>1144</v>
      </c>
    </row>
    <row r="328" spans="1:15" hidden="1" x14ac:dyDescent="0.75">
      <c r="A328" s="2">
        <v>46289</v>
      </c>
      <c r="B328" s="3" t="s">
        <v>1145</v>
      </c>
      <c r="C328" s="3" t="s">
        <v>1146</v>
      </c>
      <c r="D328" s="3" t="s">
        <v>82</v>
      </c>
      <c r="E328" s="3" t="s">
        <v>83</v>
      </c>
      <c r="F328" s="3" t="s">
        <v>264</v>
      </c>
      <c r="G328" s="3" t="s">
        <v>265</v>
      </c>
      <c r="H328" s="4">
        <v>46289.576911689823</v>
      </c>
      <c r="I328" s="4">
        <v>46289.759633564812</v>
      </c>
      <c r="J328" s="3">
        <f>ROUND((I328-H328)*1440,0)</f>
        <v>263</v>
      </c>
      <c r="K328" s="3" t="s">
        <v>1147</v>
      </c>
      <c r="L328" s="3" t="s">
        <v>22</v>
      </c>
      <c r="M328" s="3" t="s">
        <v>22</v>
      </c>
      <c r="N328" s="3" t="s">
        <v>23</v>
      </c>
      <c r="O328" s="3" t="s">
        <v>1148</v>
      </c>
    </row>
    <row r="329" spans="1:15" hidden="1" x14ac:dyDescent="0.75">
      <c r="A329" s="2">
        <v>46289</v>
      </c>
      <c r="B329" s="3" t="s">
        <v>1149</v>
      </c>
      <c r="C329" s="3" t="s">
        <v>1150</v>
      </c>
      <c r="D329" s="3" t="s">
        <v>82</v>
      </c>
      <c r="E329" s="3" t="s">
        <v>83</v>
      </c>
      <c r="F329" s="3" t="s">
        <v>17</v>
      </c>
      <c r="G329" s="3" t="s">
        <v>18</v>
      </c>
      <c r="H329" s="4">
        <v>46289.577806365742</v>
      </c>
      <c r="I329" s="4">
        <v>46289.661483217591</v>
      </c>
      <c r="J329" s="3">
        <f>ROUND((I329-H329)*1440,0)</f>
        <v>120</v>
      </c>
      <c r="K329" s="3" t="s">
        <v>188</v>
      </c>
      <c r="L329" s="3" t="s">
        <v>22</v>
      </c>
      <c r="M329" s="3" t="s">
        <v>22</v>
      </c>
      <c r="N329" s="3" t="s">
        <v>23</v>
      </c>
      <c r="O329" s="3" t="s">
        <v>189</v>
      </c>
    </row>
    <row r="330" spans="1:15" hidden="1" x14ac:dyDescent="0.75">
      <c r="A330" s="2">
        <v>46289</v>
      </c>
      <c r="B330" s="3" t="s">
        <v>1151</v>
      </c>
      <c r="C330" s="3" t="s">
        <v>1152</v>
      </c>
      <c r="D330" s="3" t="s">
        <v>182</v>
      </c>
      <c r="E330" s="3" t="s">
        <v>183</v>
      </c>
      <c r="F330" s="3" t="s">
        <v>17</v>
      </c>
      <c r="G330" s="3" t="s">
        <v>18</v>
      </c>
      <c r="H330" s="4">
        <v>46289.579358680552</v>
      </c>
      <c r="I330" s="4">
        <v>46289.652955902777</v>
      </c>
      <c r="J330" s="3">
        <f>ROUND((I330-H330)*1440,0)</f>
        <v>106</v>
      </c>
      <c r="K330" s="3" t="s">
        <v>184</v>
      </c>
      <c r="L330" s="3" t="s">
        <v>77</v>
      </c>
      <c r="M330" s="3" t="s">
        <v>78</v>
      </c>
      <c r="N330" s="3" t="s">
        <v>23</v>
      </c>
      <c r="O330" s="3" t="s">
        <v>185</v>
      </c>
    </row>
    <row r="331" spans="1:15" hidden="1" x14ac:dyDescent="0.75">
      <c r="A331" s="2">
        <v>46289</v>
      </c>
      <c r="B331" s="3" t="s">
        <v>1153</v>
      </c>
      <c r="C331" s="3" t="s">
        <v>1154</v>
      </c>
      <c r="D331" s="3" t="s">
        <v>17</v>
      </c>
      <c r="E331" s="3" t="s">
        <v>18</v>
      </c>
      <c r="F331" s="3"/>
      <c r="G331" s="3"/>
      <c r="H331" s="4">
        <v>46289.582028356483</v>
      </c>
      <c r="I331" s="4">
        <v>46289.615166203701</v>
      </c>
      <c r="J331" s="3">
        <f>ROUND((I331-H331)*1440,0)</f>
        <v>48</v>
      </c>
      <c r="K331" s="3" t="s">
        <v>529</v>
      </c>
      <c r="L331" s="3" t="s">
        <v>77</v>
      </c>
      <c r="M331" s="3" t="s">
        <v>78</v>
      </c>
      <c r="N331" s="3" t="s">
        <v>443</v>
      </c>
      <c r="O331" s="3" t="s">
        <v>530</v>
      </c>
    </row>
    <row r="332" spans="1:15" hidden="1" x14ac:dyDescent="0.75">
      <c r="A332" s="2">
        <v>46289</v>
      </c>
      <c r="B332" s="3" t="s">
        <v>1155</v>
      </c>
      <c r="C332" s="3" t="s">
        <v>1156</v>
      </c>
      <c r="D332" s="3" t="s">
        <v>56</v>
      </c>
      <c r="E332" s="3" t="s">
        <v>57</v>
      </c>
      <c r="F332" s="3" t="s">
        <v>208</v>
      </c>
      <c r="G332" s="3" t="s">
        <v>209</v>
      </c>
      <c r="H332" s="4">
        <v>46289.582401388892</v>
      </c>
      <c r="I332" s="4">
        <v>46289.684205092592</v>
      </c>
      <c r="J332" s="3">
        <f>ROUND((I332-H332)*1440,0)</f>
        <v>147</v>
      </c>
      <c r="K332" s="3" t="s">
        <v>1157</v>
      </c>
      <c r="L332" s="3" t="s">
        <v>36</v>
      </c>
      <c r="M332" s="3" t="s">
        <v>36</v>
      </c>
      <c r="N332" s="3" t="s">
        <v>23</v>
      </c>
      <c r="O332" s="3" t="s">
        <v>1158</v>
      </c>
    </row>
    <row r="333" spans="1:15" hidden="1" x14ac:dyDescent="0.75">
      <c r="A333" s="2">
        <v>46289</v>
      </c>
      <c r="B333" s="3" t="s">
        <v>1159</v>
      </c>
      <c r="C333" s="3" t="s">
        <v>1160</v>
      </c>
      <c r="D333" s="3" t="s">
        <v>218</v>
      </c>
      <c r="E333" s="3" t="s">
        <v>219</v>
      </c>
      <c r="F333" s="3" t="s">
        <v>27</v>
      </c>
      <c r="G333" s="3" t="s">
        <v>28</v>
      </c>
      <c r="H333" s="4">
        <v>46289.583439004629</v>
      </c>
      <c r="I333" s="4">
        <v>46289.6425431713</v>
      </c>
      <c r="J333" s="3">
        <f>ROUND((I333-H333)*1440,0)</f>
        <v>85</v>
      </c>
      <c r="K333" s="3" t="s">
        <v>1161</v>
      </c>
      <c r="L333" s="3" t="s">
        <v>77</v>
      </c>
      <c r="M333" s="3" t="s">
        <v>78</v>
      </c>
      <c r="N333" s="3" t="s">
        <v>23</v>
      </c>
      <c r="O333" s="3" t="s">
        <v>1162</v>
      </c>
    </row>
    <row r="334" spans="1:15" hidden="1" x14ac:dyDescent="0.75">
      <c r="A334" s="2">
        <v>46289</v>
      </c>
      <c r="B334" s="3" t="s">
        <v>1163</v>
      </c>
      <c r="C334" s="3" t="s">
        <v>1164</v>
      </c>
      <c r="D334" s="3" t="s">
        <v>17</v>
      </c>
      <c r="E334" s="3" t="s">
        <v>18</v>
      </c>
      <c r="F334" s="3"/>
      <c r="G334" s="3"/>
      <c r="H334" s="4">
        <v>46289.583806134258</v>
      </c>
      <c r="I334" s="4">
        <v>46289.686893171303</v>
      </c>
      <c r="J334" s="3">
        <f>ROUND((I334-H334)*1440,0)</f>
        <v>148</v>
      </c>
      <c r="K334" s="3" t="s">
        <v>1165</v>
      </c>
      <c r="L334" s="3" t="s">
        <v>22</v>
      </c>
      <c r="M334" s="3" t="s">
        <v>22</v>
      </c>
      <c r="N334" s="3" t="s">
        <v>443</v>
      </c>
      <c r="O334" s="3" t="s">
        <v>1166</v>
      </c>
    </row>
    <row r="335" spans="1:15" hidden="1" x14ac:dyDescent="0.75">
      <c r="A335" s="2">
        <v>46289</v>
      </c>
      <c r="B335" s="3" t="s">
        <v>1167</v>
      </c>
      <c r="C335" s="3" t="s">
        <v>1168</v>
      </c>
      <c r="D335" s="3" t="s">
        <v>84</v>
      </c>
      <c r="E335" s="3" t="s">
        <v>85</v>
      </c>
      <c r="F335" s="3" t="s">
        <v>56</v>
      </c>
      <c r="G335" s="3" t="s">
        <v>57</v>
      </c>
      <c r="H335" s="4">
        <v>46289.585624421299</v>
      </c>
      <c r="I335" s="4">
        <v>46289.690371759258</v>
      </c>
      <c r="J335" s="3">
        <f>ROUND((I335-H335)*1440,0)</f>
        <v>151</v>
      </c>
      <c r="K335" s="3" t="s">
        <v>645</v>
      </c>
      <c r="L335" s="3" t="s">
        <v>36</v>
      </c>
      <c r="M335" s="3" t="s">
        <v>36</v>
      </c>
      <c r="N335" s="3" t="s">
        <v>23</v>
      </c>
      <c r="O335" s="3" t="s">
        <v>646</v>
      </c>
    </row>
    <row r="336" spans="1:15" hidden="1" x14ac:dyDescent="0.75">
      <c r="A336" s="2">
        <v>46289</v>
      </c>
      <c r="B336" s="3" t="s">
        <v>1169</v>
      </c>
      <c r="C336" s="3" t="s">
        <v>1170</v>
      </c>
      <c r="D336" s="3" t="s">
        <v>27</v>
      </c>
      <c r="E336" s="3" t="s">
        <v>28</v>
      </c>
      <c r="F336" s="3" t="s">
        <v>459</v>
      </c>
      <c r="G336" s="3" t="s">
        <v>460</v>
      </c>
      <c r="H336" s="4">
        <v>46289.586518865741</v>
      </c>
      <c r="I336" s="4">
        <v>46289.812593518523</v>
      </c>
      <c r="J336" s="3">
        <f>ROUND((I336-H336)*1440,0)</f>
        <v>326</v>
      </c>
      <c r="K336" s="3" t="s">
        <v>533</v>
      </c>
      <c r="L336" s="3" t="s">
        <v>43</v>
      </c>
      <c r="M336" s="3" t="s">
        <v>44</v>
      </c>
      <c r="N336" s="3" t="s">
        <v>23</v>
      </c>
      <c r="O336" s="3" t="s">
        <v>534</v>
      </c>
    </row>
    <row r="337" spans="1:15" hidden="1" x14ac:dyDescent="0.75">
      <c r="A337" s="2">
        <v>46289</v>
      </c>
      <c r="B337" s="3" t="s">
        <v>1171</v>
      </c>
      <c r="C337" s="3" t="s">
        <v>1172</v>
      </c>
      <c r="D337" s="3" t="s">
        <v>615</v>
      </c>
      <c r="E337" s="3" t="s">
        <v>616</v>
      </c>
      <c r="F337" s="3" t="s">
        <v>100</v>
      </c>
      <c r="G337" s="3" t="s">
        <v>101</v>
      </c>
      <c r="H337" s="4">
        <v>46289.587234837963</v>
      </c>
      <c r="I337" s="4">
        <v>46289.703491898152</v>
      </c>
      <c r="J337" s="3">
        <f>ROUND((I337-H337)*1440,0)</f>
        <v>167</v>
      </c>
      <c r="K337" s="3" t="s">
        <v>715</v>
      </c>
      <c r="L337" s="3" t="s">
        <v>36</v>
      </c>
      <c r="M337" s="3" t="s">
        <v>36</v>
      </c>
      <c r="N337" s="3" t="s">
        <v>45</v>
      </c>
      <c r="O337" s="3" t="s">
        <v>716</v>
      </c>
    </row>
    <row r="338" spans="1:15" hidden="1" x14ac:dyDescent="0.75">
      <c r="A338" s="2">
        <v>46289</v>
      </c>
      <c r="B338" s="3" t="s">
        <v>1173</v>
      </c>
      <c r="C338" s="3" t="s">
        <v>1174</v>
      </c>
      <c r="D338" s="3" t="s">
        <v>27</v>
      </c>
      <c r="E338" s="3" t="s">
        <v>28</v>
      </c>
      <c r="F338" s="3" t="s">
        <v>158</v>
      </c>
      <c r="G338" s="3" t="s">
        <v>159</v>
      </c>
      <c r="H338" s="4">
        <v>46289.587423495374</v>
      </c>
      <c r="I338" s="4">
        <v>46289.634484259259</v>
      </c>
      <c r="J338" s="3">
        <f>ROUND((I338-H338)*1440,0)</f>
        <v>68</v>
      </c>
      <c r="K338" s="3" t="s">
        <v>477</v>
      </c>
      <c r="L338" s="3" t="s">
        <v>77</v>
      </c>
      <c r="M338" s="3" t="s">
        <v>78</v>
      </c>
      <c r="N338" s="3" t="s">
        <v>23</v>
      </c>
      <c r="O338" s="3" t="s">
        <v>478</v>
      </c>
    </row>
    <row r="339" spans="1:15" hidden="1" x14ac:dyDescent="0.75">
      <c r="A339" s="2">
        <v>46289</v>
      </c>
      <c r="B339" s="3" t="s">
        <v>1175</v>
      </c>
      <c r="C339" s="3" t="s">
        <v>1176</v>
      </c>
      <c r="D339" s="3" t="s">
        <v>27</v>
      </c>
      <c r="E339" s="3" t="s">
        <v>28</v>
      </c>
      <c r="F339" s="3" t="s">
        <v>17</v>
      </c>
      <c r="G339" s="3" t="s">
        <v>18</v>
      </c>
      <c r="H339" s="4">
        <v>46289.588237615739</v>
      </c>
      <c r="I339" s="4">
        <v>46289.624516319447</v>
      </c>
      <c r="J339" s="3">
        <f>ROUND((I339-H339)*1440,0)</f>
        <v>52</v>
      </c>
      <c r="K339" s="3" t="s">
        <v>1177</v>
      </c>
      <c r="L339" s="3" t="s">
        <v>77</v>
      </c>
      <c r="M339" s="3" t="s">
        <v>78</v>
      </c>
      <c r="N339" s="3" t="s">
        <v>23</v>
      </c>
      <c r="O339" s="3" t="s">
        <v>1178</v>
      </c>
    </row>
    <row r="340" spans="1:15" hidden="1" x14ac:dyDescent="0.75">
      <c r="A340" s="2">
        <v>46289</v>
      </c>
      <c r="B340" s="3" t="s">
        <v>1179</v>
      </c>
      <c r="C340" s="3" t="s">
        <v>1180</v>
      </c>
      <c r="D340" s="3" t="s">
        <v>264</v>
      </c>
      <c r="E340" s="3" t="s">
        <v>265</v>
      </c>
      <c r="F340" s="3" t="s">
        <v>56</v>
      </c>
      <c r="G340" s="3" t="s">
        <v>57</v>
      </c>
      <c r="H340" s="4">
        <v>46289.588781712962</v>
      </c>
      <c r="I340" s="4">
        <v>46289.777084490743</v>
      </c>
      <c r="J340" s="3">
        <f>ROUND((I340-H340)*1440,0)</f>
        <v>271</v>
      </c>
      <c r="K340" s="3" t="s">
        <v>1181</v>
      </c>
      <c r="L340" s="3" t="s">
        <v>22</v>
      </c>
      <c r="M340" s="3" t="s">
        <v>22</v>
      </c>
      <c r="N340" s="3" t="s">
        <v>23</v>
      </c>
      <c r="O340" s="3" t="s">
        <v>1182</v>
      </c>
    </row>
    <row r="341" spans="1:15" hidden="1" x14ac:dyDescent="0.75">
      <c r="A341" s="2">
        <v>46289</v>
      </c>
      <c r="B341" s="3" t="s">
        <v>1183</v>
      </c>
      <c r="C341" s="3" t="s">
        <v>1184</v>
      </c>
      <c r="D341" s="3" t="s">
        <v>244</v>
      </c>
      <c r="E341" s="3" t="s">
        <v>245</v>
      </c>
      <c r="F341" s="3" t="s">
        <v>82</v>
      </c>
      <c r="G341" s="3" t="s">
        <v>83</v>
      </c>
      <c r="H341" s="4">
        <v>46289.58883148148</v>
      </c>
      <c r="I341" s="4">
        <v>46289.692303009258</v>
      </c>
      <c r="J341" s="3">
        <f>ROUND((I341-H341)*1440,0)</f>
        <v>149</v>
      </c>
      <c r="K341" s="3" t="s">
        <v>1185</v>
      </c>
      <c r="L341" s="3" t="s">
        <v>36</v>
      </c>
      <c r="M341" s="3" t="s">
        <v>36</v>
      </c>
      <c r="N341" s="3" t="s">
        <v>23</v>
      </c>
      <c r="O341" s="3" t="s">
        <v>1186</v>
      </c>
    </row>
    <row r="342" spans="1:15" hidden="1" x14ac:dyDescent="0.75">
      <c r="A342" s="2">
        <v>46289</v>
      </c>
      <c r="B342" s="3" t="s">
        <v>1187</v>
      </c>
      <c r="C342" s="3" t="s">
        <v>1188</v>
      </c>
      <c r="D342" s="3" t="s">
        <v>56</v>
      </c>
      <c r="E342" s="3" t="s">
        <v>57</v>
      </c>
      <c r="F342" s="3" t="s">
        <v>142</v>
      </c>
      <c r="G342" s="3" t="s">
        <v>143</v>
      </c>
      <c r="H342" s="4">
        <v>46289.589242476854</v>
      </c>
      <c r="I342" s="4">
        <v>46289.68990578704</v>
      </c>
      <c r="J342" s="3">
        <f>ROUND((I342-H342)*1440,0)</f>
        <v>145</v>
      </c>
      <c r="K342" s="3" t="s">
        <v>310</v>
      </c>
      <c r="L342" s="3" t="s">
        <v>36</v>
      </c>
      <c r="M342" s="3" t="s">
        <v>36</v>
      </c>
      <c r="N342" s="3" t="s">
        <v>23</v>
      </c>
      <c r="O342" s="3" t="s">
        <v>311</v>
      </c>
    </row>
    <row r="343" spans="1:15" hidden="1" x14ac:dyDescent="0.75">
      <c r="A343" s="2">
        <v>46289</v>
      </c>
      <c r="B343" s="3" t="s">
        <v>1189</v>
      </c>
      <c r="C343" s="3" t="s">
        <v>1190</v>
      </c>
      <c r="D343" s="3" t="s">
        <v>58</v>
      </c>
      <c r="E343" s="3" t="s">
        <v>59</v>
      </c>
      <c r="F343" s="3" t="s">
        <v>615</v>
      </c>
      <c r="G343" s="3" t="s">
        <v>616</v>
      </c>
      <c r="H343" s="4">
        <v>46289.591193171298</v>
      </c>
      <c r="I343" s="4">
        <v>46289.734964583331</v>
      </c>
      <c r="J343" s="3">
        <f>ROUND((I343-H343)*1440,0)</f>
        <v>207</v>
      </c>
      <c r="K343" s="3" t="s">
        <v>1191</v>
      </c>
      <c r="L343" s="3" t="s">
        <v>36</v>
      </c>
      <c r="M343" s="3" t="s">
        <v>36</v>
      </c>
      <c r="N343" s="3" t="s">
        <v>45</v>
      </c>
      <c r="O343" s="3" t="s">
        <v>1192</v>
      </c>
    </row>
    <row r="344" spans="1:15" hidden="1" x14ac:dyDescent="0.75">
      <c r="A344" s="2">
        <v>46289</v>
      </c>
      <c r="B344" s="3" t="s">
        <v>1193</v>
      </c>
      <c r="C344" s="3" t="s">
        <v>1194</v>
      </c>
      <c r="D344" s="3" t="s">
        <v>17</v>
      </c>
      <c r="E344" s="3" t="s">
        <v>18</v>
      </c>
      <c r="F344" s="3" t="s">
        <v>1195</v>
      </c>
      <c r="G344" s="3" t="s">
        <v>1196</v>
      </c>
      <c r="H344" s="4">
        <v>46289.592429282413</v>
      </c>
      <c r="I344" s="4">
        <v>46289.779685300928</v>
      </c>
      <c r="J344" s="3">
        <f>ROUND((I344-H344)*1440,0)</f>
        <v>270</v>
      </c>
      <c r="K344" s="3" t="s">
        <v>292</v>
      </c>
      <c r="L344" s="3" t="s">
        <v>36</v>
      </c>
      <c r="M344" s="3" t="s">
        <v>36</v>
      </c>
      <c r="N344" s="3" t="s">
        <v>23</v>
      </c>
      <c r="O344" s="3" t="s">
        <v>293</v>
      </c>
    </row>
    <row r="345" spans="1:15" hidden="1" x14ac:dyDescent="0.75">
      <c r="A345" s="2">
        <v>46289</v>
      </c>
      <c r="B345" s="3" t="s">
        <v>1197</v>
      </c>
      <c r="C345" s="3" t="s">
        <v>1198</v>
      </c>
      <c r="D345" s="3" t="s">
        <v>27</v>
      </c>
      <c r="E345" s="3" t="s">
        <v>28</v>
      </c>
      <c r="F345" s="3" t="s">
        <v>122</v>
      </c>
      <c r="G345" s="3" t="s">
        <v>123</v>
      </c>
      <c r="H345" s="4">
        <v>46289.592629861108</v>
      </c>
      <c r="I345" s="4">
        <v>46289.836335069442</v>
      </c>
      <c r="J345" s="3">
        <f>ROUND((I345-H345)*1440,0)</f>
        <v>351</v>
      </c>
      <c r="K345" s="3" t="s">
        <v>1199</v>
      </c>
      <c r="L345" s="3" t="s">
        <v>22</v>
      </c>
      <c r="M345" s="3" t="s">
        <v>22</v>
      </c>
      <c r="N345" s="3" t="s">
        <v>23</v>
      </c>
      <c r="O345" s="3" t="s">
        <v>1200</v>
      </c>
    </row>
    <row r="346" spans="1:15" hidden="1" x14ac:dyDescent="0.75">
      <c r="A346" s="2">
        <v>46289</v>
      </c>
      <c r="B346" s="3" t="s">
        <v>1201</v>
      </c>
      <c r="C346" s="3" t="s">
        <v>1202</v>
      </c>
      <c r="D346" s="3" t="s">
        <v>304</v>
      </c>
      <c r="E346" s="3" t="s">
        <v>305</v>
      </c>
      <c r="F346" s="3" t="s">
        <v>17</v>
      </c>
      <c r="G346" s="3" t="s">
        <v>18</v>
      </c>
      <c r="H346" s="4">
        <v>46289.594258680547</v>
      </c>
      <c r="I346" s="4">
        <v>46289.809434027768</v>
      </c>
      <c r="J346" s="3">
        <f>ROUND((I346-H346)*1440,0)</f>
        <v>310</v>
      </c>
      <c r="K346" s="3" t="s">
        <v>1203</v>
      </c>
      <c r="L346" s="3" t="s">
        <v>22</v>
      </c>
      <c r="M346" s="3" t="s">
        <v>22</v>
      </c>
      <c r="N346" s="3" t="s">
        <v>23</v>
      </c>
      <c r="O346" s="3" t="s">
        <v>1204</v>
      </c>
    </row>
    <row r="347" spans="1:15" hidden="1" x14ac:dyDescent="0.75">
      <c r="A347" s="2">
        <v>46289</v>
      </c>
      <c r="B347" s="3" t="s">
        <v>1205</v>
      </c>
      <c r="C347" s="3" t="s">
        <v>1206</v>
      </c>
      <c r="D347" s="3" t="s">
        <v>82</v>
      </c>
      <c r="E347" s="3" t="s">
        <v>83</v>
      </c>
      <c r="F347" s="3" t="s">
        <v>1207</v>
      </c>
      <c r="G347" s="3" t="s">
        <v>1208</v>
      </c>
      <c r="H347" s="4">
        <v>46289.594750578697</v>
      </c>
      <c r="I347" s="4">
        <v>46289.689235995371</v>
      </c>
      <c r="J347" s="3">
        <f>ROUND((I347-H347)*1440,0)</f>
        <v>136</v>
      </c>
      <c r="K347" s="3" t="s">
        <v>617</v>
      </c>
      <c r="L347" s="3" t="s">
        <v>36</v>
      </c>
      <c r="M347" s="3" t="s">
        <v>36</v>
      </c>
      <c r="N347" s="3" t="s">
        <v>23</v>
      </c>
      <c r="O347" s="3" t="s">
        <v>618</v>
      </c>
    </row>
    <row r="348" spans="1:15" hidden="1" x14ac:dyDescent="0.75">
      <c r="A348" s="2">
        <v>46289</v>
      </c>
      <c r="B348" s="3" t="s">
        <v>1209</v>
      </c>
      <c r="C348" s="3" t="s">
        <v>1210</v>
      </c>
      <c r="D348" s="3" t="s">
        <v>82</v>
      </c>
      <c r="E348" s="3" t="s">
        <v>83</v>
      </c>
      <c r="F348" s="3" t="s">
        <v>615</v>
      </c>
      <c r="G348" s="3" t="s">
        <v>616</v>
      </c>
      <c r="H348" s="4">
        <v>46289.596085648147</v>
      </c>
      <c r="I348" s="4">
        <v>46289.700893634261</v>
      </c>
      <c r="J348" s="3">
        <f>ROUND((I348-H348)*1440,0)</f>
        <v>151</v>
      </c>
      <c r="K348" s="3" t="s">
        <v>1211</v>
      </c>
      <c r="L348" s="3" t="s">
        <v>36</v>
      </c>
      <c r="M348" s="3" t="s">
        <v>36</v>
      </c>
      <c r="N348" s="3" t="s">
        <v>45</v>
      </c>
      <c r="O348" s="3" t="s">
        <v>1212</v>
      </c>
    </row>
    <row r="349" spans="1:15" hidden="1" x14ac:dyDescent="0.75">
      <c r="A349" s="2">
        <v>46289</v>
      </c>
      <c r="B349" s="3" t="s">
        <v>1213</v>
      </c>
      <c r="C349" s="3" t="s">
        <v>1214</v>
      </c>
      <c r="D349" s="3" t="s">
        <v>17</v>
      </c>
      <c r="E349" s="3" t="s">
        <v>18</v>
      </c>
      <c r="F349" s="3"/>
      <c r="G349" s="3"/>
      <c r="H349" s="4">
        <v>46289.596707291668</v>
      </c>
      <c r="I349" s="4">
        <v>46289.629135300929</v>
      </c>
      <c r="J349" s="3">
        <f>ROUND((I349-H349)*1440,0)</f>
        <v>47</v>
      </c>
      <c r="K349" s="3" t="s">
        <v>1215</v>
      </c>
      <c r="L349" s="3" t="s">
        <v>22</v>
      </c>
      <c r="M349" s="3" t="s">
        <v>22</v>
      </c>
      <c r="N349" s="3" t="s">
        <v>443</v>
      </c>
      <c r="O349" s="3" t="s">
        <v>1216</v>
      </c>
    </row>
    <row r="350" spans="1:15" hidden="1" x14ac:dyDescent="0.75">
      <c r="A350" s="2">
        <v>46289</v>
      </c>
      <c r="B350" s="3" t="s">
        <v>1217</v>
      </c>
      <c r="C350" s="3" t="s">
        <v>1218</v>
      </c>
      <c r="D350" s="3" t="s">
        <v>27</v>
      </c>
      <c r="E350" s="3" t="s">
        <v>28</v>
      </c>
      <c r="F350" s="3" t="s">
        <v>142</v>
      </c>
      <c r="G350" s="3" t="s">
        <v>143</v>
      </c>
      <c r="H350" s="4">
        <v>46289.598361921293</v>
      </c>
      <c r="I350" s="4">
        <v>46289.760104629633</v>
      </c>
      <c r="J350" s="3">
        <f>ROUND((I350-H350)*1440,0)</f>
        <v>233</v>
      </c>
      <c r="K350" s="3" t="s">
        <v>629</v>
      </c>
      <c r="L350" s="3" t="s">
        <v>77</v>
      </c>
      <c r="M350" s="3" t="s">
        <v>78</v>
      </c>
      <c r="N350" s="3" t="s">
        <v>23</v>
      </c>
      <c r="O350" s="3" t="s">
        <v>630</v>
      </c>
    </row>
    <row r="351" spans="1:15" hidden="1" x14ac:dyDescent="0.75">
      <c r="A351" s="2">
        <v>46289</v>
      </c>
      <c r="B351" s="3" t="s">
        <v>1219</v>
      </c>
      <c r="C351" s="3" t="s">
        <v>1220</v>
      </c>
      <c r="D351" s="3" t="s">
        <v>17</v>
      </c>
      <c r="E351" s="3" t="s">
        <v>18</v>
      </c>
      <c r="F351" s="3" t="s">
        <v>56</v>
      </c>
      <c r="G351" s="3" t="s">
        <v>57</v>
      </c>
      <c r="H351" s="4">
        <v>46289.59907708333</v>
      </c>
      <c r="I351" s="4">
        <v>46289.705155902782</v>
      </c>
      <c r="J351" s="3">
        <f>ROUND((I351-H351)*1440,0)</f>
        <v>153</v>
      </c>
      <c r="K351" s="3" t="s">
        <v>1221</v>
      </c>
      <c r="L351" s="3" t="s">
        <v>36</v>
      </c>
      <c r="M351" s="3" t="s">
        <v>36</v>
      </c>
      <c r="N351" s="3" t="s">
        <v>23</v>
      </c>
      <c r="O351" s="3" t="s">
        <v>1222</v>
      </c>
    </row>
    <row r="352" spans="1:15" hidden="1" x14ac:dyDescent="0.75">
      <c r="A352" s="2">
        <v>46289</v>
      </c>
      <c r="B352" s="3" t="s">
        <v>1223</v>
      </c>
      <c r="C352" s="3" t="s">
        <v>1224</v>
      </c>
      <c r="D352" s="3" t="s">
        <v>56</v>
      </c>
      <c r="E352" s="3" t="s">
        <v>57</v>
      </c>
      <c r="F352" s="3" t="s">
        <v>49</v>
      </c>
      <c r="G352" s="3" t="s">
        <v>50</v>
      </c>
      <c r="H352" s="4">
        <v>46289.600735416658</v>
      </c>
      <c r="I352" s="4">
        <v>46289.699555555548</v>
      </c>
      <c r="J352" s="3">
        <f>ROUND((I352-H352)*1440,0)</f>
        <v>142</v>
      </c>
      <c r="K352" s="3" t="s">
        <v>641</v>
      </c>
      <c r="L352" s="3" t="s">
        <v>36</v>
      </c>
      <c r="M352" s="3" t="s">
        <v>36</v>
      </c>
      <c r="N352" s="3" t="s">
        <v>23</v>
      </c>
      <c r="O352" s="3" t="s">
        <v>642</v>
      </c>
    </row>
    <row r="353" spans="1:15" hidden="1" x14ac:dyDescent="0.75">
      <c r="A353" s="2">
        <v>46289</v>
      </c>
      <c r="B353" s="3" t="s">
        <v>1225</v>
      </c>
      <c r="C353" s="3" t="s">
        <v>1226</v>
      </c>
      <c r="D353" s="3" t="s">
        <v>106</v>
      </c>
      <c r="E353" s="3" t="s">
        <v>107</v>
      </c>
      <c r="F353" s="3" t="s">
        <v>27</v>
      </c>
      <c r="G353" s="3" t="s">
        <v>28</v>
      </c>
      <c r="H353" s="4">
        <v>46289.600766782409</v>
      </c>
      <c r="I353" s="4">
        <v>46289.689520486107</v>
      </c>
      <c r="J353" s="3">
        <f>ROUND((I353-H353)*1440,0)</f>
        <v>128</v>
      </c>
      <c r="K353" s="3" t="s">
        <v>697</v>
      </c>
      <c r="L353" s="3" t="s">
        <v>77</v>
      </c>
      <c r="M353" s="3" t="s">
        <v>78</v>
      </c>
      <c r="N353" s="3" t="s">
        <v>23</v>
      </c>
      <c r="O353" s="3" t="s">
        <v>698</v>
      </c>
    </row>
    <row r="354" spans="1:15" hidden="1" x14ac:dyDescent="0.75">
      <c r="A354" s="2">
        <v>46289</v>
      </c>
      <c r="B354" s="3" t="s">
        <v>1227</v>
      </c>
      <c r="C354" s="3" t="s">
        <v>1228</v>
      </c>
      <c r="D354" s="3" t="s">
        <v>17</v>
      </c>
      <c r="E354" s="3" t="s">
        <v>18</v>
      </c>
      <c r="F354" s="3"/>
      <c r="G354" s="3"/>
      <c r="H354" s="4">
        <v>46289.602046064807</v>
      </c>
      <c r="I354" s="4">
        <v>46289.636747453696</v>
      </c>
      <c r="J354" s="3">
        <f>ROUND((I354-H354)*1440,0)</f>
        <v>50</v>
      </c>
      <c r="K354" s="3" t="s">
        <v>1229</v>
      </c>
      <c r="L354" s="3" t="s">
        <v>77</v>
      </c>
      <c r="M354" s="3" t="s">
        <v>78</v>
      </c>
      <c r="N354" s="3" t="s">
        <v>443</v>
      </c>
      <c r="O354" s="3" t="s">
        <v>1230</v>
      </c>
    </row>
    <row r="355" spans="1:15" hidden="1" x14ac:dyDescent="0.75">
      <c r="A355" s="2">
        <v>46289</v>
      </c>
      <c r="B355" s="3" t="s">
        <v>1231</v>
      </c>
      <c r="C355" s="3" t="s">
        <v>1232</v>
      </c>
      <c r="D355" s="3" t="s">
        <v>82</v>
      </c>
      <c r="E355" s="3" t="s">
        <v>83</v>
      </c>
      <c r="F355" s="3" t="s">
        <v>27</v>
      </c>
      <c r="G355" s="3" t="s">
        <v>28</v>
      </c>
      <c r="H355" s="4">
        <v>46289.60345949074</v>
      </c>
      <c r="I355" s="4">
        <v>46289.699459953707</v>
      </c>
      <c r="J355" s="3">
        <f>ROUND((I355-H355)*1440,0)</f>
        <v>138</v>
      </c>
      <c r="K355" s="3" t="s">
        <v>1233</v>
      </c>
      <c r="L355" s="3" t="s">
        <v>22</v>
      </c>
      <c r="M355" s="3" t="s">
        <v>22</v>
      </c>
      <c r="N355" s="3" t="s">
        <v>23</v>
      </c>
      <c r="O355" s="3" t="s">
        <v>1234</v>
      </c>
    </row>
    <row r="356" spans="1:15" hidden="1" x14ac:dyDescent="0.75">
      <c r="A356" s="2">
        <v>46289</v>
      </c>
      <c r="B356" s="3" t="s">
        <v>1235</v>
      </c>
      <c r="C356" s="3" t="s">
        <v>1236</v>
      </c>
      <c r="D356" s="3" t="s">
        <v>17</v>
      </c>
      <c r="E356" s="3" t="s">
        <v>18</v>
      </c>
      <c r="F356" s="3" t="s">
        <v>264</v>
      </c>
      <c r="G356" s="3" t="s">
        <v>265</v>
      </c>
      <c r="H356" s="4">
        <v>46289.6059306713</v>
      </c>
      <c r="I356" s="4">
        <v>46289.828882291673</v>
      </c>
      <c r="J356" s="3">
        <f>ROUND((I356-H356)*1440,0)</f>
        <v>321</v>
      </c>
      <c r="K356" s="3" t="s">
        <v>1237</v>
      </c>
      <c r="L356" s="3" t="s">
        <v>22</v>
      </c>
      <c r="M356" s="3" t="s">
        <v>22</v>
      </c>
      <c r="N356" s="3" t="s">
        <v>23</v>
      </c>
      <c r="O356" s="3" t="s">
        <v>1238</v>
      </c>
    </row>
    <row r="357" spans="1:15" hidden="1" x14ac:dyDescent="0.75">
      <c r="A357" s="2">
        <v>46289</v>
      </c>
      <c r="B357" s="3" t="s">
        <v>1239</v>
      </c>
      <c r="C357" s="3" t="s">
        <v>1240</v>
      </c>
      <c r="D357" s="3" t="s">
        <v>27</v>
      </c>
      <c r="E357" s="3" t="s">
        <v>28</v>
      </c>
      <c r="F357" s="3" t="s">
        <v>280</v>
      </c>
      <c r="G357" s="3" t="s">
        <v>281</v>
      </c>
      <c r="H357" s="4">
        <v>46289.606281944441</v>
      </c>
      <c r="I357" s="4">
        <v>46289.732948379627</v>
      </c>
      <c r="J357" s="3">
        <f>ROUND((I357-H357)*1440,0)</f>
        <v>182</v>
      </c>
      <c r="K357" s="3" t="s">
        <v>673</v>
      </c>
      <c r="L357" s="3" t="s">
        <v>36</v>
      </c>
      <c r="M357" s="3" t="s">
        <v>36</v>
      </c>
      <c r="N357" s="3" t="s">
        <v>23</v>
      </c>
      <c r="O357" s="3" t="s">
        <v>674</v>
      </c>
    </row>
    <row r="358" spans="1:15" hidden="1" x14ac:dyDescent="0.75">
      <c r="A358" s="2">
        <v>46289</v>
      </c>
      <c r="B358" s="3" t="s">
        <v>1241</v>
      </c>
      <c r="C358" s="3" t="s">
        <v>1242</v>
      </c>
      <c r="D358" s="3" t="s">
        <v>17</v>
      </c>
      <c r="E358" s="3" t="s">
        <v>18</v>
      </c>
      <c r="F358" s="3" t="s">
        <v>82</v>
      </c>
      <c r="G358" s="3" t="s">
        <v>83</v>
      </c>
      <c r="H358" s="4">
        <v>46289.607506828703</v>
      </c>
      <c r="I358" s="4">
        <v>46289.703658217593</v>
      </c>
      <c r="J358" s="3">
        <f>ROUND((I358-H358)*1440,0)</f>
        <v>138</v>
      </c>
      <c r="K358" s="3" t="s">
        <v>573</v>
      </c>
      <c r="L358" s="3" t="s">
        <v>22</v>
      </c>
      <c r="M358" s="3" t="s">
        <v>22</v>
      </c>
      <c r="N358" s="3" t="s">
        <v>23</v>
      </c>
      <c r="O358" s="3" t="s">
        <v>574</v>
      </c>
    </row>
    <row r="359" spans="1:15" hidden="1" x14ac:dyDescent="0.75">
      <c r="A359" s="2">
        <v>46289</v>
      </c>
      <c r="B359" s="3" t="s">
        <v>1243</v>
      </c>
      <c r="C359" s="3" t="s">
        <v>1244</v>
      </c>
      <c r="D359" s="3" t="s">
        <v>304</v>
      </c>
      <c r="E359" s="3" t="s">
        <v>305</v>
      </c>
      <c r="F359" s="3" t="s">
        <v>27</v>
      </c>
      <c r="G359" s="3" t="s">
        <v>28</v>
      </c>
      <c r="H359" s="4">
        <v>46289.607691087956</v>
      </c>
      <c r="I359" s="4">
        <v>46289.823658449073</v>
      </c>
      <c r="J359" s="3">
        <f>ROUND((I359-H359)*1440,0)</f>
        <v>311</v>
      </c>
      <c r="K359" s="3" t="s">
        <v>326</v>
      </c>
      <c r="L359" s="3" t="s">
        <v>22</v>
      </c>
      <c r="M359" s="3" t="s">
        <v>22</v>
      </c>
      <c r="N359" s="3" t="s">
        <v>23</v>
      </c>
      <c r="O359" s="3" t="s">
        <v>327</v>
      </c>
    </row>
    <row r="360" spans="1:15" hidden="1" x14ac:dyDescent="0.75">
      <c r="A360" s="2">
        <v>46289</v>
      </c>
      <c r="B360" s="3" t="s">
        <v>1245</v>
      </c>
      <c r="C360" s="3" t="s">
        <v>1246</v>
      </c>
      <c r="D360" s="3" t="s">
        <v>56</v>
      </c>
      <c r="E360" s="3" t="s">
        <v>57</v>
      </c>
      <c r="F360" s="3" t="s">
        <v>27</v>
      </c>
      <c r="G360" s="3" t="s">
        <v>28</v>
      </c>
      <c r="H360" s="4">
        <v>46289.607776620367</v>
      </c>
      <c r="I360" s="4">
        <v>46289.721760416673</v>
      </c>
      <c r="J360" s="3">
        <f>ROUND((I360-H360)*1440,0)</f>
        <v>164</v>
      </c>
      <c r="K360" s="3" t="s">
        <v>1247</v>
      </c>
      <c r="L360" s="3" t="s">
        <v>22</v>
      </c>
      <c r="M360" s="3" t="s">
        <v>22</v>
      </c>
      <c r="N360" s="3" t="s">
        <v>23</v>
      </c>
      <c r="O360" s="3" t="s">
        <v>1248</v>
      </c>
    </row>
    <row r="361" spans="1:15" hidden="1" x14ac:dyDescent="0.75">
      <c r="A361" s="2">
        <v>46289</v>
      </c>
      <c r="B361" s="3" t="s">
        <v>1249</v>
      </c>
      <c r="C361" s="3" t="s">
        <v>1250</v>
      </c>
      <c r="D361" s="3" t="s">
        <v>17</v>
      </c>
      <c r="E361" s="3" t="s">
        <v>18</v>
      </c>
      <c r="F361" s="3"/>
      <c r="G361" s="3"/>
      <c r="H361" s="4">
        <v>46289.608546643518</v>
      </c>
      <c r="I361" s="4">
        <v>46289.641104166672</v>
      </c>
      <c r="J361" s="3">
        <f>ROUND((I361-H361)*1440,0)</f>
        <v>47</v>
      </c>
      <c r="K361" s="3" t="s">
        <v>607</v>
      </c>
      <c r="L361" s="3" t="s">
        <v>22</v>
      </c>
      <c r="M361" s="3" t="s">
        <v>22</v>
      </c>
      <c r="N361" s="3" t="s">
        <v>443</v>
      </c>
      <c r="O361" s="3" t="s">
        <v>608</v>
      </c>
    </row>
    <row r="362" spans="1:15" hidden="1" x14ac:dyDescent="0.75">
      <c r="A362" s="2">
        <v>46289</v>
      </c>
      <c r="B362" s="3" t="s">
        <v>1251</v>
      </c>
      <c r="C362" s="3" t="s">
        <v>1252</v>
      </c>
      <c r="D362" s="3" t="s">
        <v>82</v>
      </c>
      <c r="E362" s="3" t="s">
        <v>83</v>
      </c>
      <c r="F362" s="3" t="s">
        <v>244</v>
      </c>
      <c r="G362" s="3" t="s">
        <v>245</v>
      </c>
      <c r="H362" s="4">
        <v>46289.608554861108</v>
      </c>
      <c r="I362" s="4">
        <v>46289.701944328714</v>
      </c>
      <c r="J362" s="3">
        <f>ROUND((I362-H362)*1440,0)</f>
        <v>134</v>
      </c>
      <c r="K362" s="3" t="s">
        <v>813</v>
      </c>
      <c r="L362" s="3" t="s">
        <v>36</v>
      </c>
      <c r="M362" s="3" t="s">
        <v>36</v>
      </c>
      <c r="N362" s="3" t="s">
        <v>45</v>
      </c>
      <c r="O362" s="3" t="s">
        <v>814</v>
      </c>
    </row>
    <row r="363" spans="1:15" hidden="1" x14ac:dyDescent="0.75">
      <c r="A363" s="2">
        <v>46289</v>
      </c>
      <c r="B363" s="3" t="s">
        <v>1253</v>
      </c>
      <c r="C363" s="3" t="s">
        <v>1254</v>
      </c>
      <c r="D363" s="3" t="s">
        <v>56</v>
      </c>
      <c r="E363" s="3" t="s">
        <v>57</v>
      </c>
      <c r="F363" s="3" t="s">
        <v>683</v>
      </c>
      <c r="G363" s="3" t="s">
        <v>684</v>
      </c>
      <c r="H363" s="4">
        <v>46289.608688078697</v>
      </c>
      <c r="I363" s="4">
        <v>46289.672181712973</v>
      </c>
      <c r="J363" s="3">
        <f>ROUND((I363-H363)*1440,0)</f>
        <v>91</v>
      </c>
      <c r="K363" s="3" t="s">
        <v>210</v>
      </c>
      <c r="L363" s="3" t="s">
        <v>36</v>
      </c>
      <c r="M363" s="3" t="s">
        <v>36</v>
      </c>
      <c r="N363" s="3" t="s">
        <v>23</v>
      </c>
      <c r="O363" s="3" t="s">
        <v>211</v>
      </c>
    </row>
    <row r="364" spans="1:15" hidden="1" x14ac:dyDescent="0.75">
      <c r="A364" s="2">
        <v>46289</v>
      </c>
      <c r="B364" s="3" t="s">
        <v>1255</v>
      </c>
      <c r="C364" s="3" t="s">
        <v>1256</v>
      </c>
      <c r="D364" s="3" t="s">
        <v>27</v>
      </c>
      <c r="E364" s="3" t="s">
        <v>28</v>
      </c>
      <c r="F364" s="3" t="s">
        <v>264</v>
      </c>
      <c r="G364" s="3" t="s">
        <v>265</v>
      </c>
      <c r="H364" s="4">
        <v>46289.609980092588</v>
      </c>
      <c r="I364" s="4">
        <v>46289.818203935189</v>
      </c>
      <c r="J364" s="3">
        <f>ROUND((I364-H364)*1440,0)</f>
        <v>300</v>
      </c>
      <c r="K364" s="3" t="s">
        <v>1257</v>
      </c>
      <c r="L364" s="3" t="s">
        <v>22</v>
      </c>
      <c r="M364" s="3" t="s">
        <v>22</v>
      </c>
      <c r="N364" s="3" t="s">
        <v>23</v>
      </c>
      <c r="O364" s="3" t="s">
        <v>1258</v>
      </c>
    </row>
    <row r="365" spans="1:15" hidden="1" x14ac:dyDescent="0.75">
      <c r="A365" s="2">
        <v>46289</v>
      </c>
      <c r="B365" s="3" t="s">
        <v>1259</v>
      </c>
      <c r="C365" s="3" t="s">
        <v>1260</v>
      </c>
      <c r="D365" s="3" t="s">
        <v>17</v>
      </c>
      <c r="E365" s="3" t="s">
        <v>18</v>
      </c>
      <c r="F365" s="3" t="s">
        <v>94</v>
      </c>
      <c r="G365" s="3" t="s">
        <v>95</v>
      </c>
      <c r="H365" s="4">
        <v>46289.61186099537</v>
      </c>
      <c r="I365" s="4">
        <v>46289.663633564807</v>
      </c>
      <c r="J365" s="3">
        <f>ROUND((I365-H365)*1440,0)</f>
        <v>75</v>
      </c>
      <c r="K365" s="3" t="s">
        <v>1261</v>
      </c>
      <c r="L365" s="3" t="s">
        <v>77</v>
      </c>
      <c r="M365" s="3" t="s">
        <v>78</v>
      </c>
      <c r="N365" s="3" t="s">
        <v>23</v>
      </c>
      <c r="O365" s="3" t="s">
        <v>1262</v>
      </c>
    </row>
    <row r="366" spans="1:15" hidden="1" x14ac:dyDescent="0.75">
      <c r="A366" s="2">
        <v>46289</v>
      </c>
      <c r="B366" s="3" t="s">
        <v>1263</v>
      </c>
      <c r="C366" s="3" t="s">
        <v>1264</v>
      </c>
      <c r="D366" s="3" t="s">
        <v>27</v>
      </c>
      <c r="E366" s="3" t="s">
        <v>28</v>
      </c>
      <c r="F366" s="3" t="s">
        <v>1101</v>
      </c>
      <c r="G366" s="3" t="s">
        <v>1102</v>
      </c>
      <c r="H366" s="4">
        <v>46289.611915046298</v>
      </c>
      <c r="I366" s="4">
        <v>46289.626715393519</v>
      </c>
      <c r="J366" s="3">
        <f>ROUND((I366-H366)*1440,0)</f>
        <v>21</v>
      </c>
      <c r="K366" s="3" t="s">
        <v>51</v>
      </c>
      <c r="L366" s="3" t="s">
        <v>52</v>
      </c>
      <c r="M366" s="3"/>
      <c r="N366" s="3" t="s">
        <v>45</v>
      </c>
      <c r="O366" s="3" t="s">
        <v>53</v>
      </c>
    </row>
    <row r="367" spans="1:15" hidden="1" x14ac:dyDescent="0.75">
      <c r="A367" s="2">
        <v>46289</v>
      </c>
      <c r="B367" s="3" t="s">
        <v>33</v>
      </c>
      <c r="C367" s="3" t="s">
        <v>34</v>
      </c>
      <c r="D367" s="3" t="s">
        <v>17</v>
      </c>
      <c r="E367" s="3" t="s">
        <v>18</v>
      </c>
      <c r="F367" s="3" t="s">
        <v>17</v>
      </c>
      <c r="G367" s="3" t="s">
        <v>18</v>
      </c>
      <c r="H367" s="4">
        <v>46289.614190972221</v>
      </c>
      <c r="I367" s="4">
        <v>46290.025878819448</v>
      </c>
      <c r="J367" s="3">
        <f>ROUND((I367-H367)*1440,0)</f>
        <v>593</v>
      </c>
      <c r="K367" s="3" t="s">
        <v>174</v>
      </c>
      <c r="L367" s="3" t="s">
        <v>36</v>
      </c>
      <c r="M367" s="3" t="s">
        <v>36</v>
      </c>
      <c r="N367" s="3" t="s">
        <v>23</v>
      </c>
      <c r="O367" s="3" t="s">
        <v>175</v>
      </c>
    </row>
    <row r="368" spans="1:15" hidden="1" x14ac:dyDescent="0.75">
      <c r="A368" s="2">
        <v>46289</v>
      </c>
      <c r="B368" s="3" t="s">
        <v>1265</v>
      </c>
      <c r="C368" s="3" t="s">
        <v>1266</v>
      </c>
      <c r="D368" s="3" t="s">
        <v>100</v>
      </c>
      <c r="E368" s="3" t="s">
        <v>101</v>
      </c>
      <c r="F368" s="3" t="s">
        <v>17</v>
      </c>
      <c r="G368" s="3" t="s">
        <v>18</v>
      </c>
      <c r="H368" s="4">
        <v>46289.614572222221</v>
      </c>
      <c r="I368" s="4">
        <v>46289.68730902778</v>
      </c>
      <c r="J368" s="3">
        <f>ROUND((I368-H368)*1440,0)</f>
        <v>105</v>
      </c>
      <c r="K368" s="3" t="s">
        <v>783</v>
      </c>
      <c r="L368" s="3" t="s">
        <v>77</v>
      </c>
      <c r="M368" s="3" t="s">
        <v>78</v>
      </c>
      <c r="N368" s="3" t="s">
        <v>23</v>
      </c>
      <c r="O368" s="3" t="s">
        <v>784</v>
      </c>
    </row>
    <row r="369" spans="1:15" hidden="1" x14ac:dyDescent="0.75">
      <c r="A369" s="2">
        <v>46289</v>
      </c>
      <c r="B369" s="3" t="s">
        <v>1267</v>
      </c>
      <c r="C369" s="3" t="s">
        <v>1268</v>
      </c>
      <c r="D369" s="3" t="s">
        <v>17</v>
      </c>
      <c r="E369" s="3" t="s">
        <v>18</v>
      </c>
      <c r="F369" s="3" t="s">
        <v>1269</v>
      </c>
      <c r="G369" s="3" t="s">
        <v>1270</v>
      </c>
      <c r="H369" s="4">
        <v>46289.614920370368</v>
      </c>
      <c r="I369" s="4">
        <v>46289.692853472217</v>
      </c>
      <c r="J369" s="3">
        <f>ROUND((I369-H369)*1440,0)</f>
        <v>112</v>
      </c>
      <c r="K369" s="3" t="s">
        <v>1271</v>
      </c>
      <c r="L369" s="3" t="s">
        <v>36</v>
      </c>
      <c r="M369" s="3" t="s">
        <v>36</v>
      </c>
      <c r="N369" s="3" t="s">
        <v>45</v>
      </c>
      <c r="O369" s="3" t="s">
        <v>1272</v>
      </c>
    </row>
    <row r="370" spans="1:15" hidden="1" x14ac:dyDescent="0.75">
      <c r="A370" s="2">
        <v>46289</v>
      </c>
      <c r="B370" s="3" t="s">
        <v>1273</v>
      </c>
      <c r="C370" s="3" t="s">
        <v>1274</v>
      </c>
      <c r="D370" s="3" t="s">
        <v>56</v>
      </c>
      <c r="E370" s="3" t="s">
        <v>57</v>
      </c>
      <c r="F370" s="3" t="s">
        <v>82</v>
      </c>
      <c r="G370" s="3" t="s">
        <v>83</v>
      </c>
      <c r="H370" s="4">
        <v>46289.616352546298</v>
      </c>
      <c r="I370" s="4">
        <v>46289.639970370372</v>
      </c>
      <c r="J370" s="3">
        <f>ROUND((I370-H370)*1440,0)</f>
        <v>34</v>
      </c>
      <c r="K370" s="3" t="s">
        <v>406</v>
      </c>
      <c r="L370" s="3" t="s">
        <v>36</v>
      </c>
      <c r="M370" s="3" t="s">
        <v>36</v>
      </c>
      <c r="N370" s="3" t="s">
        <v>23</v>
      </c>
      <c r="O370" s="3" t="s">
        <v>407</v>
      </c>
    </row>
    <row r="371" spans="1:15" hidden="1" x14ac:dyDescent="0.75">
      <c r="A371" s="2">
        <v>46289</v>
      </c>
      <c r="B371" s="3" t="s">
        <v>1275</v>
      </c>
      <c r="C371" s="3" t="s">
        <v>1276</v>
      </c>
      <c r="D371" s="3" t="s">
        <v>17</v>
      </c>
      <c r="E371" s="3" t="s">
        <v>18</v>
      </c>
      <c r="F371" s="3" t="s">
        <v>56</v>
      </c>
      <c r="G371" s="3" t="s">
        <v>57</v>
      </c>
      <c r="H371" s="4">
        <v>46289.61822916667</v>
      </c>
      <c r="I371" s="4">
        <v>46289.903636689807</v>
      </c>
      <c r="J371" s="3">
        <f>ROUND((I371-H371)*1440,0)</f>
        <v>411</v>
      </c>
      <c r="K371" s="3" t="s">
        <v>438</v>
      </c>
      <c r="L371" s="3" t="s">
        <v>36</v>
      </c>
      <c r="M371" s="3" t="s">
        <v>36</v>
      </c>
      <c r="N371" s="3" t="s">
        <v>23</v>
      </c>
      <c r="O371" s="3" t="s">
        <v>439</v>
      </c>
    </row>
    <row r="372" spans="1:15" hidden="1" x14ac:dyDescent="0.75">
      <c r="A372" s="2">
        <v>46289</v>
      </c>
      <c r="B372" s="3" t="s">
        <v>1277</v>
      </c>
      <c r="C372" s="3" t="s">
        <v>1278</v>
      </c>
      <c r="D372" s="3" t="s">
        <v>56</v>
      </c>
      <c r="E372" s="3" t="s">
        <v>57</v>
      </c>
      <c r="F372" s="3" t="s">
        <v>182</v>
      </c>
      <c r="G372" s="3" t="s">
        <v>183</v>
      </c>
      <c r="H372" s="4">
        <v>46289.618428240741</v>
      </c>
      <c r="I372" s="4">
        <v>46289.682809722217</v>
      </c>
      <c r="J372" s="3">
        <f>ROUND((I372-H372)*1440,0)</f>
        <v>93</v>
      </c>
      <c r="K372" s="3" t="s">
        <v>220</v>
      </c>
      <c r="L372" s="3" t="s">
        <v>77</v>
      </c>
      <c r="M372" s="3" t="s">
        <v>78</v>
      </c>
      <c r="N372" s="3" t="s">
        <v>23</v>
      </c>
      <c r="O372" s="3" t="s">
        <v>221</v>
      </c>
    </row>
    <row r="373" spans="1:15" hidden="1" x14ac:dyDescent="0.75">
      <c r="A373" s="2">
        <v>46289</v>
      </c>
      <c r="B373" s="3" t="s">
        <v>1279</v>
      </c>
      <c r="C373" s="3" t="s">
        <v>1280</v>
      </c>
      <c r="D373" s="3" t="s">
        <v>27</v>
      </c>
      <c r="E373" s="3" t="s">
        <v>28</v>
      </c>
      <c r="F373" s="3" t="s">
        <v>82</v>
      </c>
      <c r="G373" s="3" t="s">
        <v>83</v>
      </c>
      <c r="H373" s="4">
        <v>46289.619335069438</v>
      </c>
      <c r="I373" s="4">
        <v>46289.730968055563</v>
      </c>
      <c r="J373" s="3">
        <f>ROUND((I373-H373)*1440,0)</f>
        <v>161</v>
      </c>
      <c r="K373" s="3" t="s">
        <v>1281</v>
      </c>
      <c r="L373" s="3" t="s">
        <v>22</v>
      </c>
      <c r="M373" s="3" t="s">
        <v>22</v>
      </c>
      <c r="N373" s="3" t="s">
        <v>23</v>
      </c>
      <c r="O373" s="3" t="s">
        <v>1282</v>
      </c>
    </row>
    <row r="374" spans="1:15" hidden="1" x14ac:dyDescent="0.75">
      <c r="A374" s="2">
        <v>46289</v>
      </c>
      <c r="B374" s="3" t="s">
        <v>1283</v>
      </c>
      <c r="C374" s="3" t="s">
        <v>1284</v>
      </c>
      <c r="D374" s="3" t="s">
        <v>1101</v>
      </c>
      <c r="E374" s="3" t="s">
        <v>1102</v>
      </c>
      <c r="F374" s="3" t="s">
        <v>158</v>
      </c>
      <c r="G374" s="3" t="s">
        <v>159</v>
      </c>
      <c r="H374" s="4">
        <v>46289.619553703713</v>
      </c>
      <c r="I374" s="4">
        <v>46289.668497569437</v>
      </c>
      <c r="J374" s="3">
        <f>ROUND((I374-H374)*1440,0)</f>
        <v>70</v>
      </c>
      <c r="K374" s="3" t="s">
        <v>1037</v>
      </c>
      <c r="L374" s="3" t="s">
        <v>77</v>
      </c>
      <c r="M374" s="3" t="s">
        <v>78</v>
      </c>
      <c r="N374" s="3" t="s">
        <v>23</v>
      </c>
      <c r="O374" s="3" t="s">
        <v>1038</v>
      </c>
    </row>
    <row r="375" spans="1:15" hidden="1" x14ac:dyDescent="0.75">
      <c r="A375" s="2">
        <v>46289</v>
      </c>
      <c r="B375" s="3" t="s">
        <v>1285</v>
      </c>
      <c r="C375" s="3" t="s">
        <v>1286</v>
      </c>
      <c r="D375" s="3" t="s">
        <v>68</v>
      </c>
      <c r="E375" s="3" t="s">
        <v>69</v>
      </c>
      <c r="F375" s="3" t="s">
        <v>17</v>
      </c>
      <c r="G375" s="3" t="s">
        <v>18</v>
      </c>
      <c r="H375" s="4">
        <v>46289.620567245373</v>
      </c>
      <c r="I375" s="4">
        <v>46289.71568912037</v>
      </c>
      <c r="J375" s="3">
        <f>ROUND((I375-H375)*1440,0)</f>
        <v>137</v>
      </c>
      <c r="K375" s="3" t="s">
        <v>755</v>
      </c>
      <c r="L375" s="3" t="s">
        <v>43</v>
      </c>
      <c r="M375" s="3" t="s">
        <v>44</v>
      </c>
      <c r="N375" s="3" t="s">
        <v>23</v>
      </c>
      <c r="O375" s="3" t="s">
        <v>756</v>
      </c>
    </row>
    <row r="376" spans="1:15" hidden="1" x14ac:dyDescent="0.75">
      <c r="A376" s="2">
        <v>46289</v>
      </c>
      <c r="B376" s="3" t="s">
        <v>1287</v>
      </c>
      <c r="C376" s="3" t="s">
        <v>1288</v>
      </c>
      <c r="D376" s="3" t="s">
        <v>68</v>
      </c>
      <c r="E376" s="3" t="s">
        <v>69</v>
      </c>
      <c r="F376" s="3" t="s">
        <v>158</v>
      </c>
      <c r="G376" s="3" t="s">
        <v>159</v>
      </c>
      <c r="H376" s="4">
        <v>46289.623603819447</v>
      </c>
      <c r="I376" s="4">
        <v>46289.708489814817</v>
      </c>
      <c r="J376" s="3">
        <f>ROUND((I376-H376)*1440,0)</f>
        <v>122</v>
      </c>
      <c r="K376" s="3" t="s">
        <v>847</v>
      </c>
      <c r="L376" s="3" t="s">
        <v>77</v>
      </c>
      <c r="M376" s="3" t="s">
        <v>78</v>
      </c>
      <c r="N376" s="3" t="s">
        <v>23</v>
      </c>
      <c r="O376" s="3" t="s">
        <v>848</v>
      </c>
    </row>
    <row r="377" spans="1:15" hidden="1" x14ac:dyDescent="0.75">
      <c r="A377" s="2">
        <v>46289</v>
      </c>
      <c r="B377" s="3" t="s">
        <v>1289</v>
      </c>
      <c r="C377" s="3" t="s">
        <v>1290</v>
      </c>
      <c r="D377" s="3" t="s">
        <v>19</v>
      </c>
      <c r="E377" s="3" t="s">
        <v>20</v>
      </c>
      <c r="F377" s="3"/>
      <c r="G377" s="3"/>
      <c r="H377" s="4">
        <v>46289.624197106481</v>
      </c>
      <c r="I377" s="4">
        <v>46289.649057523151</v>
      </c>
      <c r="J377" s="3">
        <f>ROUND((I377-H377)*1440,0)</f>
        <v>36</v>
      </c>
      <c r="K377" s="3" t="s">
        <v>86</v>
      </c>
      <c r="L377" s="3" t="s">
        <v>36</v>
      </c>
      <c r="M377" s="3" t="s">
        <v>36</v>
      </c>
      <c r="N377" s="3" t="s">
        <v>443</v>
      </c>
      <c r="O377" s="3" t="s">
        <v>87</v>
      </c>
    </row>
    <row r="378" spans="1:15" hidden="1" x14ac:dyDescent="0.75">
      <c r="A378" s="2">
        <v>46289</v>
      </c>
      <c r="B378" s="3" t="s">
        <v>1291</v>
      </c>
      <c r="C378" s="3" t="s">
        <v>1292</v>
      </c>
      <c r="D378" s="3"/>
      <c r="E378" s="3"/>
      <c r="F378" s="3" t="s">
        <v>228</v>
      </c>
      <c r="G378" s="3" t="s">
        <v>229</v>
      </c>
      <c r="H378" s="4">
        <v>46289.625427199077</v>
      </c>
      <c r="I378" s="4">
        <v>46289.675832986111</v>
      </c>
      <c r="J378" s="3">
        <f>ROUND((I378-H378)*1440,0)</f>
        <v>73</v>
      </c>
      <c r="K378" s="3" t="s">
        <v>1293</v>
      </c>
      <c r="L378" s="3" t="s">
        <v>77</v>
      </c>
      <c r="M378" s="3" t="s">
        <v>78</v>
      </c>
      <c r="N378" s="3" t="s">
        <v>23</v>
      </c>
      <c r="O378" s="3" t="s">
        <v>1294</v>
      </c>
    </row>
    <row r="379" spans="1:15" hidden="1" x14ac:dyDescent="0.75">
      <c r="A379" s="2">
        <v>46289</v>
      </c>
      <c r="B379" s="3" t="s">
        <v>1295</v>
      </c>
      <c r="C379" s="3" t="s">
        <v>1296</v>
      </c>
      <c r="D379" s="3" t="s">
        <v>158</v>
      </c>
      <c r="E379" s="3" t="s">
        <v>159</v>
      </c>
      <c r="F379" s="3" t="s">
        <v>68</v>
      </c>
      <c r="G379" s="3" t="s">
        <v>69</v>
      </c>
      <c r="H379" s="4">
        <v>46289.62578159722</v>
      </c>
      <c r="I379" s="4">
        <v>46289.711274305548</v>
      </c>
      <c r="J379" s="3">
        <f>ROUND((I379-H379)*1440,0)</f>
        <v>123</v>
      </c>
      <c r="K379" s="3" t="s">
        <v>859</v>
      </c>
      <c r="L379" s="3" t="s">
        <v>36</v>
      </c>
      <c r="M379" s="3" t="s">
        <v>36</v>
      </c>
      <c r="N379" s="3" t="s">
        <v>23</v>
      </c>
      <c r="O379" s="3" t="s">
        <v>860</v>
      </c>
    </row>
    <row r="380" spans="1:15" hidden="1" x14ac:dyDescent="0.75">
      <c r="A380" s="2">
        <v>46289</v>
      </c>
      <c r="B380" s="3" t="s">
        <v>1297</v>
      </c>
      <c r="C380" s="3" t="s">
        <v>1298</v>
      </c>
      <c r="D380" s="3" t="s">
        <v>334</v>
      </c>
      <c r="E380" s="3" t="s">
        <v>335</v>
      </c>
      <c r="F380" s="3" t="s">
        <v>27</v>
      </c>
      <c r="G380" s="3" t="s">
        <v>28</v>
      </c>
      <c r="H380" s="4">
        <v>46289.626443055553</v>
      </c>
      <c r="I380" s="4">
        <v>46289.707992013893</v>
      </c>
      <c r="J380" s="3">
        <f>ROUND((I380-H380)*1440,0)</f>
        <v>117</v>
      </c>
      <c r="K380" s="3" t="s">
        <v>793</v>
      </c>
      <c r="L380" s="3" t="s">
        <v>77</v>
      </c>
      <c r="M380" s="3" t="s">
        <v>78</v>
      </c>
      <c r="N380" s="3" t="s">
        <v>23</v>
      </c>
      <c r="O380" s="3" t="s">
        <v>794</v>
      </c>
    </row>
    <row r="381" spans="1:15" hidden="1" x14ac:dyDescent="0.75">
      <c r="A381" s="2">
        <v>46289</v>
      </c>
      <c r="B381" s="3" t="s">
        <v>1299</v>
      </c>
      <c r="C381" s="3" t="s">
        <v>1300</v>
      </c>
      <c r="D381" s="3" t="s">
        <v>304</v>
      </c>
      <c r="E381" s="3" t="s">
        <v>305</v>
      </c>
      <c r="F381" s="3" t="s">
        <v>17</v>
      </c>
      <c r="G381" s="3" t="s">
        <v>18</v>
      </c>
      <c r="H381" s="4">
        <v>46289.629083333333</v>
      </c>
      <c r="I381" s="4">
        <v>46289.836558101852</v>
      </c>
      <c r="J381" s="3">
        <f>ROUND((I381-H381)*1440,0)</f>
        <v>299</v>
      </c>
      <c r="K381" s="3" t="s">
        <v>1301</v>
      </c>
      <c r="L381" s="3" t="s">
        <v>22</v>
      </c>
      <c r="M381" s="3" t="s">
        <v>22</v>
      </c>
      <c r="N381" s="3" t="s">
        <v>23</v>
      </c>
      <c r="O381" s="3" t="s">
        <v>1302</v>
      </c>
    </row>
    <row r="382" spans="1:15" hidden="1" x14ac:dyDescent="0.75">
      <c r="A382" s="2">
        <v>46289</v>
      </c>
      <c r="B382" s="3" t="s">
        <v>1303</v>
      </c>
      <c r="C382" s="3" t="s">
        <v>1304</v>
      </c>
      <c r="D382" s="3" t="s">
        <v>49</v>
      </c>
      <c r="E382" s="3" t="s">
        <v>50</v>
      </c>
      <c r="F382" s="3" t="s">
        <v>27</v>
      </c>
      <c r="G382" s="3" t="s">
        <v>28</v>
      </c>
      <c r="H382" s="4">
        <v>46289.629821875002</v>
      </c>
      <c r="I382" s="4">
        <v>46289.666002662037</v>
      </c>
      <c r="J382" s="3">
        <f>ROUND((I382-H382)*1440,0)</f>
        <v>52</v>
      </c>
      <c r="K382" s="3" t="s">
        <v>923</v>
      </c>
      <c r="L382" s="3" t="s">
        <v>52</v>
      </c>
      <c r="M382" s="3"/>
      <c r="N382" s="3" t="s">
        <v>23</v>
      </c>
      <c r="O382" s="3" t="s">
        <v>924</v>
      </c>
    </row>
    <row r="383" spans="1:15" hidden="1" x14ac:dyDescent="0.75">
      <c r="A383" s="2">
        <v>46289</v>
      </c>
      <c r="B383" s="3" t="s">
        <v>1305</v>
      </c>
      <c r="C383" s="3" t="s">
        <v>1306</v>
      </c>
      <c r="D383" s="3" t="s">
        <v>84</v>
      </c>
      <c r="E383" s="3" t="s">
        <v>85</v>
      </c>
      <c r="F383" s="3" t="s">
        <v>68</v>
      </c>
      <c r="G383" s="3" t="s">
        <v>69</v>
      </c>
      <c r="H383" s="4">
        <v>46289.630546875</v>
      </c>
      <c r="I383" s="4">
        <v>46289.733606018519</v>
      </c>
      <c r="J383" s="3">
        <f>ROUND((I383-H383)*1440,0)</f>
        <v>148</v>
      </c>
      <c r="K383" s="3" t="s">
        <v>1307</v>
      </c>
      <c r="L383" s="3" t="s">
        <v>36</v>
      </c>
      <c r="M383" s="3" t="s">
        <v>36</v>
      </c>
      <c r="N383" s="3" t="s">
        <v>23</v>
      </c>
      <c r="O383" s="3" t="s">
        <v>1308</v>
      </c>
    </row>
    <row r="384" spans="1:15" hidden="1" x14ac:dyDescent="0.75">
      <c r="A384" s="2">
        <v>46289</v>
      </c>
      <c r="B384" s="3" t="s">
        <v>1309</v>
      </c>
      <c r="C384" s="3" t="s">
        <v>1310</v>
      </c>
      <c r="D384" s="3" t="s">
        <v>737</v>
      </c>
      <c r="E384" s="3" t="s">
        <v>738</v>
      </c>
      <c r="F384" s="3" t="s">
        <v>719</v>
      </c>
      <c r="G384" s="3" t="s">
        <v>720</v>
      </c>
      <c r="H384" s="4">
        <v>46289.630931250002</v>
      </c>
      <c r="I384" s="4">
        <v>46289.733247453703</v>
      </c>
      <c r="J384" s="3">
        <f>ROUND((I384-H384)*1440,0)</f>
        <v>147</v>
      </c>
      <c r="K384" s="3" t="s">
        <v>252</v>
      </c>
      <c r="L384" s="3" t="s">
        <v>36</v>
      </c>
      <c r="M384" s="3" t="s">
        <v>36</v>
      </c>
      <c r="N384" s="3" t="s">
        <v>23</v>
      </c>
      <c r="O384" s="3" t="s">
        <v>253</v>
      </c>
    </row>
    <row r="385" spans="1:15" hidden="1" x14ac:dyDescent="0.75">
      <c r="A385" s="2">
        <v>46289</v>
      </c>
      <c r="B385" s="3" t="s">
        <v>1311</v>
      </c>
      <c r="C385" s="3" t="s">
        <v>1312</v>
      </c>
      <c r="D385" s="3" t="s">
        <v>719</v>
      </c>
      <c r="E385" s="3" t="s">
        <v>720</v>
      </c>
      <c r="F385" s="3" t="s">
        <v>84</v>
      </c>
      <c r="G385" s="3" t="s">
        <v>85</v>
      </c>
      <c r="H385" s="4">
        <v>46289.633806944446</v>
      </c>
      <c r="I385" s="4">
        <v>46289.738938773153</v>
      </c>
      <c r="J385" s="3">
        <f>ROUND((I385-H385)*1440,0)</f>
        <v>151</v>
      </c>
      <c r="K385" s="3" t="s">
        <v>819</v>
      </c>
      <c r="L385" s="3" t="s">
        <v>36</v>
      </c>
      <c r="M385" s="3" t="s">
        <v>36</v>
      </c>
      <c r="N385" s="3" t="s">
        <v>45</v>
      </c>
      <c r="O385" s="3" t="s">
        <v>820</v>
      </c>
    </row>
    <row r="386" spans="1:15" hidden="1" x14ac:dyDescent="0.75">
      <c r="A386" s="2">
        <v>46289</v>
      </c>
      <c r="B386" s="3" t="s">
        <v>1313</v>
      </c>
      <c r="C386" s="3" t="s">
        <v>1314</v>
      </c>
      <c r="D386" s="3" t="s">
        <v>17</v>
      </c>
      <c r="E386" s="3" t="s">
        <v>18</v>
      </c>
      <c r="F386" s="3" t="s">
        <v>304</v>
      </c>
      <c r="G386" s="3" t="s">
        <v>305</v>
      </c>
      <c r="H386" s="4">
        <v>46289.634253587959</v>
      </c>
      <c r="I386" s="4">
        <v>46289.857349074067</v>
      </c>
      <c r="J386" s="3">
        <f>ROUND((I386-H386)*1440,0)</f>
        <v>321</v>
      </c>
      <c r="K386" s="3" t="s">
        <v>306</v>
      </c>
      <c r="L386" s="3" t="s">
        <v>22</v>
      </c>
      <c r="M386" s="3" t="s">
        <v>22</v>
      </c>
      <c r="N386" s="3" t="s">
        <v>23</v>
      </c>
      <c r="O386" s="3" t="s">
        <v>307</v>
      </c>
    </row>
    <row r="387" spans="1:15" hidden="1" x14ac:dyDescent="0.75">
      <c r="A387" s="2">
        <v>46289</v>
      </c>
      <c r="B387" s="3" t="s">
        <v>1315</v>
      </c>
      <c r="C387" s="3" t="s">
        <v>1316</v>
      </c>
      <c r="D387" s="3" t="s">
        <v>17</v>
      </c>
      <c r="E387" s="3" t="s">
        <v>18</v>
      </c>
      <c r="F387" s="3" t="s">
        <v>19</v>
      </c>
      <c r="G387" s="3" t="s">
        <v>20</v>
      </c>
      <c r="H387" s="4">
        <v>46289.636509722222</v>
      </c>
      <c r="I387" s="4">
        <v>46289.732476504629</v>
      </c>
      <c r="J387" s="3">
        <f>ROUND((I387-H387)*1440,0)</f>
        <v>138</v>
      </c>
      <c r="K387" s="3" t="s">
        <v>1317</v>
      </c>
      <c r="L387" s="3" t="s">
        <v>36</v>
      </c>
      <c r="M387" s="3" t="s">
        <v>36</v>
      </c>
      <c r="N387" s="3" t="s">
        <v>23</v>
      </c>
      <c r="O387" s="3" t="s">
        <v>1318</v>
      </c>
    </row>
    <row r="388" spans="1:15" hidden="1" x14ac:dyDescent="0.75">
      <c r="A388" s="2">
        <v>46289</v>
      </c>
      <c r="B388" s="3" t="s">
        <v>1319</v>
      </c>
      <c r="C388" s="3" t="s">
        <v>1320</v>
      </c>
      <c r="D388" s="3" t="s">
        <v>122</v>
      </c>
      <c r="E388" s="3" t="s">
        <v>123</v>
      </c>
      <c r="F388" s="3" t="s">
        <v>17</v>
      </c>
      <c r="G388" s="3" t="s">
        <v>18</v>
      </c>
      <c r="H388" s="4">
        <v>46289.636798726853</v>
      </c>
      <c r="I388" s="4">
        <v>46289.855551851862</v>
      </c>
      <c r="J388" s="3">
        <f>ROUND((I388-H388)*1440,0)</f>
        <v>315</v>
      </c>
      <c r="K388" s="3" t="s">
        <v>426</v>
      </c>
      <c r="L388" s="3" t="s">
        <v>22</v>
      </c>
      <c r="M388" s="3" t="s">
        <v>22</v>
      </c>
      <c r="N388" s="3" t="s">
        <v>23</v>
      </c>
      <c r="O388" s="3" t="s">
        <v>427</v>
      </c>
    </row>
    <row r="389" spans="1:15" hidden="1" x14ac:dyDescent="0.75">
      <c r="A389" s="2">
        <v>46289</v>
      </c>
      <c r="B389" s="3" t="s">
        <v>1321</v>
      </c>
      <c r="C389" s="3" t="s">
        <v>1322</v>
      </c>
      <c r="D389" s="3" t="s">
        <v>82</v>
      </c>
      <c r="E389" s="3" t="s">
        <v>83</v>
      </c>
      <c r="F389" s="3" t="s">
        <v>82</v>
      </c>
      <c r="G389" s="3" t="s">
        <v>83</v>
      </c>
      <c r="H389" s="4">
        <v>46289.637990972224</v>
      </c>
      <c r="I389" s="4">
        <v>46289.834198958342</v>
      </c>
      <c r="J389" s="3">
        <f>ROUND((I389-H389)*1440,0)</f>
        <v>283</v>
      </c>
      <c r="K389" s="3" t="s">
        <v>160</v>
      </c>
      <c r="L389" s="3" t="s">
        <v>77</v>
      </c>
      <c r="M389" s="3" t="s">
        <v>78</v>
      </c>
      <c r="N389" s="3" t="s">
        <v>23</v>
      </c>
      <c r="O389" s="3" t="s">
        <v>161</v>
      </c>
    </row>
    <row r="390" spans="1:15" hidden="1" x14ac:dyDescent="0.75">
      <c r="A390" s="2">
        <v>46289</v>
      </c>
      <c r="B390" s="3" t="s">
        <v>1323</v>
      </c>
      <c r="C390" s="3" t="s">
        <v>1324</v>
      </c>
      <c r="D390" s="3" t="s">
        <v>56</v>
      </c>
      <c r="E390" s="3" t="s">
        <v>57</v>
      </c>
      <c r="F390" s="3" t="s">
        <v>56</v>
      </c>
      <c r="G390" s="3" t="s">
        <v>57</v>
      </c>
      <c r="H390" s="4">
        <v>46289.638445949073</v>
      </c>
      <c r="I390" s="4">
        <v>46289.863607523148</v>
      </c>
      <c r="J390" s="3">
        <f>ROUND((I390-H390)*1440,0)</f>
        <v>324</v>
      </c>
      <c r="K390" s="3" t="s">
        <v>198</v>
      </c>
      <c r="L390" s="3" t="s">
        <v>36</v>
      </c>
      <c r="M390" s="3" t="s">
        <v>36</v>
      </c>
      <c r="N390" s="3" t="s">
        <v>23</v>
      </c>
      <c r="O390" s="3" t="s">
        <v>199</v>
      </c>
    </row>
    <row r="391" spans="1:15" hidden="1" x14ac:dyDescent="0.75">
      <c r="A391" s="2">
        <v>46289</v>
      </c>
      <c r="B391" s="3" t="s">
        <v>1325</v>
      </c>
      <c r="C391" s="3" t="s">
        <v>1326</v>
      </c>
      <c r="D391" s="3" t="s">
        <v>683</v>
      </c>
      <c r="E391" s="3" t="s">
        <v>684</v>
      </c>
      <c r="F391" s="3" t="s">
        <v>17</v>
      </c>
      <c r="G391" s="3" t="s">
        <v>18</v>
      </c>
      <c r="H391" s="4">
        <v>46289.638695138892</v>
      </c>
      <c r="I391" s="4">
        <v>46289.78910277778</v>
      </c>
      <c r="J391" s="3">
        <f>ROUND((I391-H391)*1440,0)</f>
        <v>217</v>
      </c>
      <c r="K391" s="3" t="s">
        <v>485</v>
      </c>
      <c r="L391" s="3" t="s">
        <v>36</v>
      </c>
      <c r="M391" s="3" t="s">
        <v>36</v>
      </c>
      <c r="N391" s="3" t="s">
        <v>23</v>
      </c>
      <c r="O391" s="3" t="s">
        <v>486</v>
      </c>
    </row>
    <row r="392" spans="1:15" hidden="1" x14ac:dyDescent="0.75">
      <c r="A392" s="2">
        <v>46289</v>
      </c>
      <c r="B392" s="3" t="s">
        <v>1327</v>
      </c>
      <c r="C392" s="3" t="s">
        <v>1328</v>
      </c>
      <c r="D392" s="3" t="s">
        <v>56</v>
      </c>
      <c r="E392" s="3" t="s">
        <v>57</v>
      </c>
      <c r="F392" s="3" t="s">
        <v>56</v>
      </c>
      <c r="G392" s="3" t="s">
        <v>57</v>
      </c>
      <c r="H392" s="4">
        <v>46289.639204976847</v>
      </c>
      <c r="I392" s="4">
        <v>46289.910054513894</v>
      </c>
      <c r="J392" s="3">
        <f>ROUND((I392-H392)*1440,0)</f>
        <v>390</v>
      </c>
      <c r="K392" s="3" t="s">
        <v>272</v>
      </c>
      <c r="L392" s="3" t="s">
        <v>36</v>
      </c>
      <c r="M392" s="3" t="s">
        <v>36</v>
      </c>
      <c r="N392" s="3" t="s">
        <v>23</v>
      </c>
      <c r="O392" s="3" t="s">
        <v>273</v>
      </c>
    </row>
    <row r="393" spans="1:15" hidden="1" x14ac:dyDescent="0.75">
      <c r="A393" s="2">
        <v>46289</v>
      </c>
      <c r="B393" s="3" t="s">
        <v>1329</v>
      </c>
      <c r="C393" s="3" t="s">
        <v>1330</v>
      </c>
      <c r="D393" s="3" t="s">
        <v>27</v>
      </c>
      <c r="E393" s="3" t="s">
        <v>28</v>
      </c>
      <c r="F393" s="3" t="s">
        <v>19</v>
      </c>
      <c r="G393" s="3" t="s">
        <v>20</v>
      </c>
      <c r="H393" s="4">
        <v>46289.639426041656</v>
      </c>
      <c r="I393" s="4">
        <v>46289.753703587958</v>
      </c>
      <c r="J393" s="3">
        <f>ROUND((I393-H393)*1440,0)</f>
        <v>165</v>
      </c>
      <c r="K393" s="3" t="s">
        <v>21</v>
      </c>
      <c r="L393" s="3" t="s">
        <v>22</v>
      </c>
      <c r="M393" s="3" t="s">
        <v>22</v>
      </c>
      <c r="N393" s="3" t="s">
        <v>23</v>
      </c>
      <c r="O393" s="3" t="s">
        <v>24</v>
      </c>
    </row>
    <row r="394" spans="1:15" hidden="1" x14ac:dyDescent="0.75">
      <c r="A394" s="2">
        <v>46289</v>
      </c>
      <c r="B394" s="3" t="s">
        <v>1331</v>
      </c>
      <c r="C394" s="3" t="s">
        <v>1332</v>
      </c>
      <c r="D394" s="3" t="s">
        <v>17</v>
      </c>
      <c r="E394" s="3" t="s">
        <v>18</v>
      </c>
      <c r="F394" s="3" t="s">
        <v>182</v>
      </c>
      <c r="G394" s="3" t="s">
        <v>183</v>
      </c>
      <c r="H394" s="4">
        <v>46289.641609375001</v>
      </c>
      <c r="I394" s="4">
        <v>46289.718552314807</v>
      </c>
      <c r="J394" s="3">
        <f>ROUND((I394-H394)*1440,0)</f>
        <v>111</v>
      </c>
      <c r="K394" s="3" t="s">
        <v>422</v>
      </c>
      <c r="L394" s="3" t="s">
        <v>77</v>
      </c>
      <c r="M394" s="3" t="s">
        <v>78</v>
      </c>
      <c r="N394" s="3" t="s">
        <v>23</v>
      </c>
      <c r="O394" s="3" t="s">
        <v>423</v>
      </c>
    </row>
    <row r="395" spans="1:15" hidden="1" x14ac:dyDescent="0.75">
      <c r="A395" s="2">
        <v>46289</v>
      </c>
      <c r="B395" s="3" t="s">
        <v>1333</v>
      </c>
      <c r="C395" s="3" t="s">
        <v>1334</v>
      </c>
      <c r="D395" s="3" t="s">
        <v>27</v>
      </c>
      <c r="E395" s="3" t="s">
        <v>28</v>
      </c>
      <c r="F395" s="3" t="s">
        <v>17</v>
      </c>
      <c r="G395" s="3" t="s">
        <v>18</v>
      </c>
      <c r="H395" s="4">
        <v>46289.642123148151</v>
      </c>
      <c r="I395" s="4">
        <v>46289.673096874998</v>
      </c>
      <c r="J395" s="3">
        <f>ROUND((I395-H395)*1440,0)</f>
        <v>45</v>
      </c>
      <c r="K395" s="3" t="s">
        <v>807</v>
      </c>
      <c r="L395" s="3" t="s">
        <v>77</v>
      </c>
      <c r="M395" s="3" t="s">
        <v>78</v>
      </c>
      <c r="N395" s="3" t="s">
        <v>23</v>
      </c>
      <c r="O395" s="3" t="s">
        <v>808</v>
      </c>
    </row>
    <row r="396" spans="1:15" hidden="1" x14ac:dyDescent="0.75">
      <c r="A396" s="2">
        <v>46289</v>
      </c>
      <c r="B396" s="3" t="s">
        <v>1335</v>
      </c>
      <c r="C396" s="3" t="s">
        <v>1336</v>
      </c>
      <c r="D396" s="3" t="s">
        <v>17</v>
      </c>
      <c r="E396" s="3" t="s">
        <v>18</v>
      </c>
      <c r="F396" s="3"/>
      <c r="G396" s="3"/>
      <c r="H396" s="4">
        <v>46289.642372222217</v>
      </c>
      <c r="I396" s="4">
        <v>46289.675384027767</v>
      </c>
      <c r="J396" s="3">
        <f>ROUND((I396-H396)*1440,0)</f>
        <v>48</v>
      </c>
      <c r="K396" s="3" t="s">
        <v>192</v>
      </c>
      <c r="L396" s="3" t="s">
        <v>36</v>
      </c>
      <c r="M396" s="3" t="s">
        <v>36</v>
      </c>
      <c r="N396" s="3" t="s">
        <v>443</v>
      </c>
      <c r="O396" s="3" t="s">
        <v>193</v>
      </c>
    </row>
    <row r="397" spans="1:15" hidden="1" x14ac:dyDescent="0.75">
      <c r="A397" s="2">
        <v>46289</v>
      </c>
      <c r="B397" s="3" t="s">
        <v>1337</v>
      </c>
      <c r="C397" s="3" t="s">
        <v>1338</v>
      </c>
      <c r="D397" s="3"/>
      <c r="E397" s="3"/>
      <c r="F397" s="3" t="s">
        <v>82</v>
      </c>
      <c r="G397" s="3" t="s">
        <v>83</v>
      </c>
      <c r="H397" s="4">
        <v>46289.643288425927</v>
      </c>
      <c r="I397" s="4">
        <v>46289.677691203702</v>
      </c>
      <c r="J397" s="3">
        <f>ROUND((I397-H397)*1440,0)</f>
        <v>50</v>
      </c>
      <c r="K397" s="3" t="s">
        <v>665</v>
      </c>
      <c r="L397" s="3" t="s">
        <v>36</v>
      </c>
      <c r="M397" s="3" t="s">
        <v>36</v>
      </c>
      <c r="N397" s="3" t="s">
        <v>23</v>
      </c>
      <c r="O397" s="3" t="s">
        <v>666</v>
      </c>
    </row>
    <row r="398" spans="1:15" hidden="1" x14ac:dyDescent="0.75">
      <c r="A398" s="2">
        <v>46289</v>
      </c>
      <c r="B398" s="3" t="s">
        <v>1339</v>
      </c>
      <c r="C398" s="3" t="s">
        <v>1340</v>
      </c>
      <c r="D398" s="3" t="s">
        <v>158</v>
      </c>
      <c r="E398" s="3" t="s">
        <v>159</v>
      </c>
      <c r="F398" s="3" t="s">
        <v>27</v>
      </c>
      <c r="G398" s="3" t="s">
        <v>28</v>
      </c>
      <c r="H398" s="4">
        <v>46289.64432013889</v>
      </c>
      <c r="I398" s="4">
        <v>46289.686631481483</v>
      </c>
      <c r="J398" s="3">
        <f>ROUND((I398-H398)*1440,0)</f>
        <v>61</v>
      </c>
      <c r="K398" s="3" t="s">
        <v>939</v>
      </c>
      <c r="L398" s="3" t="s">
        <v>77</v>
      </c>
      <c r="M398" s="3" t="s">
        <v>78</v>
      </c>
      <c r="N398" s="3" t="s">
        <v>23</v>
      </c>
      <c r="O398" s="3" t="s">
        <v>940</v>
      </c>
    </row>
    <row r="399" spans="1:15" hidden="1" x14ac:dyDescent="0.75">
      <c r="A399" s="2">
        <v>46289</v>
      </c>
      <c r="B399" s="3" t="s">
        <v>1341</v>
      </c>
      <c r="C399" s="3" t="s">
        <v>1342</v>
      </c>
      <c r="D399" s="3" t="s">
        <v>82</v>
      </c>
      <c r="E399" s="3" t="s">
        <v>83</v>
      </c>
      <c r="F399" s="3" t="s">
        <v>58</v>
      </c>
      <c r="G399" s="3" t="s">
        <v>59</v>
      </c>
      <c r="H399" s="4">
        <v>46289.644418171287</v>
      </c>
      <c r="I399" s="4">
        <v>46289.728169675916</v>
      </c>
      <c r="J399" s="3">
        <f>ROUND((I399-H399)*1440,0)</f>
        <v>121</v>
      </c>
      <c r="K399" s="3" t="s">
        <v>1343</v>
      </c>
      <c r="L399" s="3" t="s">
        <v>36</v>
      </c>
      <c r="M399" s="3" t="s">
        <v>36</v>
      </c>
      <c r="N399" s="3" t="s">
        <v>23</v>
      </c>
      <c r="O399" s="3" t="s">
        <v>1344</v>
      </c>
    </row>
    <row r="400" spans="1:15" hidden="1" x14ac:dyDescent="0.75">
      <c r="A400" s="2">
        <v>46289</v>
      </c>
      <c r="B400" s="3" t="s">
        <v>1345</v>
      </c>
      <c r="C400" s="3" t="s">
        <v>1346</v>
      </c>
      <c r="D400" s="3" t="s">
        <v>977</v>
      </c>
      <c r="E400" s="3" t="s">
        <v>978</v>
      </c>
      <c r="F400" s="3" t="s">
        <v>17</v>
      </c>
      <c r="G400" s="3" t="s">
        <v>18</v>
      </c>
      <c r="H400" s="4">
        <v>46289.646593518519</v>
      </c>
      <c r="I400" s="4">
        <v>46289.702959606482</v>
      </c>
      <c r="J400" s="3">
        <f>ROUND((I400-H400)*1440,0)</f>
        <v>81</v>
      </c>
      <c r="K400" s="3" t="s">
        <v>214</v>
      </c>
      <c r="L400" s="3" t="s">
        <v>77</v>
      </c>
      <c r="M400" s="3" t="s">
        <v>78</v>
      </c>
      <c r="N400" s="3" t="s">
        <v>23</v>
      </c>
      <c r="O400" s="3" t="s">
        <v>215</v>
      </c>
    </row>
    <row r="401" spans="1:15" hidden="1" x14ac:dyDescent="0.75">
      <c r="A401" s="2">
        <v>46289</v>
      </c>
      <c r="B401" s="3" t="s">
        <v>1347</v>
      </c>
      <c r="C401" s="3" t="s">
        <v>1348</v>
      </c>
      <c r="D401" s="3" t="s">
        <v>56</v>
      </c>
      <c r="E401" s="3" t="s">
        <v>57</v>
      </c>
      <c r="F401" s="3" t="s">
        <v>615</v>
      </c>
      <c r="G401" s="3" t="s">
        <v>616</v>
      </c>
      <c r="H401" s="4">
        <v>46289.648315393519</v>
      </c>
      <c r="I401" s="4">
        <v>46289.737713773153</v>
      </c>
      <c r="J401" s="3">
        <f>ROUND((I401-H401)*1440,0)</f>
        <v>129</v>
      </c>
      <c r="K401" s="3" t="s">
        <v>380</v>
      </c>
      <c r="L401" s="3" t="s">
        <v>36</v>
      </c>
      <c r="M401" s="3" t="s">
        <v>36</v>
      </c>
      <c r="N401" s="3" t="s">
        <v>23</v>
      </c>
      <c r="O401" s="3" t="s">
        <v>381</v>
      </c>
    </row>
    <row r="402" spans="1:15" hidden="1" x14ac:dyDescent="0.75">
      <c r="A402" s="2">
        <v>46289</v>
      </c>
      <c r="B402" s="3" t="s">
        <v>1349</v>
      </c>
      <c r="C402" s="3" t="s">
        <v>1350</v>
      </c>
      <c r="D402" s="3" t="s">
        <v>1101</v>
      </c>
      <c r="E402" s="3" t="s">
        <v>1102</v>
      </c>
      <c r="F402" s="3" t="s">
        <v>17</v>
      </c>
      <c r="G402" s="3" t="s">
        <v>18</v>
      </c>
      <c r="H402" s="4">
        <v>46289.649053009263</v>
      </c>
      <c r="I402" s="4">
        <v>46289.677750115741</v>
      </c>
      <c r="J402" s="3">
        <f>ROUND((I402-H402)*1440,0)</f>
        <v>41</v>
      </c>
      <c r="K402" s="3" t="s">
        <v>396</v>
      </c>
      <c r="L402" s="3" t="s">
        <v>77</v>
      </c>
      <c r="M402" s="3" t="s">
        <v>78</v>
      </c>
      <c r="N402" s="3" t="s">
        <v>23</v>
      </c>
      <c r="O402" s="3" t="s">
        <v>397</v>
      </c>
    </row>
    <row r="403" spans="1:15" hidden="1" x14ac:dyDescent="0.75">
      <c r="A403" s="2">
        <v>46289</v>
      </c>
      <c r="B403" s="3" t="s">
        <v>1351</v>
      </c>
      <c r="C403" s="3" t="s">
        <v>1352</v>
      </c>
      <c r="D403" s="3" t="s">
        <v>56</v>
      </c>
      <c r="E403" s="3" t="s">
        <v>57</v>
      </c>
      <c r="F403" s="3"/>
      <c r="G403" s="3"/>
      <c r="H403" s="4">
        <v>46289.649372916669</v>
      </c>
      <c r="I403" s="4">
        <v>46289.667556944441</v>
      </c>
      <c r="J403" s="3">
        <f>ROUND((I403-H403)*1440,0)</f>
        <v>26</v>
      </c>
      <c r="K403" s="3" t="s">
        <v>256</v>
      </c>
      <c r="L403" s="3" t="s">
        <v>36</v>
      </c>
      <c r="M403" s="3" t="s">
        <v>36</v>
      </c>
      <c r="N403" s="3" t="s">
        <v>443</v>
      </c>
      <c r="O403" s="3" t="s">
        <v>257</v>
      </c>
    </row>
    <row r="404" spans="1:15" hidden="1" x14ac:dyDescent="0.75">
      <c r="A404" s="2">
        <v>46289</v>
      </c>
      <c r="B404" s="3" t="s">
        <v>1353</v>
      </c>
      <c r="C404" s="3" t="s">
        <v>1354</v>
      </c>
      <c r="D404" s="3" t="s">
        <v>56</v>
      </c>
      <c r="E404" s="3" t="s">
        <v>57</v>
      </c>
      <c r="F404" s="3" t="s">
        <v>1355</v>
      </c>
      <c r="G404" s="3" t="s">
        <v>1356</v>
      </c>
      <c r="H404" s="4">
        <v>46289.651564004627</v>
      </c>
      <c r="I404" s="4">
        <v>46289.753696296299</v>
      </c>
      <c r="J404" s="3">
        <f>ROUND((I404-H404)*1440,0)</f>
        <v>147</v>
      </c>
      <c r="K404" s="3" t="s">
        <v>164</v>
      </c>
      <c r="L404" s="3" t="s">
        <v>36</v>
      </c>
      <c r="M404" s="3" t="s">
        <v>36</v>
      </c>
      <c r="N404" s="3" t="s">
        <v>45</v>
      </c>
      <c r="O404" s="3" t="s">
        <v>165</v>
      </c>
    </row>
    <row r="405" spans="1:15" hidden="1" x14ac:dyDescent="0.75">
      <c r="A405" s="2">
        <v>46289</v>
      </c>
      <c r="B405" s="3" t="s">
        <v>1357</v>
      </c>
      <c r="C405" s="3" t="s">
        <v>1358</v>
      </c>
      <c r="D405" s="3" t="s">
        <v>615</v>
      </c>
      <c r="E405" s="3" t="s">
        <v>616</v>
      </c>
      <c r="F405" s="3" t="s">
        <v>82</v>
      </c>
      <c r="G405" s="3" t="s">
        <v>83</v>
      </c>
      <c r="H405" s="4">
        <v>46289.652429861111</v>
      </c>
      <c r="I405" s="4">
        <v>46289.86231261574</v>
      </c>
      <c r="J405" s="3">
        <f>ROUND((I405-H405)*1440,0)</f>
        <v>302</v>
      </c>
      <c r="K405" s="3" t="s">
        <v>1359</v>
      </c>
      <c r="L405" s="3" t="s">
        <v>36</v>
      </c>
      <c r="M405" s="3" t="s">
        <v>36</v>
      </c>
      <c r="N405" s="3" t="s">
        <v>23</v>
      </c>
      <c r="O405" s="3" t="s">
        <v>1360</v>
      </c>
    </row>
    <row r="406" spans="1:15" hidden="1" x14ac:dyDescent="0.75">
      <c r="A406" s="2">
        <v>46289</v>
      </c>
      <c r="B406" s="3" t="s">
        <v>1361</v>
      </c>
      <c r="C406" s="3" t="s">
        <v>1362</v>
      </c>
      <c r="D406" s="3" t="s">
        <v>56</v>
      </c>
      <c r="E406" s="3" t="s">
        <v>57</v>
      </c>
      <c r="F406" s="3" t="s">
        <v>334</v>
      </c>
      <c r="G406" s="3" t="s">
        <v>335</v>
      </c>
      <c r="H406" s="4">
        <v>46289.653580902777</v>
      </c>
      <c r="I406" s="4">
        <v>46289.779929976852</v>
      </c>
      <c r="J406" s="3">
        <f>ROUND((I406-H406)*1440,0)</f>
        <v>182</v>
      </c>
      <c r="K406" s="3" t="s">
        <v>1363</v>
      </c>
      <c r="L406" s="3" t="s">
        <v>36</v>
      </c>
      <c r="M406" s="3" t="s">
        <v>36</v>
      </c>
      <c r="N406" s="3" t="s">
        <v>23</v>
      </c>
      <c r="O406" s="3" t="s">
        <v>1364</v>
      </c>
    </row>
    <row r="407" spans="1:15" hidden="1" x14ac:dyDescent="0.75">
      <c r="A407" s="2">
        <v>46289</v>
      </c>
      <c r="B407" s="3" t="s">
        <v>1365</v>
      </c>
      <c r="C407" s="3" t="s">
        <v>1366</v>
      </c>
      <c r="D407" s="3" t="s">
        <v>27</v>
      </c>
      <c r="E407" s="3" t="s">
        <v>28</v>
      </c>
      <c r="F407" s="3" t="s">
        <v>1367</v>
      </c>
      <c r="G407" s="3" t="s">
        <v>1368</v>
      </c>
      <c r="H407" s="4">
        <v>46289.65414791667</v>
      </c>
      <c r="I407" s="4">
        <v>46289.663863078713</v>
      </c>
      <c r="J407" s="3">
        <f>ROUND((I407-H407)*1440,0)</f>
        <v>14</v>
      </c>
      <c r="K407" s="3" t="s">
        <v>1369</v>
      </c>
      <c r="L407" s="3" t="s">
        <v>36</v>
      </c>
      <c r="M407" s="3" t="s">
        <v>36</v>
      </c>
      <c r="N407" s="3" t="s">
        <v>23</v>
      </c>
      <c r="O407" s="3" t="s">
        <v>1370</v>
      </c>
    </row>
    <row r="408" spans="1:15" hidden="1" x14ac:dyDescent="0.75">
      <c r="A408" s="2">
        <v>46289</v>
      </c>
      <c r="B408" s="3" t="s">
        <v>1371</v>
      </c>
      <c r="C408" s="3" t="s">
        <v>1372</v>
      </c>
      <c r="D408" s="3" t="s">
        <v>56</v>
      </c>
      <c r="E408" s="3" t="s">
        <v>57</v>
      </c>
      <c r="F408" s="3" t="s">
        <v>19</v>
      </c>
      <c r="G408" s="3" t="s">
        <v>20</v>
      </c>
      <c r="H408" s="4">
        <v>46289.65445509259</v>
      </c>
      <c r="I408" s="4">
        <v>46289.823359837967</v>
      </c>
      <c r="J408" s="3">
        <f>ROUND((I408-H408)*1440,0)</f>
        <v>243</v>
      </c>
      <c r="K408" s="3" t="s">
        <v>130</v>
      </c>
      <c r="L408" s="3" t="s">
        <v>36</v>
      </c>
      <c r="M408" s="3" t="s">
        <v>36</v>
      </c>
      <c r="N408" s="3" t="s">
        <v>23</v>
      </c>
      <c r="O408" s="3" t="s">
        <v>131</v>
      </c>
    </row>
    <row r="409" spans="1:15" hidden="1" x14ac:dyDescent="0.75">
      <c r="A409" s="2">
        <v>46289</v>
      </c>
      <c r="B409" s="3" t="s">
        <v>1373</v>
      </c>
      <c r="C409" s="3" t="s">
        <v>1374</v>
      </c>
      <c r="D409" s="3" t="s">
        <v>27</v>
      </c>
      <c r="E409" s="3" t="s">
        <v>28</v>
      </c>
      <c r="F409" s="3" t="s">
        <v>1375</v>
      </c>
      <c r="G409" s="3" t="s">
        <v>1376</v>
      </c>
      <c r="H409" s="4">
        <v>46289.655237268518</v>
      </c>
      <c r="I409" s="4">
        <v>46289.73155034722</v>
      </c>
      <c r="J409" s="3">
        <f>ROUND((I409-H409)*1440,0)</f>
        <v>110</v>
      </c>
      <c r="K409" s="3" t="s">
        <v>296</v>
      </c>
      <c r="L409" s="3" t="s">
        <v>77</v>
      </c>
      <c r="M409" s="3" t="s">
        <v>78</v>
      </c>
      <c r="N409" s="3" t="s">
        <v>45</v>
      </c>
      <c r="O409" s="3" t="s">
        <v>297</v>
      </c>
    </row>
    <row r="410" spans="1:15" hidden="1" x14ac:dyDescent="0.75">
      <c r="A410" s="2">
        <v>46289</v>
      </c>
      <c r="B410" s="3" t="s">
        <v>1377</v>
      </c>
      <c r="C410" s="3" t="s">
        <v>1378</v>
      </c>
      <c r="D410" s="3" t="s">
        <v>56</v>
      </c>
      <c r="E410" s="3" t="s">
        <v>57</v>
      </c>
      <c r="F410" s="3" t="s">
        <v>56</v>
      </c>
      <c r="G410" s="3" t="s">
        <v>57</v>
      </c>
      <c r="H410" s="4">
        <v>46289.655485763891</v>
      </c>
      <c r="I410" s="4">
        <v>46289.905430092593</v>
      </c>
      <c r="J410" s="3">
        <f>ROUND((I410-H410)*1440,0)</f>
        <v>360</v>
      </c>
      <c r="K410" s="3" t="s">
        <v>112</v>
      </c>
      <c r="L410" s="3" t="s">
        <v>36</v>
      </c>
      <c r="M410" s="3" t="s">
        <v>36</v>
      </c>
      <c r="N410" s="3" t="s">
        <v>23</v>
      </c>
      <c r="O410" s="3" t="s">
        <v>113</v>
      </c>
    </row>
    <row r="411" spans="1:15" hidden="1" x14ac:dyDescent="0.75">
      <c r="A411" s="2">
        <v>46289</v>
      </c>
      <c r="B411" s="3" t="s">
        <v>1379</v>
      </c>
      <c r="C411" s="3" t="s">
        <v>1380</v>
      </c>
      <c r="D411" s="3" t="s">
        <v>280</v>
      </c>
      <c r="E411" s="3" t="s">
        <v>281</v>
      </c>
      <c r="F411" s="3" t="s">
        <v>17</v>
      </c>
      <c r="G411" s="3" t="s">
        <v>18</v>
      </c>
      <c r="H411" s="4">
        <v>46289.657208564808</v>
      </c>
      <c r="I411" s="4">
        <v>46289.763930208333</v>
      </c>
      <c r="J411" s="3">
        <f>ROUND((I411-H411)*1440,0)</f>
        <v>154</v>
      </c>
      <c r="K411" s="3" t="s">
        <v>801</v>
      </c>
      <c r="L411" s="3" t="s">
        <v>77</v>
      </c>
      <c r="M411" s="3" t="s">
        <v>78</v>
      </c>
      <c r="N411" s="3" t="s">
        <v>23</v>
      </c>
      <c r="O411" s="3" t="s">
        <v>802</v>
      </c>
    </row>
    <row r="412" spans="1:15" hidden="1" x14ac:dyDescent="0.75">
      <c r="A412" s="2">
        <v>46289</v>
      </c>
      <c r="B412" s="3" t="s">
        <v>1381</v>
      </c>
      <c r="C412" s="3" t="s">
        <v>1382</v>
      </c>
      <c r="D412" s="3" t="s">
        <v>56</v>
      </c>
      <c r="E412" s="3" t="s">
        <v>57</v>
      </c>
      <c r="F412" s="3" t="s">
        <v>56</v>
      </c>
      <c r="G412" s="3" t="s">
        <v>57</v>
      </c>
      <c r="H412" s="4">
        <v>46289.657378240743</v>
      </c>
      <c r="I412" s="4">
        <v>46289.93899224537</v>
      </c>
      <c r="J412" s="3">
        <f>ROUND((I412-H412)*1440,0)</f>
        <v>406</v>
      </c>
      <c r="K412" s="3" t="s">
        <v>899</v>
      </c>
      <c r="L412" s="3" t="s">
        <v>36</v>
      </c>
      <c r="M412" s="3" t="s">
        <v>36</v>
      </c>
      <c r="N412" s="3" t="s">
        <v>23</v>
      </c>
      <c r="O412" s="3" t="s">
        <v>900</v>
      </c>
    </row>
    <row r="413" spans="1:15" hidden="1" x14ac:dyDescent="0.75">
      <c r="A413" s="2">
        <v>46289</v>
      </c>
      <c r="B413" s="3" t="s">
        <v>1383</v>
      </c>
      <c r="C413" s="3" t="s">
        <v>1384</v>
      </c>
      <c r="D413" s="3" t="s">
        <v>106</v>
      </c>
      <c r="E413" s="3" t="s">
        <v>107</v>
      </c>
      <c r="F413" s="3" t="s">
        <v>17</v>
      </c>
      <c r="G413" s="3" t="s">
        <v>18</v>
      </c>
      <c r="H413" s="4">
        <v>46289.657742476847</v>
      </c>
      <c r="I413" s="4">
        <v>46289.739021296293</v>
      </c>
      <c r="J413" s="3">
        <f>ROUND((I413-H413)*1440,0)</f>
        <v>117</v>
      </c>
      <c r="K413" s="3" t="s">
        <v>543</v>
      </c>
      <c r="L413" s="3" t="s">
        <v>77</v>
      </c>
      <c r="M413" s="3" t="s">
        <v>78</v>
      </c>
      <c r="N413" s="3" t="s">
        <v>23</v>
      </c>
      <c r="O413" s="3" t="s">
        <v>544</v>
      </c>
    </row>
    <row r="414" spans="1:15" hidden="1" x14ac:dyDescent="0.75">
      <c r="A414" s="2">
        <v>46289</v>
      </c>
      <c r="B414" s="3" t="s">
        <v>1385</v>
      </c>
      <c r="C414" s="3" t="s">
        <v>1386</v>
      </c>
      <c r="D414" s="3" t="s">
        <v>56</v>
      </c>
      <c r="E414" s="3" t="s">
        <v>57</v>
      </c>
      <c r="F414" s="3" t="s">
        <v>17</v>
      </c>
      <c r="G414" s="3" t="s">
        <v>18</v>
      </c>
      <c r="H414" s="4">
        <v>46289.65858935185</v>
      </c>
      <c r="I414" s="4">
        <v>46289.760323263887</v>
      </c>
      <c r="J414" s="3">
        <f>ROUND((I414-H414)*1440,0)</f>
        <v>146</v>
      </c>
      <c r="K414" s="3" t="s">
        <v>765</v>
      </c>
      <c r="L414" s="3" t="s">
        <v>43</v>
      </c>
      <c r="M414" s="3" t="s">
        <v>44</v>
      </c>
      <c r="N414" s="3" t="s">
        <v>23</v>
      </c>
      <c r="O414" s="3" t="s">
        <v>766</v>
      </c>
    </row>
    <row r="415" spans="1:15" hidden="1" x14ac:dyDescent="0.75">
      <c r="A415" s="2">
        <v>46289</v>
      </c>
      <c r="B415" s="3" t="s">
        <v>1387</v>
      </c>
      <c r="C415" s="3" t="s">
        <v>1388</v>
      </c>
      <c r="D415" s="3" t="s">
        <v>17</v>
      </c>
      <c r="E415" s="3" t="s">
        <v>18</v>
      </c>
      <c r="F415" s="3" t="s">
        <v>56</v>
      </c>
      <c r="G415" s="3" t="s">
        <v>57</v>
      </c>
      <c r="H415" s="4">
        <v>46289.658910648148</v>
      </c>
      <c r="I415" s="4">
        <v>46289.892330092589</v>
      </c>
      <c r="J415" s="3">
        <f>ROUND((I415-H415)*1440,0)</f>
        <v>336</v>
      </c>
      <c r="K415" s="3" t="s">
        <v>1389</v>
      </c>
      <c r="L415" s="3" t="s">
        <v>36</v>
      </c>
      <c r="M415" s="3" t="s">
        <v>36</v>
      </c>
      <c r="N415" s="3" t="s">
        <v>23</v>
      </c>
      <c r="O415" s="3" t="s">
        <v>1390</v>
      </c>
    </row>
    <row r="416" spans="1:15" hidden="1" x14ac:dyDescent="0.75">
      <c r="A416" s="2">
        <v>46289</v>
      </c>
      <c r="B416" s="3" t="s">
        <v>1391</v>
      </c>
      <c r="C416" s="3" t="s">
        <v>1392</v>
      </c>
      <c r="D416" s="3" t="s">
        <v>56</v>
      </c>
      <c r="E416" s="3" t="s">
        <v>57</v>
      </c>
      <c r="F416" s="3" t="s">
        <v>17</v>
      </c>
      <c r="G416" s="3" t="s">
        <v>18</v>
      </c>
      <c r="H416" s="4">
        <v>46289.659820717592</v>
      </c>
      <c r="I416" s="4">
        <v>46289.97328784722</v>
      </c>
      <c r="J416" s="3">
        <f>ROUND((I416-H416)*1440,0)</f>
        <v>451</v>
      </c>
      <c r="K416" s="3" t="s">
        <v>336</v>
      </c>
      <c r="L416" s="3" t="s">
        <v>36</v>
      </c>
      <c r="M416" s="3" t="s">
        <v>36</v>
      </c>
      <c r="N416" s="3" t="s">
        <v>23</v>
      </c>
      <c r="O416" s="3" t="s">
        <v>337</v>
      </c>
    </row>
    <row r="417" spans="1:15" hidden="1" x14ac:dyDescent="0.75">
      <c r="A417" s="2">
        <v>46289</v>
      </c>
      <c r="B417" s="3" t="s">
        <v>1393</v>
      </c>
      <c r="C417" s="3" t="s">
        <v>1394</v>
      </c>
      <c r="D417" s="3" t="s">
        <v>68</v>
      </c>
      <c r="E417" s="3" t="s">
        <v>69</v>
      </c>
      <c r="F417" s="3" t="s">
        <v>116</v>
      </c>
      <c r="G417" s="3" t="s">
        <v>117</v>
      </c>
      <c r="H417" s="4">
        <v>46289.659973842587</v>
      </c>
      <c r="I417" s="4">
        <v>46289.758721527767</v>
      </c>
      <c r="J417" s="3">
        <f>ROUND((I417-H417)*1440,0)</f>
        <v>142</v>
      </c>
      <c r="K417" s="3" t="s">
        <v>907</v>
      </c>
      <c r="L417" s="3" t="s">
        <v>36</v>
      </c>
      <c r="M417" s="3" t="s">
        <v>36</v>
      </c>
      <c r="N417" s="3" t="s">
        <v>45</v>
      </c>
      <c r="O417" s="3" t="s">
        <v>908</v>
      </c>
    </row>
    <row r="418" spans="1:15" hidden="1" x14ac:dyDescent="0.75">
      <c r="A418" s="2">
        <v>46289</v>
      </c>
      <c r="B418" s="3" t="s">
        <v>1395</v>
      </c>
      <c r="C418" s="3" t="s">
        <v>1396</v>
      </c>
      <c r="D418" s="3" t="s">
        <v>218</v>
      </c>
      <c r="E418" s="3" t="s">
        <v>219</v>
      </c>
      <c r="F418" s="3" t="s">
        <v>27</v>
      </c>
      <c r="G418" s="3" t="s">
        <v>28</v>
      </c>
      <c r="H418" s="4">
        <v>46289.660485069442</v>
      </c>
      <c r="I418" s="4">
        <v>46289.717110763893</v>
      </c>
      <c r="J418" s="3">
        <f>ROUND((I418-H418)*1440,0)</f>
        <v>82</v>
      </c>
      <c r="K418" s="3" t="s">
        <v>1023</v>
      </c>
      <c r="L418" s="3" t="s">
        <v>77</v>
      </c>
      <c r="M418" s="3" t="s">
        <v>78</v>
      </c>
      <c r="N418" s="3" t="s">
        <v>23</v>
      </c>
      <c r="O418" s="3" t="s">
        <v>1024</v>
      </c>
    </row>
    <row r="419" spans="1:15" hidden="1" x14ac:dyDescent="0.75">
      <c r="A419" s="2">
        <v>46289</v>
      </c>
      <c r="B419" s="3" t="s">
        <v>1397</v>
      </c>
      <c r="C419" s="3" t="s">
        <v>1398</v>
      </c>
      <c r="D419" s="3" t="s">
        <v>17</v>
      </c>
      <c r="E419" s="3" t="s">
        <v>18</v>
      </c>
      <c r="F419" s="3" t="s">
        <v>56</v>
      </c>
      <c r="G419" s="3" t="s">
        <v>57</v>
      </c>
      <c r="H419" s="4">
        <v>46289.66089097222</v>
      </c>
      <c r="I419" s="4">
        <v>46289.763157638889</v>
      </c>
      <c r="J419" s="3">
        <f>ROUND((I419-H419)*1440,0)</f>
        <v>147</v>
      </c>
      <c r="K419" s="3" t="s">
        <v>1399</v>
      </c>
      <c r="L419" s="3" t="s">
        <v>43</v>
      </c>
      <c r="M419" s="3" t="s">
        <v>44</v>
      </c>
      <c r="N419" s="3" t="s">
        <v>23</v>
      </c>
      <c r="O419" s="3" t="s">
        <v>1400</v>
      </c>
    </row>
    <row r="420" spans="1:15" hidden="1" x14ac:dyDescent="0.75">
      <c r="A420" s="2">
        <v>46289</v>
      </c>
      <c r="B420" s="3" t="s">
        <v>1401</v>
      </c>
      <c r="C420" s="3" t="s">
        <v>1402</v>
      </c>
      <c r="D420" s="3" t="s">
        <v>82</v>
      </c>
      <c r="E420" s="3" t="s">
        <v>83</v>
      </c>
      <c r="F420" s="3" t="s">
        <v>84</v>
      </c>
      <c r="G420" s="3" t="s">
        <v>85</v>
      </c>
      <c r="H420" s="4">
        <v>46289.661024189823</v>
      </c>
      <c r="I420" s="4">
        <v>46289.752241203707</v>
      </c>
      <c r="J420" s="3">
        <f>ROUND((I420-H420)*1440,0)</f>
        <v>131</v>
      </c>
      <c r="K420" s="3" t="s">
        <v>867</v>
      </c>
      <c r="L420" s="3" t="s">
        <v>36</v>
      </c>
      <c r="M420" s="3" t="s">
        <v>36</v>
      </c>
      <c r="N420" s="3" t="s">
        <v>45</v>
      </c>
      <c r="O420" s="3" t="s">
        <v>868</v>
      </c>
    </row>
    <row r="421" spans="1:15" hidden="1" x14ac:dyDescent="0.75">
      <c r="A421" s="2">
        <v>46289</v>
      </c>
      <c r="B421" s="3" t="s">
        <v>1403</v>
      </c>
      <c r="C421" s="3" t="s">
        <v>1404</v>
      </c>
      <c r="D421" s="3" t="s">
        <v>56</v>
      </c>
      <c r="E421" s="3" t="s">
        <v>57</v>
      </c>
      <c r="F421" s="3" t="s">
        <v>56</v>
      </c>
      <c r="G421" s="3" t="s">
        <v>57</v>
      </c>
      <c r="H421" s="4">
        <v>46289.662197453697</v>
      </c>
      <c r="I421" s="4">
        <v>46289.901067361112</v>
      </c>
      <c r="J421" s="3">
        <f>ROUND((I421-H421)*1440,0)</f>
        <v>344</v>
      </c>
      <c r="K421" s="3" t="s">
        <v>376</v>
      </c>
      <c r="L421" s="3" t="s">
        <v>36</v>
      </c>
      <c r="M421" s="3" t="s">
        <v>36</v>
      </c>
      <c r="N421" s="3" t="s">
        <v>23</v>
      </c>
      <c r="O421" s="3" t="s">
        <v>377</v>
      </c>
    </row>
    <row r="422" spans="1:15" hidden="1" x14ac:dyDescent="0.75">
      <c r="A422" s="2">
        <v>46289</v>
      </c>
      <c r="B422" s="3" t="s">
        <v>1405</v>
      </c>
      <c r="C422" s="3" t="s">
        <v>1406</v>
      </c>
      <c r="D422" s="3" t="s">
        <v>27</v>
      </c>
      <c r="E422" s="3" t="s">
        <v>28</v>
      </c>
      <c r="F422" s="3"/>
      <c r="G422" s="3"/>
      <c r="H422" s="4">
        <v>46289.662397106476</v>
      </c>
      <c r="I422" s="4">
        <v>46289.709319907408</v>
      </c>
      <c r="J422" s="3">
        <f>ROUND((I422-H422)*1440,0)</f>
        <v>68</v>
      </c>
      <c r="K422" s="3" t="s">
        <v>31</v>
      </c>
      <c r="L422" s="3" t="s">
        <v>22</v>
      </c>
      <c r="M422" s="3" t="s">
        <v>22</v>
      </c>
      <c r="N422" s="3" t="s">
        <v>443</v>
      </c>
      <c r="O422" s="3" t="s">
        <v>32</v>
      </c>
    </row>
    <row r="423" spans="1:15" hidden="1" x14ac:dyDescent="0.75">
      <c r="A423" s="2">
        <v>46289</v>
      </c>
      <c r="B423" s="3" t="s">
        <v>1407</v>
      </c>
      <c r="C423" s="3" t="s">
        <v>1408</v>
      </c>
      <c r="D423" s="3" t="s">
        <v>196</v>
      </c>
      <c r="E423" s="3" t="s">
        <v>197</v>
      </c>
      <c r="F423" s="3" t="s">
        <v>27</v>
      </c>
      <c r="G423" s="3" t="s">
        <v>28</v>
      </c>
      <c r="H423" s="4">
        <v>46289.663153587957</v>
      </c>
      <c r="I423" s="4">
        <v>46289.70901377315</v>
      </c>
      <c r="J423" s="3">
        <f>ROUND((I423-H423)*1440,0)</f>
        <v>66</v>
      </c>
      <c r="K423" s="3" t="s">
        <v>1077</v>
      </c>
      <c r="L423" s="3" t="s">
        <v>36</v>
      </c>
      <c r="M423" s="3" t="s">
        <v>36</v>
      </c>
      <c r="N423" s="3" t="s">
        <v>23</v>
      </c>
      <c r="O423" s="3" t="s">
        <v>1078</v>
      </c>
    </row>
    <row r="424" spans="1:15" hidden="1" x14ac:dyDescent="0.75">
      <c r="A424" s="2">
        <v>46289</v>
      </c>
      <c r="B424" s="3" t="s">
        <v>1409</v>
      </c>
      <c r="C424" s="3" t="s">
        <v>1410</v>
      </c>
      <c r="D424" s="3" t="s">
        <v>27</v>
      </c>
      <c r="E424" s="3" t="s">
        <v>28</v>
      </c>
      <c r="F424" s="3" t="s">
        <v>94</v>
      </c>
      <c r="G424" s="3" t="s">
        <v>95</v>
      </c>
      <c r="H424" s="4">
        <v>46289.663935069453</v>
      </c>
      <c r="I424" s="4">
        <v>46289.735126736108</v>
      </c>
      <c r="J424" s="3">
        <f>ROUND((I424-H424)*1440,0)</f>
        <v>103</v>
      </c>
      <c r="K424" s="3" t="s">
        <v>314</v>
      </c>
      <c r="L424" s="3" t="s">
        <v>36</v>
      </c>
      <c r="M424" s="3" t="s">
        <v>36</v>
      </c>
      <c r="N424" s="3" t="s">
        <v>23</v>
      </c>
      <c r="O424" s="3" t="s">
        <v>315</v>
      </c>
    </row>
    <row r="425" spans="1:15" hidden="1" x14ac:dyDescent="0.75">
      <c r="A425" s="2">
        <v>46289</v>
      </c>
      <c r="B425" s="3" t="s">
        <v>1411</v>
      </c>
      <c r="C425" s="3" t="s">
        <v>1412</v>
      </c>
      <c r="D425" s="3" t="s">
        <v>27</v>
      </c>
      <c r="E425" s="3" t="s">
        <v>28</v>
      </c>
      <c r="F425" s="3" t="s">
        <v>977</v>
      </c>
      <c r="G425" s="3" t="s">
        <v>978</v>
      </c>
      <c r="H425" s="4">
        <v>46289.665432175927</v>
      </c>
      <c r="I425" s="4">
        <v>46289.756457986106</v>
      </c>
      <c r="J425" s="3">
        <f>ROUND((I425-H425)*1440,0)</f>
        <v>131</v>
      </c>
      <c r="K425" s="3" t="s">
        <v>739</v>
      </c>
      <c r="L425" s="3" t="s">
        <v>77</v>
      </c>
      <c r="M425" s="3" t="s">
        <v>78</v>
      </c>
      <c r="N425" s="3" t="s">
        <v>45</v>
      </c>
      <c r="O425" s="3" t="s">
        <v>740</v>
      </c>
    </row>
    <row r="426" spans="1:15" hidden="1" x14ac:dyDescent="0.75">
      <c r="A426" s="2">
        <v>46289</v>
      </c>
      <c r="B426" s="3" t="s">
        <v>1413</v>
      </c>
      <c r="C426" s="3" t="s">
        <v>1414</v>
      </c>
      <c r="D426" s="3" t="s">
        <v>56</v>
      </c>
      <c r="E426" s="3" t="s">
        <v>57</v>
      </c>
      <c r="F426" s="3"/>
      <c r="G426" s="3"/>
      <c r="H426" s="4">
        <v>46289.665542592593</v>
      </c>
      <c r="I426" s="4">
        <v>46289.682142824073</v>
      </c>
      <c r="J426" s="3">
        <f>ROUND((I426-H426)*1440,0)</f>
        <v>24</v>
      </c>
      <c r="K426" s="3" t="s">
        <v>240</v>
      </c>
      <c r="L426" s="3" t="s">
        <v>52</v>
      </c>
      <c r="M426" s="3"/>
      <c r="N426" s="3" t="s">
        <v>443</v>
      </c>
      <c r="O426" s="3" t="s">
        <v>241</v>
      </c>
    </row>
    <row r="427" spans="1:15" hidden="1" x14ac:dyDescent="0.75">
      <c r="A427" s="2">
        <v>46289</v>
      </c>
      <c r="B427" s="3" t="s">
        <v>1415</v>
      </c>
      <c r="C427" s="3" t="s">
        <v>1416</v>
      </c>
      <c r="D427" s="3" t="s">
        <v>94</v>
      </c>
      <c r="E427" s="3" t="s">
        <v>95</v>
      </c>
      <c r="F427" s="3" t="s">
        <v>27</v>
      </c>
      <c r="G427" s="3" t="s">
        <v>28</v>
      </c>
      <c r="H427" s="4">
        <v>46289.666174652783</v>
      </c>
      <c r="I427" s="4">
        <v>46289.722944675923</v>
      </c>
      <c r="J427" s="3">
        <f>ROUND((I427-H427)*1440,0)</f>
        <v>82</v>
      </c>
      <c r="K427" s="3" t="s">
        <v>356</v>
      </c>
      <c r="L427" s="3" t="s">
        <v>77</v>
      </c>
      <c r="M427" s="3" t="s">
        <v>78</v>
      </c>
      <c r="N427" s="3" t="s">
        <v>23</v>
      </c>
      <c r="O427" s="3" t="s">
        <v>357</v>
      </c>
    </row>
    <row r="428" spans="1:15" hidden="1" x14ac:dyDescent="0.75">
      <c r="A428" s="2">
        <v>46289</v>
      </c>
      <c r="B428" s="3" t="s">
        <v>1417</v>
      </c>
      <c r="C428" s="3" t="s">
        <v>1418</v>
      </c>
      <c r="D428" s="3" t="s">
        <v>56</v>
      </c>
      <c r="E428" s="3" t="s">
        <v>57</v>
      </c>
      <c r="F428" s="3" t="s">
        <v>19</v>
      </c>
      <c r="G428" s="3" t="s">
        <v>20</v>
      </c>
      <c r="H428" s="4">
        <v>46289.667618402767</v>
      </c>
      <c r="I428" s="4">
        <v>46289.692614467589</v>
      </c>
      <c r="J428" s="3">
        <f>ROUND((I428-H428)*1440,0)</f>
        <v>36</v>
      </c>
      <c r="K428" s="3" t="s">
        <v>60</v>
      </c>
      <c r="L428" s="3" t="s">
        <v>36</v>
      </c>
      <c r="M428" s="3" t="s">
        <v>36</v>
      </c>
      <c r="N428" s="3" t="s">
        <v>23</v>
      </c>
      <c r="O428" s="3" t="s">
        <v>61</v>
      </c>
    </row>
    <row r="429" spans="1:15" hidden="1" x14ac:dyDescent="0.75">
      <c r="A429" s="2">
        <v>46289</v>
      </c>
      <c r="B429" s="3" t="s">
        <v>1419</v>
      </c>
      <c r="C429" s="3" t="s">
        <v>1420</v>
      </c>
      <c r="D429" s="3" t="s">
        <v>56</v>
      </c>
      <c r="E429" s="3" t="s">
        <v>57</v>
      </c>
      <c r="F429" s="3" t="s">
        <v>148</v>
      </c>
      <c r="G429" s="3" t="s">
        <v>149</v>
      </c>
      <c r="H429" s="4">
        <v>46289.668483796297</v>
      </c>
      <c r="I429" s="4">
        <v>46289.784874074066</v>
      </c>
      <c r="J429" s="3">
        <f>ROUND((I429-H429)*1440,0)</f>
        <v>168</v>
      </c>
      <c r="K429" s="3" t="s">
        <v>1045</v>
      </c>
      <c r="L429" s="3" t="s">
        <v>36</v>
      </c>
      <c r="M429" s="3" t="s">
        <v>36</v>
      </c>
      <c r="N429" s="3" t="s">
        <v>23</v>
      </c>
      <c r="O429" s="3" t="s">
        <v>1046</v>
      </c>
    </row>
    <row r="430" spans="1:15" hidden="1" x14ac:dyDescent="0.75">
      <c r="A430" s="2">
        <v>46289</v>
      </c>
      <c r="B430" s="3" t="s">
        <v>1421</v>
      </c>
      <c r="C430" s="3" t="s">
        <v>1422</v>
      </c>
      <c r="D430" s="3" t="s">
        <v>49</v>
      </c>
      <c r="E430" s="3" t="s">
        <v>50</v>
      </c>
      <c r="F430" s="3" t="s">
        <v>615</v>
      </c>
      <c r="G430" s="3" t="s">
        <v>616</v>
      </c>
      <c r="H430" s="4">
        <v>46289.670250578703</v>
      </c>
      <c r="I430" s="4">
        <v>46289.820706250001</v>
      </c>
      <c r="J430" s="3">
        <f>ROUND((I430-H430)*1440,0)</f>
        <v>217</v>
      </c>
      <c r="K430" s="3" t="s">
        <v>789</v>
      </c>
      <c r="L430" s="3" t="s">
        <v>36</v>
      </c>
      <c r="M430" s="3" t="s">
        <v>36</v>
      </c>
      <c r="N430" s="3" t="s">
        <v>23</v>
      </c>
      <c r="O430" s="3" t="s">
        <v>790</v>
      </c>
    </row>
    <row r="431" spans="1:15" hidden="1" x14ac:dyDescent="0.75">
      <c r="A431" s="2">
        <v>46289</v>
      </c>
      <c r="B431" s="3" t="s">
        <v>1423</v>
      </c>
      <c r="C431" s="3" t="s">
        <v>1424</v>
      </c>
      <c r="D431" s="3" t="s">
        <v>1031</v>
      </c>
      <c r="E431" s="3" t="s">
        <v>1032</v>
      </c>
      <c r="F431" s="3" t="s">
        <v>27</v>
      </c>
      <c r="G431" s="3" t="s">
        <v>28</v>
      </c>
      <c r="H431" s="4">
        <v>46289.670508564806</v>
      </c>
      <c r="I431" s="4">
        <v>46289.750651851849</v>
      </c>
      <c r="J431" s="3">
        <f>ROUND((I431-H431)*1440,0)</f>
        <v>115</v>
      </c>
      <c r="K431" s="3" t="s">
        <v>1033</v>
      </c>
      <c r="L431" s="3" t="s">
        <v>77</v>
      </c>
      <c r="M431" s="3" t="s">
        <v>78</v>
      </c>
      <c r="N431" s="3" t="s">
        <v>23</v>
      </c>
      <c r="O431" s="3" t="s">
        <v>1034</v>
      </c>
    </row>
    <row r="432" spans="1:15" hidden="1" x14ac:dyDescent="0.75">
      <c r="A432" s="2">
        <v>46289</v>
      </c>
      <c r="B432" s="3" t="s">
        <v>1425</v>
      </c>
      <c r="C432" s="3" t="s">
        <v>1426</v>
      </c>
      <c r="D432" s="3" t="s">
        <v>56</v>
      </c>
      <c r="E432" s="3" t="s">
        <v>57</v>
      </c>
      <c r="F432" s="3" t="s">
        <v>17</v>
      </c>
      <c r="G432" s="3" t="s">
        <v>18</v>
      </c>
      <c r="H432" s="4">
        <v>46289.670851736111</v>
      </c>
      <c r="I432" s="4">
        <v>46289.885087499999</v>
      </c>
      <c r="J432" s="3">
        <f>ROUND((I432-H432)*1440,0)</f>
        <v>308</v>
      </c>
      <c r="K432" s="3" t="s">
        <v>322</v>
      </c>
      <c r="L432" s="3" t="s">
        <v>36</v>
      </c>
      <c r="M432" s="3" t="s">
        <v>36</v>
      </c>
      <c r="N432" s="3" t="s">
        <v>23</v>
      </c>
      <c r="O432" s="3" t="s">
        <v>323</v>
      </c>
    </row>
    <row r="433" spans="1:15" hidden="1" x14ac:dyDescent="0.75">
      <c r="A433" s="2">
        <v>46289</v>
      </c>
      <c r="B433" s="3" t="s">
        <v>1427</v>
      </c>
      <c r="C433" s="3" t="s">
        <v>1428</v>
      </c>
      <c r="D433" s="3" t="s">
        <v>56</v>
      </c>
      <c r="E433" s="3" t="s">
        <v>57</v>
      </c>
      <c r="F433" s="3"/>
      <c r="G433" s="3"/>
      <c r="H433" s="4">
        <v>46289.671865046294</v>
      </c>
      <c r="I433" s="4">
        <v>46289.690126620371</v>
      </c>
      <c r="J433" s="3">
        <f>ROUND((I433-H433)*1440,0)</f>
        <v>26</v>
      </c>
      <c r="K433" s="3" t="s">
        <v>96</v>
      </c>
      <c r="L433" s="3" t="s">
        <v>77</v>
      </c>
      <c r="M433" s="3" t="s">
        <v>78</v>
      </c>
      <c r="N433" s="3" t="s">
        <v>443</v>
      </c>
      <c r="O433" s="3" t="s">
        <v>97</v>
      </c>
    </row>
    <row r="434" spans="1:15" hidden="1" x14ac:dyDescent="0.75">
      <c r="A434" s="2">
        <v>46289</v>
      </c>
      <c r="B434" s="3" t="s">
        <v>1429</v>
      </c>
      <c r="C434" s="3" t="s">
        <v>1430</v>
      </c>
      <c r="D434" s="3" t="s">
        <v>148</v>
      </c>
      <c r="E434" s="3" t="s">
        <v>149</v>
      </c>
      <c r="F434" s="3" t="s">
        <v>27</v>
      </c>
      <c r="G434" s="3" t="s">
        <v>28</v>
      </c>
      <c r="H434" s="4">
        <v>46289.673842592587</v>
      </c>
      <c r="I434" s="4">
        <v>46289.740668402781</v>
      </c>
      <c r="J434" s="3">
        <f>ROUND((I434-H434)*1440,0)</f>
        <v>96</v>
      </c>
      <c r="K434" s="3" t="s">
        <v>368</v>
      </c>
      <c r="L434" s="3" t="s">
        <v>77</v>
      </c>
      <c r="M434" s="3" t="s">
        <v>78</v>
      </c>
      <c r="N434" s="3" t="s">
        <v>23</v>
      </c>
      <c r="O434" s="3" t="s">
        <v>369</v>
      </c>
    </row>
    <row r="435" spans="1:15" hidden="1" x14ac:dyDescent="0.75">
      <c r="A435" s="2">
        <v>46289</v>
      </c>
      <c r="B435" s="3" t="s">
        <v>1431</v>
      </c>
      <c r="C435" s="3" t="s">
        <v>1432</v>
      </c>
      <c r="D435" s="3" t="s">
        <v>334</v>
      </c>
      <c r="E435" s="3" t="s">
        <v>335</v>
      </c>
      <c r="F435" s="3" t="s">
        <v>17</v>
      </c>
      <c r="G435" s="3" t="s">
        <v>18</v>
      </c>
      <c r="H435" s="4">
        <v>46289.674635532407</v>
      </c>
      <c r="I435" s="4">
        <v>46289.750649189817</v>
      </c>
      <c r="J435" s="3">
        <f>ROUND((I435-H435)*1440,0)</f>
        <v>109</v>
      </c>
      <c r="K435" s="3" t="s">
        <v>955</v>
      </c>
      <c r="L435" s="3" t="s">
        <v>77</v>
      </c>
      <c r="M435" s="3" t="s">
        <v>78</v>
      </c>
      <c r="N435" s="3" t="s">
        <v>23</v>
      </c>
      <c r="O435" s="3" t="s">
        <v>956</v>
      </c>
    </row>
    <row r="436" spans="1:15" hidden="1" x14ac:dyDescent="0.75">
      <c r="A436" s="2">
        <v>46289</v>
      </c>
      <c r="B436" s="3" t="s">
        <v>1433</v>
      </c>
      <c r="C436" s="3" t="s">
        <v>1434</v>
      </c>
      <c r="D436" s="3" t="s">
        <v>17</v>
      </c>
      <c r="E436" s="3" t="s">
        <v>18</v>
      </c>
      <c r="F436" s="3" t="s">
        <v>719</v>
      </c>
      <c r="G436" s="3" t="s">
        <v>720</v>
      </c>
      <c r="H436" s="4">
        <v>46289.675177199068</v>
      </c>
      <c r="I436" s="4">
        <v>46289.779073032398</v>
      </c>
      <c r="J436" s="3">
        <f>ROUND((I436-H436)*1440,0)</f>
        <v>150</v>
      </c>
      <c r="K436" s="3" t="s">
        <v>402</v>
      </c>
      <c r="L436" s="3" t="s">
        <v>36</v>
      </c>
      <c r="M436" s="3" t="s">
        <v>36</v>
      </c>
      <c r="N436" s="3" t="s">
        <v>23</v>
      </c>
      <c r="O436" s="3" t="s">
        <v>403</v>
      </c>
    </row>
    <row r="437" spans="1:15" hidden="1" x14ac:dyDescent="0.75">
      <c r="A437" s="2">
        <v>46289</v>
      </c>
      <c r="B437" s="3" t="s">
        <v>1435</v>
      </c>
      <c r="C437" s="3" t="s">
        <v>1436</v>
      </c>
      <c r="D437" s="3" t="s">
        <v>19</v>
      </c>
      <c r="E437" s="3" t="s">
        <v>20</v>
      </c>
      <c r="F437" s="3" t="s">
        <v>27</v>
      </c>
      <c r="G437" s="3" t="s">
        <v>28</v>
      </c>
      <c r="H437" s="4">
        <v>46289.675629861107</v>
      </c>
      <c r="I437" s="4">
        <v>46289.790055902777</v>
      </c>
      <c r="J437" s="3">
        <f>ROUND((I437-H437)*1440,0)</f>
        <v>165</v>
      </c>
      <c r="K437" s="3" t="s">
        <v>150</v>
      </c>
      <c r="L437" s="3" t="s">
        <v>36</v>
      </c>
      <c r="M437" s="3" t="s">
        <v>36</v>
      </c>
      <c r="N437" s="3" t="s">
        <v>23</v>
      </c>
      <c r="O437" s="3" t="s">
        <v>151</v>
      </c>
    </row>
    <row r="438" spans="1:15" hidden="1" x14ac:dyDescent="0.75">
      <c r="A438" s="2">
        <v>46289</v>
      </c>
      <c r="B438" s="3" t="s">
        <v>1437</v>
      </c>
      <c r="C438" s="3" t="s">
        <v>1438</v>
      </c>
      <c r="D438" s="3" t="s">
        <v>56</v>
      </c>
      <c r="E438" s="3" t="s">
        <v>57</v>
      </c>
      <c r="F438" s="3" t="s">
        <v>683</v>
      </c>
      <c r="G438" s="3" t="s">
        <v>684</v>
      </c>
      <c r="H438" s="4">
        <v>46289.676207060184</v>
      </c>
      <c r="I438" s="4">
        <v>46289.739159606477</v>
      </c>
      <c r="J438" s="3">
        <f>ROUND((I438-H438)*1440,0)</f>
        <v>91</v>
      </c>
      <c r="K438" s="3" t="s">
        <v>775</v>
      </c>
      <c r="L438" s="3" t="s">
        <v>36</v>
      </c>
      <c r="M438" s="3" t="s">
        <v>36</v>
      </c>
      <c r="N438" s="3" t="s">
        <v>23</v>
      </c>
      <c r="O438" s="3" t="s">
        <v>776</v>
      </c>
    </row>
    <row r="439" spans="1:15" hidden="1" x14ac:dyDescent="0.75">
      <c r="A439" s="2">
        <v>46289</v>
      </c>
      <c r="B439" s="3" t="s">
        <v>1439</v>
      </c>
      <c r="C439" s="3" t="s">
        <v>1440</v>
      </c>
      <c r="D439" s="3" t="s">
        <v>56</v>
      </c>
      <c r="E439" s="3" t="s">
        <v>57</v>
      </c>
      <c r="F439" s="3"/>
      <c r="G439" s="3"/>
      <c r="H439" s="4">
        <v>46289.676792361111</v>
      </c>
      <c r="I439" s="4">
        <v>46289.737600115739</v>
      </c>
      <c r="J439" s="3">
        <f>ROUND((I439-H439)*1440,0)</f>
        <v>88</v>
      </c>
      <c r="K439" s="3" t="s">
        <v>1441</v>
      </c>
      <c r="L439" s="3" t="s">
        <v>43</v>
      </c>
      <c r="M439" s="3" t="s">
        <v>44</v>
      </c>
      <c r="N439" s="3" t="s">
        <v>443</v>
      </c>
      <c r="O439" s="3" t="s">
        <v>1442</v>
      </c>
    </row>
    <row r="440" spans="1:15" hidden="1" x14ac:dyDescent="0.75">
      <c r="A440" s="2">
        <v>46289</v>
      </c>
      <c r="B440" s="3" t="s">
        <v>1443</v>
      </c>
      <c r="C440" s="3" t="s">
        <v>1444</v>
      </c>
      <c r="D440" s="3" t="s">
        <v>56</v>
      </c>
      <c r="E440" s="3" t="s">
        <v>57</v>
      </c>
      <c r="F440" s="3" t="s">
        <v>320</v>
      </c>
      <c r="G440" s="3" t="s">
        <v>321</v>
      </c>
      <c r="H440" s="4">
        <v>46289.678832175923</v>
      </c>
      <c r="I440" s="4">
        <v>46289.745303240743</v>
      </c>
      <c r="J440" s="3">
        <f>ROUND((I440-H440)*1440,0)</f>
        <v>96</v>
      </c>
      <c r="K440" s="3" t="s">
        <v>969</v>
      </c>
      <c r="L440" s="3" t="s">
        <v>36</v>
      </c>
      <c r="M440" s="3" t="s">
        <v>36</v>
      </c>
      <c r="N440" s="3" t="s">
        <v>23</v>
      </c>
      <c r="O440" s="3" t="s">
        <v>970</v>
      </c>
    </row>
    <row r="441" spans="1:15" hidden="1" x14ac:dyDescent="0.75">
      <c r="A441" s="2">
        <v>46289</v>
      </c>
      <c r="B441" s="3" t="s">
        <v>1445</v>
      </c>
      <c r="C441" s="3" t="s">
        <v>1446</v>
      </c>
      <c r="D441" s="3" t="s">
        <v>56</v>
      </c>
      <c r="E441" s="3" t="s">
        <v>57</v>
      </c>
      <c r="F441" s="3" t="s">
        <v>615</v>
      </c>
      <c r="G441" s="3" t="s">
        <v>616</v>
      </c>
      <c r="H441" s="4">
        <v>46289.679741782413</v>
      </c>
      <c r="I441" s="4">
        <v>46289.981917129633</v>
      </c>
      <c r="J441" s="3">
        <f>ROUND((I441-H441)*1440,0)</f>
        <v>435</v>
      </c>
      <c r="K441" s="3" t="s">
        <v>493</v>
      </c>
      <c r="L441" s="3" t="s">
        <v>36</v>
      </c>
      <c r="M441" s="3" t="s">
        <v>36</v>
      </c>
      <c r="N441" s="3" t="s">
        <v>45</v>
      </c>
      <c r="O441" s="3" t="s">
        <v>494</v>
      </c>
    </row>
    <row r="442" spans="1:15" hidden="1" x14ac:dyDescent="0.75">
      <c r="A442" s="2">
        <v>46289</v>
      </c>
      <c r="B442" s="3" t="s">
        <v>1447</v>
      </c>
      <c r="C442" s="3" t="s">
        <v>1448</v>
      </c>
      <c r="D442" s="3" t="s">
        <v>158</v>
      </c>
      <c r="E442" s="3" t="s">
        <v>159</v>
      </c>
      <c r="F442" s="3" t="s">
        <v>82</v>
      </c>
      <c r="G442" s="3" t="s">
        <v>83</v>
      </c>
      <c r="H442" s="4">
        <v>46289.679823032413</v>
      </c>
      <c r="I442" s="4">
        <v>46289.750263425929</v>
      </c>
      <c r="J442" s="3">
        <f>ROUND((I442-H442)*1440,0)</f>
        <v>101</v>
      </c>
      <c r="K442" s="3" t="s">
        <v>873</v>
      </c>
      <c r="L442" s="3" t="s">
        <v>36</v>
      </c>
      <c r="M442" s="3" t="s">
        <v>36</v>
      </c>
      <c r="N442" s="3" t="s">
        <v>23</v>
      </c>
      <c r="O442" s="3" t="s">
        <v>874</v>
      </c>
    </row>
    <row r="443" spans="1:15" hidden="1" x14ac:dyDescent="0.75">
      <c r="A443" s="2">
        <v>46289</v>
      </c>
      <c r="B443" s="3" t="s">
        <v>1449</v>
      </c>
      <c r="C443" s="3" t="s">
        <v>1450</v>
      </c>
      <c r="D443" s="3" t="s">
        <v>719</v>
      </c>
      <c r="E443" s="3" t="s">
        <v>720</v>
      </c>
      <c r="F443" s="3" t="s">
        <v>27</v>
      </c>
      <c r="G443" s="3" t="s">
        <v>28</v>
      </c>
      <c r="H443" s="4">
        <v>46289.680314814817</v>
      </c>
      <c r="I443" s="4">
        <v>46289.803270949073</v>
      </c>
      <c r="J443" s="3">
        <f>ROUND((I443-H443)*1440,0)</f>
        <v>177</v>
      </c>
      <c r="K443" s="3" t="s">
        <v>721</v>
      </c>
      <c r="L443" s="3" t="s">
        <v>22</v>
      </c>
      <c r="M443" s="3" t="s">
        <v>22</v>
      </c>
      <c r="N443" s="3" t="s">
        <v>23</v>
      </c>
      <c r="O443" s="3" t="s">
        <v>722</v>
      </c>
    </row>
    <row r="444" spans="1:15" hidden="1" x14ac:dyDescent="0.75">
      <c r="A444" s="2">
        <v>46289</v>
      </c>
      <c r="B444" s="3" t="s">
        <v>1451</v>
      </c>
      <c r="C444" s="3" t="s">
        <v>1452</v>
      </c>
      <c r="D444" s="3" t="s">
        <v>56</v>
      </c>
      <c r="E444" s="3" t="s">
        <v>57</v>
      </c>
      <c r="F444" s="3" t="s">
        <v>106</v>
      </c>
      <c r="G444" s="3" t="s">
        <v>107</v>
      </c>
      <c r="H444" s="4">
        <v>46289.680522453702</v>
      </c>
      <c r="I444" s="4">
        <v>46289.817229976848</v>
      </c>
      <c r="J444" s="3">
        <f>ROUND((I444-H444)*1440,0)</f>
        <v>197</v>
      </c>
      <c r="K444" s="3" t="s">
        <v>108</v>
      </c>
      <c r="L444" s="3" t="s">
        <v>36</v>
      </c>
      <c r="M444" s="3" t="s">
        <v>36</v>
      </c>
      <c r="N444" s="3" t="s">
        <v>23</v>
      </c>
      <c r="O444" s="3" t="s">
        <v>109</v>
      </c>
    </row>
    <row r="445" spans="1:15" hidden="1" x14ac:dyDescent="0.75">
      <c r="A445" s="2">
        <v>46289</v>
      </c>
      <c r="B445" s="3" t="s">
        <v>1453</v>
      </c>
      <c r="C445" s="3" t="s">
        <v>1454</v>
      </c>
      <c r="D445" s="3" t="s">
        <v>122</v>
      </c>
      <c r="E445" s="3" t="s">
        <v>123</v>
      </c>
      <c r="F445" s="3" t="s">
        <v>27</v>
      </c>
      <c r="G445" s="3" t="s">
        <v>28</v>
      </c>
      <c r="H445" s="4">
        <v>46289.681884027777</v>
      </c>
      <c r="I445" s="4">
        <v>46289.905572337957</v>
      </c>
      <c r="J445" s="3">
        <f>ROUND((I445-H445)*1440,0)</f>
        <v>322</v>
      </c>
      <c r="K445" s="3" t="s">
        <v>276</v>
      </c>
      <c r="L445" s="3" t="s">
        <v>22</v>
      </c>
      <c r="M445" s="3" t="s">
        <v>22</v>
      </c>
      <c r="N445" s="3" t="s">
        <v>23</v>
      </c>
      <c r="O445" s="3" t="s">
        <v>277</v>
      </c>
    </row>
    <row r="446" spans="1:15" hidden="1" x14ac:dyDescent="0.75">
      <c r="A446" s="2">
        <v>46289</v>
      </c>
      <c r="B446" s="3" t="s">
        <v>1455</v>
      </c>
      <c r="C446" s="3" t="s">
        <v>1456</v>
      </c>
      <c r="D446" s="3" t="s">
        <v>17</v>
      </c>
      <c r="E446" s="3" t="s">
        <v>18</v>
      </c>
      <c r="F446" s="3" t="s">
        <v>1113</v>
      </c>
      <c r="G446" s="3" t="s">
        <v>1114</v>
      </c>
      <c r="H446" s="4">
        <v>46289.681960185182</v>
      </c>
      <c r="I446" s="4">
        <v>46289.831946180559</v>
      </c>
      <c r="J446" s="3">
        <f>ROUND((I446-H446)*1440,0)</f>
        <v>216</v>
      </c>
      <c r="K446" s="3" t="s">
        <v>1177</v>
      </c>
      <c r="L446" s="3" t="s">
        <v>77</v>
      </c>
      <c r="M446" s="3" t="s">
        <v>78</v>
      </c>
      <c r="N446" s="3" t="s">
        <v>23</v>
      </c>
      <c r="O446" s="3" t="s">
        <v>1178</v>
      </c>
    </row>
    <row r="447" spans="1:15" hidden="1" x14ac:dyDescent="0.75">
      <c r="A447" s="2">
        <v>46289</v>
      </c>
      <c r="B447" s="3" t="s">
        <v>1457</v>
      </c>
      <c r="C447" s="3" t="s">
        <v>1458</v>
      </c>
      <c r="D447" s="3" t="s">
        <v>17</v>
      </c>
      <c r="E447" s="3" t="s">
        <v>18</v>
      </c>
      <c r="F447" s="3" t="s">
        <v>264</v>
      </c>
      <c r="G447" s="3" t="s">
        <v>265</v>
      </c>
      <c r="H447" s="4">
        <v>46289.684525578698</v>
      </c>
      <c r="I447" s="4">
        <v>46289.882367708327</v>
      </c>
      <c r="J447" s="3">
        <f>ROUND((I447-H447)*1440,0)</f>
        <v>285</v>
      </c>
      <c r="K447" s="3" t="s">
        <v>581</v>
      </c>
      <c r="L447" s="3" t="s">
        <v>22</v>
      </c>
      <c r="M447" s="3" t="s">
        <v>22</v>
      </c>
      <c r="N447" s="3" t="s">
        <v>23</v>
      </c>
      <c r="O447" s="3" t="s">
        <v>582</v>
      </c>
    </row>
    <row r="448" spans="1:15" hidden="1" x14ac:dyDescent="0.75">
      <c r="A448" s="2">
        <v>46289</v>
      </c>
      <c r="B448" s="3" t="s">
        <v>1459</v>
      </c>
      <c r="C448" s="3" t="s">
        <v>1460</v>
      </c>
      <c r="D448" s="3" t="s">
        <v>56</v>
      </c>
      <c r="E448" s="3" t="s">
        <v>57</v>
      </c>
      <c r="F448" s="3" t="s">
        <v>1207</v>
      </c>
      <c r="G448" s="3" t="s">
        <v>1208</v>
      </c>
      <c r="H448" s="4">
        <v>46289.685179166663</v>
      </c>
      <c r="I448" s="4">
        <v>46289.793676273148</v>
      </c>
      <c r="J448" s="3">
        <f>ROUND((I448-H448)*1440,0)</f>
        <v>156</v>
      </c>
      <c r="K448" s="3" t="s">
        <v>144</v>
      </c>
      <c r="L448" s="3" t="s">
        <v>36</v>
      </c>
      <c r="M448" s="3" t="s">
        <v>36</v>
      </c>
      <c r="N448" s="3" t="s">
        <v>23</v>
      </c>
      <c r="O448" s="3" t="s">
        <v>145</v>
      </c>
    </row>
    <row r="449" spans="1:15" hidden="1" x14ac:dyDescent="0.75">
      <c r="A449" s="2">
        <v>46289</v>
      </c>
      <c r="B449" s="3" t="s">
        <v>1461</v>
      </c>
      <c r="C449" s="3" t="s">
        <v>1462</v>
      </c>
      <c r="D449" s="3" t="s">
        <v>82</v>
      </c>
      <c r="E449" s="3" t="s">
        <v>83</v>
      </c>
      <c r="F449" s="3" t="s">
        <v>208</v>
      </c>
      <c r="G449" s="3" t="s">
        <v>209</v>
      </c>
      <c r="H449" s="4">
        <v>46289.686671296287</v>
      </c>
      <c r="I449" s="4">
        <v>46289.774454282408</v>
      </c>
      <c r="J449" s="3">
        <f>ROUND((I449-H449)*1440,0)</f>
        <v>126</v>
      </c>
      <c r="K449" s="3" t="s">
        <v>70</v>
      </c>
      <c r="L449" s="3" t="s">
        <v>36</v>
      </c>
      <c r="M449" s="3" t="s">
        <v>36</v>
      </c>
      <c r="N449" s="3" t="s">
        <v>23</v>
      </c>
      <c r="O449" s="3" t="s">
        <v>71</v>
      </c>
    </row>
    <row r="450" spans="1:15" hidden="1" x14ac:dyDescent="0.75">
      <c r="A450" s="2">
        <v>46289</v>
      </c>
      <c r="B450" s="3" t="s">
        <v>1463</v>
      </c>
      <c r="C450" s="3" t="s">
        <v>1464</v>
      </c>
      <c r="D450" s="3" t="s">
        <v>27</v>
      </c>
      <c r="E450" s="3" t="s">
        <v>28</v>
      </c>
      <c r="F450" s="3" t="s">
        <v>1269</v>
      </c>
      <c r="G450" s="3" t="s">
        <v>1270</v>
      </c>
      <c r="H450" s="4">
        <v>46289.688100115738</v>
      </c>
      <c r="I450" s="4">
        <v>46289.785610763887</v>
      </c>
      <c r="J450" s="3">
        <f>ROUND((I450-H450)*1440,0)</f>
        <v>140</v>
      </c>
      <c r="K450" s="3" t="s">
        <v>224</v>
      </c>
      <c r="L450" s="3" t="s">
        <v>77</v>
      </c>
      <c r="M450" s="3" t="s">
        <v>78</v>
      </c>
      <c r="N450" s="3" t="s">
        <v>45</v>
      </c>
      <c r="O450" s="3" t="s">
        <v>225</v>
      </c>
    </row>
    <row r="451" spans="1:15" hidden="1" x14ac:dyDescent="0.75">
      <c r="A451" s="2">
        <v>46289</v>
      </c>
      <c r="B451" s="3" t="s">
        <v>1465</v>
      </c>
      <c r="C451" s="3" t="s">
        <v>1466</v>
      </c>
      <c r="D451" s="3" t="s">
        <v>17</v>
      </c>
      <c r="E451" s="3" t="s">
        <v>18</v>
      </c>
      <c r="F451" s="3" t="s">
        <v>17</v>
      </c>
      <c r="G451" s="3" t="s">
        <v>18</v>
      </c>
      <c r="H451" s="4">
        <v>46289.688465162028</v>
      </c>
      <c r="I451" s="4">
        <v>46290.040895949067</v>
      </c>
      <c r="J451" s="3">
        <f>ROUND((I451-H451)*1440,0)</f>
        <v>508</v>
      </c>
      <c r="K451" s="3" t="s">
        <v>637</v>
      </c>
      <c r="L451" s="3" t="s">
        <v>22</v>
      </c>
      <c r="M451" s="3" t="s">
        <v>22</v>
      </c>
      <c r="N451" s="3" t="s">
        <v>23</v>
      </c>
      <c r="O451" s="3" t="s">
        <v>638</v>
      </c>
    </row>
    <row r="452" spans="1:15" hidden="1" x14ac:dyDescent="0.75">
      <c r="A452" s="2">
        <v>46289</v>
      </c>
      <c r="B452" s="3" t="s">
        <v>1467</v>
      </c>
      <c r="C452" s="3" t="s">
        <v>1468</v>
      </c>
      <c r="D452" s="3" t="s">
        <v>172</v>
      </c>
      <c r="E452" s="3" t="s">
        <v>173</v>
      </c>
      <c r="F452" s="3" t="s">
        <v>68</v>
      </c>
      <c r="G452" s="3" t="s">
        <v>69</v>
      </c>
      <c r="H452" s="4">
        <v>46289.688521990742</v>
      </c>
      <c r="I452" s="4">
        <v>46289.803645370368</v>
      </c>
      <c r="J452" s="3">
        <f>ROUND((I452-H452)*1440,0)</f>
        <v>166</v>
      </c>
      <c r="K452" s="3" t="s">
        <v>1469</v>
      </c>
      <c r="L452" s="3" t="s">
        <v>36</v>
      </c>
      <c r="M452" s="3" t="s">
        <v>36</v>
      </c>
      <c r="N452" s="3" t="s">
        <v>23</v>
      </c>
      <c r="O452" s="3" t="s">
        <v>1470</v>
      </c>
    </row>
    <row r="453" spans="1:15" hidden="1" x14ac:dyDescent="0.75">
      <c r="A453" s="2">
        <v>46289</v>
      </c>
      <c r="B453" s="3" t="s">
        <v>1471</v>
      </c>
      <c r="C453" s="3" t="s">
        <v>1472</v>
      </c>
      <c r="D453" s="3" t="s">
        <v>1101</v>
      </c>
      <c r="E453" s="3" t="s">
        <v>1102</v>
      </c>
      <c r="F453" s="3" t="s">
        <v>208</v>
      </c>
      <c r="G453" s="3" t="s">
        <v>209</v>
      </c>
      <c r="H453" s="4">
        <v>46289.688712499999</v>
      </c>
      <c r="I453" s="4">
        <v>46289.72313298611</v>
      </c>
      <c r="J453" s="3">
        <f>ROUND((I453-H453)*1440,0)</f>
        <v>50</v>
      </c>
      <c r="K453" s="3" t="s">
        <v>51</v>
      </c>
      <c r="L453" s="3" t="s">
        <v>52</v>
      </c>
      <c r="M453" s="3"/>
      <c r="N453" s="3" t="s">
        <v>23</v>
      </c>
      <c r="O453" s="3" t="s">
        <v>53</v>
      </c>
    </row>
    <row r="454" spans="1:15" hidden="1" x14ac:dyDescent="0.75">
      <c r="A454" s="2">
        <v>46289</v>
      </c>
      <c r="B454" s="3" t="s">
        <v>1473</v>
      </c>
      <c r="C454" s="3" t="s">
        <v>1474</v>
      </c>
      <c r="D454" s="3" t="s">
        <v>56</v>
      </c>
      <c r="E454" s="3" t="s">
        <v>57</v>
      </c>
      <c r="F454" s="3" t="s">
        <v>208</v>
      </c>
      <c r="G454" s="3" t="s">
        <v>209</v>
      </c>
      <c r="H454" s="4">
        <v>46289.688721990737</v>
      </c>
      <c r="I454" s="4">
        <v>46289.787986226853</v>
      </c>
      <c r="J454" s="3">
        <f>ROUND((I454-H454)*1440,0)</f>
        <v>143</v>
      </c>
      <c r="K454" s="3" t="s">
        <v>434</v>
      </c>
      <c r="L454" s="3" t="s">
        <v>36</v>
      </c>
      <c r="M454" s="3" t="s">
        <v>36</v>
      </c>
      <c r="N454" s="3" t="s">
        <v>23</v>
      </c>
      <c r="O454" s="3" t="s">
        <v>435</v>
      </c>
    </row>
    <row r="455" spans="1:15" hidden="1" x14ac:dyDescent="0.75">
      <c r="A455" s="2">
        <v>46289</v>
      </c>
      <c r="B455" s="3" t="s">
        <v>1475</v>
      </c>
      <c r="C455" s="3" t="s">
        <v>1476</v>
      </c>
      <c r="D455" s="3" t="s">
        <v>973</v>
      </c>
      <c r="E455" s="3" t="s">
        <v>974</v>
      </c>
      <c r="F455" s="3" t="s">
        <v>27</v>
      </c>
      <c r="G455" s="3" t="s">
        <v>28</v>
      </c>
      <c r="H455" s="4">
        <v>46289.689380324067</v>
      </c>
      <c r="I455" s="4">
        <v>46289.76262789352</v>
      </c>
      <c r="J455" s="3">
        <f>ROUND((I455-H455)*1440,0)</f>
        <v>105</v>
      </c>
      <c r="K455" s="3" t="s">
        <v>138</v>
      </c>
      <c r="L455" s="3" t="s">
        <v>36</v>
      </c>
      <c r="M455" s="3" t="s">
        <v>36</v>
      </c>
      <c r="N455" s="3" t="s">
        <v>23</v>
      </c>
      <c r="O455" s="3" t="s">
        <v>139</v>
      </c>
    </row>
    <row r="456" spans="1:15" hidden="1" x14ac:dyDescent="0.75">
      <c r="A456" s="2">
        <v>46289</v>
      </c>
      <c r="B456" s="3" t="s">
        <v>1477</v>
      </c>
      <c r="C456" s="3" t="s">
        <v>1478</v>
      </c>
      <c r="D456" s="3" t="s">
        <v>82</v>
      </c>
      <c r="E456" s="3" t="s">
        <v>83</v>
      </c>
      <c r="F456" s="3" t="s">
        <v>615</v>
      </c>
      <c r="G456" s="3" t="s">
        <v>616</v>
      </c>
      <c r="H456" s="4">
        <v>46289.690093171303</v>
      </c>
      <c r="I456" s="4">
        <v>46289.867420717594</v>
      </c>
      <c r="J456" s="3">
        <f>ROUND((I456-H456)*1440,0)</f>
        <v>255</v>
      </c>
      <c r="K456" s="3" t="s">
        <v>981</v>
      </c>
      <c r="L456" s="3" t="s">
        <v>36</v>
      </c>
      <c r="M456" s="3" t="s">
        <v>36</v>
      </c>
      <c r="N456" s="3" t="s">
        <v>23</v>
      </c>
      <c r="O456" s="3" t="s">
        <v>982</v>
      </c>
    </row>
    <row r="457" spans="1:15" hidden="1" x14ac:dyDescent="0.75">
      <c r="A457" s="2">
        <v>46289</v>
      </c>
      <c r="B457" s="3" t="s">
        <v>1479</v>
      </c>
      <c r="C457" s="3" t="s">
        <v>1480</v>
      </c>
      <c r="D457" s="3" t="s">
        <v>17</v>
      </c>
      <c r="E457" s="3" t="s">
        <v>18</v>
      </c>
      <c r="F457" s="3" t="s">
        <v>615</v>
      </c>
      <c r="G457" s="3" t="s">
        <v>616</v>
      </c>
      <c r="H457" s="4">
        <v>46289.692163888889</v>
      </c>
      <c r="I457" s="4">
        <v>46289.840045023149</v>
      </c>
      <c r="J457" s="3">
        <f>ROUND((I457-H457)*1440,0)</f>
        <v>213</v>
      </c>
      <c r="K457" s="3" t="s">
        <v>1109</v>
      </c>
      <c r="L457" s="3" t="s">
        <v>22</v>
      </c>
      <c r="M457" s="3" t="s">
        <v>22</v>
      </c>
      <c r="N457" s="3" t="s">
        <v>45</v>
      </c>
      <c r="O457" s="3" t="s">
        <v>1110</v>
      </c>
    </row>
    <row r="458" spans="1:15" hidden="1" x14ac:dyDescent="0.75">
      <c r="A458" s="2">
        <v>46289</v>
      </c>
      <c r="B458" s="3" t="s">
        <v>1481</v>
      </c>
      <c r="C458" s="3" t="s">
        <v>1482</v>
      </c>
      <c r="D458" s="3" t="s">
        <v>27</v>
      </c>
      <c r="E458" s="3" t="s">
        <v>28</v>
      </c>
      <c r="F458" s="3" t="s">
        <v>737</v>
      </c>
      <c r="G458" s="3" t="s">
        <v>738</v>
      </c>
      <c r="H458" s="4">
        <v>46289.692402314817</v>
      </c>
      <c r="I458" s="4">
        <v>46289.738624768521</v>
      </c>
      <c r="J458" s="3">
        <f>ROUND((I458-H458)*1440,0)</f>
        <v>67</v>
      </c>
      <c r="K458" s="3" t="s">
        <v>1161</v>
      </c>
      <c r="L458" s="3" t="s">
        <v>77</v>
      </c>
      <c r="M458" s="3" t="s">
        <v>78</v>
      </c>
      <c r="N458" s="3" t="s">
        <v>45</v>
      </c>
      <c r="O458" s="3" t="s">
        <v>1162</v>
      </c>
    </row>
    <row r="459" spans="1:15" hidden="1" x14ac:dyDescent="0.75">
      <c r="A459" s="2">
        <v>46289</v>
      </c>
      <c r="B459" s="3" t="s">
        <v>1483</v>
      </c>
      <c r="C459" s="3" t="s">
        <v>1484</v>
      </c>
      <c r="D459" s="3" t="s">
        <v>56</v>
      </c>
      <c r="E459" s="3" t="s">
        <v>57</v>
      </c>
      <c r="F459" s="3" t="s">
        <v>158</v>
      </c>
      <c r="G459" s="3" t="s">
        <v>159</v>
      </c>
      <c r="H459" s="4">
        <v>46289.692598611109</v>
      </c>
      <c r="I459" s="4">
        <v>46289.778712962972</v>
      </c>
      <c r="J459" s="3">
        <f>ROUND((I459-H459)*1440,0)</f>
        <v>124</v>
      </c>
      <c r="K459" s="3" t="s">
        <v>76</v>
      </c>
      <c r="L459" s="3" t="s">
        <v>77</v>
      </c>
      <c r="M459" s="3" t="s">
        <v>78</v>
      </c>
      <c r="N459" s="3" t="s">
        <v>23</v>
      </c>
      <c r="O459" s="3" t="s">
        <v>79</v>
      </c>
    </row>
    <row r="460" spans="1:15" hidden="1" x14ac:dyDescent="0.75">
      <c r="A460" s="2">
        <v>46289</v>
      </c>
      <c r="B460" s="3" t="s">
        <v>1485</v>
      </c>
      <c r="C460" s="3" t="s">
        <v>1486</v>
      </c>
      <c r="D460" s="3" t="s">
        <v>82</v>
      </c>
      <c r="E460" s="3" t="s">
        <v>83</v>
      </c>
      <c r="F460" s="3" t="s">
        <v>615</v>
      </c>
      <c r="G460" s="3" t="s">
        <v>616</v>
      </c>
      <c r="H460" s="4">
        <v>46289.693376504627</v>
      </c>
      <c r="I460" s="4">
        <v>46289.799844791669</v>
      </c>
      <c r="J460" s="3">
        <f>ROUND((I460-H460)*1440,0)</f>
        <v>153</v>
      </c>
      <c r="K460" s="3" t="s">
        <v>993</v>
      </c>
      <c r="L460" s="3" t="s">
        <v>36</v>
      </c>
      <c r="M460" s="3" t="s">
        <v>36</v>
      </c>
      <c r="N460" s="3" t="s">
        <v>45</v>
      </c>
      <c r="O460" s="3" t="s">
        <v>994</v>
      </c>
    </row>
    <row r="461" spans="1:15" hidden="1" x14ac:dyDescent="0.75">
      <c r="A461" s="2">
        <v>46289</v>
      </c>
      <c r="B461" s="3" t="s">
        <v>1487</v>
      </c>
      <c r="C461" s="3" t="s">
        <v>1488</v>
      </c>
      <c r="D461" s="3" t="s">
        <v>68</v>
      </c>
      <c r="E461" s="3" t="s">
        <v>69</v>
      </c>
      <c r="F461" s="3" t="s">
        <v>84</v>
      </c>
      <c r="G461" s="3" t="s">
        <v>85</v>
      </c>
      <c r="H461" s="4">
        <v>46289.693417361108</v>
      </c>
      <c r="I461" s="4">
        <v>46289.79659351852</v>
      </c>
      <c r="J461" s="3">
        <f>ROUND((I461-H461)*1440,0)</f>
        <v>149</v>
      </c>
      <c r="K461" s="3" t="s">
        <v>246</v>
      </c>
      <c r="L461" s="3" t="s">
        <v>36</v>
      </c>
      <c r="M461" s="3" t="s">
        <v>36</v>
      </c>
      <c r="N461" s="3" t="s">
        <v>45</v>
      </c>
      <c r="O461" s="3" t="s">
        <v>247</v>
      </c>
    </row>
    <row r="462" spans="1:15" hidden="1" x14ac:dyDescent="0.75">
      <c r="A462" s="2">
        <v>46289</v>
      </c>
      <c r="B462" s="3" t="s">
        <v>1489</v>
      </c>
      <c r="C462" s="3" t="s">
        <v>1490</v>
      </c>
      <c r="D462" s="3" t="s">
        <v>27</v>
      </c>
      <c r="E462" s="3" t="s">
        <v>28</v>
      </c>
      <c r="F462" s="3" t="s">
        <v>304</v>
      </c>
      <c r="G462" s="3" t="s">
        <v>305</v>
      </c>
      <c r="H462" s="4">
        <v>46289.69781435185</v>
      </c>
      <c r="I462" s="4">
        <v>46289.91976261574</v>
      </c>
      <c r="J462" s="3">
        <f>ROUND((I462-H462)*1440,0)</f>
        <v>320</v>
      </c>
      <c r="K462" s="3" t="s">
        <v>965</v>
      </c>
      <c r="L462" s="3" t="s">
        <v>22</v>
      </c>
      <c r="M462" s="3" t="s">
        <v>22</v>
      </c>
      <c r="N462" s="3" t="s">
        <v>23</v>
      </c>
      <c r="O462" s="3" t="s">
        <v>966</v>
      </c>
    </row>
    <row r="463" spans="1:15" hidden="1" x14ac:dyDescent="0.75">
      <c r="A463" s="2">
        <v>46289</v>
      </c>
      <c r="B463" s="3" t="s">
        <v>1491</v>
      </c>
      <c r="C463" s="3" t="s">
        <v>1492</v>
      </c>
      <c r="D463" s="3" t="s">
        <v>17</v>
      </c>
      <c r="E463" s="3" t="s">
        <v>18</v>
      </c>
      <c r="F463" s="3" t="s">
        <v>82</v>
      </c>
      <c r="G463" s="3" t="s">
        <v>83</v>
      </c>
      <c r="H463" s="4">
        <v>46289.69820914352</v>
      </c>
      <c r="I463" s="4">
        <v>46289.791031018518</v>
      </c>
      <c r="J463" s="3">
        <f>ROUND((I463-H463)*1440,0)</f>
        <v>134</v>
      </c>
      <c r="K463" s="3" t="s">
        <v>64</v>
      </c>
      <c r="L463" s="3" t="s">
        <v>43</v>
      </c>
      <c r="M463" s="3" t="s">
        <v>44</v>
      </c>
      <c r="N463" s="3" t="s">
        <v>23</v>
      </c>
      <c r="O463" s="3" t="s">
        <v>65</v>
      </c>
    </row>
    <row r="464" spans="1:15" hidden="1" x14ac:dyDescent="0.75">
      <c r="A464" s="2">
        <v>46289</v>
      </c>
      <c r="B464" s="3" t="s">
        <v>1493</v>
      </c>
      <c r="C464" s="3" t="s">
        <v>1494</v>
      </c>
      <c r="D464" s="3" t="s">
        <v>208</v>
      </c>
      <c r="E464" s="3" t="s">
        <v>209</v>
      </c>
      <c r="F464" s="3" t="s">
        <v>1101</v>
      </c>
      <c r="G464" s="3" t="s">
        <v>1102</v>
      </c>
      <c r="H464" s="4">
        <v>46289.698929861108</v>
      </c>
      <c r="I464" s="4">
        <v>46289.72690509259</v>
      </c>
      <c r="J464" s="3">
        <f>ROUND((I464-H464)*1440,0)</f>
        <v>40</v>
      </c>
      <c r="K464" s="3" t="s">
        <v>891</v>
      </c>
      <c r="L464" s="3" t="s">
        <v>77</v>
      </c>
      <c r="M464" s="3" t="s">
        <v>78</v>
      </c>
      <c r="N464" s="3" t="s">
        <v>45</v>
      </c>
      <c r="O464" s="3" t="s">
        <v>892</v>
      </c>
    </row>
    <row r="465" spans="1:15" hidden="1" x14ac:dyDescent="0.75">
      <c r="A465" s="2">
        <v>46289</v>
      </c>
      <c r="B465" s="3" t="s">
        <v>1495</v>
      </c>
      <c r="C465" s="3" t="s">
        <v>1496</v>
      </c>
      <c r="D465" s="3" t="s">
        <v>1005</v>
      </c>
      <c r="E465" s="3" t="s">
        <v>1006</v>
      </c>
      <c r="F465" s="3" t="s">
        <v>27</v>
      </c>
      <c r="G465" s="3" t="s">
        <v>28</v>
      </c>
      <c r="H465" s="4">
        <v>46289.700543981482</v>
      </c>
      <c r="I465" s="4">
        <v>46289.79119502315</v>
      </c>
      <c r="J465" s="3">
        <f>ROUND((I465-H465)*1440,0)</f>
        <v>131</v>
      </c>
      <c r="K465" s="3" t="s">
        <v>372</v>
      </c>
      <c r="L465" s="3" t="s">
        <v>77</v>
      </c>
      <c r="M465" s="3" t="s">
        <v>78</v>
      </c>
      <c r="N465" s="3" t="s">
        <v>23</v>
      </c>
      <c r="O465" s="3" t="s">
        <v>373</v>
      </c>
    </row>
    <row r="466" spans="1:15" hidden="1" x14ac:dyDescent="0.75">
      <c r="A466" s="2">
        <v>46289</v>
      </c>
      <c r="B466" s="3" t="s">
        <v>1497</v>
      </c>
      <c r="C466" s="3" t="s">
        <v>1498</v>
      </c>
      <c r="D466" s="3" t="s">
        <v>56</v>
      </c>
      <c r="E466" s="3" t="s">
        <v>57</v>
      </c>
      <c r="F466" s="3" t="s">
        <v>74</v>
      </c>
      <c r="G466" s="3" t="s">
        <v>75</v>
      </c>
      <c r="H466" s="4">
        <v>46289.703012268517</v>
      </c>
      <c r="I466" s="4">
        <v>46289.794123148153</v>
      </c>
      <c r="J466" s="3">
        <f>ROUND((I466-H466)*1440,0)</f>
        <v>131</v>
      </c>
      <c r="K466" s="3" t="s">
        <v>501</v>
      </c>
      <c r="L466" s="3" t="s">
        <v>77</v>
      </c>
      <c r="M466" s="3" t="s">
        <v>78</v>
      </c>
      <c r="N466" s="3" t="s">
        <v>23</v>
      </c>
      <c r="O466" s="3" t="s">
        <v>502</v>
      </c>
    </row>
    <row r="467" spans="1:15" hidden="1" x14ac:dyDescent="0.75">
      <c r="A467" s="2">
        <v>46289</v>
      </c>
      <c r="B467" s="3" t="s">
        <v>1499</v>
      </c>
      <c r="C467" s="3" t="s">
        <v>1500</v>
      </c>
      <c r="D467" s="3" t="s">
        <v>615</v>
      </c>
      <c r="E467" s="3" t="s">
        <v>616</v>
      </c>
      <c r="F467" s="3" t="s">
        <v>615</v>
      </c>
      <c r="G467" s="3" t="s">
        <v>616</v>
      </c>
      <c r="H467" s="4">
        <v>46289.704148842589</v>
      </c>
      <c r="I467" s="4">
        <v>46289.830696296303</v>
      </c>
      <c r="J467" s="3">
        <f>ROUND((I467-H467)*1440,0)</f>
        <v>182</v>
      </c>
      <c r="K467" s="3" t="s">
        <v>1501</v>
      </c>
      <c r="L467" s="3" t="s">
        <v>77</v>
      </c>
      <c r="M467" s="3" t="s">
        <v>78</v>
      </c>
      <c r="N467" s="3" t="s">
        <v>45</v>
      </c>
      <c r="O467" s="3" t="s">
        <v>1502</v>
      </c>
    </row>
    <row r="468" spans="1:15" hidden="1" x14ac:dyDescent="0.75">
      <c r="A468" s="2">
        <v>46289</v>
      </c>
      <c r="B468" s="3" t="s">
        <v>1503</v>
      </c>
      <c r="C468" s="3" t="s">
        <v>1504</v>
      </c>
      <c r="D468" s="3" t="s">
        <v>56</v>
      </c>
      <c r="E468" s="3" t="s">
        <v>57</v>
      </c>
      <c r="F468" s="3" t="s">
        <v>56</v>
      </c>
      <c r="G468" s="3" t="s">
        <v>57</v>
      </c>
      <c r="H468" s="4">
        <v>46289.70458888889</v>
      </c>
      <c r="I468" s="4">
        <v>46289.923557060189</v>
      </c>
      <c r="J468" s="3">
        <f>ROUND((I468-H468)*1440,0)</f>
        <v>315</v>
      </c>
      <c r="K468" s="3" t="s">
        <v>1505</v>
      </c>
      <c r="L468" s="3" t="s">
        <v>36</v>
      </c>
      <c r="M468" s="3" t="s">
        <v>36</v>
      </c>
      <c r="N468" s="3" t="s">
        <v>23</v>
      </c>
      <c r="O468" s="3" t="s">
        <v>1506</v>
      </c>
    </row>
    <row r="469" spans="1:15" hidden="1" x14ac:dyDescent="0.75">
      <c r="A469" s="2">
        <v>46289</v>
      </c>
      <c r="B469" s="3" t="s">
        <v>1507</v>
      </c>
      <c r="C469" s="3" t="s">
        <v>1508</v>
      </c>
      <c r="D469" s="3" t="s">
        <v>100</v>
      </c>
      <c r="E469" s="3" t="s">
        <v>101</v>
      </c>
      <c r="F469" s="3" t="s">
        <v>27</v>
      </c>
      <c r="G469" s="3" t="s">
        <v>28</v>
      </c>
      <c r="H469" s="4">
        <v>46289.704833101852</v>
      </c>
      <c r="I469" s="4">
        <v>46289.795628125001</v>
      </c>
      <c r="J469" s="3">
        <f>ROUND((I469-H469)*1440,0)</f>
        <v>131</v>
      </c>
      <c r="K469" s="3" t="s">
        <v>230</v>
      </c>
      <c r="L469" s="3" t="s">
        <v>77</v>
      </c>
      <c r="M469" s="3" t="s">
        <v>78</v>
      </c>
      <c r="N469" s="3" t="s">
        <v>23</v>
      </c>
      <c r="O469" s="3" t="s">
        <v>231</v>
      </c>
    </row>
    <row r="470" spans="1:15" hidden="1" x14ac:dyDescent="0.75">
      <c r="A470" s="2">
        <v>46289</v>
      </c>
      <c r="B470" s="3" t="s">
        <v>1509</v>
      </c>
      <c r="C470" s="3" t="s">
        <v>1510</v>
      </c>
      <c r="D470" s="3" t="s">
        <v>270</v>
      </c>
      <c r="E470" s="3" t="s">
        <v>271</v>
      </c>
      <c r="F470" s="3" t="s">
        <v>27</v>
      </c>
      <c r="G470" s="3" t="s">
        <v>28</v>
      </c>
      <c r="H470" s="4">
        <v>46289.705907523137</v>
      </c>
      <c r="I470" s="4">
        <v>46289.84463738426</v>
      </c>
      <c r="J470" s="3">
        <f>ROUND((I470-H470)*1440,0)</f>
        <v>200</v>
      </c>
      <c r="K470" s="3" t="s">
        <v>961</v>
      </c>
      <c r="L470" s="3" t="s">
        <v>36</v>
      </c>
      <c r="M470" s="3" t="s">
        <v>36</v>
      </c>
      <c r="N470" s="3" t="s">
        <v>23</v>
      </c>
      <c r="O470" s="3" t="s">
        <v>962</v>
      </c>
    </row>
    <row r="471" spans="1:15" hidden="1" x14ac:dyDescent="0.75">
      <c r="A471" s="2">
        <v>46289</v>
      </c>
      <c r="B471" s="3" t="s">
        <v>1511</v>
      </c>
      <c r="C471" s="3" t="s">
        <v>1512</v>
      </c>
      <c r="D471" s="3" t="s">
        <v>84</v>
      </c>
      <c r="E471" s="3" t="s">
        <v>85</v>
      </c>
      <c r="F471" s="3" t="s">
        <v>719</v>
      </c>
      <c r="G471" s="3" t="s">
        <v>720</v>
      </c>
      <c r="H471" s="4">
        <v>46289.706232291668</v>
      </c>
      <c r="I471" s="4">
        <v>46289.811741435187</v>
      </c>
      <c r="J471" s="3">
        <f>ROUND((I471-H471)*1440,0)</f>
        <v>152</v>
      </c>
      <c r="K471" s="3" t="s">
        <v>134</v>
      </c>
      <c r="L471" s="3" t="s">
        <v>36</v>
      </c>
      <c r="M471" s="3" t="s">
        <v>36</v>
      </c>
      <c r="N471" s="3" t="s">
        <v>23</v>
      </c>
      <c r="O471" s="3" t="s">
        <v>135</v>
      </c>
    </row>
    <row r="472" spans="1:15" hidden="1" x14ac:dyDescent="0.75">
      <c r="A472" s="2">
        <v>46289</v>
      </c>
      <c r="B472" s="3" t="s">
        <v>1513</v>
      </c>
      <c r="C472" s="3" t="s">
        <v>1514</v>
      </c>
      <c r="D472" s="3" t="s">
        <v>82</v>
      </c>
      <c r="E472" s="3" t="s">
        <v>83</v>
      </c>
      <c r="F472" s="3" t="s">
        <v>234</v>
      </c>
      <c r="G472" s="3" t="s">
        <v>235</v>
      </c>
      <c r="H472" s="4">
        <v>46289.70649571759</v>
      </c>
      <c r="I472" s="4">
        <v>46289.804139004627</v>
      </c>
      <c r="J472" s="3">
        <f>ROUND((I472-H472)*1440,0)</f>
        <v>141</v>
      </c>
      <c r="K472" s="3" t="s">
        <v>831</v>
      </c>
      <c r="L472" s="3" t="s">
        <v>77</v>
      </c>
      <c r="M472" s="3" t="s">
        <v>78</v>
      </c>
      <c r="N472" s="3" t="s">
        <v>23</v>
      </c>
      <c r="O472" s="3" t="s">
        <v>832</v>
      </c>
    </row>
    <row r="473" spans="1:15" hidden="1" x14ac:dyDescent="0.75">
      <c r="A473" s="2">
        <v>46289</v>
      </c>
      <c r="B473" s="3" t="s">
        <v>1515</v>
      </c>
      <c r="C473" s="3" t="s">
        <v>1516</v>
      </c>
      <c r="D473" s="3"/>
      <c r="E473" s="3"/>
      <c r="F473" s="3" t="s">
        <v>17</v>
      </c>
      <c r="G473" s="3" t="s">
        <v>18</v>
      </c>
      <c r="H473" s="4">
        <v>46289.707153240743</v>
      </c>
      <c r="I473" s="4">
        <v>46289.732350810184</v>
      </c>
      <c r="J473" s="3">
        <f>ROUND((I473-H473)*1440,0)</f>
        <v>36</v>
      </c>
      <c r="K473" s="3" t="s">
        <v>1517</v>
      </c>
      <c r="L473" s="3" t="s">
        <v>77</v>
      </c>
      <c r="M473" s="3" t="s">
        <v>78</v>
      </c>
      <c r="N473" s="3" t="s">
        <v>23</v>
      </c>
      <c r="O473" s="3" t="s">
        <v>1518</v>
      </c>
    </row>
    <row r="474" spans="1:15" hidden="1" x14ac:dyDescent="0.75">
      <c r="A474" s="2">
        <v>46289</v>
      </c>
      <c r="B474" s="3" t="s">
        <v>1519</v>
      </c>
      <c r="C474" s="3" t="s">
        <v>1520</v>
      </c>
      <c r="D474" s="3" t="s">
        <v>270</v>
      </c>
      <c r="E474" s="3" t="s">
        <v>271</v>
      </c>
      <c r="F474" s="3" t="s">
        <v>17</v>
      </c>
      <c r="G474" s="3" t="s">
        <v>18</v>
      </c>
      <c r="H474" s="4">
        <v>46289.707241203701</v>
      </c>
      <c r="I474" s="4">
        <v>46289.833596759257</v>
      </c>
      <c r="J474" s="3">
        <f>ROUND((I474-H474)*1440,0)</f>
        <v>182</v>
      </c>
      <c r="K474" s="3" t="s">
        <v>931</v>
      </c>
      <c r="L474" s="3" t="s">
        <v>77</v>
      </c>
      <c r="M474" s="3" t="s">
        <v>78</v>
      </c>
      <c r="N474" s="3" t="s">
        <v>23</v>
      </c>
      <c r="O474" s="3" t="s">
        <v>932</v>
      </c>
    </row>
    <row r="475" spans="1:15" hidden="1" x14ac:dyDescent="0.75">
      <c r="A475" s="2">
        <v>46289</v>
      </c>
      <c r="B475" s="3" t="s">
        <v>1521</v>
      </c>
      <c r="C475" s="3" t="s">
        <v>1522</v>
      </c>
      <c r="D475" s="3" t="s">
        <v>94</v>
      </c>
      <c r="E475" s="3" t="s">
        <v>95</v>
      </c>
      <c r="F475" s="3" t="s">
        <v>56</v>
      </c>
      <c r="G475" s="3" t="s">
        <v>57</v>
      </c>
      <c r="H475" s="4">
        <v>46289.709390856478</v>
      </c>
      <c r="I475" s="4">
        <v>46289.774926388891</v>
      </c>
      <c r="J475" s="3">
        <f>ROUND((I475-H475)*1440,0)</f>
        <v>94</v>
      </c>
      <c r="K475" s="3" t="s">
        <v>911</v>
      </c>
      <c r="L475" s="3" t="s">
        <v>36</v>
      </c>
      <c r="M475" s="3" t="s">
        <v>36</v>
      </c>
      <c r="N475" s="3" t="s">
        <v>23</v>
      </c>
      <c r="O475" s="3" t="s">
        <v>912</v>
      </c>
    </row>
    <row r="476" spans="1:15" hidden="1" x14ac:dyDescent="0.75">
      <c r="A476" s="2">
        <v>46289</v>
      </c>
      <c r="B476" s="3" t="s">
        <v>1523</v>
      </c>
      <c r="C476" s="3" t="s">
        <v>1524</v>
      </c>
      <c r="D476" s="3" t="s">
        <v>27</v>
      </c>
      <c r="E476" s="3" t="s">
        <v>28</v>
      </c>
      <c r="F476" s="3"/>
      <c r="G476" s="3"/>
      <c r="H476" s="4">
        <v>46289.711199421297</v>
      </c>
      <c r="I476" s="4">
        <v>46289.815400115738</v>
      </c>
      <c r="J476" s="3">
        <f>ROUND((I476-H476)*1440,0)</f>
        <v>150</v>
      </c>
      <c r="K476" s="3" t="s">
        <v>489</v>
      </c>
      <c r="L476" s="3" t="s">
        <v>36</v>
      </c>
      <c r="M476" s="3" t="s">
        <v>36</v>
      </c>
      <c r="N476" s="3" t="s">
        <v>45</v>
      </c>
      <c r="O476" s="3" t="s">
        <v>490</v>
      </c>
    </row>
    <row r="477" spans="1:15" hidden="1" x14ac:dyDescent="0.75">
      <c r="A477" s="2">
        <v>46289</v>
      </c>
      <c r="B477" s="3" t="s">
        <v>1525</v>
      </c>
      <c r="C477" s="3" t="s">
        <v>1526</v>
      </c>
      <c r="D477" s="3" t="s">
        <v>400</v>
      </c>
      <c r="E477" s="3" t="s">
        <v>401</v>
      </c>
      <c r="F477" s="3" t="s">
        <v>82</v>
      </c>
      <c r="G477" s="3" t="s">
        <v>83</v>
      </c>
      <c r="H477" s="4">
        <v>46289.711264699072</v>
      </c>
      <c r="I477" s="4">
        <v>46289.802476620367</v>
      </c>
      <c r="J477" s="3">
        <f>ROUND((I477-H477)*1440,0)</f>
        <v>131</v>
      </c>
      <c r="K477" s="3" t="s">
        <v>1125</v>
      </c>
      <c r="L477" s="3" t="s">
        <v>36</v>
      </c>
      <c r="M477" s="3" t="s">
        <v>36</v>
      </c>
      <c r="N477" s="3" t="s">
        <v>23</v>
      </c>
      <c r="O477" s="3" t="s">
        <v>1126</v>
      </c>
    </row>
    <row r="478" spans="1:15" hidden="1" x14ac:dyDescent="0.75">
      <c r="A478" s="2">
        <v>46289</v>
      </c>
      <c r="B478" s="3" t="s">
        <v>1527</v>
      </c>
      <c r="C478" s="3" t="s">
        <v>1528</v>
      </c>
      <c r="D478" s="3" t="s">
        <v>82</v>
      </c>
      <c r="E478" s="3" t="s">
        <v>83</v>
      </c>
      <c r="F478" s="3" t="s">
        <v>116</v>
      </c>
      <c r="G478" s="3" t="s">
        <v>117</v>
      </c>
      <c r="H478" s="4">
        <v>46289.720353935183</v>
      </c>
      <c r="I478" s="4">
        <v>46289.806801851853</v>
      </c>
      <c r="J478" s="3">
        <f>ROUND((I478-H478)*1440,0)</f>
        <v>124</v>
      </c>
      <c r="K478" s="3" t="s">
        <v>595</v>
      </c>
      <c r="L478" s="3" t="s">
        <v>22</v>
      </c>
      <c r="M478" s="3" t="s">
        <v>22</v>
      </c>
      <c r="N478" s="3" t="s">
        <v>45</v>
      </c>
      <c r="O478" s="3" t="s">
        <v>596</v>
      </c>
    </row>
    <row r="479" spans="1:15" hidden="1" x14ac:dyDescent="0.75">
      <c r="A479" s="2">
        <v>46289</v>
      </c>
      <c r="B479" s="3" t="s">
        <v>1529</v>
      </c>
      <c r="C479" s="3" t="s">
        <v>1530</v>
      </c>
      <c r="D479" s="3" t="s">
        <v>56</v>
      </c>
      <c r="E479" s="3" t="s">
        <v>57</v>
      </c>
      <c r="F479" s="3"/>
      <c r="G479" s="3"/>
      <c r="H479" s="4">
        <v>46289.720848379628</v>
      </c>
      <c r="I479" s="4">
        <v>46289.754793402783</v>
      </c>
      <c r="J479" s="3">
        <f>ROUND((I479-H479)*1440,0)</f>
        <v>49</v>
      </c>
      <c r="K479" s="3" t="s">
        <v>1009</v>
      </c>
      <c r="L479" s="3" t="s">
        <v>36</v>
      </c>
      <c r="M479" s="3" t="s">
        <v>36</v>
      </c>
      <c r="N479" s="3" t="s">
        <v>45</v>
      </c>
      <c r="O479" s="3" t="s">
        <v>1010</v>
      </c>
    </row>
    <row r="480" spans="1:15" hidden="1" x14ac:dyDescent="0.75">
      <c r="A480" s="2">
        <v>46289</v>
      </c>
      <c r="B480" s="3" t="s">
        <v>1531</v>
      </c>
      <c r="C480" s="3" t="s">
        <v>1532</v>
      </c>
      <c r="D480" s="3" t="s">
        <v>304</v>
      </c>
      <c r="E480" s="3" t="s">
        <v>305</v>
      </c>
      <c r="F480" s="3" t="s">
        <v>17</v>
      </c>
      <c r="G480" s="3" t="s">
        <v>18</v>
      </c>
      <c r="H480" s="4">
        <v>46289.723143287039</v>
      </c>
      <c r="I480" s="4">
        <v>46289.92992696759</v>
      </c>
      <c r="J480" s="3">
        <f>ROUND((I480-H480)*1440,0)</f>
        <v>298</v>
      </c>
      <c r="K480" s="3" t="s">
        <v>661</v>
      </c>
      <c r="L480" s="3" t="s">
        <v>22</v>
      </c>
      <c r="M480" s="3" t="s">
        <v>22</v>
      </c>
      <c r="N480" s="3" t="s">
        <v>23</v>
      </c>
      <c r="O480" s="3" t="s">
        <v>662</v>
      </c>
    </row>
    <row r="481" spans="1:15" hidden="1" x14ac:dyDescent="0.75">
      <c r="A481" s="2">
        <v>46289</v>
      </c>
      <c r="B481" s="3" t="s">
        <v>1533</v>
      </c>
      <c r="C481" s="3" t="s">
        <v>1534</v>
      </c>
      <c r="D481" s="3" t="s">
        <v>128</v>
      </c>
      <c r="E481" s="3" t="s">
        <v>129</v>
      </c>
      <c r="F481" s="3" t="s">
        <v>56</v>
      </c>
      <c r="G481" s="3" t="s">
        <v>57</v>
      </c>
      <c r="H481" s="4">
        <v>46289.723224189816</v>
      </c>
      <c r="I481" s="4">
        <v>46289.824330902768</v>
      </c>
      <c r="J481" s="3">
        <f>ROUND((I481-H481)*1440,0)</f>
        <v>146</v>
      </c>
      <c r="K481" s="3" t="s">
        <v>1089</v>
      </c>
      <c r="L481" s="3" t="s">
        <v>36</v>
      </c>
      <c r="M481" s="3" t="s">
        <v>36</v>
      </c>
      <c r="N481" s="3" t="s">
        <v>23</v>
      </c>
      <c r="O481" s="3" t="s">
        <v>1090</v>
      </c>
    </row>
    <row r="482" spans="1:15" hidden="1" x14ac:dyDescent="0.75">
      <c r="A482" s="2">
        <v>46289</v>
      </c>
      <c r="B482" s="3" t="s">
        <v>1535</v>
      </c>
      <c r="C482" s="3" t="s">
        <v>1536</v>
      </c>
      <c r="D482" s="3"/>
      <c r="E482" s="3"/>
      <c r="F482" s="3" t="s">
        <v>17</v>
      </c>
      <c r="G482" s="3" t="s">
        <v>18</v>
      </c>
      <c r="H482" s="4">
        <v>46289.725602777777</v>
      </c>
      <c r="I482" s="4">
        <v>46289.745643402777</v>
      </c>
      <c r="J482" s="3">
        <f>ROUND((I482-H482)*1440,0)</f>
        <v>29</v>
      </c>
      <c r="K482" s="3" t="s">
        <v>1537</v>
      </c>
      <c r="L482" s="3" t="s">
        <v>43</v>
      </c>
      <c r="M482" s="3" t="s">
        <v>44</v>
      </c>
      <c r="N482" s="3" t="s">
        <v>23</v>
      </c>
      <c r="O482" s="3" t="s">
        <v>1538</v>
      </c>
    </row>
    <row r="483" spans="1:15" hidden="1" x14ac:dyDescent="0.75">
      <c r="A483" s="2">
        <v>46289</v>
      </c>
      <c r="B483" s="3" t="s">
        <v>1539</v>
      </c>
      <c r="C483" s="3" t="s">
        <v>1540</v>
      </c>
      <c r="D483" s="3" t="s">
        <v>182</v>
      </c>
      <c r="E483" s="3" t="s">
        <v>183</v>
      </c>
      <c r="F483" s="3" t="s">
        <v>56</v>
      </c>
      <c r="G483" s="3" t="s">
        <v>57</v>
      </c>
      <c r="H483" s="4">
        <v>46289.729709259263</v>
      </c>
      <c r="I483" s="4">
        <v>46289.788978356482</v>
      </c>
      <c r="J483" s="3">
        <f>ROUND((I483-H483)*1440,0)</f>
        <v>85</v>
      </c>
      <c r="K483" s="3" t="s">
        <v>220</v>
      </c>
      <c r="L483" s="3" t="s">
        <v>77</v>
      </c>
      <c r="M483" s="3" t="s">
        <v>78</v>
      </c>
      <c r="N483" s="3" t="s">
        <v>23</v>
      </c>
      <c r="O483" s="3" t="s">
        <v>221</v>
      </c>
    </row>
    <row r="484" spans="1:15" hidden="1" x14ac:dyDescent="0.75">
      <c r="A484" s="2">
        <v>46289</v>
      </c>
      <c r="B484" s="3" t="s">
        <v>1541</v>
      </c>
      <c r="C484" s="3" t="s">
        <v>1542</v>
      </c>
      <c r="D484" s="3" t="s">
        <v>615</v>
      </c>
      <c r="E484" s="3" t="s">
        <v>616</v>
      </c>
      <c r="F484" s="3" t="s">
        <v>1543</v>
      </c>
      <c r="G484" s="3" t="s">
        <v>1544</v>
      </c>
      <c r="H484" s="4">
        <v>46289.729714699068</v>
      </c>
      <c r="I484" s="4">
        <v>46289.736874074071</v>
      </c>
      <c r="J484" s="3">
        <f>ROUND((I484-H484)*1440,0)</f>
        <v>10</v>
      </c>
      <c r="K484" s="3" t="s">
        <v>282</v>
      </c>
      <c r="L484" s="3" t="s">
        <v>36</v>
      </c>
      <c r="M484" s="3" t="s">
        <v>36</v>
      </c>
      <c r="N484" s="3" t="s">
        <v>45</v>
      </c>
      <c r="O484" s="3" t="s">
        <v>283</v>
      </c>
    </row>
    <row r="485" spans="1:15" hidden="1" x14ac:dyDescent="0.75">
      <c r="A485" s="2">
        <v>46289</v>
      </c>
      <c r="B485" s="3" t="s">
        <v>1545</v>
      </c>
      <c r="C485" s="3" t="s">
        <v>1546</v>
      </c>
      <c r="D485" s="3" t="s">
        <v>94</v>
      </c>
      <c r="E485" s="3" t="s">
        <v>95</v>
      </c>
      <c r="F485" s="3" t="s">
        <v>17</v>
      </c>
      <c r="G485" s="3" t="s">
        <v>18</v>
      </c>
      <c r="H485" s="4">
        <v>46289.729721990741</v>
      </c>
      <c r="I485" s="4">
        <v>46289.772188078707</v>
      </c>
      <c r="J485" s="3">
        <f>ROUND((I485-H485)*1440,0)</f>
        <v>61</v>
      </c>
      <c r="K485" s="3" t="s">
        <v>1261</v>
      </c>
      <c r="L485" s="3" t="s">
        <v>77</v>
      </c>
      <c r="M485" s="3" t="s">
        <v>78</v>
      </c>
      <c r="N485" s="3" t="s">
        <v>23</v>
      </c>
      <c r="O485" s="3" t="s">
        <v>1262</v>
      </c>
    </row>
    <row r="486" spans="1:15" hidden="1" x14ac:dyDescent="0.75">
      <c r="A486" s="2">
        <v>46289</v>
      </c>
      <c r="B486" s="3" t="s">
        <v>1547</v>
      </c>
      <c r="C486" s="3" t="s">
        <v>1548</v>
      </c>
      <c r="D486" s="3" t="s">
        <v>27</v>
      </c>
      <c r="E486" s="3" t="s">
        <v>28</v>
      </c>
      <c r="F486" s="3" t="s">
        <v>49</v>
      </c>
      <c r="G486" s="3" t="s">
        <v>50</v>
      </c>
      <c r="H486" s="4">
        <v>46289.733383796287</v>
      </c>
      <c r="I486" s="4">
        <v>46289.778070486107</v>
      </c>
      <c r="J486" s="3">
        <f>ROUND((I486-H486)*1440,0)</f>
        <v>64</v>
      </c>
      <c r="K486" s="3" t="s">
        <v>90</v>
      </c>
      <c r="L486" s="3" t="s">
        <v>77</v>
      </c>
      <c r="M486" s="3" t="s">
        <v>78</v>
      </c>
      <c r="N486" s="3" t="s">
        <v>23</v>
      </c>
      <c r="O486" s="3" t="s">
        <v>91</v>
      </c>
    </row>
    <row r="487" spans="1:15" hidden="1" x14ac:dyDescent="0.75">
      <c r="A487" s="2">
        <v>46289</v>
      </c>
      <c r="B487" s="3" t="s">
        <v>949</v>
      </c>
      <c r="C487" s="3" t="s">
        <v>950</v>
      </c>
      <c r="D487" s="3"/>
      <c r="E487" s="3"/>
      <c r="F487" s="3" t="s">
        <v>615</v>
      </c>
      <c r="G487" s="3" t="s">
        <v>616</v>
      </c>
      <c r="H487" s="4">
        <v>46289.734356018518</v>
      </c>
      <c r="I487" s="4">
        <v>46289.741692361109</v>
      </c>
      <c r="J487" s="3">
        <f>ROUND((I487-H487)*1440,0)</f>
        <v>11</v>
      </c>
      <c r="K487" s="3" t="s">
        <v>951</v>
      </c>
      <c r="L487" s="3" t="s">
        <v>36</v>
      </c>
      <c r="M487" s="3" t="s">
        <v>36</v>
      </c>
      <c r="N487" s="3" t="s">
        <v>45</v>
      </c>
      <c r="O487" s="3" t="s">
        <v>952</v>
      </c>
    </row>
    <row r="488" spans="1:15" hidden="1" x14ac:dyDescent="0.75">
      <c r="A488" s="2">
        <v>46289</v>
      </c>
      <c r="B488" s="3" t="s">
        <v>1549</v>
      </c>
      <c r="C488" s="3" t="s">
        <v>1550</v>
      </c>
      <c r="D488" s="3" t="s">
        <v>459</v>
      </c>
      <c r="E488" s="3" t="s">
        <v>460</v>
      </c>
      <c r="F488" s="3" t="s">
        <v>17</v>
      </c>
      <c r="G488" s="3" t="s">
        <v>18</v>
      </c>
      <c r="H488" s="4">
        <v>46289.734448148149</v>
      </c>
      <c r="I488" s="4">
        <v>46289.946039814808</v>
      </c>
      <c r="J488" s="3">
        <f>ROUND((I488-H488)*1440,0)</f>
        <v>305</v>
      </c>
      <c r="K488" s="3" t="s">
        <v>677</v>
      </c>
      <c r="L488" s="3" t="s">
        <v>22</v>
      </c>
      <c r="M488" s="3" t="s">
        <v>22</v>
      </c>
      <c r="N488" s="3" t="s">
        <v>23</v>
      </c>
      <c r="O488" s="3" t="s">
        <v>678</v>
      </c>
    </row>
    <row r="489" spans="1:15" hidden="1" x14ac:dyDescent="0.75">
      <c r="A489" s="2">
        <v>46289</v>
      </c>
      <c r="B489" s="3" t="s">
        <v>1551</v>
      </c>
      <c r="C489" s="3" t="s">
        <v>1552</v>
      </c>
      <c r="D489" s="3" t="s">
        <v>977</v>
      </c>
      <c r="E489" s="3" t="s">
        <v>978</v>
      </c>
      <c r="F489" s="3" t="s">
        <v>27</v>
      </c>
      <c r="G489" s="3" t="s">
        <v>28</v>
      </c>
      <c r="H489" s="4">
        <v>46289.735813194442</v>
      </c>
      <c r="I489" s="4">
        <v>46289.807679745369</v>
      </c>
      <c r="J489" s="3">
        <f>ROUND((I489-H489)*1440,0)</f>
        <v>103</v>
      </c>
      <c r="K489" s="3" t="s">
        <v>260</v>
      </c>
      <c r="L489" s="3" t="s">
        <v>52</v>
      </c>
      <c r="M489" s="3"/>
      <c r="N489" s="3" t="s">
        <v>23</v>
      </c>
      <c r="O489" s="3" t="s">
        <v>261</v>
      </c>
    </row>
    <row r="490" spans="1:15" hidden="1" x14ac:dyDescent="0.75">
      <c r="A490" s="2">
        <v>46289</v>
      </c>
      <c r="B490" s="3" t="s">
        <v>1553</v>
      </c>
      <c r="C490" s="3" t="s">
        <v>1554</v>
      </c>
      <c r="D490" s="3" t="s">
        <v>27</v>
      </c>
      <c r="E490" s="3" t="s">
        <v>28</v>
      </c>
      <c r="F490" s="3" t="s">
        <v>182</v>
      </c>
      <c r="G490" s="3" t="s">
        <v>183</v>
      </c>
      <c r="H490" s="4">
        <v>46289.737161342593</v>
      </c>
      <c r="I490" s="4">
        <v>46289.832878935187</v>
      </c>
      <c r="J490" s="3">
        <f>ROUND((I490-H490)*1440,0)</f>
        <v>138</v>
      </c>
      <c r="K490" s="3" t="s">
        <v>939</v>
      </c>
      <c r="L490" s="3" t="s">
        <v>77</v>
      </c>
      <c r="M490" s="3" t="s">
        <v>78</v>
      </c>
      <c r="N490" s="3" t="s">
        <v>23</v>
      </c>
      <c r="O490" s="3" t="s">
        <v>940</v>
      </c>
    </row>
    <row r="491" spans="1:15" hidden="1" x14ac:dyDescent="0.75">
      <c r="A491" s="2">
        <v>46289</v>
      </c>
      <c r="B491" s="3" t="s">
        <v>1555</v>
      </c>
      <c r="C491" s="3" t="s">
        <v>1556</v>
      </c>
      <c r="D491" s="3" t="s">
        <v>17</v>
      </c>
      <c r="E491" s="3" t="s">
        <v>18</v>
      </c>
      <c r="F491" s="3" t="s">
        <v>270</v>
      </c>
      <c r="G491" s="3" t="s">
        <v>271</v>
      </c>
      <c r="H491" s="4">
        <v>46289.737336458333</v>
      </c>
      <c r="I491" s="4">
        <v>46289.873196180553</v>
      </c>
      <c r="J491" s="3">
        <f>ROUND((I491-H491)*1440,0)</f>
        <v>196</v>
      </c>
      <c r="K491" s="3" t="s">
        <v>300</v>
      </c>
      <c r="L491" s="3" t="s">
        <v>77</v>
      </c>
      <c r="M491" s="3" t="s">
        <v>78</v>
      </c>
      <c r="N491" s="3" t="s">
        <v>45</v>
      </c>
      <c r="O491" s="3" t="s">
        <v>301</v>
      </c>
    </row>
    <row r="492" spans="1:15" hidden="1" x14ac:dyDescent="0.75">
      <c r="A492" s="2">
        <v>46289</v>
      </c>
      <c r="B492" s="3" t="s">
        <v>1557</v>
      </c>
      <c r="C492" s="3" t="s">
        <v>1558</v>
      </c>
      <c r="D492" s="3" t="s">
        <v>56</v>
      </c>
      <c r="E492" s="3" t="s">
        <v>57</v>
      </c>
      <c r="F492" s="3" t="s">
        <v>615</v>
      </c>
      <c r="G492" s="3" t="s">
        <v>616</v>
      </c>
      <c r="H492" s="4">
        <v>46289.73783229167</v>
      </c>
      <c r="I492" s="4">
        <v>46289.829326851846</v>
      </c>
      <c r="J492" s="3">
        <f>ROUND((I492-H492)*1440,0)</f>
        <v>132</v>
      </c>
      <c r="K492" s="3" t="s">
        <v>999</v>
      </c>
      <c r="L492" s="3" t="s">
        <v>36</v>
      </c>
      <c r="M492" s="3" t="s">
        <v>36</v>
      </c>
      <c r="N492" s="3" t="s">
        <v>45</v>
      </c>
      <c r="O492" s="3" t="s">
        <v>1000</v>
      </c>
    </row>
    <row r="493" spans="1:15" hidden="1" x14ac:dyDescent="0.75">
      <c r="A493" s="2">
        <v>46289</v>
      </c>
      <c r="B493" s="3" t="s">
        <v>1559</v>
      </c>
      <c r="C493" s="3" t="s">
        <v>1560</v>
      </c>
      <c r="D493" s="3" t="s">
        <v>27</v>
      </c>
      <c r="E493" s="3" t="s">
        <v>28</v>
      </c>
      <c r="F493" s="3" t="s">
        <v>158</v>
      </c>
      <c r="G493" s="3" t="s">
        <v>159</v>
      </c>
      <c r="H493" s="4">
        <v>46289.738571759262</v>
      </c>
      <c r="I493" s="4">
        <v>46289.789290046298</v>
      </c>
      <c r="J493" s="3">
        <f>ROUND((I493-H493)*1440,0)</f>
        <v>73</v>
      </c>
      <c r="K493" s="3" t="s">
        <v>923</v>
      </c>
      <c r="L493" s="3" t="s">
        <v>52</v>
      </c>
      <c r="M493" s="3"/>
      <c r="N493" s="3" t="s">
        <v>23</v>
      </c>
      <c r="O493" s="3" t="s">
        <v>924</v>
      </c>
    </row>
    <row r="494" spans="1:15" hidden="1" x14ac:dyDescent="0.75">
      <c r="A494" s="2">
        <v>46289</v>
      </c>
      <c r="B494" s="3" t="s">
        <v>1561</v>
      </c>
      <c r="C494" s="3" t="s">
        <v>1562</v>
      </c>
      <c r="D494" s="3" t="s">
        <v>58</v>
      </c>
      <c r="E494" s="3" t="s">
        <v>59</v>
      </c>
      <c r="F494" s="3" t="s">
        <v>82</v>
      </c>
      <c r="G494" s="3" t="s">
        <v>83</v>
      </c>
      <c r="H494" s="4">
        <v>46289.739202199067</v>
      </c>
      <c r="I494" s="4">
        <v>46289.831959953714</v>
      </c>
      <c r="J494" s="3">
        <f>ROUND((I494-H494)*1440,0)</f>
        <v>134</v>
      </c>
      <c r="K494" s="3" t="s">
        <v>935</v>
      </c>
      <c r="L494" s="3" t="s">
        <v>36</v>
      </c>
      <c r="M494" s="3" t="s">
        <v>36</v>
      </c>
      <c r="N494" s="3" t="s">
        <v>23</v>
      </c>
      <c r="O494" s="3" t="s">
        <v>936</v>
      </c>
    </row>
    <row r="495" spans="1:15" hidden="1" x14ac:dyDescent="0.75">
      <c r="A495" s="2">
        <v>46289</v>
      </c>
      <c r="B495" s="3" t="s">
        <v>1563</v>
      </c>
      <c r="C495" s="3" t="s">
        <v>1564</v>
      </c>
      <c r="D495" s="3" t="s">
        <v>82</v>
      </c>
      <c r="E495" s="3" t="s">
        <v>83</v>
      </c>
      <c r="F495" s="3" t="s">
        <v>158</v>
      </c>
      <c r="G495" s="3" t="s">
        <v>159</v>
      </c>
      <c r="H495" s="4">
        <v>46289.741986458343</v>
      </c>
      <c r="I495" s="4">
        <v>46289.813466550928</v>
      </c>
      <c r="J495" s="3">
        <f>ROUND((I495-H495)*1440,0)</f>
        <v>103</v>
      </c>
      <c r="K495" s="3" t="s">
        <v>665</v>
      </c>
      <c r="L495" s="3" t="s">
        <v>36</v>
      </c>
      <c r="M495" s="3" t="s">
        <v>36</v>
      </c>
      <c r="N495" s="3" t="s">
        <v>23</v>
      </c>
      <c r="O495" s="3" t="s">
        <v>666</v>
      </c>
    </row>
    <row r="496" spans="1:15" hidden="1" x14ac:dyDescent="0.75">
      <c r="A496" s="2">
        <v>46289</v>
      </c>
      <c r="B496" s="3" t="s">
        <v>1565</v>
      </c>
      <c r="C496" s="3" t="s">
        <v>1566</v>
      </c>
      <c r="D496" s="3" t="s">
        <v>208</v>
      </c>
      <c r="E496" s="3" t="s">
        <v>209</v>
      </c>
      <c r="F496" s="3" t="s">
        <v>82</v>
      </c>
      <c r="G496" s="3" t="s">
        <v>83</v>
      </c>
      <c r="H496" s="4">
        <v>46289.743007291669</v>
      </c>
      <c r="I496" s="4">
        <v>46289.838349768521</v>
      </c>
      <c r="J496" s="3">
        <f>ROUND((I496-H496)*1440,0)</f>
        <v>137</v>
      </c>
      <c r="K496" s="3" t="s">
        <v>1157</v>
      </c>
      <c r="L496" s="3" t="s">
        <v>36</v>
      </c>
      <c r="M496" s="3" t="s">
        <v>36</v>
      </c>
      <c r="N496" s="3" t="s">
        <v>23</v>
      </c>
      <c r="O496" s="3" t="s">
        <v>1158</v>
      </c>
    </row>
    <row r="497" spans="1:15" hidden="1" x14ac:dyDescent="0.75">
      <c r="A497" s="2">
        <v>46289</v>
      </c>
      <c r="B497" s="3" t="s">
        <v>1567</v>
      </c>
      <c r="C497" s="3" t="s">
        <v>1568</v>
      </c>
      <c r="D497" s="3" t="s">
        <v>1569</v>
      </c>
      <c r="E497" s="3" t="s">
        <v>1570</v>
      </c>
      <c r="F497" s="3" t="s">
        <v>56</v>
      </c>
      <c r="G497" s="3" t="s">
        <v>57</v>
      </c>
      <c r="H497" s="4">
        <v>46289.744146643519</v>
      </c>
      <c r="I497" s="4">
        <v>46289.807924652778</v>
      </c>
      <c r="J497" s="3">
        <f>ROUND((I497-H497)*1440,0)</f>
        <v>92</v>
      </c>
      <c r="K497" s="3" t="s">
        <v>1571</v>
      </c>
      <c r="L497" s="3" t="s">
        <v>36</v>
      </c>
      <c r="M497" s="3" t="s">
        <v>36</v>
      </c>
      <c r="N497" s="3" t="s">
        <v>23</v>
      </c>
      <c r="O497" s="3" t="s">
        <v>1572</v>
      </c>
    </row>
    <row r="498" spans="1:15" hidden="1" x14ac:dyDescent="0.75">
      <c r="A498" s="2">
        <v>46289</v>
      </c>
      <c r="B498" s="3" t="s">
        <v>1573</v>
      </c>
      <c r="C498" s="3" t="s">
        <v>1574</v>
      </c>
      <c r="D498" s="3" t="s">
        <v>19</v>
      </c>
      <c r="E498" s="3" t="s">
        <v>20</v>
      </c>
      <c r="F498" s="3" t="s">
        <v>615</v>
      </c>
      <c r="G498" s="3" t="s">
        <v>616</v>
      </c>
      <c r="H498" s="4">
        <v>46289.744208101853</v>
      </c>
      <c r="I498" s="4">
        <v>46289.855951157413</v>
      </c>
      <c r="J498" s="3">
        <f>ROUND((I498-H498)*1440,0)</f>
        <v>161</v>
      </c>
      <c r="K498" s="3" t="s">
        <v>1129</v>
      </c>
      <c r="L498" s="3" t="s">
        <v>22</v>
      </c>
      <c r="M498" s="3" t="s">
        <v>22</v>
      </c>
      <c r="N498" s="3" t="s">
        <v>45</v>
      </c>
      <c r="O498" s="3" t="s">
        <v>1130</v>
      </c>
    </row>
    <row r="499" spans="1:15" hidden="1" x14ac:dyDescent="0.75">
      <c r="A499" s="2">
        <v>46289</v>
      </c>
      <c r="B499" s="3" t="s">
        <v>1575</v>
      </c>
      <c r="C499" s="3" t="s">
        <v>1576</v>
      </c>
      <c r="D499" s="3" t="s">
        <v>27</v>
      </c>
      <c r="E499" s="3" t="s">
        <v>28</v>
      </c>
      <c r="F499" s="3" t="s">
        <v>106</v>
      </c>
      <c r="G499" s="3" t="s">
        <v>107</v>
      </c>
      <c r="H499" s="4">
        <v>46289.744383333331</v>
      </c>
      <c r="I499" s="4">
        <v>46289.834047685188</v>
      </c>
      <c r="J499" s="3">
        <f>ROUND((I499-H499)*1440,0)</f>
        <v>129</v>
      </c>
      <c r="K499" s="3" t="s">
        <v>697</v>
      </c>
      <c r="L499" s="3" t="s">
        <v>77</v>
      </c>
      <c r="M499" s="3" t="s">
        <v>78</v>
      </c>
      <c r="N499" s="3" t="s">
        <v>23</v>
      </c>
      <c r="O499" s="3" t="s">
        <v>698</v>
      </c>
    </row>
    <row r="500" spans="1:15" hidden="1" x14ac:dyDescent="0.75">
      <c r="A500" s="2">
        <v>46289</v>
      </c>
      <c r="B500" s="3" t="s">
        <v>1577</v>
      </c>
      <c r="C500" s="3" t="s">
        <v>1578</v>
      </c>
      <c r="D500" s="3"/>
      <c r="E500" s="3"/>
      <c r="F500" s="3" t="s">
        <v>17</v>
      </c>
      <c r="G500" s="3" t="s">
        <v>18</v>
      </c>
      <c r="H500" s="4">
        <v>46289.745002083328</v>
      </c>
      <c r="I500" s="4">
        <v>46289.776282523148</v>
      </c>
      <c r="J500" s="3">
        <f>ROUND((I500-H500)*1440,0)</f>
        <v>45</v>
      </c>
      <c r="K500" s="3" t="s">
        <v>691</v>
      </c>
      <c r="L500" s="3" t="s">
        <v>22</v>
      </c>
      <c r="M500" s="3" t="s">
        <v>22</v>
      </c>
      <c r="N500" s="3" t="s">
        <v>23</v>
      </c>
      <c r="O500" s="3" t="s">
        <v>692</v>
      </c>
    </row>
    <row r="501" spans="1:15" hidden="1" x14ac:dyDescent="0.75">
      <c r="A501" s="2">
        <v>46289</v>
      </c>
      <c r="B501" s="3" t="s">
        <v>1579</v>
      </c>
      <c r="C501" s="3" t="s">
        <v>1580</v>
      </c>
      <c r="D501" s="3" t="s">
        <v>68</v>
      </c>
      <c r="E501" s="3" t="s">
        <v>69</v>
      </c>
      <c r="F501" s="3" t="s">
        <v>27</v>
      </c>
      <c r="G501" s="3" t="s">
        <v>28</v>
      </c>
      <c r="H501" s="4">
        <v>46289.745755324067</v>
      </c>
      <c r="I501" s="4">
        <v>46289.866613541657</v>
      </c>
      <c r="J501" s="3">
        <f>ROUND((I501-H501)*1440,0)</f>
        <v>174</v>
      </c>
      <c r="K501" s="3" t="s">
        <v>947</v>
      </c>
      <c r="L501" s="3" t="s">
        <v>22</v>
      </c>
      <c r="M501" s="3" t="s">
        <v>22</v>
      </c>
      <c r="N501" s="3" t="s">
        <v>23</v>
      </c>
      <c r="O501" s="3" t="s">
        <v>948</v>
      </c>
    </row>
    <row r="502" spans="1:15" hidden="1" x14ac:dyDescent="0.75">
      <c r="A502" s="2">
        <v>46289</v>
      </c>
      <c r="B502" s="3" t="s">
        <v>1581</v>
      </c>
      <c r="C502" s="3" t="s">
        <v>1582</v>
      </c>
      <c r="D502" s="3" t="s">
        <v>1207</v>
      </c>
      <c r="E502" s="3" t="s">
        <v>1208</v>
      </c>
      <c r="F502" s="3" t="s">
        <v>82</v>
      </c>
      <c r="G502" s="3" t="s">
        <v>83</v>
      </c>
      <c r="H502" s="4">
        <v>46289.746187847217</v>
      </c>
      <c r="I502" s="4">
        <v>46289.852831944438</v>
      </c>
      <c r="J502" s="3">
        <f>ROUND((I502-H502)*1440,0)</f>
        <v>154</v>
      </c>
      <c r="K502" s="3" t="s">
        <v>617</v>
      </c>
      <c r="L502" s="3" t="s">
        <v>36</v>
      </c>
      <c r="M502" s="3" t="s">
        <v>36</v>
      </c>
      <c r="N502" s="3" t="s">
        <v>23</v>
      </c>
      <c r="O502" s="3" t="s">
        <v>618</v>
      </c>
    </row>
    <row r="503" spans="1:15" hidden="1" x14ac:dyDescent="0.75">
      <c r="A503" s="2">
        <v>46289</v>
      </c>
      <c r="B503" s="3" t="s">
        <v>1583</v>
      </c>
      <c r="C503" s="3" t="s">
        <v>1584</v>
      </c>
      <c r="D503" s="3" t="s">
        <v>615</v>
      </c>
      <c r="E503" s="3" t="s">
        <v>616</v>
      </c>
      <c r="F503" s="3" t="s">
        <v>82</v>
      </c>
      <c r="G503" s="3" t="s">
        <v>83</v>
      </c>
      <c r="H503" s="4">
        <v>46289.749562500001</v>
      </c>
      <c r="I503" s="4">
        <v>46289.855977546293</v>
      </c>
      <c r="J503" s="3">
        <f>ROUND((I503-H503)*1440,0)</f>
        <v>153</v>
      </c>
      <c r="K503" s="3" t="s">
        <v>1211</v>
      </c>
      <c r="L503" s="3" t="s">
        <v>36</v>
      </c>
      <c r="M503" s="3" t="s">
        <v>36</v>
      </c>
      <c r="N503" s="3" t="s">
        <v>23</v>
      </c>
      <c r="O503" s="3" t="s">
        <v>1212</v>
      </c>
    </row>
    <row r="504" spans="1:15" hidden="1" x14ac:dyDescent="0.75">
      <c r="A504" s="2">
        <v>46289</v>
      </c>
      <c r="B504" s="3" t="s">
        <v>1585</v>
      </c>
      <c r="C504" s="3" t="s">
        <v>1586</v>
      </c>
      <c r="D504" s="3" t="s">
        <v>100</v>
      </c>
      <c r="E504" s="3" t="s">
        <v>101</v>
      </c>
      <c r="F504" s="3" t="s">
        <v>56</v>
      </c>
      <c r="G504" s="3" t="s">
        <v>57</v>
      </c>
      <c r="H504" s="4">
        <v>46289.750537499996</v>
      </c>
      <c r="I504" s="4">
        <v>46289.783283564822</v>
      </c>
      <c r="J504" s="3">
        <f>ROUND((I504-H504)*1440,0)</f>
        <v>47</v>
      </c>
      <c r="K504" s="3" t="s">
        <v>715</v>
      </c>
      <c r="L504" s="3" t="s">
        <v>36</v>
      </c>
      <c r="M504" s="3" t="s">
        <v>36</v>
      </c>
      <c r="N504" s="3" t="s">
        <v>23</v>
      </c>
      <c r="O504" s="3" t="s">
        <v>716</v>
      </c>
    </row>
    <row r="505" spans="1:15" hidden="1" x14ac:dyDescent="0.75">
      <c r="A505" s="2">
        <v>46289</v>
      </c>
      <c r="B505" s="3" t="s">
        <v>1587</v>
      </c>
      <c r="C505" s="3" t="s">
        <v>1588</v>
      </c>
      <c r="D505" s="3" t="s">
        <v>56</v>
      </c>
      <c r="E505" s="3" t="s">
        <v>57</v>
      </c>
      <c r="F505" s="3" t="s">
        <v>128</v>
      </c>
      <c r="G505" s="3" t="s">
        <v>129</v>
      </c>
      <c r="H505" s="4">
        <v>46289.751754976853</v>
      </c>
      <c r="I505" s="4">
        <v>46289.856607638889</v>
      </c>
      <c r="J505" s="3">
        <f>ROUND((I505-H505)*1440,0)</f>
        <v>151</v>
      </c>
      <c r="K505" s="3" t="s">
        <v>1069</v>
      </c>
      <c r="L505" s="3" t="s">
        <v>36</v>
      </c>
      <c r="M505" s="3" t="s">
        <v>36</v>
      </c>
      <c r="N505" s="3" t="s">
        <v>23</v>
      </c>
      <c r="O505" s="3" t="s">
        <v>1070</v>
      </c>
    </row>
    <row r="506" spans="1:15" hidden="1" x14ac:dyDescent="0.75">
      <c r="A506" s="2">
        <v>46289</v>
      </c>
      <c r="B506" s="3" t="s">
        <v>1589</v>
      </c>
      <c r="C506" s="3" t="s">
        <v>1590</v>
      </c>
      <c r="D506" s="3" t="s">
        <v>270</v>
      </c>
      <c r="E506" s="3" t="s">
        <v>271</v>
      </c>
      <c r="F506" s="3" t="s">
        <v>56</v>
      </c>
      <c r="G506" s="3" t="s">
        <v>57</v>
      </c>
      <c r="H506" s="4">
        <v>46289.751913194443</v>
      </c>
      <c r="I506" s="4">
        <v>46289.853405555557</v>
      </c>
      <c r="J506" s="3">
        <f>ROUND((I506-H506)*1440,0)</f>
        <v>146</v>
      </c>
      <c r="K506" s="3" t="s">
        <v>102</v>
      </c>
      <c r="L506" s="3" t="s">
        <v>36</v>
      </c>
      <c r="M506" s="3" t="s">
        <v>36</v>
      </c>
      <c r="N506" s="3" t="s">
        <v>23</v>
      </c>
      <c r="O506" s="3" t="s">
        <v>103</v>
      </c>
    </row>
    <row r="507" spans="1:15" hidden="1" x14ac:dyDescent="0.75">
      <c r="A507" s="2">
        <v>46289</v>
      </c>
      <c r="B507" s="3" t="s">
        <v>1591</v>
      </c>
      <c r="C507" s="3" t="s">
        <v>1592</v>
      </c>
      <c r="D507" s="3" t="s">
        <v>1269</v>
      </c>
      <c r="E507" s="3" t="s">
        <v>1270</v>
      </c>
      <c r="F507" s="3" t="s">
        <v>17</v>
      </c>
      <c r="G507" s="3" t="s">
        <v>18</v>
      </c>
      <c r="H507" s="4">
        <v>46289.752015972219</v>
      </c>
      <c r="I507" s="4">
        <v>46289.816875231481</v>
      </c>
      <c r="J507" s="3">
        <f>ROUND((I507-H507)*1440,0)</f>
        <v>93</v>
      </c>
      <c r="K507" s="3" t="s">
        <v>1271</v>
      </c>
      <c r="L507" s="3" t="s">
        <v>36</v>
      </c>
      <c r="M507" s="3" t="s">
        <v>36</v>
      </c>
      <c r="N507" s="3" t="s">
        <v>23</v>
      </c>
      <c r="O507" s="3" t="s">
        <v>1272</v>
      </c>
    </row>
    <row r="508" spans="1:15" hidden="1" x14ac:dyDescent="0.75">
      <c r="A508" s="2">
        <v>46289</v>
      </c>
      <c r="B508" s="3" t="s">
        <v>1593</v>
      </c>
      <c r="C508" s="3" t="s">
        <v>1594</v>
      </c>
      <c r="D508" s="3" t="s">
        <v>49</v>
      </c>
      <c r="E508" s="3" t="s">
        <v>50</v>
      </c>
      <c r="F508" s="3" t="s">
        <v>56</v>
      </c>
      <c r="G508" s="3" t="s">
        <v>57</v>
      </c>
      <c r="H508" s="4">
        <v>46289.752993402777</v>
      </c>
      <c r="I508" s="4">
        <v>46289.873237384258</v>
      </c>
      <c r="J508" s="3">
        <f>ROUND((I508-H508)*1440,0)</f>
        <v>173</v>
      </c>
      <c r="K508" s="3" t="s">
        <v>641</v>
      </c>
      <c r="L508" s="3" t="s">
        <v>36</v>
      </c>
      <c r="M508" s="3" t="s">
        <v>36</v>
      </c>
      <c r="N508" s="3" t="s">
        <v>23</v>
      </c>
      <c r="O508" s="3" t="s">
        <v>642</v>
      </c>
    </row>
    <row r="509" spans="1:15" hidden="1" x14ac:dyDescent="0.75">
      <c r="A509" s="2">
        <v>46289</v>
      </c>
      <c r="B509" s="3" t="s">
        <v>1595</v>
      </c>
      <c r="C509" s="3" t="s">
        <v>1596</v>
      </c>
      <c r="D509" s="3" t="s">
        <v>82</v>
      </c>
      <c r="E509" s="3" t="s">
        <v>83</v>
      </c>
      <c r="F509" s="3" t="s">
        <v>56</v>
      </c>
      <c r="G509" s="3" t="s">
        <v>57</v>
      </c>
      <c r="H509" s="4">
        <v>46289.754404629632</v>
      </c>
      <c r="I509" s="4">
        <v>46289.974119444443</v>
      </c>
      <c r="J509" s="3">
        <f>ROUND((I509-H509)*1440,0)</f>
        <v>316</v>
      </c>
      <c r="K509" s="3" t="s">
        <v>406</v>
      </c>
      <c r="L509" s="3" t="s">
        <v>36</v>
      </c>
      <c r="M509" s="3" t="s">
        <v>36</v>
      </c>
      <c r="N509" s="3" t="s">
        <v>23</v>
      </c>
      <c r="O509" s="3" t="s">
        <v>407</v>
      </c>
    </row>
    <row r="510" spans="1:15" hidden="1" x14ac:dyDescent="0.75">
      <c r="A510" s="2">
        <v>46289</v>
      </c>
      <c r="B510" s="3" t="s">
        <v>1597</v>
      </c>
      <c r="C510" s="3" t="s">
        <v>1598</v>
      </c>
      <c r="D510" s="3" t="s">
        <v>82</v>
      </c>
      <c r="E510" s="3" t="s">
        <v>83</v>
      </c>
      <c r="F510" s="3" t="s">
        <v>196</v>
      </c>
      <c r="G510" s="3" t="s">
        <v>197</v>
      </c>
      <c r="H510" s="4">
        <v>46289.75505983796</v>
      </c>
      <c r="I510" s="4">
        <v>46289.817761689817</v>
      </c>
      <c r="J510" s="3">
        <f>ROUND((I510-H510)*1440,0)</f>
        <v>90</v>
      </c>
      <c r="K510" s="3" t="s">
        <v>384</v>
      </c>
      <c r="L510" s="3" t="s">
        <v>36</v>
      </c>
      <c r="M510" s="3" t="s">
        <v>36</v>
      </c>
      <c r="N510" s="3" t="s">
        <v>45</v>
      </c>
      <c r="O510" s="3" t="s">
        <v>385</v>
      </c>
    </row>
    <row r="511" spans="1:15" hidden="1" x14ac:dyDescent="0.75">
      <c r="A511" s="2">
        <v>46289</v>
      </c>
      <c r="B511" s="3" t="s">
        <v>1599</v>
      </c>
      <c r="C511" s="3" t="s">
        <v>1600</v>
      </c>
      <c r="D511" s="3" t="s">
        <v>244</v>
      </c>
      <c r="E511" s="3" t="s">
        <v>245</v>
      </c>
      <c r="F511" s="3" t="s">
        <v>615</v>
      </c>
      <c r="G511" s="3" t="s">
        <v>616</v>
      </c>
      <c r="H511" s="4">
        <v>46289.758614699072</v>
      </c>
      <c r="I511" s="4">
        <v>46289.90538275463</v>
      </c>
      <c r="J511" s="3">
        <f>ROUND((I511-H511)*1440,0)</f>
        <v>211</v>
      </c>
      <c r="K511" s="3" t="s">
        <v>813</v>
      </c>
      <c r="L511" s="3" t="s">
        <v>36</v>
      </c>
      <c r="M511" s="3" t="s">
        <v>36</v>
      </c>
      <c r="N511" s="3" t="s">
        <v>45</v>
      </c>
      <c r="O511" s="3" t="s">
        <v>814</v>
      </c>
    </row>
    <row r="512" spans="1:15" hidden="1" x14ac:dyDescent="0.75">
      <c r="A512" s="2">
        <v>46289</v>
      </c>
      <c r="B512" s="3" t="s">
        <v>1601</v>
      </c>
      <c r="C512" s="3" t="s">
        <v>1602</v>
      </c>
      <c r="D512" s="3" t="s">
        <v>19</v>
      </c>
      <c r="E512" s="3" t="s">
        <v>20</v>
      </c>
      <c r="F512" s="3" t="s">
        <v>56</v>
      </c>
      <c r="G512" s="3" t="s">
        <v>57</v>
      </c>
      <c r="H512" s="4">
        <v>46289.758626041657</v>
      </c>
      <c r="I512" s="4">
        <v>46289.791789120369</v>
      </c>
      <c r="J512" s="3">
        <f>ROUND((I512-H512)*1440,0)</f>
        <v>48</v>
      </c>
      <c r="K512" s="3" t="s">
        <v>60</v>
      </c>
      <c r="L512" s="3" t="s">
        <v>36</v>
      </c>
      <c r="M512" s="3" t="s">
        <v>36</v>
      </c>
      <c r="N512" s="3" t="s">
        <v>23</v>
      </c>
      <c r="O512" s="3" t="s">
        <v>61</v>
      </c>
    </row>
    <row r="513" spans="1:15" hidden="1" x14ac:dyDescent="0.75">
      <c r="A513" s="2">
        <v>46289</v>
      </c>
      <c r="B513" s="3" t="s">
        <v>1603</v>
      </c>
      <c r="C513" s="3" t="s">
        <v>1604</v>
      </c>
      <c r="D513" s="3" t="s">
        <v>182</v>
      </c>
      <c r="E513" s="3" t="s">
        <v>183</v>
      </c>
      <c r="F513" s="3" t="s">
        <v>27</v>
      </c>
      <c r="G513" s="3" t="s">
        <v>28</v>
      </c>
      <c r="H513" s="4">
        <v>46289.760095254627</v>
      </c>
      <c r="I513" s="4">
        <v>46289.848929745371</v>
      </c>
      <c r="J513" s="3">
        <f>ROUND((I513-H513)*1440,0)</f>
        <v>128</v>
      </c>
      <c r="K513" s="3" t="s">
        <v>743</v>
      </c>
      <c r="L513" s="3" t="s">
        <v>77</v>
      </c>
      <c r="M513" s="3" t="s">
        <v>78</v>
      </c>
      <c r="N513" s="3" t="s">
        <v>23</v>
      </c>
      <c r="O513" s="3" t="s">
        <v>744</v>
      </c>
    </row>
    <row r="514" spans="1:15" hidden="1" x14ac:dyDescent="0.75">
      <c r="A514" s="2">
        <v>46289</v>
      </c>
      <c r="B514" s="3" t="s">
        <v>1605</v>
      </c>
      <c r="C514" s="3" t="s">
        <v>1606</v>
      </c>
      <c r="D514" s="3" t="s">
        <v>27</v>
      </c>
      <c r="E514" s="3" t="s">
        <v>28</v>
      </c>
      <c r="F514" s="3" t="s">
        <v>196</v>
      </c>
      <c r="G514" s="3" t="s">
        <v>197</v>
      </c>
      <c r="H514" s="4">
        <v>46289.763132060187</v>
      </c>
      <c r="I514" s="4">
        <v>46289.818737499998</v>
      </c>
      <c r="J514" s="3">
        <f>ROUND((I514-H514)*1440,0)</f>
        <v>80</v>
      </c>
      <c r="K514" s="3" t="s">
        <v>793</v>
      </c>
      <c r="L514" s="3" t="s">
        <v>77</v>
      </c>
      <c r="M514" s="3" t="s">
        <v>78</v>
      </c>
      <c r="N514" s="3" t="s">
        <v>45</v>
      </c>
      <c r="O514" s="3" t="s">
        <v>794</v>
      </c>
    </row>
    <row r="515" spans="1:15" hidden="1" x14ac:dyDescent="0.75">
      <c r="A515" s="2">
        <v>46289</v>
      </c>
      <c r="B515" s="3" t="s">
        <v>1607</v>
      </c>
      <c r="C515" s="3" t="s">
        <v>1608</v>
      </c>
      <c r="D515" s="3" t="s">
        <v>17</v>
      </c>
      <c r="E515" s="3" t="s">
        <v>18</v>
      </c>
      <c r="F515" s="3"/>
      <c r="G515" s="3"/>
      <c r="H515" s="4">
        <v>46289.76425266204</v>
      </c>
      <c r="I515" s="4">
        <v>46289.788487731479</v>
      </c>
      <c r="J515" s="3">
        <f>ROUND((I515-H515)*1440,0)</f>
        <v>35</v>
      </c>
      <c r="K515" s="3" t="s">
        <v>396</v>
      </c>
      <c r="L515" s="3" t="s">
        <v>77</v>
      </c>
      <c r="M515" s="3" t="s">
        <v>78</v>
      </c>
      <c r="N515" s="3" t="s">
        <v>45</v>
      </c>
      <c r="O515" s="3" t="s">
        <v>397</v>
      </c>
    </row>
    <row r="516" spans="1:15" hidden="1" x14ac:dyDescent="0.75">
      <c r="A516" s="2">
        <v>46289</v>
      </c>
      <c r="B516" s="3" t="s">
        <v>1609</v>
      </c>
      <c r="C516" s="3" t="s">
        <v>1610</v>
      </c>
      <c r="D516" s="3" t="s">
        <v>27</v>
      </c>
      <c r="E516" s="3" t="s">
        <v>28</v>
      </c>
      <c r="F516" s="3" t="s">
        <v>82</v>
      </c>
      <c r="G516" s="3" t="s">
        <v>83</v>
      </c>
      <c r="H516" s="4">
        <v>46289.764948032411</v>
      </c>
      <c r="I516" s="4">
        <v>46289.874549768523</v>
      </c>
      <c r="J516" s="3">
        <f>ROUND((I516-H516)*1440,0)</f>
        <v>158</v>
      </c>
      <c r="K516" s="3" t="s">
        <v>1233</v>
      </c>
      <c r="L516" s="3" t="s">
        <v>22</v>
      </c>
      <c r="M516" s="3" t="s">
        <v>22</v>
      </c>
      <c r="N516" s="3" t="s">
        <v>23</v>
      </c>
      <c r="O516" s="3" t="s">
        <v>1234</v>
      </c>
    </row>
    <row r="517" spans="1:15" hidden="1" x14ac:dyDescent="0.75">
      <c r="A517" s="2">
        <v>46289</v>
      </c>
      <c r="B517" s="3" t="s">
        <v>1611</v>
      </c>
      <c r="C517" s="3" t="s">
        <v>1612</v>
      </c>
      <c r="D517" s="3" t="s">
        <v>244</v>
      </c>
      <c r="E517" s="3" t="s">
        <v>245</v>
      </c>
      <c r="F517" s="3" t="s">
        <v>82</v>
      </c>
      <c r="G517" s="3" t="s">
        <v>83</v>
      </c>
      <c r="H517" s="4">
        <v>46289.765245138893</v>
      </c>
      <c r="I517" s="4">
        <v>46289.865146759257</v>
      </c>
      <c r="J517" s="3">
        <f>ROUND((I517-H517)*1440,0)</f>
        <v>144</v>
      </c>
      <c r="K517" s="3" t="s">
        <v>985</v>
      </c>
      <c r="L517" s="3" t="s">
        <v>36</v>
      </c>
      <c r="M517" s="3" t="s">
        <v>36</v>
      </c>
      <c r="N517" s="3" t="s">
        <v>23</v>
      </c>
      <c r="O517" s="3" t="s">
        <v>986</v>
      </c>
    </row>
    <row r="518" spans="1:15" hidden="1" x14ac:dyDescent="0.75">
      <c r="A518" s="2">
        <v>46289</v>
      </c>
      <c r="B518" s="3" t="s">
        <v>1613</v>
      </c>
      <c r="C518" s="3" t="s">
        <v>1614</v>
      </c>
      <c r="D518" s="3" t="s">
        <v>122</v>
      </c>
      <c r="E518" s="3" t="s">
        <v>123</v>
      </c>
      <c r="F518" s="3" t="s">
        <v>56</v>
      </c>
      <c r="G518" s="3" t="s">
        <v>57</v>
      </c>
      <c r="H518" s="4">
        <v>46289.766374768522</v>
      </c>
      <c r="I518" s="4">
        <v>46289.976792013891</v>
      </c>
      <c r="J518" s="3">
        <f>ROUND((I518-H518)*1440,0)</f>
        <v>303</v>
      </c>
      <c r="K518" s="3" t="s">
        <v>657</v>
      </c>
      <c r="L518" s="3" t="s">
        <v>22</v>
      </c>
      <c r="M518" s="3" t="s">
        <v>22</v>
      </c>
      <c r="N518" s="3" t="s">
        <v>23</v>
      </c>
      <c r="O518" s="3" t="s">
        <v>658</v>
      </c>
    </row>
    <row r="519" spans="1:15" hidden="1" x14ac:dyDescent="0.75">
      <c r="A519" s="2">
        <v>46289</v>
      </c>
      <c r="B519" s="3" t="s">
        <v>1615</v>
      </c>
      <c r="C519" s="3" t="s">
        <v>1616</v>
      </c>
      <c r="D519" s="3" t="s">
        <v>56</v>
      </c>
      <c r="E519" s="3" t="s">
        <v>57</v>
      </c>
      <c r="F519" s="3" t="s">
        <v>82</v>
      </c>
      <c r="G519" s="3" t="s">
        <v>83</v>
      </c>
      <c r="H519" s="4">
        <v>46289.767946296299</v>
      </c>
      <c r="I519" s="4">
        <v>46289.793502430563</v>
      </c>
      <c r="J519" s="3">
        <f>ROUND((I519-H519)*1440,0)</f>
        <v>37</v>
      </c>
      <c r="K519" s="3" t="s">
        <v>1617</v>
      </c>
      <c r="L519" s="3" t="s">
        <v>36</v>
      </c>
      <c r="M519" s="3" t="s">
        <v>36</v>
      </c>
      <c r="N519" s="3" t="s">
        <v>23</v>
      </c>
      <c r="O519" s="3" t="s">
        <v>1618</v>
      </c>
    </row>
    <row r="520" spans="1:15" hidden="1" x14ac:dyDescent="0.75">
      <c r="A520" s="2">
        <v>46289</v>
      </c>
      <c r="B520" s="3" t="s">
        <v>1619</v>
      </c>
      <c r="C520" s="3" t="s">
        <v>1620</v>
      </c>
      <c r="D520" s="3" t="s">
        <v>264</v>
      </c>
      <c r="E520" s="3" t="s">
        <v>265</v>
      </c>
      <c r="F520" s="3" t="s">
        <v>17</v>
      </c>
      <c r="G520" s="3" t="s">
        <v>18</v>
      </c>
      <c r="H520" s="4">
        <v>46289.768540856479</v>
      </c>
      <c r="I520" s="4">
        <v>46289.963852199071</v>
      </c>
      <c r="J520" s="3">
        <f>ROUND((I520-H520)*1440,0)</f>
        <v>281</v>
      </c>
      <c r="K520" s="3" t="s">
        <v>473</v>
      </c>
      <c r="L520" s="3" t="s">
        <v>43</v>
      </c>
      <c r="M520" s="3" t="s">
        <v>44</v>
      </c>
      <c r="N520" s="3" t="s">
        <v>23</v>
      </c>
      <c r="O520" s="3" t="s">
        <v>474</v>
      </c>
    </row>
    <row r="521" spans="1:15" hidden="1" x14ac:dyDescent="0.75">
      <c r="A521" s="2">
        <v>46289</v>
      </c>
      <c r="B521" s="3" t="s">
        <v>1621</v>
      </c>
      <c r="C521" s="3" t="s">
        <v>1622</v>
      </c>
      <c r="D521" s="3" t="s">
        <v>158</v>
      </c>
      <c r="E521" s="3" t="s">
        <v>159</v>
      </c>
      <c r="F521" s="3" t="s">
        <v>27</v>
      </c>
      <c r="G521" s="3" t="s">
        <v>28</v>
      </c>
      <c r="H521" s="4">
        <v>46289.768825694453</v>
      </c>
      <c r="I521" s="4">
        <v>46289.81310162037</v>
      </c>
      <c r="J521" s="3">
        <f>ROUND((I521-H521)*1440,0)</f>
        <v>64</v>
      </c>
      <c r="K521" s="3" t="s">
        <v>477</v>
      </c>
      <c r="L521" s="3" t="s">
        <v>77</v>
      </c>
      <c r="M521" s="3" t="s">
        <v>78</v>
      </c>
      <c r="N521" s="3" t="s">
        <v>23</v>
      </c>
      <c r="O521" s="3" t="s">
        <v>478</v>
      </c>
    </row>
    <row r="522" spans="1:15" hidden="1" x14ac:dyDescent="0.75">
      <c r="A522" s="2">
        <v>46289</v>
      </c>
      <c r="B522" s="3" t="s">
        <v>1623</v>
      </c>
      <c r="C522" s="3" t="s">
        <v>1624</v>
      </c>
      <c r="D522" s="3" t="s">
        <v>1367</v>
      </c>
      <c r="E522" s="3" t="s">
        <v>1368</v>
      </c>
      <c r="F522" s="3" t="s">
        <v>49</v>
      </c>
      <c r="G522" s="3" t="s">
        <v>50</v>
      </c>
      <c r="H522" s="4">
        <v>46289.769609722222</v>
      </c>
      <c r="I522" s="4">
        <v>46289.815954282407</v>
      </c>
      <c r="J522" s="3">
        <f>ROUND((I522-H522)*1440,0)</f>
        <v>67</v>
      </c>
      <c r="K522" s="3" t="s">
        <v>1369</v>
      </c>
      <c r="L522" s="3" t="s">
        <v>36</v>
      </c>
      <c r="M522" s="3" t="s">
        <v>36</v>
      </c>
      <c r="N522" s="3" t="s">
        <v>23</v>
      </c>
      <c r="O522" s="3" t="s">
        <v>1370</v>
      </c>
    </row>
    <row r="523" spans="1:15" hidden="1" x14ac:dyDescent="0.75">
      <c r="A523" s="2">
        <v>46289</v>
      </c>
      <c r="B523" s="3" t="s">
        <v>1625</v>
      </c>
      <c r="C523" s="3" t="s">
        <v>1626</v>
      </c>
      <c r="D523" s="3" t="s">
        <v>304</v>
      </c>
      <c r="E523" s="3" t="s">
        <v>305</v>
      </c>
      <c r="F523" s="3" t="s">
        <v>56</v>
      </c>
      <c r="G523" s="3" t="s">
        <v>57</v>
      </c>
      <c r="H523" s="4">
        <v>46289.770813541669</v>
      </c>
      <c r="I523" s="4">
        <v>46289.96601261574</v>
      </c>
      <c r="J523" s="3">
        <f>ROUND((I523-H523)*1440,0)</f>
        <v>281</v>
      </c>
      <c r="K523" s="3" t="s">
        <v>653</v>
      </c>
      <c r="L523" s="3" t="s">
        <v>22</v>
      </c>
      <c r="M523" s="3" t="s">
        <v>22</v>
      </c>
      <c r="N523" s="3" t="s">
        <v>23</v>
      </c>
      <c r="O523" s="3" t="s">
        <v>654</v>
      </c>
    </row>
    <row r="524" spans="1:15" hidden="1" x14ac:dyDescent="0.75">
      <c r="A524" s="2">
        <v>46289</v>
      </c>
      <c r="B524" s="3" t="s">
        <v>1627</v>
      </c>
      <c r="C524" s="3" t="s">
        <v>1628</v>
      </c>
      <c r="D524" s="3" t="s">
        <v>17</v>
      </c>
      <c r="E524" s="3" t="s">
        <v>18</v>
      </c>
      <c r="F524" s="3"/>
      <c r="G524" s="3"/>
      <c r="H524" s="4">
        <v>46289.770895023154</v>
      </c>
      <c r="I524" s="4">
        <v>46289.803789120371</v>
      </c>
      <c r="J524" s="3">
        <f>ROUND((I524-H524)*1440,0)</f>
        <v>47</v>
      </c>
      <c r="K524" s="3" t="s">
        <v>188</v>
      </c>
      <c r="L524" s="3" t="s">
        <v>22</v>
      </c>
      <c r="M524" s="3" t="s">
        <v>22</v>
      </c>
      <c r="N524" s="3" t="s">
        <v>443</v>
      </c>
      <c r="O524" s="3" t="s">
        <v>189</v>
      </c>
    </row>
    <row r="525" spans="1:15" hidden="1" x14ac:dyDescent="0.75">
      <c r="A525" s="2">
        <v>46289</v>
      </c>
      <c r="B525" s="3" t="s">
        <v>1629</v>
      </c>
      <c r="C525" s="3" t="s">
        <v>1630</v>
      </c>
      <c r="D525" s="3" t="s">
        <v>304</v>
      </c>
      <c r="E525" s="3" t="s">
        <v>305</v>
      </c>
      <c r="F525" s="3" t="s">
        <v>58</v>
      </c>
      <c r="G525" s="3" t="s">
        <v>59</v>
      </c>
      <c r="H525" s="4">
        <v>46289.772067708327</v>
      </c>
      <c r="I525" s="4">
        <v>46289.98152789352</v>
      </c>
      <c r="J525" s="3">
        <f>ROUND((I525-H525)*1440,0)</f>
        <v>302</v>
      </c>
      <c r="K525" s="3" t="s">
        <v>523</v>
      </c>
      <c r="L525" s="3" t="s">
        <v>22</v>
      </c>
      <c r="M525" s="3" t="s">
        <v>22</v>
      </c>
      <c r="N525" s="3" t="s">
        <v>23</v>
      </c>
      <c r="O525" s="3" t="s">
        <v>524</v>
      </c>
    </row>
    <row r="526" spans="1:15" hidden="1" x14ac:dyDescent="0.75">
      <c r="A526" s="2">
        <v>46289</v>
      </c>
      <c r="B526" s="3" t="s">
        <v>1631</v>
      </c>
      <c r="C526" s="3" t="s">
        <v>1632</v>
      </c>
      <c r="D526" s="3"/>
      <c r="E526" s="3"/>
      <c r="F526" s="3" t="s">
        <v>17</v>
      </c>
      <c r="G526" s="3" t="s">
        <v>18</v>
      </c>
      <c r="H526" s="4">
        <v>46289.772686458331</v>
      </c>
      <c r="I526" s="4">
        <v>46289.804686226853</v>
      </c>
      <c r="J526" s="3">
        <f>ROUND((I526-H526)*1440,0)</f>
        <v>46</v>
      </c>
      <c r="K526" s="3" t="s">
        <v>747</v>
      </c>
      <c r="L526" s="3" t="s">
        <v>22</v>
      </c>
      <c r="M526" s="3" t="s">
        <v>22</v>
      </c>
      <c r="N526" s="3" t="s">
        <v>23</v>
      </c>
      <c r="O526" s="3" t="s">
        <v>748</v>
      </c>
    </row>
    <row r="527" spans="1:15" hidden="1" x14ac:dyDescent="0.75">
      <c r="A527" s="2">
        <v>46289</v>
      </c>
      <c r="B527" s="3" t="s">
        <v>1633</v>
      </c>
      <c r="C527" s="3" t="s">
        <v>1634</v>
      </c>
      <c r="D527" s="3" t="s">
        <v>68</v>
      </c>
      <c r="E527" s="3" t="s">
        <v>69</v>
      </c>
      <c r="F527" s="3" t="s">
        <v>158</v>
      </c>
      <c r="G527" s="3" t="s">
        <v>159</v>
      </c>
      <c r="H527" s="4">
        <v>46289.774106481484</v>
      </c>
      <c r="I527" s="4">
        <v>46289.861019791657</v>
      </c>
      <c r="J527" s="3">
        <f>ROUND((I527-H527)*1440,0)</f>
        <v>125</v>
      </c>
      <c r="K527" s="3" t="s">
        <v>859</v>
      </c>
      <c r="L527" s="3" t="s">
        <v>36</v>
      </c>
      <c r="M527" s="3" t="s">
        <v>36</v>
      </c>
      <c r="N527" s="3" t="s">
        <v>23</v>
      </c>
      <c r="O527" s="3" t="s">
        <v>860</v>
      </c>
    </row>
    <row r="528" spans="1:15" hidden="1" x14ac:dyDescent="0.75">
      <c r="A528" s="2">
        <v>46289</v>
      </c>
      <c r="B528" s="3" t="s">
        <v>1635</v>
      </c>
      <c r="C528" s="3" t="s">
        <v>1636</v>
      </c>
      <c r="D528" s="3" t="s">
        <v>82</v>
      </c>
      <c r="E528" s="3" t="s">
        <v>83</v>
      </c>
      <c r="F528" s="3" t="s">
        <v>17</v>
      </c>
      <c r="G528" s="3" t="s">
        <v>18</v>
      </c>
      <c r="H528" s="4">
        <v>46289.774204050933</v>
      </c>
      <c r="I528" s="4">
        <v>46289.858384375002</v>
      </c>
      <c r="J528" s="3">
        <f>ROUND((I528-H528)*1440,0)</f>
        <v>121</v>
      </c>
      <c r="K528" s="3" t="s">
        <v>573</v>
      </c>
      <c r="L528" s="3" t="s">
        <v>22</v>
      </c>
      <c r="M528" s="3" t="s">
        <v>22</v>
      </c>
      <c r="N528" s="3" t="s">
        <v>23</v>
      </c>
      <c r="O528" s="3" t="s">
        <v>574</v>
      </c>
    </row>
    <row r="529" spans="1:15" hidden="1" x14ac:dyDescent="0.75">
      <c r="A529" s="2">
        <v>46289</v>
      </c>
      <c r="B529" s="3" t="s">
        <v>1637</v>
      </c>
      <c r="C529" s="3" t="s">
        <v>1638</v>
      </c>
      <c r="D529" s="3" t="s">
        <v>17</v>
      </c>
      <c r="E529" s="3" t="s">
        <v>18</v>
      </c>
      <c r="F529" s="3" t="s">
        <v>737</v>
      </c>
      <c r="G529" s="3" t="s">
        <v>738</v>
      </c>
      <c r="H529" s="4">
        <v>46289.775298032408</v>
      </c>
      <c r="I529" s="4">
        <v>46289.811098726852</v>
      </c>
      <c r="J529" s="3">
        <f>ROUND((I529-H529)*1440,0)</f>
        <v>52</v>
      </c>
      <c r="K529" s="3" t="s">
        <v>807</v>
      </c>
      <c r="L529" s="3" t="s">
        <v>77</v>
      </c>
      <c r="M529" s="3" t="s">
        <v>78</v>
      </c>
      <c r="N529" s="3" t="s">
        <v>45</v>
      </c>
      <c r="O529" s="3" t="s">
        <v>808</v>
      </c>
    </row>
    <row r="530" spans="1:15" hidden="1" x14ac:dyDescent="0.75">
      <c r="A530" s="2">
        <v>46289</v>
      </c>
      <c r="B530" s="3" t="s">
        <v>1639</v>
      </c>
      <c r="C530" s="3" t="s">
        <v>1640</v>
      </c>
      <c r="D530" s="3" t="s">
        <v>82</v>
      </c>
      <c r="E530" s="3" t="s">
        <v>83</v>
      </c>
      <c r="F530" s="3" t="s">
        <v>208</v>
      </c>
      <c r="G530" s="3" t="s">
        <v>209</v>
      </c>
      <c r="H530" s="4">
        <v>46289.775540162038</v>
      </c>
      <c r="I530" s="4">
        <v>46289.863583796287</v>
      </c>
      <c r="J530" s="3">
        <f>ROUND((I530-H530)*1440,0)</f>
        <v>127</v>
      </c>
      <c r="K530" s="3" t="s">
        <v>1105</v>
      </c>
      <c r="L530" s="3" t="s">
        <v>36</v>
      </c>
      <c r="M530" s="3" t="s">
        <v>36</v>
      </c>
      <c r="N530" s="3" t="s">
        <v>23</v>
      </c>
      <c r="O530" s="3" t="s">
        <v>1106</v>
      </c>
    </row>
    <row r="531" spans="1:15" hidden="1" x14ac:dyDescent="0.75">
      <c r="A531" s="2">
        <v>46289</v>
      </c>
      <c r="B531" s="3" t="s">
        <v>1641</v>
      </c>
      <c r="C531" s="3" t="s">
        <v>1642</v>
      </c>
      <c r="D531" s="3" t="s">
        <v>27</v>
      </c>
      <c r="E531" s="3" t="s">
        <v>28</v>
      </c>
      <c r="F531" s="3" t="s">
        <v>94</v>
      </c>
      <c r="G531" s="3" t="s">
        <v>95</v>
      </c>
      <c r="H531" s="4">
        <v>46289.775555902779</v>
      </c>
      <c r="I531" s="4">
        <v>46289.844997337961</v>
      </c>
      <c r="J531" s="3">
        <f>ROUND((I531-H531)*1440,0)</f>
        <v>100</v>
      </c>
      <c r="K531" s="3" t="s">
        <v>236</v>
      </c>
      <c r="L531" s="3" t="s">
        <v>77</v>
      </c>
      <c r="M531" s="3" t="s">
        <v>78</v>
      </c>
      <c r="N531" s="3" t="s">
        <v>23</v>
      </c>
      <c r="O531" s="3" t="s">
        <v>237</v>
      </c>
    </row>
    <row r="532" spans="1:15" hidden="1" x14ac:dyDescent="0.75">
      <c r="A532" s="2">
        <v>46289</v>
      </c>
      <c r="B532" s="3" t="s">
        <v>1643</v>
      </c>
      <c r="C532" s="3" t="s">
        <v>1644</v>
      </c>
      <c r="D532" s="3" t="s">
        <v>304</v>
      </c>
      <c r="E532" s="3" t="s">
        <v>305</v>
      </c>
      <c r="F532" s="3" t="s">
        <v>17</v>
      </c>
      <c r="G532" s="3" t="s">
        <v>18</v>
      </c>
      <c r="H532" s="4">
        <v>46289.776959722221</v>
      </c>
      <c r="I532" s="4">
        <v>46289.991775578703</v>
      </c>
      <c r="J532" s="3">
        <f>ROUND((I532-H532)*1440,0)</f>
        <v>309</v>
      </c>
      <c r="K532" s="3" t="s">
        <v>769</v>
      </c>
      <c r="L532" s="3" t="s">
        <v>43</v>
      </c>
      <c r="M532" s="3" t="s">
        <v>44</v>
      </c>
      <c r="N532" s="3" t="s">
        <v>23</v>
      </c>
      <c r="O532" s="3" t="s">
        <v>770</v>
      </c>
    </row>
    <row r="533" spans="1:15" hidden="1" x14ac:dyDescent="0.75">
      <c r="A533" s="2">
        <v>46289</v>
      </c>
      <c r="B533" s="3" t="s">
        <v>1645</v>
      </c>
      <c r="C533" s="3" t="s">
        <v>1646</v>
      </c>
      <c r="D533" s="3" t="s">
        <v>182</v>
      </c>
      <c r="E533" s="3" t="s">
        <v>183</v>
      </c>
      <c r="F533" s="3" t="s">
        <v>17</v>
      </c>
      <c r="G533" s="3" t="s">
        <v>18</v>
      </c>
      <c r="H533" s="4">
        <v>46289.778213310186</v>
      </c>
      <c r="I533" s="4">
        <v>46289.852013310177</v>
      </c>
      <c r="J533" s="3">
        <f>ROUND((I533-H533)*1440,0)</f>
        <v>106</v>
      </c>
      <c r="K533" s="3" t="s">
        <v>422</v>
      </c>
      <c r="L533" s="3" t="s">
        <v>77</v>
      </c>
      <c r="M533" s="3" t="s">
        <v>78</v>
      </c>
      <c r="N533" s="3" t="s">
        <v>23</v>
      </c>
      <c r="O533" s="3" t="s">
        <v>423</v>
      </c>
    </row>
    <row r="534" spans="1:15" hidden="1" x14ac:dyDescent="0.75">
      <c r="A534" s="2">
        <v>46289</v>
      </c>
      <c r="B534" s="3" t="s">
        <v>1647</v>
      </c>
      <c r="C534" s="3" t="s">
        <v>1648</v>
      </c>
      <c r="D534" s="3" t="s">
        <v>264</v>
      </c>
      <c r="E534" s="3" t="s">
        <v>265</v>
      </c>
      <c r="F534" s="3" t="s">
        <v>56</v>
      </c>
      <c r="G534" s="3" t="s">
        <v>57</v>
      </c>
      <c r="H534" s="4">
        <v>46289.779383796304</v>
      </c>
      <c r="I534" s="4">
        <v>46289.95928703704</v>
      </c>
      <c r="J534" s="3">
        <f>ROUND((I534-H534)*1440,0)</f>
        <v>259</v>
      </c>
      <c r="K534" s="3" t="s">
        <v>519</v>
      </c>
      <c r="L534" s="3" t="s">
        <v>22</v>
      </c>
      <c r="M534" s="3" t="s">
        <v>22</v>
      </c>
      <c r="N534" s="3" t="s">
        <v>23</v>
      </c>
      <c r="O534" s="3" t="s">
        <v>520</v>
      </c>
    </row>
    <row r="535" spans="1:15" hidden="1" x14ac:dyDescent="0.75">
      <c r="A535" s="2">
        <v>46289</v>
      </c>
      <c r="B535" s="3" t="s">
        <v>1649</v>
      </c>
      <c r="C535" s="3" t="s">
        <v>1650</v>
      </c>
      <c r="D535" s="3"/>
      <c r="E535" s="3"/>
      <c r="F535" s="3" t="s">
        <v>56</v>
      </c>
      <c r="G535" s="3" t="s">
        <v>57</v>
      </c>
      <c r="H535" s="4">
        <v>46289.780144444441</v>
      </c>
      <c r="I535" s="4">
        <v>46289.913606944443</v>
      </c>
      <c r="J535" s="3">
        <f>ROUND((I535-H535)*1440,0)</f>
        <v>192</v>
      </c>
      <c r="K535" s="3" t="s">
        <v>1651</v>
      </c>
      <c r="L535" s="3" t="s">
        <v>36</v>
      </c>
      <c r="M535" s="3" t="s">
        <v>36</v>
      </c>
      <c r="N535" s="3" t="s">
        <v>23</v>
      </c>
      <c r="O535" s="3" t="s">
        <v>1652</v>
      </c>
    </row>
    <row r="536" spans="1:15" hidden="1" x14ac:dyDescent="0.75">
      <c r="A536" s="2">
        <v>46289</v>
      </c>
      <c r="B536" s="3" t="s">
        <v>1653</v>
      </c>
      <c r="C536" s="3" t="s">
        <v>1654</v>
      </c>
      <c r="D536" s="3" t="s">
        <v>280</v>
      </c>
      <c r="E536" s="3" t="s">
        <v>281</v>
      </c>
      <c r="F536" s="3" t="s">
        <v>56</v>
      </c>
      <c r="G536" s="3" t="s">
        <v>57</v>
      </c>
      <c r="H536" s="4">
        <v>46289.783079398148</v>
      </c>
      <c r="I536" s="4">
        <v>46289.864974537028</v>
      </c>
      <c r="J536" s="3">
        <f>ROUND((I536-H536)*1440,0)</f>
        <v>118</v>
      </c>
      <c r="K536" s="3" t="s">
        <v>673</v>
      </c>
      <c r="L536" s="3" t="s">
        <v>36</v>
      </c>
      <c r="M536" s="3" t="s">
        <v>36</v>
      </c>
      <c r="N536" s="3" t="s">
        <v>23</v>
      </c>
      <c r="O536" s="3" t="s">
        <v>674</v>
      </c>
    </row>
    <row r="537" spans="1:15" hidden="1" x14ac:dyDescent="0.75">
      <c r="A537" s="2">
        <v>46289</v>
      </c>
      <c r="B537" s="3" t="s">
        <v>1655</v>
      </c>
      <c r="C537" s="3" t="s">
        <v>1656</v>
      </c>
      <c r="D537" s="3" t="s">
        <v>17</v>
      </c>
      <c r="E537" s="3" t="s">
        <v>18</v>
      </c>
      <c r="F537" s="3" t="s">
        <v>148</v>
      </c>
      <c r="G537" s="3" t="s">
        <v>149</v>
      </c>
      <c r="H537" s="4">
        <v>46289.785197337973</v>
      </c>
      <c r="I537" s="4">
        <v>46289.841091203707</v>
      </c>
      <c r="J537" s="3">
        <f>ROUND((I537-H537)*1440,0)</f>
        <v>80</v>
      </c>
      <c r="K537" s="3" t="s">
        <v>783</v>
      </c>
      <c r="L537" s="3" t="s">
        <v>77</v>
      </c>
      <c r="M537" s="3" t="s">
        <v>78</v>
      </c>
      <c r="N537" s="3" t="s">
        <v>23</v>
      </c>
      <c r="O537" s="3" t="s">
        <v>784</v>
      </c>
    </row>
    <row r="538" spans="1:15" hidden="1" x14ac:dyDescent="0.75">
      <c r="A538" s="2">
        <v>46289</v>
      </c>
      <c r="B538" s="3" t="s">
        <v>1657</v>
      </c>
      <c r="C538" s="3" t="s">
        <v>1658</v>
      </c>
      <c r="D538" s="3" t="s">
        <v>68</v>
      </c>
      <c r="E538" s="3" t="s">
        <v>69</v>
      </c>
      <c r="F538" s="3" t="s">
        <v>84</v>
      </c>
      <c r="G538" s="3" t="s">
        <v>85</v>
      </c>
      <c r="H538" s="4">
        <v>46289.789467476847</v>
      </c>
      <c r="I538" s="4">
        <v>46289.892389930559</v>
      </c>
      <c r="J538" s="3">
        <f>ROUND((I538-H538)*1440,0)</f>
        <v>148</v>
      </c>
      <c r="K538" s="3" t="s">
        <v>1307</v>
      </c>
      <c r="L538" s="3" t="s">
        <v>36</v>
      </c>
      <c r="M538" s="3" t="s">
        <v>36</v>
      </c>
      <c r="N538" s="3" t="s">
        <v>45</v>
      </c>
      <c r="O538" s="3" t="s">
        <v>1308</v>
      </c>
    </row>
    <row r="539" spans="1:15" hidden="1" x14ac:dyDescent="0.75">
      <c r="A539" s="2">
        <v>46289</v>
      </c>
      <c r="B539" s="3" t="s">
        <v>1659</v>
      </c>
      <c r="C539" s="3" t="s">
        <v>1660</v>
      </c>
      <c r="D539" s="3" t="s">
        <v>683</v>
      </c>
      <c r="E539" s="3" t="s">
        <v>684</v>
      </c>
      <c r="F539" s="3" t="s">
        <v>56</v>
      </c>
      <c r="G539" s="3" t="s">
        <v>57</v>
      </c>
      <c r="H539" s="4">
        <v>46289.789953935193</v>
      </c>
      <c r="I539" s="4">
        <v>46289.855828356478</v>
      </c>
      <c r="J539" s="3">
        <f>ROUND((I539-H539)*1440,0)</f>
        <v>95</v>
      </c>
      <c r="K539" s="3" t="s">
        <v>210</v>
      </c>
      <c r="L539" s="3" t="s">
        <v>36</v>
      </c>
      <c r="M539" s="3" t="s">
        <v>36</v>
      </c>
      <c r="N539" s="3" t="s">
        <v>23</v>
      </c>
      <c r="O539" s="3" t="s">
        <v>211</v>
      </c>
    </row>
    <row r="540" spans="1:15" hidden="1" x14ac:dyDescent="0.75">
      <c r="A540" s="2">
        <v>46289</v>
      </c>
      <c r="B540" s="3" t="s">
        <v>1661</v>
      </c>
      <c r="C540" s="3" t="s">
        <v>1662</v>
      </c>
      <c r="D540" s="3" t="s">
        <v>208</v>
      </c>
      <c r="E540" s="3" t="s">
        <v>209</v>
      </c>
      <c r="F540" s="3" t="s">
        <v>82</v>
      </c>
      <c r="G540" s="3" t="s">
        <v>83</v>
      </c>
      <c r="H540" s="4">
        <v>46289.790101620369</v>
      </c>
      <c r="I540" s="4">
        <v>46289.883175462957</v>
      </c>
      <c r="J540" s="3">
        <f>ROUND((I540-H540)*1440,0)</f>
        <v>134</v>
      </c>
      <c r="K540" s="3" t="s">
        <v>51</v>
      </c>
      <c r="L540" s="3" t="s">
        <v>52</v>
      </c>
      <c r="M540" s="3"/>
      <c r="N540" s="3" t="s">
        <v>23</v>
      </c>
      <c r="O540" s="3" t="s">
        <v>53</v>
      </c>
    </row>
    <row r="541" spans="1:15" hidden="1" x14ac:dyDescent="0.75">
      <c r="A541" s="2">
        <v>46289</v>
      </c>
      <c r="B541" s="3" t="s">
        <v>1663</v>
      </c>
      <c r="C541" s="3" t="s">
        <v>1664</v>
      </c>
      <c r="D541" s="3" t="s">
        <v>17</v>
      </c>
      <c r="E541" s="3" t="s">
        <v>18</v>
      </c>
      <c r="F541" s="3" t="s">
        <v>208</v>
      </c>
      <c r="G541" s="3" t="s">
        <v>209</v>
      </c>
      <c r="H541" s="4">
        <v>46289.790359375002</v>
      </c>
      <c r="I541" s="4">
        <v>46289.805272106481</v>
      </c>
      <c r="J541" s="3">
        <f>ROUND((I541-H541)*1440,0)</f>
        <v>21</v>
      </c>
      <c r="K541" s="3" t="s">
        <v>35</v>
      </c>
      <c r="L541" s="3" t="s">
        <v>36</v>
      </c>
      <c r="M541" s="3" t="s">
        <v>36</v>
      </c>
      <c r="N541" s="3" t="s">
        <v>23</v>
      </c>
      <c r="O541" s="3" t="s">
        <v>37</v>
      </c>
    </row>
    <row r="542" spans="1:15" hidden="1" x14ac:dyDescent="0.75">
      <c r="A542" s="2">
        <v>46289</v>
      </c>
      <c r="B542" s="3" t="s">
        <v>1665</v>
      </c>
      <c r="C542" s="3" t="s">
        <v>1666</v>
      </c>
      <c r="D542" s="3" t="s">
        <v>27</v>
      </c>
      <c r="E542" s="3" t="s">
        <v>28</v>
      </c>
      <c r="F542" s="3" t="s">
        <v>56</v>
      </c>
      <c r="G542" s="3" t="s">
        <v>57</v>
      </c>
      <c r="H542" s="4">
        <v>46289.791653587963</v>
      </c>
      <c r="I542" s="4">
        <v>46289.915438194454</v>
      </c>
      <c r="J542" s="3">
        <f>ROUND((I542-H542)*1440,0)</f>
        <v>178</v>
      </c>
      <c r="K542" s="3" t="s">
        <v>1247</v>
      </c>
      <c r="L542" s="3" t="s">
        <v>22</v>
      </c>
      <c r="M542" s="3" t="s">
        <v>22</v>
      </c>
      <c r="N542" s="3" t="s">
        <v>23</v>
      </c>
      <c r="O542" s="3" t="s">
        <v>1248</v>
      </c>
    </row>
    <row r="543" spans="1:15" hidden="1" x14ac:dyDescent="0.75">
      <c r="A543" s="2">
        <v>46289</v>
      </c>
      <c r="B543" s="3" t="s">
        <v>1667</v>
      </c>
      <c r="C543" s="3" t="s">
        <v>1668</v>
      </c>
      <c r="D543" s="3" t="s">
        <v>122</v>
      </c>
      <c r="E543" s="3" t="s">
        <v>123</v>
      </c>
      <c r="F543" s="3" t="s">
        <v>27</v>
      </c>
      <c r="G543" s="3" t="s">
        <v>28</v>
      </c>
      <c r="H543" s="4">
        <v>46289.791911111111</v>
      </c>
      <c r="I543" s="4">
        <v>46290.015281712956</v>
      </c>
      <c r="J543" s="3">
        <f>ROUND((I543-H543)*1440,0)</f>
        <v>322</v>
      </c>
      <c r="K543" s="3" t="s">
        <v>649</v>
      </c>
      <c r="L543" s="3" t="s">
        <v>22</v>
      </c>
      <c r="M543" s="3" t="s">
        <v>22</v>
      </c>
      <c r="N543" s="3" t="s">
        <v>23</v>
      </c>
      <c r="O543" s="3" t="s">
        <v>650</v>
      </c>
    </row>
    <row r="544" spans="1:15" hidden="1" x14ac:dyDescent="0.75">
      <c r="A544" s="2">
        <v>46289</v>
      </c>
      <c r="B544" s="3" t="s">
        <v>1669</v>
      </c>
      <c r="C544" s="3" t="s">
        <v>1670</v>
      </c>
      <c r="D544" s="3" t="s">
        <v>84</v>
      </c>
      <c r="E544" s="3" t="s">
        <v>85</v>
      </c>
      <c r="F544" s="3" t="s">
        <v>68</v>
      </c>
      <c r="G544" s="3" t="s">
        <v>69</v>
      </c>
      <c r="H544" s="4">
        <v>46289.792104629632</v>
      </c>
      <c r="I544" s="4">
        <v>46289.89257916667</v>
      </c>
      <c r="J544" s="3">
        <f>ROUND((I544-H544)*1440,0)</f>
        <v>145</v>
      </c>
      <c r="K544" s="3" t="s">
        <v>819</v>
      </c>
      <c r="L544" s="3" t="s">
        <v>36</v>
      </c>
      <c r="M544" s="3" t="s">
        <v>36</v>
      </c>
      <c r="N544" s="3" t="s">
        <v>23</v>
      </c>
      <c r="O544" s="3" t="s">
        <v>820</v>
      </c>
    </row>
    <row r="545" spans="1:15" hidden="1" x14ac:dyDescent="0.75">
      <c r="A545" s="2">
        <v>46289</v>
      </c>
      <c r="B545" s="3" t="s">
        <v>1671</v>
      </c>
      <c r="C545" s="3" t="s">
        <v>1672</v>
      </c>
      <c r="D545" s="3" t="s">
        <v>719</v>
      </c>
      <c r="E545" s="3" t="s">
        <v>720</v>
      </c>
      <c r="F545" s="3" t="s">
        <v>737</v>
      </c>
      <c r="G545" s="3" t="s">
        <v>738</v>
      </c>
      <c r="H545" s="4">
        <v>46289.79514224537</v>
      </c>
      <c r="I545" s="4">
        <v>46289.898859374996</v>
      </c>
      <c r="J545" s="3">
        <f>ROUND((I545-H545)*1440,0)</f>
        <v>149</v>
      </c>
      <c r="K545" s="3" t="s">
        <v>252</v>
      </c>
      <c r="L545" s="3" t="s">
        <v>36</v>
      </c>
      <c r="M545" s="3" t="s">
        <v>36</v>
      </c>
      <c r="N545" s="3" t="s">
        <v>45</v>
      </c>
      <c r="O545" s="3" t="s">
        <v>253</v>
      </c>
    </row>
    <row r="546" spans="1:15" hidden="1" x14ac:dyDescent="0.75">
      <c r="A546" s="2">
        <v>46289</v>
      </c>
      <c r="B546" s="3" t="s">
        <v>1673</v>
      </c>
      <c r="C546" s="3" t="s">
        <v>1674</v>
      </c>
      <c r="D546" s="3" t="s">
        <v>615</v>
      </c>
      <c r="E546" s="3" t="s">
        <v>616</v>
      </c>
      <c r="F546" s="3" t="s">
        <v>82</v>
      </c>
      <c r="G546" s="3" t="s">
        <v>83</v>
      </c>
      <c r="H546" s="4">
        <v>46289.795149074067</v>
      </c>
      <c r="I546" s="4">
        <v>46289.905162037037</v>
      </c>
      <c r="J546" s="3">
        <f>ROUND((I546-H546)*1440,0)</f>
        <v>158</v>
      </c>
      <c r="K546" s="3" t="s">
        <v>1143</v>
      </c>
      <c r="L546" s="3" t="s">
        <v>22</v>
      </c>
      <c r="M546" s="3" t="s">
        <v>22</v>
      </c>
      <c r="N546" s="3" t="s">
        <v>23</v>
      </c>
      <c r="O546" s="3" t="s">
        <v>1144</v>
      </c>
    </row>
    <row r="547" spans="1:15" hidden="1" x14ac:dyDescent="0.75">
      <c r="A547" s="2">
        <v>46289</v>
      </c>
      <c r="B547" s="3" t="s">
        <v>1675</v>
      </c>
      <c r="C547" s="3" t="s">
        <v>1676</v>
      </c>
      <c r="D547" s="3"/>
      <c r="E547" s="3"/>
      <c r="F547" s="3" t="s">
        <v>17</v>
      </c>
      <c r="G547" s="3" t="s">
        <v>18</v>
      </c>
      <c r="H547" s="4">
        <v>46289.795753472223</v>
      </c>
      <c r="I547" s="4">
        <v>46289.82710289352</v>
      </c>
      <c r="J547" s="3">
        <f>ROUND((I547-H547)*1440,0)</f>
        <v>45</v>
      </c>
      <c r="K547" s="3" t="s">
        <v>392</v>
      </c>
      <c r="L547" s="3" t="s">
        <v>22</v>
      </c>
      <c r="M547" s="3" t="s">
        <v>22</v>
      </c>
      <c r="N547" s="3" t="s">
        <v>23</v>
      </c>
      <c r="O547" s="3" t="s">
        <v>393</v>
      </c>
    </row>
    <row r="548" spans="1:15" hidden="1" x14ac:dyDescent="0.75">
      <c r="A548" s="2">
        <v>46289</v>
      </c>
      <c r="B548" s="3" t="s">
        <v>1677</v>
      </c>
      <c r="C548" s="3" t="s">
        <v>1678</v>
      </c>
      <c r="D548" s="3" t="s">
        <v>615</v>
      </c>
      <c r="E548" s="3" t="s">
        <v>616</v>
      </c>
      <c r="F548" s="3" t="s">
        <v>58</v>
      </c>
      <c r="G548" s="3" t="s">
        <v>59</v>
      </c>
      <c r="H548" s="4">
        <v>46289.79735497685</v>
      </c>
      <c r="I548" s="4">
        <v>46289.937692708343</v>
      </c>
      <c r="J548" s="3">
        <f>ROUND((I548-H548)*1440,0)</f>
        <v>202</v>
      </c>
      <c r="K548" s="3" t="s">
        <v>1191</v>
      </c>
      <c r="L548" s="3" t="s">
        <v>36</v>
      </c>
      <c r="M548" s="3" t="s">
        <v>36</v>
      </c>
      <c r="N548" s="3" t="s">
        <v>23</v>
      </c>
      <c r="O548" s="3" t="s">
        <v>1192</v>
      </c>
    </row>
    <row r="549" spans="1:15" hidden="1" x14ac:dyDescent="0.75">
      <c r="A549" s="2">
        <v>46289</v>
      </c>
      <c r="B549" s="3" t="s">
        <v>1679</v>
      </c>
      <c r="C549" s="3" t="s">
        <v>1680</v>
      </c>
      <c r="D549" s="3" t="s">
        <v>17</v>
      </c>
      <c r="E549" s="3" t="s">
        <v>18</v>
      </c>
      <c r="F549" s="3" t="s">
        <v>82</v>
      </c>
      <c r="G549" s="3" t="s">
        <v>83</v>
      </c>
      <c r="H549" s="4">
        <v>46289.799428472223</v>
      </c>
      <c r="I549" s="4">
        <v>46289.888407407409</v>
      </c>
      <c r="J549" s="3">
        <f>ROUND((I549-H549)*1440,0)</f>
        <v>128</v>
      </c>
      <c r="K549" s="3" t="s">
        <v>755</v>
      </c>
      <c r="L549" s="3" t="s">
        <v>43</v>
      </c>
      <c r="M549" s="3" t="s">
        <v>44</v>
      </c>
      <c r="N549" s="3" t="s">
        <v>23</v>
      </c>
      <c r="O549" s="3" t="s">
        <v>756</v>
      </c>
    </row>
    <row r="550" spans="1:15" hidden="1" x14ac:dyDescent="0.75">
      <c r="A550" s="2">
        <v>46289</v>
      </c>
      <c r="B550" s="3" t="s">
        <v>1681</v>
      </c>
      <c r="C550" s="3" t="s">
        <v>1682</v>
      </c>
      <c r="D550" s="3"/>
      <c r="E550" s="3"/>
      <c r="F550" s="3" t="s">
        <v>615</v>
      </c>
      <c r="G550" s="3" t="s">
        <v>616</v>
      </c>
      <c r="H550" s="4">
        <v>46289.800618055553</v>
      </c>
      <c r="I550" s="4">
        <v>46289.814006597233</v>
      </c>
      <c r="J550" s="3">
        <f>ROUND((I550-H550)*1440,0)</f>
        <v>19</v>
      </c>
      <c r="K550" s="3" t="s">
        <v>282</v>
      </c>
      <c r="L550" s="3" t="s">
        <v>36</v>
      </c>
      <c r="M550" s="3" t="s">
        <v>36</v>
      </c>
      <c r="N550" s="3" t="s">
        <v>45</v>
      </c>
      <c r="O550" s="3" t="s">
        <v>283</v>
      </c>
    </row>
    <row r="551" spans="1:15" hidden="1" x14ac:dyDescent="0.75">
      <c r="A551" s="2">
        <v>46289</v>
      </c>
      <c r="B551" s="3" t="s">
        <v>1683</v>
      </c>
      <c r="C551" s="3" t="s">
        <v>1684</v>
      </c>
      <c r="D551" s="3" t="s">
        <v>17</v>
      </c>
      <c r="E551" s="3" t="s">
        <v>18</v>
      </c>
      <c r="F551" s="3" t="s">
        <v>68</v>
      </c>
      <c r="G551" s="3" t="s">
        <v>69</v>
      </c>
      <c r="H551" s="4">
        <v>46289.800905787037</v>
      </c>
      <c r="I551" s="4">
        <v>46289.898011342593</v>
      </c>
      <c r="J551" s="3">
        <f>ROUND((I551-H551)*1440,0)</f>
        <v>140</v>
      </c>
      <c r="K551" s="3" t="s">
        <v>1685</v>
      </c>
      <c r="L551" s="3" t="s">
        <v>22</v>
      </c>
      <c r="M551" s="3" t="s">
        <v>22</v>
      </c>
      <c r="N551" s="3" t="s">
        <v>23</v>
      </c>
      <c r="O551" s="3" t="s">
        <v>1686</v>
      </c>
    </row>
    <row r="552" spans="1:15" hidden="1" x14ac:dyDescent="0.75">
      <c r="A552" s="2">
        <v>46289</v>
      </c>
      <c r="B552" s="3" t="s">
        <v>1687</v>
      </c>
      <c r="C552" s="3" t="s">
        <v>1688</v>
      </c>
      <c r="D552" s="3" t="s">
        <v>56</v>
      </c>
      <c r="E552" s="3" t="s">
        <v>57</v>
      </c>
      <c r="F552" s="3" t="s">
        <v>264</v>
      </c>
      <c r="G552" s="3" t="s">
        <v>265</v>
      </c>
      <c r="H552" s="4">
        <v>46289.801518981483</v>
      </c>
      <c r="I552" s="4">
        <v>46289.991691550917</v>
      </c>
      <c r="J552" s="3">
        <f>ROUND((I552-H552)*1440,0)</f>
        <v>274</v>
      </c>
      <c r="K552" s="3" t="s">
        <v>1689</v>
      </c>
      <c r="L552" s="3" t="s">
        <v>22</v>
      </c>
      <c r="M552" s="3" t="s">
        <v>22</v>
      </c>
      <c r="N552" s="3" t="s">
        <v>23</v>
      </c>
      <c r="O552" s="3" t="s">
        <v>1690</v>
      </c>
    </row>
    <row r="553" spans="1:15" hidden="1" x14ac:dyDescent="0.75">
      <c r="A553" s="2">
        <v>46289</v>
      </c>
      <c r="B553" s="3" t="s">
        <v>1691</v>
      </c>
      <c r="C553" s="3" t="s">
        <v>1692</v>
      </c>
      <c r="D553" s="3" t="s">
        <v>27</v>
      </c>
      <c r="E553" s="3" t="s">
        <v>28</v>
      </c>
      <c r="F553" s="3" t="s">
        <v>158</v>
      </c>
      <c r="G553" s="3" t="s">
        <v>159</v>
      </c>
      <c r="H553" s="4">
        <v>46289.802695370367</v>
      </c>
      <c r="I553" s="4">
        <v>46289.85709675926</v>
      </c>
      <c r="J553" s="3">
        <f>ROUND((I553-H553)*1440,0)</f>
        <v>78</v>
      </c>
      <c r="K553" s="3" t="s">
        <v>356</v>
      </c>
      <c r="L553" s="3" t="s">
        <v>77</v>
      </c>
      <c r="M553" s="3" t="s">
        <v>78</v>
      </c>
      <c r="N553" s="3" t="s">
        <v>23</v>
      </c>
      <c r="O553" s="3" t="s">
        <v>357</v>
      </c>
    </row>
    <row r="554" spans="1:15" hidden="1" x14ac:dyDescent="0.75">
      <c r="A554" s="2">
        <v>46289</v>
      </c>
      <c r="B554" s="3" t="s">
        <v>1693</v>
      </c>
      <c r="C554" s="3" t="s">
        <v>1694</v>
      </c>
      <c r="D554" s="3" t="s">
        <v>264</v>
      </c>
      <c r="E554" s="3" t="s">
        <v>265</v>
      </c>
      <c r="F554" s="3" t="s">
        <v>27</v>
      </c>
      <c r="G554" s="3" t="s">
        <v>28</v>
      </c>
      <c r="H554" s="4">
        <v>46289.803753125001</v>
      </c>
      <c r="I554" s="4">
        <v>46289.991719675927</v>
      </c>
      <c r="J554" s="3">
        <f>ROUND((I554-H554)*1440,0)</f>
        <v>271</v>
      </c>
      <c r="K554" s="3" t="s">
        <v>505</v>
      </c>
      <c r="L554" s="3" t="s">
        <v>43</v>
      </c>
      <c r="M554" s="3" t="s">
        <v>44</v>
      </c>
      <c r="N554" s="3" t="s">
        <v>23</v>
      </c>
      <c r="O554" s="3" t="s">
        <v>506</v>
      </c>
    </row>
    <row r="555" spans="1:15" hidden="1" x14ac:dyDescent="0.75">
      <c r="A555" s="2">
        <v>46289</v>
      </c>
      <c r="B555" s="3" t="s">
        <v>1695</v>
      </c>
      <c r="C555" s="3" t="s">
        <v>1696</v>
      </c>
      <c r="D555" s="3" t="s">
        <v>1013</v>
      </c>
      <c r="E555" s="3" t="s">
        <v>1014</v>
      </c>
      <c r="F555" s="3" t="s">
        <v>27</v>
      </c>
      <c r="G555" s="3" t="s">
        <v>28</v>
      </c>
      <c r="H555" s="4">
        <v>46289.804466782407</v>
      </c>
      <c r="I555" s="4">
        <v>46289.916368287028</v>
      </c>
      <c r="J555" s="3">
        <f>ROUND((I555-H555)*1440,0)</f>
        <v>161</v>
      </c>
      <c r="K555" s="3" t="s">
        <v>1015</v>
      </c>
      <c r="L555" s="3" t="s">
        <v>77</v>
      </c>
      <c r="M555" s="3" t="s">
        <v>78</v>
      </c>
      <c r="N555" s="3" t="s">
        <v>23</v>
      </c>
      <c r="O555" s="3" t="s">
        <v>1016</v>
      </c>
    </row>
    <row r="556" spans="1:15" hidden="1" x14ac:dyDescent="0.75">
      <c r="A556" s="2">
        <v>46289</v>
      </c>
      <c r="B556" s="3" t="s">
        <v>1697</v>
      </c>
      <c r="C556" s="3" t="s">
        <v>1698</v>
      </c>
      <c r="D556" s="3" t="s">
        <v>320</v>
      </c>
      <c r="E556" s="3" t="s">
        <v>321</v>
      </c>
      <c r="F556" s="3" t="s">
        <v>56</v>
      </c>
      <c r="G556" s="3" t="s">
        <v>57</v>
      </c>
      <c r="H556" s="4">
        <v>46289.80600462963</v>
      </c>
      <c r="I556" s="4">
        <v>46289.868687499998</v>
      </c>
      <c r="J556" s="3">
        <f>ROUND((I556-H556)*1440,0)</f>
        <v>90</v>
      </c>
      <c r="K556" s="3" t="s">
        <v>969</v>
      </c>
      <c r="L556" s="3" t="s">
        <v>36</v>
      </c>
      <c r="M556" s="3" t="s">
        <v>36</v>
      </c>
      <c r="N556" s="3" t="s">
        <v>23</v>
      </c>
      <c r="O556" s="3" t="s">
        <v>970</v>
      </c>
    </row>
    <row r="557" spans="1:15" hidden="1" x14ac:dyDescent="0.75">
      <c r="A557" s="2">
        <v>46289</v>
      </c>
      <c r="B557" s="3" t="s">
        <v>1699</v>
      </c>
      <c r="C557" s="3" t="s">
        <v>1700</v>
      </c>
      <c r="D557" s="3" t="s">
        <v>56</v>
      </c>
      <c r="E557" s="3" t="s">
        <v>57</v>
      </c>
      <c r="F557" s="3" t="s">
        <v>270</v>
      </c>
      <c r="G557" s="3" t="s">
        <v>271</v>
      </c>
      <c r="H557" s="4">
        <v>46289.806234374999</v>
      </c>
      <c r="I557" s="4">
        <v>46289.89617615741</v>
      </c>
      <c r="J557" s="3">
        <f>ROUND((I557-H557)*1440,0)</f>
        <v>130</v>
      </c>
      <c r="K557" s="3" t="s">
        <v>645</v>
      </c>
      <c r="L557" s="3" t="s">
        <v>36</v>
      </c>
      <c r="M557" s="3" t="s">
        <v>36</v>
      </c>
      <c r="N557" s="3" t="s">
        <v>45</v>
      </c>
      <c r="O557" s="3" t="s">
        <v>646</v>
      </c>
    </row>
    <row r="558" spans="1:15" hidden="1" x14ac:dyDescent="0.75">
      <c r="A558" s="2">
        <v>46289</v>
      </c>
      <c r="B558" s="3" t="s">
        <v>1701</v>
      </c>
      <c r="C558" s="3" t="s">
        <v>1702</v>
      </c>
      <c r="D558" s="3" t="s">
        <v>58</v>
      </c>
      <c r="E558" s="3" t="s">
        <v>59</v>
      </c>
      <c r="F558" s="3" t="s">
        <v>68</v>
      </c>
      <c r="G558" s="3" t="s">
        <v>69</v>
      </c>
      <c r="H558" s="4">
        <v>46289.807054166668</v>
      </c>
      <c r="I558" s="4">
        <v>46289.907677430558</v>
      </c>
      <c r="J558" s="3">
        <f>ROUND((I558-H558)*1440,0)</f>
        <v>145</v>
      </c>
      <c r="K558" s="3" t="s">
        <v>1343</v>
      </c>
      <c r="L558" s="3" t="s">
        <v>36</v>
      </c>
      <c r="M558" s="3" t="s">
        <v>36</v>
      </c>
      <c r="N558" s="3" t="s">
        <v>23</v>
      </c>
      <c r="O558" s="3" t="s">
        <v>1344</v>
      </c>
    </row>
    <row r="559" spans="1:15" hidden="1" x14ac:dyDescent="0.75">
      <c r="A559" s="2">
        <v>46289</v>
      </c>
      <c r="B559" s="3" t="s">
        <v>1703</v>
      </c>
      <c r="C559" s="3" t="s">
        <v>1704</v>
      </c>
      <c r="D559" s="3" t="s">
        <v>615</v>
      </c>
      <c r="E559" s="3" t="s">
        <v>616</v>
      </c>
      <c r="F559" s="3" t="s">
        <v>56</v>
      </c>
      <c r="G559" s="3" t="s">
        <v>57</v>
      </c>
      <c r="H559" s="4">
        <v>46289.807653819436</v>
      </c>
      <c r="I559" s="4">
        <v>46289.911220138893</v>
      </c>
      <c r="J559" s="3">
        <f>ROUND((I559-H559)*1440,0)</f>
        <v>149</v>
      </c>
      <c r="K559" s="3" t="s">
        <v>380</v>
      </c>
      <c r="L559" s="3" t="s">
        <v>36</v>
      </c>
      <c r="M559" s="3" t="s">
        <v>36</v>
      </c>
      <c r="N559" s="3" t="s">
        <v>23</v>
      </c>
      <c r="O559" s="3" t="s">
        <v>381</v>
      </c>
    </row>
    <row r="560" spans="1:15" hidden="1" x14ac:dyDescent="0.75">
      <c r="A560" s="2">
        <v>46289</v>
      </c>
      <c r="B560" s="3" t="s">
        <v>1705</v>
      </c>
      <c r="C560" s="3" t="s">
        <v>1706</v>
      </c>
      <c r="D560" s="3" t="s">
        <v>228</v>
      </c>
      <c r="E560" s="3" t="s">
        <v>229</v>
      </c>
      <c r="F560" s="3" t="s">
        <v>27</v>
      </c>
      <c r="G560" s="3" t="s">
        <v>28</v>
      </c>
      <c r="H560" s="4">
        <v>46289.808027777777</v>
      </c>
      <c r="I560" s="4">
        <v>46289.866189699067</v>
      </c>
      <c r="J560" s="3">
        <f>ROUND((I560-H560)*1440,0)</f>
        <v>84</v>
      </c>
      <c r="K560" s="3" t="s">
        <v>1293</v>
      </c>
      <c r="L560" s="3" t="s">
        <v>77</v>
      </c>
      <c r="M560" s="3" t="s">
        <v>78</v>
      </c>
      <c r="N560" s="3" t="s">
        <v>23</v>
      </c>
      <c r="O560" s="3" t="s">
        <v>1294</v>
      </c>
    </row>
    <row r="561" spans="1:15" hidden="1" x14ac:dyDescent="0.75">
      <c r="A561" s="2">
        <v>46289</v>
      </c>
      <c r="B561" s="3" t="s">
        <v>1707</v>
      </c>
      <c r="C561" s="3" t="s">
        <v>1708</v>
      </c>
      <c r="D561" s="3" t="s">
        <v>122</v>
      </c>
      <c r="E561" s="3" t="s">
        <v>123</v>
      </c>
      <c r="F561" s="3" t="s">
        <v>17</v>
      </c>
      <c r="G561" s="3" t="s">
        <v>18</v>
      </c>
      <c r="H561" s="4">
        <v>46289.808318402778</v>
      </c>
      <c r="I561" s="4">
        <v>46290.032014236109</v>
      </c>
      <c r="J561" s="3">
        <f>ROUND((I561-H561)*1440,0)</f>
        <v>322</v>
      </c>
      <c r="K561" s="3" t="s">
        <v>841</v>
      </c>
      <c r="L561" s="3" t="s">
        <v>22</v>
      </c>
      <c r="M561" s="3" t="s">
        <v>22</v>
      </c>
      <c r="N561" s="3" t="s">
        <v>23</v>
      </c>
      <c r="O561" s="3" t="s">
        <v>842</v>
      </c>
    </row>
    <row r="562" spans="1:15" hidden="1" x14ac:dyDescent="0.75">
      <c r="A562" s="2">
        <v>46289</v>
      </c>
      <c r="B562" s="3" t="s">
        <v>1709</v>
      </c>
      <c r="C562" s="3" t="s">
        <v>1710</v>
      </c>
      <c r="D562" s="3" t="s">
        <v>158</v>
      </c>
      <c r="E562" s="3" t="s">
        <v>159</v>
      </c>
      <c r="F562" s="3" t="s">
        <v>27</v>
      </c>
      <c r="G562" s="3" t="s">
        <v>28</v>
      </c>
      <c r="H562" s="4">
        <v>46289.810048611107</v>
      </c>
      <c r="I562" s="4">
        <v>46289.855048726851</v>
      </c>
      <c r="J562" s="3">
        <f>ROUND((I562-H562)*1440,0)</f>
        <v>65</v>
      </c>
      <c r="K562" s="3" t="s">
        <v>1037</v>
      </c>
      <c r="L562" s="3" t="s">
        <v>77</v>
      </c>
      <c r="M562" s="3" t="s">
        <v>78</v>
      </c>
      <c r="N562" s="3" t="s">
        <v>23</v>
      </c>
      <c r="O562" s="3" t="s">
        <v>1038</v>
      </c>
    </row>
    <row r="563" spans="1:15" hidden="1" x14ac:dyDescent="0.75">
      <c r="A563" s="2">
        <v>46289</v>
      </c>
      <c r="B563" s="3" t="s">
        <v>1711</v>
      </c>
      <c r="C563" s="3" t="s">
        <v>1712</v>
      </c>
      <c r="D563" s="3" t="s">
        <v>84</v>
      </c>
      <c r="E563" s="3" t="s">
        <v>85</v>
      </c>
      <c r="F563" s="3" t="s">
        <v>82</v>
      </c>
      <c r="G563" s="3" t="s">
        <v>83</v>
      </c>
      <c r="H563" s="4">
        <v>46289.810183333328</v>
      </c>
      <c r="I563" s="4">
        <v>46289.903188657408</v>
      </c>
      <c r="J563" s="3">
        <f>ROUND((I563-H563)*1440,0)</f>
        <v>134</v>
      </c>
      <c r="K563" s="3" t="s">
        <v>867</v>
      </c>
      <c r="L563" s="3" t="s">
        <v>36</v>
      </c>
      <c r="M563" s="3" t="s">
        <v>36</v>
      </c>
      <c r="N563" s="3" t="s">
        <v>23</v>
      </c>
      <c r="O563" s="3" t="s">
        <v>868</v>
      </c>
    </row>
    <row r="564" spans="1:15" hidden="1" x14ac:dyDescent="0.75">
      <c r="A564" s="2">
        <v>46289</v>
      </c>
      <c r="B564" s="3" t="s">
        <v>1713</v>
      </c>
      <c r="C564" s="3" t="s">
        <v>1714</v>
      </c>
      <c r="D564" s="3" t="s">
        <v>56</v>
      </c>
      <c r="E564" s="3" t="s">
        <v>57</v>
      </c>
      <c r="F564" s="3" t="s">
        <v>56</v>
      </c>
      <c r="G564" s="3" t="s">
        <v>57</v>
      </c>
      <c r="H564" s="4">
        <v>46289.811552662039</v>
      </c>
      <c r="I564" s="4">
        <v>46289.937414236112</v>
      </c>
      <c r="J564" s="3">
        <f>ROUND((I564-H564)*1440,0)</f>
        <v>181</v>
      </c>
      <c r="K564" s="3" t="s">
        <v>1715</v>
      </c>
      <c r="L564" s="3" t="s">
        <v>36</v>
      </c>
      <c r="M564" s="3" t="s">
        <v>36</v>
      </c>
      <c r="N564" s="3" t="s">
        <v>23</v>
      </c>
      <c r="O564" s="3" t="s">
        <v>1716</v>
      </c>
    </row>
    <row r="565" spans="1:15" hidden="1" x14ac:dyDescent="0.75">
      <c r="A565" s="2">
        <v>46289</v>
      </c>
      <c r="B565" s="3" t="s">
        <v>1717</v>
      </c>
      <c r="C565" s="3" t="s">
        <v>1718</v>
      </c>
      <c r="D565" s="3" t="s">
        <v>100</v>
      </c>
      <c r="E565" s="3" t="s">
        <v>101</v>
      </c>
      <c r="F565" s="3" t="s">
        <v>615</v>
      </c>
      <c r="G565" s="3" t="s">
        <v>616</v>
      </c>
      <c r="H565" s="4">
        <v>46289.812616203701</v>
      </c>
      <c r="I565" s="4">
        <v>46291.414513541669</v>
      </c>
      <c r="J565" s="3">
        <f>ROUND((I565-H565)*1440,0)</f>
        <v>2307</v>
      </c>
      <c r="K565" s="3" t="s">
        <v>1009</v>
      </c>
      <c r="L565" s="3" t="s">
        <v>36</v>
      </c>
      <c r="M565" s="3" t="s">
        <v>36</v>
      </c>
      <c r="N565" s="3" t="s">
        <v>23</v>
      </c>
      <c r="O565" s="3" t="s">
        <v>1010</v>
      </c>
    </row>
    <row r="566" spans="1:15" hidden="1" x14ac:dyDescent="0.75">
      <c r="A566" s="2">
        <v>46289</v>
      </c>
      <c r="B566" s="3" t="s">
        <v>1719</v>
      </c>
      <c r="C566" s="3" t="s">
        <v>1720</v>
      </c>
      <c r="D566" s="3" t="s">
        <v>17</v>
      </c>
      <c r="E566" s="3" t="s">
        <v>18</v>
      </c>
      <c r="F566" s="3" t="s">
        <v>27</v>
      </c>
      <c r="G566" s="3" t="s">
        <v>28</v>
      </c>
      <c r="H566" s="4">
        <v>46289.815332175916</v>
      </c>
      <c r="I566" s="4">
        <v>46289.841515740743</v>
      </c>
      <c r="J566" s="3">
        <f>ROUND((I566-H566)*1440,0)</f>
        <v>38</v>
      </c>
      <c r="K566" s="3" t="s">
        <v>184</v>
      </c>
      <c r="L566" s="3" t="s">
        <v>77</v>
      </c>
      <c r="M566" s="3" t="s">
        <v>78</v>
      </c>
      <c r="N566" s="3" t="s">
        <v>23</v>
      </c>
      <c r="O566" s="3" t="s">
        <v>185</v>
      </c>
    </row>
    <row r="567" spans="1:15" hidden="1" x14ac:dyDescent="0.75">
      <c r="A567" s="2">
        <v>46289</v>
      </c>
      <c r="B567" s="3" t="s">
        <v>1721</v>
      </c>
      <c r="C567" s="3" t="s">
        <v>1722</v>
      </c>
      <c r="D567" s="3" t="s">
        <v>56</v>
      </c>
      <c r="E567" s="3" t="s">
        <v>57</v>
      </c>
      <c r="F567" s="3" t="s">
        <v>280</v>
      </c>
      <c r="G567" s="3" t="s">
        <v>281</v>
      </c>
      <c r="H567" s="4">
        <v>46289.816070949077</v>
      </c>
      <c r="I567" s="4">
        <v>46289.884841782397</v>
      </c>
      <c r="J567" s="3">
        <f>ROUND((I567-H567)*1440,0)</f>
        <v>99</v>
      </c>
      <c r="K567" s="3" t="s">
        <v>1723</v>
      </c>
      <c r="L567" s="3" t="s">
        <v>36</v>
      </c>
      <c r="M567" s="3" t="s">
        <v>36</v>
      </c>
      <c r="N567" s="3" t="s">
        <v>23</v>
      </c>
      <c r="O567" s="3" t="s">
        <v>1724</v>
      </c>
    </row>
    <row r="568" spans="1:15" hidden="1" x14ac:dyDescent="0.75">
      <c r="A568" s="2">
        <v>46289</v>
      </c>
      <c r="B568" s="3" t="s">
        <v>1725</v>
      </c>
      <c r="C568" s="3" t="s">
        <v>1726</v>
      </c>
      <c r="D568" s="3" t="s">
        <v>27</v>
      </c>
      <c r="E568" s="3" t="s">
        <v>28</v>
      </c>
      <c r="F568" s="3" t="s">
        <v>68</v>
      </c>
      <c r="G568" s="3" t="s">
        <v>69</v>
      </c>
      <c r="H568" s="4">
        <v>46289.816162384261</v>
      </c>
      <c r="I568" s="4">
        <v>46289.933401273149</v>
      </c>
      <c r="J568" s="3">
        <f>ROUND((I568-H568)*1440,0)</f>
        <v>169</v>
      </c>
      <c r="K568" s="3" t="s">
        <v>138</v>
      </c>
      <c r="L568" s="3" t="s">
        <v>36</v>
      </c>
      <c r="M568" s="3" t="s">
        <v>36</v>
      </c>
      <c r="N568" s="3" t="s">
        <v>23</v>
      </c>
      <c r="O568" s="3" t="s">
        <v>139</v>
      </c>
    </row>
    <row r="569" spans="1:15" hidden="1" x14ac:dyDescent="0.75">
      <c r="A569" s="2">
        <v>46289</v>
      </c>
      <c r="B569" s="3" t="s">
        <v>1727</v>
      </c>
      <c r="C569" s="3" t="s">
        <v>1728</v>
      </c>
      <c r="D569" s="3" t="s">
        <v>19</v>
      </c>
      <c r="E569" s="3" t="s">
        <v>20</v>
      </c>
      <c r="F569" s="3" t="s">
        <v>17</v>
      </c>
      <c r="G569" s="3" t="s">
        <v>18</v>
      </c>
      <c r="H569" s="4">
        <v>46289.81973703704</v>
      </c>
      <c r="I569" s="4">
        <v>46289.912468518523</v>
      </c>
      <c r="J569" s="3">
        <f>ROUND((I569-H569)*1440,0)</f>
        <v>134</v>
      </c>
      <c r="K569" s="3" t="s">
        <v>21</v>
      </c>
      <c r="L569" s="3" t="s">
        <v>22</v>
      </c>
      <c r="M569" s="3" t="s">
        <v>22</v>
      </c>
      <c r="N569" s="3" t="s">
        <v>23</v>
      </c>
      <c r="O569" s="3" t="s">
        <v>24</v>
      </c>
    </row>
    <row r="570" spans="1:15" hidden="1" x14ac:dyDescent="0.75">
      <c r="A570" s="2">
        <v>46289</v>
      </c>
      <c r="B570" s="3" t="s">
        <v>1729</v>
      </c>
      <c r="C570" s="3" t="s">
        <v>1730</v>
      </c>
      <c r="D570" s="3" t="s">
        <v>58</v>
      </c>
      <c r="E570" s="3" t="s">
        <v>59</v>
      </c>
      <c r="F570" s="3" t="s">
        <v>304</v>
      </c>
      <c r="G570" s="3" t="s">
        <v>305</v>
      </c>
      <c r="H570" s="4">
        <v>46289.820710995373</v>
      </c>
      <c r="I570" s="4">
        <v>46290.04040208333</v>
      </c>
      <c r="J570" s="3">
        <f>ROUND((I570-H570)*1440,0)</f>
        <v>316</v>
      </c>
      <c r="K570" s="3" t="s">
        <v>388</v>
      </c>
      <c r="L570" s="3" t="s">
        <v>22</v>
      </c>
      <c r="M570" s="3" t="s">
        <v>22</v>
      </c>
      <c r="N570" s="3" t="s">
        <v>23</v>
      </c>
      <c r="O570" s="3" t="s">
        <v>389</v>
      </c>
    </row>
    <row r="571" spans="1:15" hidden="1" x14ac:dyDescent="0.75">
      <c r="A571" s="2">
        <v>46289</v>
      </c>
      <c r="B571" s="3" t="s">
        <v>1731</v>
      </c>
      <c r="C571" s="3" t="s">
        <v>1732</v>
      </c>
      <c r="D571" s="3" t="s">
        <v>106</v>
      </c>
      <c r="E571" s="3" t="s">
        <v>107</v>
      </c>
      <c r="F571" s="3" t="s">
        <v>56</v>
      </c>
      <c r="G571" s="3" t="s">
        <v>57</v>
      </c>
      <c r="H571" s="4">
        <v>46289.821003240737</v>
      </c>
      <c r="I571" s="4">
        <v>46289.894983101847</v>
      </c>
      <c r="J571" s="3">
        <f>ROUND((I571-H571)*1440,0)</f>
        <v>107</v>
      </c>
      <c r="K571" s="3" t="s">
        <v>108</v>
      </c>
      <c r="L571" s="3" t="s">
        <v>36</v>
      </c>
      <c r="M571" s="3" t="s">
        <v>36</v>
      </c>
      <c r="N571" s="3" t="s">
        <v>23</v>
      </c>
      <c r="O571" s="3" t="s">
        <v>109</v>
      </c>
    </row>
    <row r="572" spans="1:15" hidden="1" x14ac:dyDescent="0.75">
      <c r="A572" s="2">
        <v>46289</v>
      </c>
      <c r="B572" s="3" t="s">
        <v>1733</v>
      </c>
      <c r="C572" s="3" t="s">
        <v>1734</v>
      </c>
      <c r="D572" s="3" t="s">
        <v>82</v>
      </c>
      <c r="E572" s="3" t="s">
        <v>83</v>
      </c>
      <c r="F572" s="3" t="s">
        <v>172</v>
      </c>
      <c r="G572" s="3" t="s">
        <v>173</v>
      </c>
      <c r="H572" s="4">
        <v>46289.822421874997</v>
      </c>
      <c r="I572" s="4">
        <v>46289.919531944448</v>
      </c>
      <c r="J572" s="3">
        <f>ROUND((I572-H572)*1440,0)</f>
        <v>140</v>
      </c>
      <c r="K572" s="3" t="s">
        <v>1735</v>
      </c>
      <c r="L572" s="3" t="s">
        <v>77</v>
      </c>
      <c r="M572" s="3" t="s">
        <v>78</v>
      </c>
      <c r="N572" s="3" t="s">
        <v>23</v>
      </c>
      <c r="O572" s="3" t="s">
        <v>1736</v>
      </c>
    </row>
    <row r="573" spans="1:15" hidden="1" x14ac:dyDescent="0.75">
      <c r="A573" s="2">
        <v>46289</v>
      </c>
      <c r="B573" s="3" t="s">
        <v>1737</v>
      </c>
      <c r="C573" s="3" t="s">
        <v>1738</v>
      </c>
      <c r="D573" s="3" t="s">
        <v>148</v>
      </c>
      <c r="E573" s="3" t="s">
        <v>149</v>
      </c>
      <c r="F573" s="3" t="s">
        <v>56</v>
      </c>
      <c r="G573" s="3" t="s">
        <v>57</v>
      </c>
      <c r="H573" s="4">
        <v>46289.824949305563</v>
      </c>
      <c r="I573" s="4">
        <v>46289.91991099537</v>
      </c>
      <c r="J573" s="3">
        <f>ROUND((I573-H573)*1440,0)</f>
        <v>137</v>
      </c>
      <c r="K573" s="3" t="s">
        <v>1045</v>
      </c>
      <c r="L573" s="3" t="s">
        <v>36</v>
      </c>
      <c r="M573" s="3" t="s">
        <v>36</v>
      </c>
      <c r="N573" s="3" t="s">
        <v>23</v>
      </c>
      <c r="O573" s="3" t="s">
        <v>1046</v>
      </c>
    </row>
    <row r="574" spans="1:15" hidden="1" x14ac:dyDescent="0.75">
      <c r="A574" s="2">
        <v>46289</v>
      </c>
      <c r="B574" s="3" t="s">
        <v>1739</v>
      </c>
      <c r="C574" s="3" t="s">
        <v>1740</v>
      </c>
      <c r="D574" s="3" t="s">
        <v>116</v>
      </c>
      <c r="E574" s="3" t="s">
        <v>117</v>
      </c>
      <c r="F574" s="3" t="s">
        <v>68</v>
      </c>
      <c r="G574" s="3" t="s">
        <v>69</v>
      </c>
      <c r="H574" s="4">
        <v>46289.825384374999</v>
      </c>
      <c r="I574" s="4">
        <v>46289.929631134262</v>
      </c>
      <c r="J574" s="3">
        <f>ROUND((I574-H574)*1440,0)</f>
        <v>150</v>
      </c>
      <c r="K574" s="3" t="s">
        <v>907</v>
      </c>
      <c r="L574" s="3" t="s">
        <v>36</v>
      </c>
      <c r="M574" s="3" t="s">
        <v>36</v>
      </c>
      <c r="N574" s="3" t="s">
        <v>23</v>
      </c>
      <c r="O574" s="3" t="s">
        <v>908</v>
      </c>
    </row>
    <row r="575" spans="1:15" hidden="1" x14ac:dyDescent="0.75">
      <c r="A575" s="2">
        <v>46289</v>
      </c>
      <c r="B575" s="3" t="s">
        <v>1741</v>
      </c>
      <c r="C575" s="3" t="s">
        <v>1742</v>
      </c>
      <c r="D575" s="3" t="s">
        <v>17</v>
      </c>
      <c r="E575" s="3" t="s">
        <v>18</v>
      </c>
      <c r="F575" s="3" t="s">
        <v>304</v>
      </c>
      <c r="G575" s="3" t="s">
        <v>305</v>
      </c>
      <c r="H575" s="4">
        <v>46289.825952777777</v>
      </c>
      <c r="I575" s="4">
        <v>46290.059879513887</v>
      </c>
      <c r="J575" s="3">
        <f>ROUND((I575-H575)*1440,0)</f>
        <v>337</v>
      </c>
      <c r="K575" s="3" t="s">
        <v>1055</v>
      </c>
      <c r="L575" s="3" t="s">
        <v>22</v>
      </c>
      <c r="M575" s="3" t="s">
        <v>22</v>
      </c>
      <c r="N575" s="3" t="s">
        <v>23</v>
      </c>
      <c r="O575" s="3" t="s">
        <v>1056</v>
      </c>
    </row>
    <row r="576" spans="1:15" hidden="1" x14ac:dyDescent="0.75">
      <c r="A576" s="2">
        <v>46289</v>
      </c>
      <c r="B576" s="3" t="s">
        <v>1743</v>
      </c>
      <c r="C576" s="3" t="s">
        <v>1744</v>
      </c>
      <c r="D576" s="3" t="s">
        <v>58</v>
      </c>
      <c r="E576" s="3" t="s">
        <v>59</v>
      </c>
      <c r="F576" s="3" t="s">
        <v>56</v>
      </c>
      <c r="G576" s="3" t="s">
        <v>57</v>
      </c>
      <c r="H576" s="4">
        <v>46289.826345486108</v>
      </c>
      <c r="I576" s="4">
        <v>46289.963032870372</v>
      </c>
      <c r="J576" s="3">
        <f>ROUND((I576-H576)*1440,0)</f>
        <v>197</v>
      </c>
      <c r="K576" s="3" t="s">
        <v>442</v>
      </c>
      <c r="L576" s="3" t="s">
        <v>36</v>
      </c>
      <c r="M576" s="3" t="s">
        <v>36</v>
      </c>
      <c r="N576" s="3" t="s">
        <v>23</v>
      </c>
      <c r="O576" s="3" t="s">
        <v>444</v>
      </c>
    </row>
    <row r="577" spans="1:15" hidden="1" x14ac:dyDescent="0.75">
      <c r="A577" s="2">
        <v>46289</v>
      </c>
      <c r="B577" s="3" t="s">
        <v>1745</v>
      </c>
      <c r="C577" s="3" t="s">
        <v>1746</v>
      </c>
      <c r="D577" s="3" t="s">
        <v>17</v>
      </c>
      <c r="E577" s="3" t="s">
        <v>18</v>
      </c>
      <c r="F577" s="3"/>
      <c r="G577" s="3"/>
      <c r="H577" s="4">
        <v>46289.827495370373</v>
      </c>
      <c r="I577" s="4">
        <v>46289.916265624997</v>
      </c>
      <c r="J577" s="3">
        <f>ROUND((I577-H577)*1440,0)</f>
        <v>128</v>
      </c>
      <c r="K577" s="3" t="s">
        <v>801</v>
      </c>
      <c r="L577" s="3" t="s">
        <v>77</v>
      </c>
      <c r="M577" s="3" t="s">
        <v>78</v>
      </c>
      <c r="N577" s="3" t="s">
        <v>45</v>
      </c>
      <c r="O577" s="3" t="s">
        <v>802</v>
      </c>
    </row>
    <row r="578" spans="1:15" hidden="1" x14ac:dyDescent="0.75">
      <c r="A578" s="2">
        <v>46289</v>
      </c>
      <c r="B578" s="3" t="s">
        <v>1747</v>
      </c>
      <c r="C578" s="3" t="s">
        <v>1748</v>
      </c>
      <c r="D578" s="3" t="s">
        <v>27</v>
      </c>
      <c r="E578" s="3" t="s">
        <v>28</v>
      </c>
      <c r="F578" s="3" t="s">
        <v>228</v>
      </c>
      <c r="G578" s="3" t="s">
        <v>229</v>
      </c>
      <c r="H578" s="4">
        <v>46289.828866203701</v>
      </c>
      <c r="I578" s="4">
        <v>46289.88640949074</v>
      </c>
      <c r="J578" s="3">
        <f>ROUND((I578-H578)*1440,0)</f>
        <v>83</v>
      </c>
      <c r="K578" s="3" t="s">
        <v>368</v>
      </c>
      <c r="L578" s="3" t="s">
        <v>77</v>
      </c>
      <c r="M578" s="3" t="s">
        <v>78</v>
      </c>
      <c r="N578" s="3" t="s">
        <v>23</v>
      </c>
      <c r="O578" s="3" t="s">
        <v>369</v>
      </c>
    </row>
    <row r="579" spans="1:15" hidden="1" x14ac:dyDescent="0.75">
      <c r="A579" s="2">
        <v>46289</v>
      </c>
      <c r="B579" s="3" t="s">
        <v>62</v>
      </c>
      <c r="C579" s="3" t="s">
        <v>63</v>
      </c>
      <c r="D579" s="3" t="s">
        <v>1085</v>
      </c>
      <c r="E579" s="3" t="s">
        <v>1086</v>
      </c>
      <c r="F579" s="3" t="s">
        <v>17</v>
      </c>
      <c r="G579" s="3" t="s">
        <v>18</v>
      </c>
      <c r="H579" s="4">
        <v>46289.830999652782</v>
      </c>
      <c r="I579" s="4">
        <v>46290.018014930552</v>
      </c>
      <c r="J579" s="3">
        <f>ROUND((I579-H579)*1440,0)</f>
        <v>269</v>
      </c>
      <c r="K579" s="3" t="s">
        <v>330</v>
      </c>
      <c r="L579" s="3" t="s">
        <v>43</v>
      </c>
      <c r="M579" s="3" t="s">
        <v>44</v>
      </c>
      <c r="N579" s="3" t="s">
        <v>23</v>
      </c>
      <c r="O579" s="3" t="s">
        <v>331</v>
      </c>
    </row>
    <row r="580" spans="1:15" hidden="1" x14ac:dyDescent="0.75">
      <c r="A580" s="2">
        <v>46289</v>
      </c>
      <c r="B580" s="3" t="s">
        <v>1749</v>
      </c>
      <c r="C580" s="3" t="s">
        <v>1750</v>
      </c>
      <c r="D580" s="3"/>
      <c r="E580" s="3"/>
      <c r="F580" s="3" t="s">
        <v>56</v>
      </c>
      <c r="G580" s="3" t="s">
        <v>57</v>
      </c>
      <c r="H580" s="4">
        <v>46289.833531481483</v>
      </c>
      <c r="I580" s="4">
        <v>46289.902992013893</v>
      </c>
      <c r="J580" s="3">
        <f>ROUND((I580-H580)*1440,0)</f>
        <v>100</v>
      </c>
      <c r="K580" s="3" t="s">
        <v>1751</v>
      </c>
      <c r="L580" s="3" t="s">
        <v>36</v>
      </c>
      <c r="M580" s="3" t="s">
        <v>36</v>
      </c>
      <c r="N580" s="3" t="s">
        <v>23</v>
      </c>
      <c r="O580" s="3" t="s">
        <v>1752</v>
      </c>
    </row>
    <row r="581" spans="1:15" hidden="1" x14ac:dyDescent="0.75">
      <c r="A581" s="2">
        <v>46289</v>
      </c>
      <c r="B581" s="3" t="s">
        <v>1753</v>
      </c>
      <c r="C581" s="3" t="s">
        <v>1754</v>
      </c>
      <c r="D581" s="3" t="s">
        <v>304</v>
      </c>
      <c r="E581" s="3" t="s">
        <v>305</v>
      </c>
      <c r="F581" s="3" t="s">
        <v>17</v>
      </c>
      <c r="G581" s="3" t="s">
        <v>18</v>
      </c>
      <c r="H581" s="4">
        <v>46289.834187037042</v>
      </c>
      <c r="I581" s="4">
        <v>46290.047039004632</v>
      </c>
      <c r="J581" s="3">
        <f>ROUND((I581-H581)*1440,0)</f>
        <v>307</v>
      </c>
      <c r="K581" s="3" t="s">
        <v>509</v>
      </c>
      <c r="L581" s="3" t="s">
        <v>22</v>
      </c>
      <c r="M581" s="3" t="s">
        <v>22</v>
      </c>
      <c r="N581" s="3" t="s">
        <v>23</v>
      </c>
      <c r="O581" s="3" t="s">
        <v>510</v>
      </c>
    </row>
    <row r="582" spans="1:15" hidden="1" x14ac:dyDescent="0.75">
      <c r="A582" s="2">
        <v>46289</v>
      </c>
      <c r="B582" s="3" t="s">
        <v>1755</v>
      </c>
      <c r="C582" s="3" t="s">
        <v>1756</v>
      </c>
      <c r="D582" s="3" t="s">
        <v>82</v>
      </c>
      <c r="E582" s="3" t="s">
        <v>83</v>
      </c>
      <c r="F582" s="3" t="s">
        <v>615</v>
      </c>
      <c r="G582" s="3" t="s">
        <v>616</v>
      </c>
      <c r="H582" s="4">
        <v>46289.834311458333</v>
      </c>
      <c r="I582" s="4">
        <v>46289.994262962973</v>
      </c>
      <c r="J582" s="3">
        <f>ROUND((I582-H582)*1440,0)</f>
        <v>230</v>
      </c>
      <c r="K582" s="3" t="s">
        <v>873</v>
      </c>
      <c r="L582" s="3" t="s">
        <v>36</v>
      </c>
      <c r="M582" s="3" t="s">
        <v>36</v>
      </c>
      <c r="N582" s="3" t="s">
        <v>45</v>
      </c>
      <c r="O582" s="3" t="s">
        <v>874</v>
      </c>
    </row>
    <row r="583" spans="1:15" hidden="1" x14ac:dyDescent="0.75">
      <c r="A583" s="2">
        <v>46289</v>
      </c>
      <c r="B583" s="3" t="s">
        <v>1757</v>
      </c>
      <c r="C583" s="3" t="s">
        <v>1758</v>
      </c>
      <c r="D583" s="3" t="s">
        <v>17</v>
      </c>
      <c r="E583" s="3" t="s">
        <v>18</v>
      </c>
      <c r="F583" s="3" t="s">
        <v>615</v>
      </c>
      <c r="G583" s="3" t="s">
        <v>616</v>
      </c>
      <c r="H583" s="4">
        <v>46289.835343634259</v>
      </c>
      <c r="I583" s="4">
        <v>46289.976801041666</v>
      </c>
      <c r="J583" s="3">
        <f>ROUND((I583-H583)*1440,0)</f>
        <v>204</v>
      </c>
      <c r="K583" s="3" t="s">
        <v>765</v>
      </c>
      <c r="L583" s="3" t="s">
        <v>43</v>
      </c>
      <c r="M583" s="3" t="s">
        <v>44</v>
      </c>
      <c r="N583" s="3" t="s">
        <v>45</v>
      </c>
      <c r="O583" s="3" t="s">
        <v>766</v>
      </c>
    </row>
    <row r="584" spans="1:15" hidden="1" x14ac:dyDescent="0.75">
      <c r="A584" s="2">
        <v>46289</v>
      </c>
      <c r="B584" s="3" t="s">
        <v>1759</v>
      </c>
      <c r="C584" s="3" t="s">
        <v>1760</v>
      </c>
      <c r="D584" s="3" t="s">
        <v>615</v>
      </c>
      <c r="E584" s="3" t="s">
        <v>616</v>
      </c>
      <c r="F584" s="3" t="s">
        <v>17</v>
      </c>
      <c r="G584" s="3" t="s">
        <v>18</v>
      </c>
      <c r="H584" s="4">
        <v>46289.83571388889</v>
      </c>
      <c r="I584" s="4">
        <v>46289.973955671303</v>
      </c>
      <c r="J584" s="3">
        <f>ROUND((I584-H584)*1440,0)</f>
        <v>199</v>
      </c>
      <c r="K584" s="3" t="s">
        <v>1761</v>
      </c>
      <c r="L584" s="3" t="s">
        <v>22</v>
      </c>
      <c r="M584" s="3" t="s">
        <v>22</v>
      </c>
      <c r="N584" s="3" t="s">
        <v>23</v>
      </c>
      <c r="O584" s="3" t="s">
        <v>1762</v>
      </c>
    </row>
    <row r="585" spans="1:15" hidden="1" x14ac:dyDescent="0.75">
      <c r="A585" s="2">
        <v>46289</v>
      </c>
      <c r="B585" s="3" t="s">
        <v>1763</v>
      </c>
      <c r="C585" s="3" t="s">
        <v>1764</v>
      </c>
      <c r="D585" s="3" t="s">
        <v>17</v>
      </c>
      <c r="E585" s="3" t="s">
        <v>18</v>
      </c>
      <c r="F585" s="3" t="s">
        <v>1765</v>
      </c>
      <c r="G585" s="3" t="s">
        <v>1766</v>
      </c>
      <c r="H585" s="4">
        <v>46289.836095833343</v>
      </c>
      <c r="I585" s="4">
        <v>46289.936103125001</v>
      </c>
      <c r="J585" s="3">
        <f>ROUND((I585-H585)*1440,0)</f>
        <v>144</v>
      </c>
      <c r="K585" s="3" t="s">
        <v>955</v>
      </c>
      <c r="L585" s="3" t="s">
        <v>77</v>
      </c>
      <c r="M585" s="3" t="s">
        <v>78</v>
      </c>
      <c r="N585" s="3" t="s">
        <v>45</v>
      </c>
      <c r="O585" s="3" t="s">
        <v>956</v>
      </c>
    </row>
    <row r="586" spans="1:15" hidden="1" x14ac:dyDescent="0.75">
      <c r="A586" s="2">
        <v>46289</v>
      </c>
      <c r="B586" s="3" t="s">
        <v>1767</v>
      </c>
      <c r="C586" s="3" t="s">
        <v>1768</v>
      </c>
      <c r="D586" s="3" t="s">
        <v>56</v>
      </c>
      <c r="E586" s="3" t="s">
        <v>57</v>
      </c>
      <c r="F586" s="3" t="s">
        <v>304</v>
      </c>
      <c r="G586" s="3" t="s">
        <v>305</v>
      </c>
      <c r="H586" s="4">
        <v>46289.836311689818</v>
      </c>
      <c r="I586" s="4">
        <v>46290.043756597217</v>
      </c>
      <c r="J586" s="3">
        <f>ROUND((I586-H586)*1440,0)</f>
        <v>299</v>
      </c>
      <c r="K586" s="3" t="s">
        <v>1181</v>
      </c>
      <c r="L586" s="3" t="s">
        <v>22</v>
      </c>
      <c r="M586" s="3" t="s">
        <v>22</v>
      </c>
      <c r="N586" s="3" t="s">
        <v>23</v>
      </c>
      <c r="O586" s="3" t="s">
        <v>1182</v>
      </c>
    </row>
    <row r="587" spans="1:15" hidden="1" x14ac:dyDescent="0.75">
      <c r="A587" s="2">
        <v>46289</v>
      </c>
      <c r="B587" s="3" t="s">
        <v>1769</v>
      </c>
      <c r="C587" s="3" t="s">
        <v>1770</v>
      </c>
      <c r="D587" s="3" t="s">
        <v>74</v>
      </c>
      <c r="E587" s="3" t="s">
        <v>75</v>
      </c>
      <c r="F587" s="3" t="s">
        <v>56</v>
      </c>
      <c r="G587" s="3" t="s">
        <v>57</v>
      </c>
      <c r="H587" s="4">
        <v>46289.838123611109</v>
      </c>
      <c r="I587" s="4">
        <v>46289.936577314817</v>
      </c>
      <c r="J587" s="3">
        <f>ROUND((I587-H587)*1440,0)</f>
        <v>142</v>
      </c>
      <c r="K587" s="3" t="s">
        <v>501</v>
      </c>
      <c r="L587" s="3" t="s">
        <v>77</v>
      </c>
      <c r="M587" s="3" t="s">
        <v>78</v>
      </c>
      <c r="N587" s="3" t="s">
        <v>23</v>
      </c>
      <c r="O587" s="3" t="s">
        <v>502</v>
      </c>
    </row>
    <row r="588" spans="1:15" hidden="1" x14ac:dyDescent="0.75">
      <c r="A588" s="2">
        <v>46289</v>
      </c>
      <c r="B588" s="3" t="s">
        <v>1771</v>
      </c>
      <c r="C588" s="3" t="s">
        <v>1772</v>
      </c>
      <c r="D588" s="3"/>
      <c r="E588" s="3"/>
      <c r="F588" s="3" t="s">
        <v>17</v>
      </c>
      <c r="G588" s="3" t="s">
        <v>18</v>
      </c>
      <c r="H588" s="4">
        <v>46289.839315277779</v>
      </c>
      <c r="I588" s="4">
        <v>46289.874195486111</v>
      </c>
      <c r="J588" s="3">
        <f>ROUND((I588-H588)*1440,0)</f>
        <v>50</v>
      </c>
      <c r="K588" s="3" t="s">
        <v>396</v>
      </c>
      <c r="L588" s="3" t="s">
        <v>77</v>
      </c>
      <c r="M588" s="3" t="s">
        <v>78</v>
      </c>
      <c r="N588" s="3" t="s">
        <v>23</v>
      </c>
      <c r="O588" s="3" t="s">
        <v>397</v>
      </c>
    </row>
    <row r="589" spans="1:15" hidden="1" x14ac:dyDescent="0.75">
      <c r="A589" s="2">
        <v>46289</v>
      </c>
      <c r="B589" s="3" t="s">
        <v>1773</v>
      </c>
      <c r="C589" s="3" t="s">
        <v>1774</v>
      </c>
      <c r="D589" s="3" t="s">
        <v>683</v>
      </c>
      <c r="E589" s="3" t="s">
        <v>684</v>
      </c>
      <c r="F589" s="3" t="s">
        <v>56</v>
      </c>
      <c r="G589" s="3" t="s">
        <v>57</v>
      </c>
      <c r="H589" s="4">
        <v>46289.83961412037</v>
      </c>
      <c r="I589" s="4">
        <v>46289.909030439812</v>
      </c>
      <c r="J589" s="3">
        <f>ROUND((I589-H589)*1440,0)</f>
        <v>100</v>
      </c>
      <c r="K589" s="3" t="s">
        <v>775</v>
      </c>
      <c r="L589" s="3" t="s">
        <v>36</v>
      </c>
      <c r="M589" s="3" t="s">
        <v>36</v>
      </c>
      <c r="N589" s="3" t="s">
        <v>23</v>
      </c>
      <c r="O589" s="3" t="s">
        <v>776</v>
      </c>
    </row>
    <row r="590" spans="1:15" hidden="1" x14ac:dyDescent="0.75">
      <c r="A590" s="2">
        <v>46289</v>
      </c>
      <c r="B590" s="3" t="s">
        <v>1775</v>
      </c>
      <c r="C590" s="3" t="s">
        <v>1776</v>
      </c>
      <c r="D590" s="3"/>
      <c r="E590" s="3"/>
      <c r="F590" s="3" t="s">
        <v>56</v>
      </c>
      <c r="G590" s="3" t="s">
        <v>57</v>
      </c>
      <c r="H590" s="4">
        <v>46289.839778703703</v>
      </c>
      <c r="I590" s="4">
        <v>46289.914811342591</v>
      </c>
      <c r="J590" s="3">
        <f>ROUND((I590-H590)*1440,0)</f>
        <v>108</v>
      </c>
      <c r="K590" s="3" t="s">
        <v>178</v>
      </c>
      <c r="L590" s="3" t="s">
        <v>43</v>
      </c>
      <c r="M590" s="3" t="s">
        <v>44</v>
      </c>
      <c r="N590" s="3" t="s">
        <v>23</v>
      </c>
      <c r="O590" s="3" t="s">
        <v>179</v>
      </c>
    </row>
    <row r="591" spans="1:15" hidden="1" x14ac:dyDescent="0.75">
      <c r="A591" s="2">
        <v>46289</v>
      </c>
      <c r="B591" s="3" t="s">
        <v>1777</v>
      </c>
      <c r="C591" s="3" t="s">
        <v>1778</v>
      </c>
      <c r="D591" s="3"/>
      <c r="E591" s="3"/>
      <c r="F591" s="3" t="s">
        <v>17</v>
      </c>
      <c r="G591" s="3" t="s">
        <v>18</v>
      </c>
      <c r="H591" s="4">
        <v>46289.839940625003</v>
      </c>
      <c r="I591" s="4">
        <v>46289.957002083327</v>
      </c>
      <c r="J591" s="3">
        <f>ROUND((I591-H591)*1440,0)</f>
        <v>169</v>
      </c>
      <c r="K591" s="3" t="s">
        <v>1165</v>
      </c>
      <c r="L591" s="3" t="s">
        <v>22</v>
      </c>
      <c r="M591" s="3" t="s">
        <v>22</v>
      </c>
      <c r="N591" s="3" t="s">
        <v>23</v>
      </c>
      <c r="O591" s="3" t="s">
        <v>1166</v>
      </c>
    </row>
    <row r="592" spans="1:15" hidden="1" x14ac:dyDescent="0.75">
      <c r="A592" s="2">
        <v>46289</v>
      </c>
      <c r="B592" s="3" t="s">
        <v>1779</v>
      </c>
      <c r="C592" s="3" t="s">
        <v>1780</v>
      </c>
      <c r="D592" s="3" t="s">
        <v>334</v>
      </c>
      <c r="E592" s="3" t="s">
        <v>335</v>
      </c>
      <c r="F592" s="3" t="s">
        <v>56</v>
      </c>
      <c r="G592" s="3" t="s">
        <v>57</v>
      </c>
      <c r="H592" s="4">
        <v>46289.842953703701</v>
      </c>
      <c r="I592" s="4">
        <v>46289.940572916668</v>
      </c>
      <c r="J592" s="3">
        <f>ROUND((I592-H592)*1440,0)</f>
        <v>141</v>
      </c>
      <c r="K592" s="3" t="s">
        <v>1363</v>
      </c>
      <c r="L592" s="3" t="s">
        <v>36</v>
      </c>
      <c r="M592" s="3" t="s">
        <v>36</v>
      </c>
      <c r="N592" s="3" t="s">
        <v>23</v>
      </c>
      <c r="O592" s="3" t="s">
        <v>1364</v>
      </c>
    </row>
    <row r="593" spans="1:15" hidden="1" x14ac:dyDescent="0.75">
      <c r="A593" s="2">
        <v>46289</v>
      </c>
      <c r="B593" s="3" t="s">
        <v>1781</v>
      </c>
      <c r="C593" s="3" t="s">
        <v>1782</v>
      </c>
      <c r="D593" s="3" t="s">
        <v>17</v>
      </c>
      <c r="E593" s="3" t="s">
        <v>18</v>
      </c>
      <c r="F593" s="3" t="s">
        <v>122</v>
      </c>
      <c r="G593" s="3" t="s">
        <v>123</v>
      </c>
      <c r="H593" s="4">
        <v>46289.843313773148</v>
      </c>
      <c r="I593" s="4">
        <v>46290.071812731483</v>
      </c>
      <c r="J593" s="3">
        <f>ROUND((I593-H593)*1440,0)</f>
        <v>329</v>
      </c>
      <c r="K593" s="3" t="s">
        <v>469</v>
      </c>
      <c r="L593" s="3" t="s">
        <v>22</v>
      </c>
      <c r="M593" s="3" t="s">
        <v>22</v>
      </c>
      <c r="N593" s="3" t="s">
        <v>23</v>
      </c>
      <c r="O593" s="3" t="s">
        <v>470</v>
      </c>
    </row>
    <row r="594" spans="1:15" hidden="1" x14ac:dyDescent="0.75">
      <c r="A594" s="2">
        <v>46289</v>
      </c>
      <c r="B594" s="3" t="s">
        <v>1783</v>
      </c>
      <c r="C594" s="3" t="s">
        <v>1784</v>
      </c>
      <c r="D594" s="3"/>
      <c r="E594" s="3"/>
      <c r="F594" s="3" t="s">
        <v>56</v>
      </c>
      <c r="G594" s="3" t="s">
        <v>57</v>
      </c>
      <c r="H594" s="4">
        <v>46289.843489583327</v>
      </c>
      <c r="I594" s="4">
        <v>46289.917772569454</v>
      </c>
      <c r="J594" s="3">
        <f>ROUND((I594-H594)*1440,0)</f>
        <v>107</v>
      </c>
      <c r="K594" s="3" t="s">
        <v>164</v>
      </c>
      <c r="L594" s="3" t="s">
        <v>36</v>
      </c>
      <c r="M594" s="3" t="s">
        <v>36</v>
      </c>
      <c r="N594" s="3" t="s">
        <v>23</v>
      </c>
      <c r="O594" s="3" t="s">
        <v>165</v>
      </c>
    </row>
    <row r="595" spans="1:15" hidden="1" x14ac:dyDescent="0.75">
      <c r="A595" s="2">
        <v>46289</v>
      </c>
      <c r="B595" s="3" t="s">
        <v>1785</v>
      </c>
      <c r="C595" s="3" t="s">
        <v>1786</v>
      </c>
      <c r="D595" s="3" t="s">
        <v>27</v>
      </c>
      <c r="E595" s="3" t="s">
        <v>28</v>
      </c>
      <c r="F595" s="3" t="s">
        <v>304</v>
      </c>
      <c r="G595" s="3" t="s">
        <v>305</v>
      </c>
      <c r="H595" s="4">
        <v>46289.843623842593</v>
      </c>
      <c r="I595" s="4">
        <v>46290.075997453707</v>
      </c>
      <c r="J595" s="3">
        <f>ROUND((I595-H595)*1440,0)</f>
        <v>335</v>
      </c>
      <c r="K595" s="3" t="s">
        <v>362</v>
      </c>
      <c r="L595" s="3" t="s">
        <v>43</v>
      </c>
      <c r="M595" s="3" t="s">
        <v>44</v>
      </c>
      <c r="N595" s="3" t="s">
        <v>23</v>
      </c>
      <c r="O595" s="3" t="s">
        <v>363</v>
      </c>
    </row>
    <row r="596" spans="1:15" hidden="1" x14ac:dyDescent="0.75">
      <c r="A596" s="2">
        <v>46289</v>
      </c>
      <c r="B596" s="3" t="s">
        <v>1787</v>
      </c>
      <c r="C596" s="3" t="s">
        <v>1788</v>
      </c>
      <c r="D596" s="3" t="s">
        <v>17</v>
      </c>
      <c r="E596" s="3" t="s">
        <v>18</v>
      </c>
      <c r="F596" s="3" t="s">
        <v>264</v>
      </c>
      <c r="G596" s="3" t="s">
        <v>265</v>
      </c>
      <c r="H596" s="4">
        <v>46289.844040046293</v>
      </c>
      <c r="I596" s="4">
        <v>46290.04205462963</v>
      </c>
      <c r="J596" s="3">
        <f>ROUND((I596-H596)*1440,0)</f>
        <v>285</v>
      </c>
      <c r="K596" s="3" t="s">
        <v>124</v>
      </c>
      <c r="L596" s="3" t="s">
        <v>22</v>
      </c>
      <c r="M596" s="3" t="s">
        <v>22</v>
      </c>
      <c r="N596" s="3" t="s">
        <v>23</v>
      </c>
      <c r="O596" s="3" t="s">
        <v>125</v>
      </c>
    </row>
    <row r="597" spans="1:15" hidden="1" x14ac:dyDescent="0.75">
      <c r="A597" s="2">
        <v>46289</v>
      </c>
      <c r="B597" s="3" t="s">
        <v>1789</v>
      </c>
      <c r="C597" s="3" t="s">
        <v>1790</v>
      </c>
      <c r="D597" s="3" t="s">
        <v>1375</v>
      </c>
      <c r="E597" s="3" t="s">
        <v>1376</v>
      </c>
      <c r="F597" s="3" t="s">
        <v>27</v>
      </c>
      <c r="G597" s="3" t="s">
        <v>28</v>
      </c>
      <c r="H597" s="4">
        <v>46289.844290972222</v>
      </c>
      <c r="I597" s="4">
        <v>46289.912233333343</v>
      </c>
      <c r="J597" s="3">
        <f>ROUND((I597-H597)*1440,0)</f>
        <v>98</v>
      </c>
      <c r="K597" s="3" t="s">
        <v>296</v>
      </c>
      <c r="L597" s="3" t="s">
        <v>77</v>
      </c>
      <c r="M597" s="3" t="s">
        <v>78</v>
      </c>
      <c r="N597" s="3" t="s">
        <v>23</v>
      </c>
      <c r="O597" s="3" t="s">
        <v>297</v>
      </c>
    </row>
    <row r="598" spans="1:15" hidden="1" x14ac:dyDescent="0.75">
      <c r="A598" s="2">
        <v>46289</v>
      </c>
      <c r="B598" s="3" t="s">
        <v>1791</v>
      </c>
      <c r="C598" s="3" t="s">
        <v>1792</v>
      </c>
      <c r="D598" s="3" t="s">
        <v>84</v>
      </c>
      <c r="E598" s="3" t="s">
        <v>85</v>
      </c>
      <c r="F598" s="3" t="s">
        <v>68</v>
      </c>
      <c r="G598" s="3" t="s">
        <v>69</v>
      </c>
      <c r="H598" s="4">
        <v>46289.845427777778</v>
      </c>
      <c r="I598" s="4">
        <v>46289.947056828707</v>
      </c>
      <c r="J598" s="3">
        <f>ROUND((I598-H598)*1440,0)</f>
        <v>146</v>
      </c>
      <c r="K598" s="3" t="s">
        <v>246</v>
      </c>
      <c r="L598" s="3" t="s">
        <v>36</v>
      </c>
      <c r="M598" s="3" t="s">
        <v>36</v>
      </c>
      <c r="N598" s="3" t="s">
        <v>23</v>
      </c>
      <c r="O598" s="3" t="s">
        <v>247</v>
      </c>
    </row>
    <row r="599" spans="1:15" hidden="1" x14ac:dyDescent="0.75">
      <c r="A599" s="2">
        <v>46289</v>
      </c>
      <c r="B599" s="3" t="s">
        <v>1793</v>
      </c>
      <c r="C599" s="3" t="s">
        <v>1794</v>
      </c>
      <c r="D599" s="3" t="s">
        <v>27</v>
      </c>
      <c r="E599" s="3" t="s">
        <v>28</v>
      </c>
      <c r="F599" s="3" t="s">
        <v>158</v>
      </c>
      <c r="G599" s="3" t="s">
        <v>159</v>
      </c>
      <c r="H599" s="4">
        <v>46289.846097800917</v>
      </c>
      <c r="I599" s="4">
        <v>46289.899644212957</v>
      </c>
      <c r="J599" s="3">
        <f>ROUND((I599-H599)*1440,0)</f>
        <v>77</v>
      </c>
      <c r="K599" s="3" t="s">
        <v>372</v>
      </c>
      <c r="L599" s="3" t="s">
        <v>77</v>
      </c>
      <c r="M599" s="3" t="s">
        <v>78</v>
      </c>
      <c r="N599" s="3" t="s">
        <v>23</v>
      </c>
      <c r="O599" s="3" t="s">
        <v>373</v>
      </c>
    </row>
    <row r="600" spans="1:15" hidden="1" x14ac:dyDescent="0.75">
      <c r="A600" s="2">
        <v>46289</v>
      </c>
      <c r="B600" s="3" t="s">
        <v>1795</v>
      </c>
      <c r="C600" s="3" t="s">
        <v>1796</v>
      </c>
      <c r="D600" s="3" t="s">
        <v>737</v>
      </c>
      <c r="E600" s="3" t="s">
        <v>738</v>
      </c>
      <c r="F600" s="3" t="s">
        <v>27</v>
      </c>
      <c r="G600" s="3" t="s">
        <v>28</v>
      </c>
      <c r="H600" s="4">
        <v>46289.848122916657</v>
      </c>
      <c r="I600" s="4">
        <v>46289.893791666669</v>
      </c>
      <c r="J600" s="3">
        <f>ROUND((I600-H600)*1440,0)</f>
        <v>66</v>
      </c>
      <c r="K600" s="3" t="s">
        <v>1161</v>
      </c>
      <c r="L600" s="3" t="s">
        <v>77</v>
      </c>
      <c r="M600" s="3" t="s">
        <v>78</v>
      </c>
      <c r="N600" s="3" t="s">
        <v>23</v>
      </c>
      <c r="O600" s="3" t="s">
        <v>1162</v>
      </c>
    </row>
    <row r="601" spans="1:15" hidden="1" x14ac:dyDescent="0.75">
      <c r="A601" s="2">
        <v>46289</v>
      </c>
      <c r="B601" s="3" t="s">
        <v>1797</v>
      </c>
      <c r="C601" s="3" t="s">
        <v>1798</v>
      </c>
      <c r="D601" s="3" t="s">
        <v>17</v>
      </c>
      <c r="E601" s="3" t="s">
        <v>18</v>
      </c>
      <c r="F601" s="3" t="s">
        <v>182</v>
      </c>
      <c r="G601" s="3" t="s">
        <v>183</v>
      </c>
      <c r="H601" s="4">
        <v>46289.848322916667</v>
      </c>
      <c r="I601" s="4">
        <v>46289.923699305553</v>
      </c>
      <c r="J601" s="3">
        <f>ROUND((I601-H601)*1440,0)</f>
        <v>109</v>
      </c>
      <c r="K601" s="3" t="s">
        <v>1517</v>
      </c>
      <c r="L601" s="3" t="s">
        <v>77</v>
      </c>
      <c r="M601" s="3" t="s">
        <v>78</v>
      </c>
      <c r="N601" s="3" t="s">
        <v>23</v>
      </c>
      <c r="O601" s="3" t="s">
        <v>1518</v>
      </c>
    </row>
    <row r="602" spans="1:15" hidden="1" x14ac:dyDescent="0.75">
      <c r="A602" s="2">
        <v>46289</v>
      </c>
      <c r="B602" s="3" t="s">
        <v>1799</v>
      </c>
      <c r="C602" s="3" t="s">
        <v>1800</v>
      </c>
      <c r="D602" s="3" t="s">
        <v>27</v>
      </c>
      <c r="E602" s="3" t="s">
        <v>28</v>
      </c>
      <c r="F602" s="3" t="s">
        <v>49</v>
      </c>
      <c r="G602" s="3" t="s">
        <v>50</v>
      </c>
      <c r="H602" s="4">
        <v>46289.850116782407</v>
      </c>
      <c r="I602" s="4">
        <v>46289.89464953704</v>
      </c>
      <c r="J602" s="3">
        <f>ROUND((I602-H602)*1440,0)</f>
        <v>64</v>
      </c>
      <c r="K602" s="3" t="s">
        <v>230</v>
      </c>
      <c r="L602" s="3" t="s">
        <v>77</v>
      </c>
      <c r="M602" s="3" t="s">
        <v>78</v>
      </c>
      <c r="N602" s="3" t="s">
        <v>23</v>
      </c>
      <c r="O602" s="3" t="s">
        <v>231</v>
      </c>
    </row>
    <row r="603" spans="1:15" hidden="1" x14ac:dyDescent="0.75">
      <c r="A603" s="2">
        <v>46289</v>
      </c>
      <c r="B603" s="3" t="s">
        <v>1801</v>
      </c>
      <c r="C603" s="3" t="s">
        <v>1802</v>
      </c>
      <c r="D603" s="3" t="s">
        <v>17</v>
      </c>
      <c r="E603" s="3" t="s">
        <v>18</v>
      </c>
      <c r="F603" s="3" t="s">
        <v>27</v>
      </c>
      <c r="G603" s="3" t="s">
        <v>28</v>
      </c>
      <c r="H603" s="4">
        <v>46289.851403125002</v>
      </c>
      <c r="I603" s="4">
        <v>46289.87874861111</v>
      </c>
      <c r="J603" s="3">
        <f>ROUND((I603-H603)*1440,0)</f>
        <v>39</v>
      </c>
      <c r="K603" s="3" t="s">
        <v>543</v>
      </c>
      <c r="L603" s="3" t="s">
        <v>77</v>
      </c>
      <c r="M603" s="3" t="s">
        <v>78</v>
      </c>
      <c r="N603" s="3" t="s">
        <v>23</v>
      </c>
      <c r="O603" s="3" t="s">
        <v>544</v>
      </c>
    </row>
    <row r="604" spans="1:15" hidden="1" x14ac:dyDescent="0.75">
      <c r="A604" s="2">
        <v>46289</v>
      </c>
      <c r="B604" s="3" t="s">
        <v>1803</v>
      </c>
      <c r="C604" s="3" t="s">
        <v>1804</v>
      </c>
      <c r="D604" s="3" t="s">
        <v>977</v>
      </c>
      <c r="E604" s="3" t="s">
        <v>978</v>
      </c>
      <c r="F604" s="3" t="s">
        <v>27</v>
      </c>
      <c r="G604" s="3" t="s">
        <v>28</v>
      </c>
      <c r="H604" s="4">
        <v>46289.851702314823</v>
      </c>
      <c r="I604" s="4">
        <v>46289.925343518516</v>
      </c>
      <c r="J604" s="3">
        <f>ROUND((I604-H604)*1440,0)</f>
        <v>106</v>
      </c>
      <c r="K604" s="3" t="s">
        <v>739</v>
      </c>
      <c r="L604" s="3" t="s">
        <v>77</v>
      </c>
      <c r="M604" s="3" t="s">
        <v>78</v>
      </c>
      <c r="N604" s="3" t="s">
        <v>23</v>
      </c>
      <c r="O604" s="3" t="s">
        <v>740</v>
      </c>
    </row>
    <row r="605" spans="1:15" hidden="1" x14ac:dyDescent="0.75">
      <c r="A605" s="2">
        <v>46289</v>
      </c>
      <c r="B605" s="3" t="s">
        <v>1805</v>
      </c>
      <c r="C605" s="3" t="s">
        <v>1806</v>
      </c>
      <c r="D605" s="3" t="s">
        <v>158</v>
      </c>
      <c r="E605" s="3" t="s">
        <v>159</v>
      </c>
      <c r="F605" s="3"/>
      <c r="G605" s="3"/>
      <c r="H605" s="4">
        <v>46289.854914814823</v>
      </c>
      <c r="I605" s="4">
        <v>46289.897695949083</v>
      </c>
      <c r="J605" s="3">
        <f>ROUND((I605-H605)*1440,0)</f>
        <v>62</v>
      </c>
      <c r="K605" s="3" t="s">
        <v>923</v>
      </c>
      <c r="L605" s="3" t="s">
        <v>52</v>
      </c>
      <c r="M605" s="3"/>
      <c r="N605" s="3" t="s">
        <v>45</v>
      </c>
      <c r="O605" s="3" t="s">
        <v>924</v>
      </c>
    </row>
    <row r="606" spans="1:15" hidden="1" x14ac:dyDescent="0.75">
      <c r="A606" s="2">
        <v>46289</v>
      </c>
      <c r="B606" s="3" t="s">
        <v>1807</v>
      </c>
      <c r="C606" s="3" t="s">
        <v>1808</v>
      </c>
      <c r="D606" s="3"/>
      <c r="E606" s="3"/>
      <c r="F606" s="3" t="s">
        <v>17</v>
      </c>
      <c r="G606" s="3" t="s">
        <v>18</v>
      </c>
      <c r="H606" s="4">
        <v>46289.855019675917</v>
      </c>
      <c r="I606" s="4">
        <v>46289.890960069453</v>
      </c>
      <c r="J606" s="3">
        <f>ROUND((I606-H606)*1440,0)</f>
        <v>52</v>
      </c>
      <c r="K606" s="3" t="s">
        <v>154</v>
      </c>
      <c r="L606" s="3" t="s">
        <v>36</v>
      </c>
      <c r="M606" s="3" t="s">
        <v>36</v>
      </c>
      <c r="N606" s="3" t="s">
        <v>23</v>
      </c>
      <c r="O606" s="3" t="s">
        <v>155</v>
      </c>
    </row>
    <row r="607" spans="1:15" hidden="1" x14ac:dyDescent="0.75">
      <c r="A607" s="2">
        <v>46289</v>
      </c>
      <c r="B607" s="3" t="s">
        <v>1809</v>
      </c>
      <c r="C607" s="3" t="s">
        <v>1810</v>
      </c>
      <c r="D607" s="3" t="s">
        <v>17</v>
      </c>
      <c r="E607" s="3" t="s">
        <v>18</v>
      </c>
      <c r="F607" s="3" t="s">
        <v>94</v>
      </c>
      <c r="G607" s="3" t="s">
        <v>95</v>
      </c>
      <c r="H607" s="4">
        <v>46289.856548148149</v>
      </c>
      <c r="I607" s="4">
        <v>46289.909440046293</v>
      </c>
      <c r="J607" s="3">
        <f>ROUND((I607-H607)*1440,0)</f>
        <v>76</v>
      </c>
      <c r="K607" s="3" t="s">
        <v>1261</v>
      </c>
      <c r="L607" s="3" t="s">
        <v>77</v>
      </c>
      <c r="M607" s="3" t="s">
        <v>78</v>
      </c>
      <c r="N607" s="3" t="s">
        <v>23</v>
      </c>
      <c r="O607" s="3" t="s">
        <v>1262</v>
      </c>
    </row>
    <row r="608" spans="1:15" hidden="1" x14ac:dyDescent="0.75">
      <c r="A608" s="2">
        <v>46289</v>
      </c>
      <c r="B608" s="3" t="s">
        <v>1103</v>
      </c>
      <c r="C608" s="3" t="s">
        <v>1104</v>
      </c>
      <c r="D608" s="3" t="s">
        <v>82</v>
      </c>
      <c r="E608" s="3" t="s">
        <v>83</v>
      </c>
      <c r="F608" s="3" t="s">
        <v>615</v>
      </c>
      <c r="G608" s="3" t="s">
        <v>616</v>
      </c>
      <c r="H608" s="4">
        <v>46289.857169328701</v>
      </c>
      <c r="I608" s="4">
        <v>46290.035132638892</v>
      </c>
      <c r="J608" s="3">
        <f>ROUND((I608-H608)*1440,0)</f>
        <v>256</v>
      </c>
      <c r="K608" s="3" t="s">
        <v>1617</v>
      </c>
      <c r="L608" s="3" t="s">
        <v>36</v>
      </c>
      <c r="M608" s="3" t="s">
        <v>36</v>
      </c>
      <c r="N608" s="3" t="s">
        <v>45</v>
      </c>
      <c r="O608" s="3" t="s">
        <v>1618</v>
      </c>
    </row>
    <row r="609" spans="1:15" hidden="1" x14ac:dyDescent="0.75">
      <c r="A609" s="2">
        <v>46289</v>
      </c>
      <c r="B609" s="3" t="s">
        <v>1811</v>
      </c>
      <c r="C609" s="3" t="s">
        <v>1812</v>
      </c>
      <c r="D609" s="3" t="s">
        <v>615</v>
      </c>
      <c r="E609" s="3" t="s">
        <v>616</v>
      </c>
      <c r="F609" s="3" t="s">
        <v>56</v>
      </c>
      <c r="G609" s="3" t="s">
        <v>57</v>
      </c>
      <c r="H609" s="4">
        <v>46289.858355092591</v>
      </c>
      <c r="I609" s="4">
        <v>46289.955402314823</v>
      </c>
      <c r="J609" s="3">
        <f>ROUND((I609-H609)*1440,0)</f>
        <v>140</v>
      </c>
      <c r="K609" s="3" t="s">
        <v>993</v>
      </c>
      <c r="L609" s="3" t="s">
        <v>36</v>
      </c>
      <c r="M609" s="3" t="s">
        <v>36</v>
      </c>
      <c r="N609" s="3" t="s">
        <v>23</v>
      </c>
      <c r="O609" s="3" t="s">
        <v>994</v>
      </c>
    </row>
    <row r="610" spans="1:15" hidden="1" x14ac:dyDescent="0.75">
      <c r="A610" s="2">
        <v>46289</v>
      </c>
      <c r="B610" s="3" t="s">
        <v>1813</v>
      </c>
      <c r="C610" s="3" t="s">
        <v>1814</v>
      </c>
      <c r="D610" s="3" t="s">
        <v>737</v>
      </c>
      <c r="E610" s="3" t="s">
        <v>738</v>
      </c>
      <c r="F610" s="3" t="s">
        <v>17</v>
      </c>
      <c r="G610" s="3" t="s">
        <v>18</v>
      </c>
      <c r="H610" s="4">
        <v>46289.858447800929</v>
      </c>
      <c r="I610" s="4">
        <v>46289.902054976847</v>
      </c>
      <c r="J610" s="3">
        <f>ROUND((I610-H610)*1440,0)</f>
        <v>63</v>
      </c>
      <c r="K610" s="3" t="s">
        <v>807</v>
      </c>
      <c r="L610" s="3" t="s">
        <v>77</v>
      </c>
      <c r="M610" s="3" t="s">
        <v>78</v>
      </c>
      <c r="N610" s="3" t="s">
        <v>23</v>
      </c>
      <c r="O610" s="3" t="s">
        <v>808</v>
      </c>
    </row>
    <row r="611" spans="1:15" hidden="1" x14ac:dyDescent="0.75">
      <c r="A611" s="2">
        <v>46289</v>
      </c>
      <c r="B611" s="3" t="s">
        <v>1815</v>
      </c>
      <c r="C611" s="3" t="s">
        <v>1816</v>
      </c>
      <c r="D611" s="3" t="s">
        <v>56</v>
      </c>
      <c r="E611" s="3" t="s">
        <v>57</v>
      </c>
      <c r="F611" s="3" t="s">
        <v>234</v>
      </c>
      <c r="G611" s="3" t="s">
        <v>235</v>
      </c>
      <c r="H611" s="4">
        <v>46289.858687499996</v>
      </c>
      <c r="I611" s="4">
        <v>46289.976180092592</v>
      </c>
      <c r="J611" s="3">
        <f>ROUND((I611-H611)*1440,0)</f>
        <v>169</v>
      </c>
      <c r="K611" s="3" t="s">
        <v>911</v>
      </c>
      <c r="L611" s="3" t="s">
        <v>36</v>
      </c>
      <c r="M611" s="3" t="s">
        <v>36</v>
      </c>
      <c r="N611" s="3" t="s">
        <v>23</v>
      </c>
      <c r="O611" s="3" t="s">
        <v>912</v>
      </c>
    </row>
    <row r="612" spans="1:15" hidden="1" x14ac:dyDescent="0.75">
      <c r="A612" s="2">
        <v>46289</v>
      </c>
      <c r="B612" s="3" t="s">
        <v>1817</v>
      </c>
      <c r="C612" s="3" t="s">
        <v>1818</v>
      </c>
      <c r="D612" s="3" t="s">
        <v>27</v>
      </c>
      <c r="E612" s="3" t="s">
        <v>28</v>
      </c>
      <c r="F612" s="3" t="s">
        <v>27</v>
      </c>
      <c r="G612" s="3" t="s">
        <v>28</v>
      </c>
      <c r="H612" s="4">
        <v>46289.860006828712</v>
      </c>
      <c r="I612" s="4">
        <v>46290.970963078697</v>
      </c>
      <c r="J612" s="3">
        <f>ROUND((I612-H612)*1440,0)</f>
        <v>1600</v>
      </c>
      <c r="K612" s="3" t="s">
        <v>623</v>
      </c>
      <c r="L612" s="3" t="s">
        <v>77</v>
      </c>
      <c r="M612" s="3" t="s">
        <v>78</v>
      </c>
      <c r="N612" s="3" t="s">
        <v>23</v>
      </c>
      <c r="O612" s="3" t="s">
        <v>624</v>
      </c>
    </row>
    <row r="613" spans="1:15" hidden="1" x14ac:dyDescent="0.75">
      <c r="A613" s="2">
        <v>46289</v>
      </c>
      <c r="B613" s="3" t="s">
        <v>1819</v>
      </c>
      <c r="C613" s="3" t="s">
        <v>1820</v>
      </c>
      <c r="D613" s="3" t="s">
        <v>615</v>
      </c>
      <c r="E613" s="3" t="s">
        <v>616</v>
      </c>
      <c r="F613" s="3" t="s">
        <v>615</v>
      </c>
      <c r="G613" s="3" t="s">
        <v>616</v>
      </c>
      <c r="H613" s="4">
        <v>46289.861243749998</v>
      </c>
      <c r="I613" s="4">
        <v>46289.95540486111</v>
      </c>
      <c r="J613" s="3">
        <f>ROUND((I613-H613)*1440,0)</f>
        <v>136</v>
      </c>
      <c r="K613" s="3" t="s">
        <v>951</v>
      </c>
      <c r="L613" s="3" t="s">
        <v>36</v>
      </c>
      <c r="M613" s="3" t="s">
        <v>36</v>
      </c>
      <c r="N613" s="3" t="s">
        <v>45</v>
      </c>
      <c r="O613" s="3" t="s">
        <v>952</v>
      </c>
    </row>
    <row r="614" spans="1:15" hidden="1" x14ac:dyDescent="0.75">
      <c r="A614" s="2">
        <v>46289</v>
      </c>
      <c r="B614" s="3" t="s">
        <v>1821</v>
      </c>
      <c r="C614" s="3" t="s">
        <v>1822</v>
      </c>
      <c r="D614" s="3" t="s">
        <v>234</v>
      </c>
      <c r="E614" s="3" t="s">
        <v>235</v>
      </c>
      <c r="F614" s="3" t="s">
        <v>82</v>
      </c>
      <c r="G614" s="3" t="s">
        <v>83</v>
      </c>
      <c r="H614" s="4">
        <v>46289.86217685185</v>
      </c>
      <c r="I614" s="4">
        <v>46289.960949421293</v>
      </c>
      <c r="J614" s="3">
        <f>ROUND((I614-H614)*1440,0)</f>
        <v>142</v>
      </c>
      <c r="K614" s="3" t="s">
        <v>831</v>
      </c>
      <c r="L614" s="3" t="s">
        <v>77</v>
      </c>
      <c r="M614" s="3" t="s">
        <v>78</v>
      </c>
      <c r="N614" s="3" t="s">
        <v>23</v>
      </c>
      <c r="O614" s="3" t="s">
        <v>832</v>
      </c>
    </row>
    <row r="615" spans="1:15" hidden="1" x14ac:dyDescent="0.75">
      <c r="A615" s="2">
        <v>46289</v>
      </c>
      <c r="B615" s="3" t="s">
        <v>1823</v>
      </c>
      <c r="C615" s="3" t="s">
        <v>1824</v>
      </c>
      <c r="D615" s="3" t="s">
        <v>116</v>
      </c>
      <c r="E615" s="3" t="s">
        <v>117</v>
      </c>
      <c r="F615" s="3" t="s">
        <v>82</v>
      </c>
      <c r="G615" s="3" t="s">
        <v>83</v>
      </c>
      <c r="H615" s="4">
        <v>46289.86535104167</v>
      </c>
      <c r="I615" s="4">
        <v>46289.965766550929</v>
      </c>
      <c r="J615" s="3">
        <f>ROUND((I615-H615)*1440,0)</f>
        <v>145</v>
      </c>
      <c r="K615" s="3" t="s">
        <v>595</v>
      </c>
      <c r="L615" s="3" t="s">
        <v>22</v>
      </c>
      <c r="M615" s="3" t="s">
        <v>22</v>
      </c>
      <c r="N615" s="3" t="s">
        <v>23</v>
      </c>
      <c r="O615" s="3" t="s">
        <v>596</v>
      </c>
    </row>
    <row r="616" spans="1:15" hidden="1" x14ac:dyDescent="0.75">
      <c r="A616" s="2">
        <v>46289</v>
      </c>
      <c r="B616" s="3" t="s">
        <v>1825</v>
      </c>
      <c r="C616" s="3" t="s">
        <v>1826</v>
      </c>
      <c r="D616" s="3" t="s">
        <v>158</v>
      </c>
      <c r="E616" s="3" t="s">
        <v>159</v>
      </c>
      <c r="F616" s="3" t="s">
        <v>56</v>
      </c>
      <c r="G616" s="3" t="s">
        <v>57</v>
      </c>
      <c r="H616" s="4">
        <v>46289.865493750003</v>
      </c>
      <c r="I616" s="4">
        <v>46289.953899768523</v>
      </c>
      <c r="J616" s="3">
        <f>ROUND((I616-H616)*1440,0)</f>
        <v>127</v>
      </c>
      <c r="K616" s="3" t="s">
        <v>76</v>
      </c>
      <c r="L616" s="3" t="s">
        <v>77</v>
      </c>
      <c r="M616" s="3" t="s">
        <v>78</v>
      </c>
      <c r="N616" s="3" t="s">
        <v>23</v>
      </c>
      <c r="O616" s="3" t="s">
        <v>79</v>
      </c>
    </row>
    <row r="617" spans="1:15" hidden="1" x14ac:dyDescent="0.75">
      <c r="A617" s="2">
        <v>46289</v>
      </c>
      <c r="B617" s="3" t="s">
        <v>1827</v>
      </c>
      <c r="C617" s="3" t="s">
        <v>1828</v>
      </c>
      <c r="D617" s="3" t="s">
        <v>27</v>
      </c>
      <c r="E617" s="3" t="s">
        <v>28</v>
      </c>
      <c r="F617" s="3" t="s">
        <v>459</v>
      </c>
      <c r="G617" s="3" t="s">
        <v>460</v>
      </c>
      <c r="H617" s="4">
        <v>46289.867539236111</v>
      </c>
      <c r="I617" s="4">
        <v>46290.092935069442</v>
      </c>
      <c r="J617" s="3">
        <f>ROUND((I617-H617)*1440,0)</f>
        <v>325</v>
      </c>
      <c r="K617" s="3" t="s">
        <v>1077</v>
      </c>
      <c r="L617" s="3" t="s">
        <v>36</v>
      </c>
      <c r="M617" s="3" t="s">
        <v>36</v>
      </c>
      <c r="N617" s="3" t="s">
        <v>23</v>
      </c>
      <c r="O617" s="3" t="s">
        <v>1078</v>
      </c>
    </row>
    <row r="618" spans="1:15" hidden="1" x14ac:dyDescent="0.75">
      <c r="A618" s="2">
        <v>46289</v>
      </c>
      <c r="B618" s="3" t="s">
        <v>1829</v>
      </c>
      <c r="C618" s="3" t="s">
        <v>1830</v>
      </c>
      <c r="D618" s="3" t="s">
        <v>17</v>
      </c>
      <c r="E618" s="3" t="s">
        <v>18</v>
      </c>
      <c r="F618" s="3" t="s">
        <v>304</v>
      </c>
      <c r="G618" s="3" t="s">
        <v>305</v>
      </c>
      <c r="H618" s="4">
        <v>46289.868147800917</v>
      </c>
      <c r="I618" s="4">
        <v>46290.084786689818</v>
      </c>
      <c r="J618" s="3">
        <f>ROUND((I618-H618)*1440,0)</f>
        <v>312</v>
      </c>
      <c r="K618" s="3" t="s">
        <v>1831</v>
      </c>
      <c r="L618" s="3" t="s">
        <v>43</v>
      </c>
      <c r="M618" s="3" t="s">
        <v>44</v>
      </c>
      <c r="N618" s="3" t="s">
        <v>23</v>
      </c>
      <c r="O618" s="3" t="s">
        <v>1832</v>
      </c>
    </row>
    <row r="619" spans="1:15" hidden="1" x14ac:dyDescent="0.75">
      <c r="A619" s="2">
        <v>46289</v>
      </c>
      <c r="B619" s="3" t="s">
        <v>1833</v>
      </c>
      <c r="C619" s="3" t="s">
        <v>1834</v>
      </c>
      <c r="D619" s="3" t="s">
        <v>615</v>
      </c>
      <c r="E619" s="3" t="s">
        <v>616</v>
      </c>
      <c r="F619" s="3" t="s">
        <v>82</v>
      </c>
      <c r="G619" s="3" t="s">
        <v>83</v>
      </c>
      <c r="H619" s="4">
        <v>46289.868690625</v>
      </c>
      <c r="I619" s="4">
        <v>46290.047589004629</v>
      </c>
      <c r="J619" s="3">
        <f>ROUND((I619-H619)*1440,0)</f>
        <v>258</v>
      </c>
      <c r="K619" s="3" t="s">
        <v>981</v>
      </c>
      <c r="L619" s="3" t="s">
        <v>36</v>
      </c>
      <c r="M619" s="3" t="s">
        <v>36</v>
      </c>
      <c r="N619" s="3" t="s">
        <v>23</v>
      </c>
      <c r="O619" s="3" t="s">
        <v>982</v>
      </c>
    </row>
    <row r="620" spans="1:15" hidden="1" x14ac:dyDescent="0.75">
      <c r="A620" s="2">
        <v>46289</v>
      </c>
      <c r="B620" s="3" t="s">
        <v>1835</v>
      </c>
      <c r="C620" s="3" t="s">
        <v>1836</v>
      </c>
      <c r="D620" s="3" t="s">
        <v>719</v>
      </c>
      <c r="E620" s="3" t="s">
        <v>720</v>
      </c>
      <c r="F620" s="3" t="s">
        <v>17</v>
      </c>
      <c r="G620" s="3" t="s">
        <v>18</v>
      </c>
      <c r="H620" s="4">
        <v>46289.869074074071</v>
      </c>
      <c r="I620" s="4">
        <v>46289.971877314812</v>
      </c>
      <c r="J620" s="3">
        <f>ROUND((I620-H620)*1440,0)</f>
        <v>148</v>
      </c>
      <c r="K620" s="3" t="s">
        <v>134</v>
      </c>
      <c r="L620" s="3" t="s">
        <v>36</v>
      </c>
      <c r="M620" s="3" t="s">
        <v>36</v>
      </c>
      <c r="N620" s="3" t="s">
        <v>23</v>
      </c>
      <c r="O620" s="3" t="s">
        <v>135</v>
      </c>
    </row>
    <row r="621" spans="1:15" hidden="1" x14ac:dyDescent="0.75">
      <c r="A621" s="2">
        <v>46289</v>
      </c>
      <c r="B621" s="3" t="s">
        <v>1837</v>
      </c>
      <c r="C621" s="3" t="s">
        <v>1838</v>
      </c>
      <c r="D621" s="3" t="s">
        <v>56</v>
      </c>
      <c r="E621" s="3" t="s">
        <v>57</v>
      </c>
      <c r="F621" s="3" t="s">
        <v>977</v>
      </c>
      <c r="G621" s="3" t="s">
        <v>978</v>
      </c>
      <c r="H621" s="4">
        <v>46289.869328472218</v>
      </c>
      <c r="I621" s="4">
        <v>46289.924609490743</v>
      </c>
      <c r="J621" s="3">
        <f>ROUND((I621-H621)*1440,0)</f>
        <v>80</v>
      </c>
      <c r="K621" s="3" t="s">
        <v>60</v>
      </c>
      <c r="L621" s="3" t="s">
        <v>36</v>
      </c>
      <c r="M621" s="3" t="s">
        <v>36</v>
      </c>
      <c r="N621" s="3" t="s">
        <v>45</v>
      </c>
      <c r="O621" s="3" t="s">
        <v>61</v>
      </c>
    </row>
    <row r="622" spans="1:15" hidden="1" x14ac:dyDescent="0.75">
      <c r="A622" s="2">
        <v>46289</v>
      </c>
      <c r="B622" s="3" t="s">
        <v>1839</v>
      </c>
      <c r="C622" s="3" t="s">
        <v>1840</v>
      </c>
      <c r="D622" s="3" t="s">
        <v>208</v>
      </c>
      <c r="E622" s="3" t="s">
        <v>209</v>
      </c>
      <c r="F622" s="3" t="s">
        <v>68</v>
      </c>
      <c r="G622" s="3" t="s">
        <v>69</v>
      </c>
      <c r="H622" s="4">
        <v>46289.869428240738</v>
      </c>
      <c r="I622" s="4">
        <v>46289.967157523148</v>
      </c>
      <c r="J622" s="3">
        <f>ROUND((I622-H622)*1440,0)</f>
        <v>141</v>
      </c>
      <c r="K622" s="3" t="s">
        <v>434</v>
      </c>
      <c r="L622" s="3" t="s">
        <v>36</v>
      </c>
      <c r="M622" s="3" t="s">
        <v>36</v>
      </c>
      <c r="N622" s="3" t="s">
        <v>23</v>
      </c>
      <c r="O622" s="3" t="s">
        <v>435</v>
      </c>
    </row>
    <row r="623" spans="1:15" hidden="1" x14ac:dyDescent="0.75">
      <c r="A623" s="2">
        <v>46289</v>
      </c>
      <c r="B623" s="3" t="s">
        <v>1841</v>
      </c>
      <c r="C623" s="3" t="s">
        <v>1842</v>
      </c>
      <c r="D623" s="3" t="s">
        <v>304</v>
      </c>
      <c r="E623" s="3" t="s">
        <v>305</v>
      </c>
      <c r="F623" s="3" t="s">
        <v>27</v>
      </c>
      <c r="G623" s="3" t="s">
        <v>28</v>
      </c>
      <c r="H623" s="4">
        <v>46289.870355787039</v>
      </c>
      <c r="I623" s="4">
        <v>46290.090034375004</v>
      </c>
      <c r="J623" s="3">
        <f>ROUND((I623-H623)*1440,0)</f>
        <v>316</v>
      </c>
      <c r="K623" s="3" t="s">
        <v>481</v>
      </c>
      <c r="L623" s="3" t="s">
        <v>22</v>
      </c>
      <c r="M623" s="3" t="s">
        <v>22</v>
      </c>
      <c r="N623" s="3" t="s">
        <v>23</v>
      </c>
      <c r="O623" s="3" t="s">
        <v>482</v>
      </c>
    </row>
    <row r="624" spans="1:15" hidden="1" x14ac:dyDescent="0.75">
      <c r="A624" s="2">
        <v>46289</v>
      </c>
      <c r="B624" s="3" t="s">
        <v>1843</v>
      </c>
      <c r="C624" s="3" t="s">
        <v>1844</v>
      </c>
      <c r="D624" s="3" t="s">
        <v>304</v>
      </c>
      <c r="E624" s="3" t="s">
        <v>305</v>
      </c>
      <c r="F624" s="3" t="s">
        <v>56</v>
      </c>
      <c r="G624" s="3" t="s">
        <v>57</v>
      </c>
      <c r="H624" s="4">
        <v>46289.871143171287</v>
      </c>
      <c r="I624" s="4">
        <v>46290.068379398152</v>
      </c>
      <c r="J624" s="3">
        <f>ROUND((I624-H624)*1440,0)</f>
        <v>284</v>
      </c>
      <c r="K624" s="3" t="s">
        <v>547</v>
      </c>
      <c r="L624" s="3" t="s">
        <v>22</v>
      </c>
      <c r="M624" s="3" t="s">
        <v>22</v>
      </c>
      <c r="N624" s="3" t="s">
        <v>23</v>
      </c>
      <c r="O624" s="3" t="s">
        <v>548</v>
      </c>
    </row>
    <row r="625" spans="1:15" hidden="1" x14ac:dyDescent="0.75">
      <c r="A625" s="2">
        <v>46289</v>
      </c>
      <c r="B625" s="3" t="s">
        <v>1845</v>
      </c>
      <c r="C625" s="3" t="s">
        <v>1846</v>
      </c>
      <c r="D625" s="3" t="s">
        <v>27</v>
      </c>
      <c r="E625" s="3" t="s">
        <v>28</v>
      </c>
      <c r="F625" s="3" t="s">
        <v>218</v>
      </c>
      <c r="G625" s="3" t="s">
        <v>219</v>
      </c>
      <c r="H625" s="4">
        <v>46289.873370601847</v>
      </c>
      <c r="I625" s="4">
        <v>46289.937177314823</v>
      </c>
      <c r="J625" s="3">
        <f>ROUND((I625-H625)*1440,0)</f>
        <v>92</v>
      </c>
      <c r="K625" s="3" t="s">
        <v>477</v>
      </c>
      <c r="L625" s="3" t="s">
        <v>77</v>
      </c>
      <c r="M625" s="3" t="s">
        <v>78</v>
      </c>
      <c r="N625" s="3" t="s">
        <v>23</v>
      </c>
      <c r="O625" s="3" t="s">
        <v>478</v>
      </c>
    </row>
    <row r="626" spans="1:15" hidden="1" x14ac:dyDescent="0.75">
      <c r="A626" s="2">
        <v>46289</v>
      </c>
      <c r="B626" s="3" t="s">
        <v>1847</v>
      </c>
      <c r="C626" s="3" t="s">
        <v>1848</v>
      </c>
      <c r="D626" s="3" t="s">
        <v>1113</v>
      </c>
      <c r="E626" s="3" t="s">
        <v>1114</v>
      </c>
      <c r="F626" s="3" t="s">
        <v>27</v>
      </c>
      <c r="G626" s="3" t="s">
        <v>28</v>
      </c>
      <c r="H626" s="4">
        <v>46289.873704282407</v>
      </c>
      <c r="I626" s="4">
        <v>46290.027628240743</v>
      </c>
      <c r="J626" s="3">
        <f>ROUND((I626-H626)*1440,0)</f>
        <v>222</v>
      </c>
      <c r="K626" s="3" t="s">
        <v>1115</v>
      </c>
      <c r="L626" s="3" t="s">
        <v>77</v>
      </c>
      <c r="M626" s="3" t="s">
        <v>78</v>
      </c>
      <c r="N626" s="3" t="s">
        <v>23</v>
      </c>
      <c r="O626" s="3" t="s">
        <v>1116</v>
      </c>
    </row>
    <row r="627" spans="1:15" hidden="1" x14ac:dyDescent="0.75">
      <c r="A627" s="2">
        <v>46289</v>
      </c>
      <c r="B627" s="3" t="s">
        <v>1849</v>
      </c>
      <c r="C627" s="3" t="s">
        <v>1850</v>
      </c>
      <c r="D627" s="3"/>
      <c r="E627" s="3"/>
      <c r="F627" s="3" t="s">
        <v>17</v>
      </c>
      <c r="G627" s="3" t="s">
        <v>18</v>
      </c>
      <c r="H627" s="4">
        <v>46289.873710300933</v>
      </c>
      <c r="I627" s="4">
        <v>46289.908596643523</v>
      </c>
      <c r="J627" s="3">
        <f>ROUND((I627-H627)*1440,0)</f>
        <v>50</v>
      </c>
      <c r="K627" s="3" t="s">
        <v>883</v>
      </c>
      <c r="L627" s="3" t="s">
        <v>22</v>
      </c>
      <c r="M627" s="3" t="s">
        <v>22</v>
      </c>
      <c r="N627" s="3" t="s">
        <v>23</v>
      </c>
      <c r="O627" s="3" t="s">
        <v>884</v>
      </c>
    </row>
    <row r="628" spans="1:15" hidden="1" x14ac:dyDescent="0.75">
      <c r="A628" s="2">
        <v>46289</v>
      </c>
      <c r="B628" s="3" t="s">
        <v>1851</v>
      </c>
      <c r="C628" s="3" t="s">
        <v>1852</v>
      </c>
      <c r="D628" s="3" t="s">
        <v>719</v>
      </c>
      <c r="E628" s="3" t="s">
        <v>720</v>
      </c>
      <c r="F628" s="3" t="s">
        <v>84</v>
      </c>
      <c r="G628" s="3" t="s">
        <v>85</v>
      </c>
      <c r="H628" s="4">
        <v>46289.874488425929</v>
      </c>
      <c r="I628" s="4">
        <v>46289.993950462973</v>
      </c>
      <c r="J628" s="3">
        <f>ROUND((I628-H628)*1440,0)</f>
        <v>172</v>
      </c>
      <c r="K628" s="3" t="s">
        <v>402</v>
      </c>
      <c r="L628" s="3" t="s">
        <v>36</v>
      </c>
      <c r="M628" s="3" t="s">
        <v>36</v>
      </c>
      <c r="N628" s="3" t="s">
        <v>23</v>
      </c>
      <c r="O628" s="3" t="s">
        <v>403</v>
      </c>
    </row>
    <row r="629" spans="1:15" hidden="1" x14ac:dyDescent="0.75">
      <c r="A629" s="2">
        <v>46289</v>
      </c>
      <c r="B629" s="3" t="s">
        <v>1853</v>
      </c>
      <c r="C629" s="3" t="s">
        <v>1854</v>
      </c>
      <c r="D629" s="3" t="s">
        <v>56</v>
      </c>
      <c r="E629" s="3" t="s">
        <v>57</v>
      </c>
      <c r="F629" s="3" t="s">
        <v>1569</v>
      </c>
      <c r="G629" s="3" t="s">
        <v>1570</v>
      </c>
      <c r="H629" s="4">
        <v>46289.875119212957</v>
      </c>
      <c r="I629" s="4">
        <v>46289.945320023151</v>
      </c>
      <c r="J629" s="3">
        <f>ROUND((I629-H629)*1440,0)</f>
        <v>101</v>
      </c>
      <c r="K629" s="3" t="s">
        <v>1221</v>
      </c>
      <c r="L629" s="3" t="s">
        <v>36</v>
      </c>
      <c r="M629" s="3" t="s">
        <v>36</v>
      </c>
      <c r="N629" s="3" t="s">
        <v>45</v>
      </c>
      <c r="O629" s="3" t="s">
        <v>1222</v>
      </c>
    </row>
    <row r="630" spans="1:15" hidden="1" x14ac:dyDescent="0.75">
      <c r="A630" s="2">
        <v>46289</v>
      </c>
      <c r="B630" s="3" t="s">
        <v>1461</v>
      </c>
      <c r="C630" s="3" t="s">
        <v>1462</v>
      </c>
      <c r="D630" s="3" t="s">
        <v>208</v>
      </c>
      <c r="E630" s="3" t="s">
        <v>209</v>
      </c>
      <c r="F630" s="3" t="s">
        <v>56</v>
      </c>
      <c r="G630" s="3" t="s">
        <v>57</v>
      </c>
      <c r="H630" s="4">
        <v>46289.875508217592</v>
      </c>
      <c r="I630" s="4">
        <v>46289.975537847233</v>
      </c>
      <c r="J630" s="3">
        <f>ROUND((I630-H630)*1440,0)</f>
        <v>144</v>
      </c>
      <c r="K630" s="3" t="s">
        <v>70</v>
      </c>
      <c r="L630" s="3" t="s">
        <v>36</v>
      </c>
      <c r="M630" s="3" t="s">
        <v>36</v>
      </c>
      <c r="N630" s="3" t="s">
        <v>23</v>
      </c>
      <c r="O630" s="3" t="s">
        <v>71</v>
      </c>
    </row>
    <row r="631" spans="1:15" hidden="1" x14ac:dyDescent="0.75">
      <c r="A631" s="2">
        <v>46289</v>
      </c>
      <c r="B631" s="3" t="s">
        <v>1855</v>
      </c>
      <c r="C631" s="3" t="s">
        <v>1856</v>
      </c>
      <c r="D631" s="3" t="s">
        <v>196</v>
      </c>
      <c r="E631" s="3" t="s">
        <v>197</v>
      </c>
      <c r="F631" s="3" t="s">
        <v>82</v>
      </c>
      <c r="G631" s="3" t="s">
        <v>83</v>
      </c>
      <c r="H631" s="4">
        <v>46289.875838310189</v>
      </c>
      <c r="I631" s="4">
        <v>46289.94413773148</v>
      </c>
      <c r="J631" s="3">
        <f>ROUND((I631-H631)*1440,0)</f>
        <v>98</v>
      </c>
      <c r="K631" s="3" t="s">
        <v>384</v>
      </c>
      <c r="L631" s="3" t="s">
        <v>36</v>
      </c>
      <c r="M631" s="3" t="s">
        <v>36</v>
      </c>
      <c r="N631" s="3" t="s">
        <v>23</v>
      </c>
      <c r="O631" s="3" t="s">
        <v>385</v>
      </c>
    </row>
    <row r="632" spans="1:15" hidden="1" x14ac:dyDescent="0.75">
      <c r="A632" s="2">
        <v>46289</v>
      </c>
      <c r="B632" s="3" t="s">
        <v>1857</v>
      </c>
      <c r="C632" s="3" t="s">
        <v>1858</v>
      </c>
      <c r="D632" s="3"/>
      <c r="E632" s="3"/>
      <c r="F632" s="3" t="s">
        <v>82</v>
      </c>
      <c r="G632" s="3" t="s">
        <v>83</v>
      </c>
      <c r="H632" s="4">
        <v>46289.876211574083</v>
      </c>
      <c r="I632" s="4">
        <v>46289.917555671287</v>
      </c>
      <c r="J632" s="3">
        <f>ROUND((I632-H632)*1440,0)</f>
        <v>60</v>
      </c>
      <c r="K632" s="3" t="s">
        <v>86</v>
      </c>
      <c r="L632" s="3" t="s">
        <v>36</v>
      </c>
      <c r="M632" s="3" t="s">
        <v>36</v>
      </c>
      <c r="N632" s="3" t="s">
        <v>23</v>
      </c>
      <c r="O632" s="3" t="s">
        <v>87</v>
      </c>
    </row>
    <row r="633" spans="1:15" hidden="1" x14ac:dyDescent="0.75">
      <c r="A633" s="2">
        <v>46289</v>
      </c>
      <c r="B633" s="3" t="s">
        <v>1859</v>
      </c>
      <c r="C633" s="3" t="s">
        <v>1860</v>
      </c>
      <c r="D633" s="3" t="s">
        <v>304</v>
      </c>
      <c r="E633" s="3" t="s">
        <v>305</v>
      </c>
      <c r="F633" s="3" t="s">
        <v>17</v>
      </c>
      <c r="G633" s="3" t="s">
        <v>18</v>
      </c>
      <c r="H633" s="4">
        <v>46289.87728645833</v>
      </c>
      <c r="I633" s="4">
        <v>46290.092542939812</v>
      </c>
      <c r="J633" s="3">
        <f>ROUND((I633-H633)*1440,0)</f>
        <v>310</v>
      </c>
      <c r="K633" s="3" t="s">
        <v>497</v>
      </c>
      <c r="L633" s="3" t="s">
        <v>22</v>
      </c>
      <c r="M633" s="3" t="s">
        <v>22</v>
      </c>
      <c r="N633" s="3" t="s">
        <v>23</v>
      </c>
      <c r="O633" s="3" t="s">
        <v>498</v>
      </c>
    </row>
    <row r="634" spans="1:15" hidden="1" x14ac:dyDescent="0.75">
      <c r="A634" s="2">
        <v>46289</v>
      </c>
      <c r="B634" s="3" t="s">
        <v>1861</v>
      </c>
      <c r="C634" s="3" t="s">
        <v>1862</v>
      </c>
      <c r="D634" s="3" t="s">
        <v>17</v>
      </c>
      <c r="E634" s="3" t="s">
        <v>18</v>
      </c>
      <c r="F634" s="3"/>
      <c r="G634" s="3"/>
      <c r="H634" s="4">
        <v>46289.878353125001</v>
      </c>
      <c r="I634" s="4">
        <v>46289.909646296299</v>
      </c>
      <c r="J634" s="3">
        <f>ROUND((I634-H634)*1440,0)</f>
        <v>45</v>
      </c>
      <c r="K634" s="3" t="s">
        <v>485</v>
      </c>
      <c r="L634" s="3" t="s">
        <v>36</v>
      </c>
      <c r="M634" s="3" t="s">
        <v>36</v>
      </c>
      <c r="N634" s="3" t="s">
        <v>443</v>
      </c>
      <c r="O634" s="3" t="s">
        <v>486</v>
      </c>
    </row>
    <row r="635" spans="1:15" hidden="1" x14ac:dyDescent="0.75">
      <c r="A635" s="2">
        <v>46289</v>
      </c>
      <c r="B635" s="3" t="s">
        <v>1863</v>
      </c>
      <c r="C635" s="3" t="s">
        <v>1864</v>
      </c>
      <c r="D635" s="3" t="s">
        <v>1195</v>
      </c>
      <c r="E635" s="3" t="s">
        <v>1196</v>
      </c>
      <c r="F635" s="3" t="s">
        <v>17</v>
      </c>
      <c r="G635" s="3" t="s">
        <v>18</v>
      </c>
      <c r="H635" s="4">
        <v>46289.878709027776</v>
      </c>
      <c r="I635" s="4">
        <v>46290.075241782397</v>
      </c>
      <c r="J635" s="3">
        <f>ROUND((I635-H635)*1440,0)</f>
        <v>283</v>
      </c>
      <c r="K635" s="3" t="s">
        <v>292</v>
      </c>
      <c r="L635" s="3" t="s">
        <v>36</v>
      </c>
      <c r="M635" s="3" t="s">
        <v>36</v>
      </c>
      <c r="N635" s="3" t="s">
        <v>23</v>
      </c>
      <c r="O635" s="3" t="s">
        <v>293</v>
      </c>
    </row>
    <row r="636" spans="1:15" hidden="1" x14ac:dyDescent="0.75">
      <c r="A636" s="2">
        <v>46289</v>
      </c>
      <c r="B636" s="3" t="s">
        <v>1865</v>
      </c>
      <c r="C636" s="3" t="s">
        <v>1866</v>
      </c>
      <c r="D636" s="3" t="s">
        <v>158</v>
      </c>
      <c r="E636" s="3" t="s">
        <v>159</v>
      </c>
      <c r="F636" s="3" t="s">
        <v>27</v>
      </c>
      <c r="G636" s="3" t="s">
        <v>28</v>
      </c>
      <c r="H636" s="4">
        <v>46289.878810648152</v>
      </c>
      <c r="I636" s="4">
        <v>46289.921670949072</v>
      </c>
      <c r="J636" s="3">
        <f>ROUND((I636-H636)*1440,0)</f>
        <v>62</v>
      </c>
      <c r="K636" s="3" t="s">
        <v>847</v>
      </c>
      <c r="L636" s="3" t="s">
        <v>77</v>
      </c>
      <c r="M636" s="3" t="s">
        <v>78</v>
      </c>
      <c r="N636" s="3" t="s">
        <v>23</v>
      </c>
      <c r="O636" s="3" t="s">
        <v>848</v>
      </c>
    </row>
    <row r="637" spans="1:15" hidden="1" x14ac:dyDescent="0.75">
      <c r="A637" s="2">
        <v>46289</v>
      </c>
      <c r="B637" s="3" t="s">
        <v>1867</v>
      </c>
      <c r="C637" s="3" t="s">
        <v>1868</v>
      </c>
      <c r="D637" s="3" t="s">
        <v>17</v>
      </c>
      <c r="E637" s="3" t="s">
        <v>18</v>
      </c>
      <c r="F637" s="3" t="s">
        <v>56</v>
      </c>
      <c r="G637" s="3" t="s">
        <v>57</v>
      </c>
      <c r="H637" s="4">
        <v>46289.878922337957</v>
      </c>
      <c r="I637" s="4">
        <v>46289.979404745369</v>
      </c>
      <c r="J637" s="3">
        <f>ROUND((I637-H637)*1440,0)</f>
        <v>145</v>
      </c>
      <c r="K637" s="3" t="s">
        <v>1049</v>
      </c>
      <c r="L637" s="3" t="s">
        <v>22</v>
      </c>
      <c r="M637" s="3" t="s">
        <v>22</v>
      </c>
      <c r="N637" s="3" t="s">
        <v>23</v>
      </c>
      <c r="O637" s="3" t="s">
        <v>1050</v>
      </c>
    </row>
    <row r="638" spans="1:15" hidden="1" x14ac:dyDescent="0.75">
      <c r="A638" s="2">
        <v>46289</v>
      </c>
      <c r="B638" s="3" t="s">
        <v>1869</v>
      </c>
      <c r="C638" s="3" t="s">
        <v>1870</v>
      </c>
      <c r="D638" s="3" t="s">
        <v>82</v>
      </c>
      <c r="E638" s="3" t="s">
        <v>83</v>
      </c>
      <c r="F638" s="3" t="s">
        <v>1871</v>
      </c>
      <c r="G638" s="3" t="s">
        <v>1872</v>
      </c>
      <c r="H638" s="4">
        <v>46289.878938657414</v>
      </c>
      <c r="I638" s="4">
        <v>46289.980019675917</v>
      </c>
      <c r="J638" s="3">
        <f>ROUND((I638-H638)*1440,0)</f>
        <v>146</v>
      </c>
      <c r="K638" s="3" t="s">
        <v>1873</v>
      </c>
      <c r="L638" s="3" t="s">
        <v>36</v>
      </c>
      <c r="M638" s="3" t="s">
        <v>36</v>
      </c>
      <c r="N638" s="3" t="s">
        <v>45</v>
      </c>
      <c r="O638" s="3" t="s">
        <v>1874</v>
      </c>
    </row>
    <row r="639" spans="1:15" hidden="1" x14ac:dyDescent="0.75">
      <c r="A639" s="2">
        <v>46289</v>
      </c>
      <c r="B639" s="3" t="s">
        <v>1875</v>
      </c>
      <c r="C639" s="3" t="s">
        <v>1876</v>
      </c>
      <c r="D639" s="3" t="s">
        <v>56</v>
      </c>
      <c r="E639" s="3" t="s">
        <v>57</v>
      </c>
      <c r="F639" s="3" t="s">
        <v>182</v>
      </c>
      <c r="G639" s="3" t="s">
        <v>183</v>
      </c>
      <c r="H639" s="4">
        <v>46289.879812037027</v>
      </c>
      <c r="I639" s="4">
        <v>46289.945150925923</v>
      </c>
      <c r="J639" s="3">
        <f>ROUND((I639-H639)*1440,0)</f>
        <v>94</v>
      </c>
      <c r="K639" s="3" t="s">
        <v>1089</v>
      </c>
      <c r="L639" s="3" t="s">
        <v>36</v>
      </c>
      <c r="M639" s="3" t="s">
        <v>36</v>
      </c>
      <c r="N639" s="3" t="s">
        <v>23</v>
      </c>
      <c r="O639" s="3" t="s">
        <v>1090</v>
      </c>
    </row>
    <row r="640" spans="1:15" hidden="1" x14ac:dyDescent="0.75">
      <c r="A640" s="2">
        <v>46289</v>
      </c>
      <c r="B640" s="3" t="s">
        <v>1877</v>
      </c>
      <c r="C640" s="3" t="s">
        <v>1878</v>
      </c>
      <c r="D640" s="3" t="s">
        <v>68</v>
      </c>
      <c r="E640" s="3" t="s">
        <v>69</v>
      </c>
      <c r="F640" s="3" t="s">
        <v>84</v>
      </c>
      <c r="G640" s="3" t="s">
        <v>85</v>
      </c>
      <c r="H640" s="4">
        <v>46289.883743981482</v>
      </c>
      <c r="I640" s="4">
        <v>46289.980499999998</v>
      </c>
      <c r="J640" s="3">
        <f>ROUND((I640-H640)*1440,0)</f>
        <v>139</v>
      </c>
      <c r="K640" s="3" t="s">
        <v>1469</v>
      </c>
      <c r="L640" s="3" t="s">
        <v>36</v>
      </c>
      <c r="M640" s="3" t="s">
        <v>36</v>
      </c>
      <c r="N640" s="3" t="s">
        <v>45</v>
      </c>
      <c r="O640" s="3" t="s">
        <v>1470</v>
      </c>
    </row>
    <row r="641" spans="1:15" hidden="1" x14ac:dyDescent="0.75">
      <c r="A641" s="2">
        <v>46289</v>
      </c>
      <c r="B641" s="3" t="s">
        <v>1879</v>
      </c>
      <c r="C641" s="3" t="s">
        <v>1880</v>
      </c>
      <c r="D641" s="3" t="s">
        <v>17</v>
      </c>
      <c r="E641" s="3" t="s">
        <v>18</v>
      </c>
      <c r="F641" s="3" t="s">
        <v>106</v>
      </c>
      <c r="G641" s="3" t="s">
        <v>107</v>
      </c>
      <c r="H641" s="4">
        <v>46289.885688657407</v>
      </c>
      <c r="I641" s="4">
        <v>46289.962199305563</v>
      </c>
      <c r="J641" s="3">
        <f>ROUND((I641-H641)*1440,0)</f>
        <v>110</v>
      </c>
      <c r="K641" s="3" t="s">
        <v>1881</v>
      </c>
      <c r="L641" s="3" t="s">
        <v>36</v>
      </c>
      <c r="M641" s="3" t="s">
        <v>36</v>
      </c>
      <c r="N641" s="3" t="s">
        <v>23</v>
      </c>
      <c r="O641" s="3" t="s">
        <v>1882</v>
      </c>
    </row>
    <row r="642" spans="1:15" hidden="1" x14ac:dyDescent="0.75">
      <c r="A642" s="2">
        <v>46289</v>
      </c>
      <c r="B642" s="3" t="s">
        <v>1883</v>
      </c>
      <c r="C642" s="3" t="s">
        <v>1884</v>
      </c>
      <c r="D642" s="3" t="s">
        <v>122</v>
      </c>
      <c r="E642" s="3" t="s">
        <v>123</v>
      </c>
      <c r="F642" s="3" t="s">
        <v>27</v>
      </c>
      <c r="G642" s="3" t="s">
        <v>28</v>
      </c>
      <c r="H642" s="4">
        <v>46289.887290162027</v>
      </c>
      <c r="I642" s="4">
        <v>46290.103592245367</v>
      </c>
      <c r="J642" s="3">
        <f>ROUND((I642-H642)*1440,0)</f>
        <v>311</v>
      </c>
      <c r="K642" s="3" t="s">
        <v>943</v>
      </c>
      <c r="L642" s="3" t="s">
        <v>43</v>
      </c>
      <c r="M642" s="3" t="s">
        <v>44</v>
      </c>
      <c r="N642" s="3" t="s">
        <v>23</v>
      </c>
      <c r="O642" s="3" t="s">
        <v>944</v>
      </c>
    </row>
    <row r="643" spans="1:15" hidden="1" x14ac:dyDescent="0.75">
      <c r="A643" s="2">
        <v>46289</v>
      </c>
      <c r="B643" s="3" t="s">
        <v>1885</v>
      </c>
      <c r="C643" s="3" t="s">
        <v>1886</v>
      </c>
      <c r="D643" s="3" t="s">
        <v>27</v>
      </c>
      <c r="E643" s="3" t="s">
        <v>28</v>
      </c>
      <c r="F643" s="3" t="s">
        <v>334</v>
      </c>
      <c r="G643" s="3" t="s">
        <v>335</v>
      </c>
      <c r="H643" s="4">
        <v>46289.887889351849</v>
      </c>
      <c r="I643" s="4">
        <v>46289.979218287037</v>
      </c>
      <c r="J643" s="3">
        <f>ROUND((I643-H643)*1440,0)</f>
        <v>132</v>
      </c>
      <c r="K643" s="3" t="s">
        <v>260</v>
      </c>
      <c r="L643" s="3" t="s">
        <v>52</v>
      </c>
      <c r="M643" s="3"/>
      <c r="N643" s="3" t="s">
        <v>23</v>
      </c>
      <c r="O643" s="3" t="s">
        <v>261</v>
      </c>
    </row>
    <row r="644" spans="1:15" hidden="1" x14ac:dyDescent="0.75">
      <c r="A644" s="2">
        <v>46289</v>
      </c>
      <c r="B644" s="3" t="s">
        <v>1887</v>
      </c>
      <c r="C644" s="3" t="s">
        <v>1888</v>
      </c>
      <c r="D644" s="3" t="s">
        <v>82</v>
      </c>
      <c r="E644" s="3" t="s">
        <v>83</v>
      </c>
      <c r="F644" s="3" t="s">
        <v>17</v>
      </c>
      <c r="G644" s="3" t="s">
        <v>18</v>
      </c>
      <c r="H644" s="4">
        <v>46289.888523842586</v>
      </c>
      <c r="I644" s="4">
        <v>46289.974499305557</v>
      </c>
      <c r="J644" s="3">
        <f>ROUND((I644-H644)*1440,0)</f>
        <v>124</v>
      </c>
      <c r="K644" s="3" t="s">
        <v>1281</v>
      </c>
      <c r="L644" s="3" t="s">
        <v>22</v>
      </c>
      <c r="M644" s="3" t="s">
        <v>22</v>
      </c>
      <c r="N644" s="3" t="s">
        <v>23</v>
      </c>
      <c r="O644" s="3" t="s">
        <v>1282</v>
      </c>
    </row>
    <row r="645" spans="1:15" hidden="1" x14ac:dyDescent="0.75">
      <c r="A645" s="2">
        <v>46289</v>
      </c>
      <c r="B645" s="3" t="s">
        <v>1889</v>
      </c>
      <c r="C645" s="3" t="s">
        <v>1890</v>
      </c>
      <c r="D645" s="3" t="s">
        <v>142</v>
      </c>
      <c r="E645" s="3" t="s">
        <v>143</v>
      </c>
      <c r="F645" s="3" t="s">
        <v>56</v>
      </c>
      <c r="G645" s="3" t="s">
        <v>57</v>
      </c>
      <c r="H645" s="4">
        <v>46289.890610995368</v>
      </c>
      <c r="I645" s="4">
        <v>46289.98539652778</v>
      </c>
      <c r="J645" s="3">
        <f>ROUND((I645-H645)*1440,0)</f>
        <v>136</v>
      </c>
      <c r="K645" s="3" t="s">
        <v>310</v>
      </c>
      <c r="L645" s="3" t="s">
        <v>36</v>
      </c>
      <c r="M645" s="3" t="s">
        <v>36</v>
      </c>
      <c r="N645" s="3" t="s">
        <v>23</v>
      </c>
      <c r="O645" s="3" t="s">
        <v>311</v>
      </c>
    </row>
    <row r="646" spans="1:15" hidden="1" x14ac:dyDescent="0.75">
      <c r="A646" s="2">
        <v>46289</v>
      </c>
      <c r="B646" s="3" t="s">
        <v>1891</v>
      </c>
      <c r="C646" s="3" t="s">
        <v>1892</v>
      </c>
      <c r="D646" s="3" t="s">
        <v>615</v>
      </c>
      <c r="E646" s="3" t="s">
        <v>616</v>
      </c>
      <c r="F646" s="3" t="s">
        <v>84</v>
      </c>
      <c r="G646" s="3" t="s">
        <v>85</v>
      </c>
      <c r="H646" s="4">
        <v>46289.891360069443</v>
      </c>
      <c r="I646" s="4">
        <v>46290.031855324072</v>
      </c>
      <c r="J646" s="3">
        <f>ROUND((I646-H646)*1440,0)</f>
        <v>202</v>
      </c>
      <c r="K646" s="3" t="s">
        <v>1501</v>
      </c>
      <c r="L646" s="3" t="s">
        <v>77</v>
      </c>
      <c r="M646" s="3" t="s">
        <v>78</v>
      </c>
      <c r="N646" s="3" t="s">
        <v>45</v>
      </c>
      <c r="O646" s="3" t="s">
        <v>1502</v>
      </c>
    </row>
    <row r="647" spans="1:15" hidden="1" x14ac:dyDescent="0.75">
      <c r="A647" s="2">
        <v>46289</v>
      </c>
      <c r="B647" s="3" t="s">
        <v>1893</v>
      </c>
      <c r="C647" s="3" t="s">
        <v>1894</v>
      </c>
      <c r="D647" s="3" t="s">
        <v>56</v>
      </c>
      <c r="E647" s="3" t="s">
        <v>57</v>
      </c>
      <c r="F647" s="3" t="s">
        <v>208</v>
      </c>
      <c r="G647" s="3" t="s">
        <v>209</v>
      </c>
      <c r="H647" s="4">
        <v>46289.894232060193</v>
      </c>
      <c r="I647" s="4">
        <v>46290.004871874997</v>
      </c>
      <c r="J647" s="3">
        <f>ROUND((I647-H647)*1440,0)</f>
        <v>159</v>
      </c>
      <c r="K647" s="3" t="s">
        <v>715</v>
      </c>
      <c r="L647" s="3" t="s">
        <v>36</v>
      </c>
      <c r="M647" s="3" t="s">
        <v>36</v>
      </c>
      <c r="N647" s="3" t="s">
        <v>23</v>
      </c>
      <c r="O647" s="3" t="s">
        <v>716</v>
      </c>
    </row>
    <row r="648" spans="1:15" hidden="1" x14ac:dyDescent="0.75">
      <c r="A648" s="2">
        <v>46289</v>
      </c>
      <c r="B648" s="3" t="s">
        <v>1895</v>
      </c>
      <c r="C648" s="3" t="s">
        <v>1896</v>
      </c>
      <c r="D648" s="3" t="s">
        <v>142</v>
      </c>
      <c r="E648" s="3" t="s">
        <v>143</v>
      </c>
      <c r="F648" s="3" t="s">
        <v>27</v>
      </c>
      <c r="G648" s="3" t="s">
        <v>28</v>
      </c>
      <c r="H648" s="4">
        <v>46289.895753935183</v>
      </c>
      <c r="I648" s="4">
        <v>46290.043709953701</v>
      </c>
      <c r="J648" s="3">
        <f>ROUND((I648-H648)*1440,0)</f>
        <v>213</v>
      </c>
      <c r="K648" s="3" t="s">
        <v>629</v>
      </c>
      <c r="L648" s="3" t="s">
        <v>77</v>
      </c>
      <c r="M648" s="3" t="s">
        <v>78</v>
      </c>
      <c r="N648" s="3" t="s">
        <v>23</v>
      </c>
      <c r="O648" s="3" t="s">
        <v>630</v>
      </c>
    </row>
    <row r="649" spans="1:15" hidden="1" x14ac:dyDescent="0.75">
      <c r="A649" s="2">
        <v>46289</v>
      </c>
      <c r="B649" s="3" t="s">
        <v>1897</v>
      </c>
      <c r="C649" s="3" t="s">
        <v>1898</v>
      </c>
      <c r="D649" s="3" t="s">
        <v>94</v>
      </c>
      <c r="E649" s="3" t="s">
        <v>95</v>
      </c>
      <c r="F649" s="3" t="s">
        <v>27</v>
      </c>
      <c r="G649" s="3" t="s">
        <v>28</v>
      </c>
      <c r="H649" s="4">
        <v>46289.896836574073</v>
      </c>
      <c r="I649" s="4">
        <v>46289.954314467592</v>
      </c>
      <c r="J649" s="3">
        <f>ROUND((I649-H649)*1440,0)</f>
        <v>83</v>
      </c>
      <c r="K649" s="3" t="s">
        <v>314</v>
      </c>
      <c r="L649" s="3" t="s">
        <v>36</v>
      </c>
      <c r="M649" s="3" t="s">
        <v>36</v>
      </c>
      <c r="N649" s="3" t="s">
        <v>23</v>
      </c>
      <c r="O649" s="3" t="s">
        <v>315</v>
      </c>
    </row>
    <row r="650" spans="1:15" hidden="1" x14ac:dyDescent="0.75">
      <c r="A650" s="2">
        <v>46289</v>
      </c>
      <c r="B650" s="3" t="s">
        <v>1899</v>
      </c>
      <c r="C650" s="3" t="s">
        <v>1900</v>
      </c>
      <c r="D650" s="3"/>
      <c r="E650" s="3"/>
      <c r="F650" s="3" t="s">
        <v>56</v>
      </c>
      <c r="G650" s="3" t="s">
        <v>57</v>
      </c>
      <c r="H650" s="4">
        <v>46289.897257523153</v>
      </c>
      <c r="I650" s="4">
        <v>46289.916453356484</v>
      </c>
      <c r="J650" s="3">
        <f>ROUND((I650-H650)*1440,0)</f>
        <v>28</v>
      </c>
      <c r="K650" s="3" t="s">
        <v>529</v>
      </c>
      <c r="L650" s="3" t="s">
        <v>77</v>
      </c>
      <c r="M650" s="3" t="s">
        <v>78</v>
      </c>
      <c r="N650" s="3" t="s">
        <v>23</v>
      </c>
      <c r="O650" s="3" t="s">
        <v>530</v>
      </c>
    </row>
    <row r="651" spans="1:15" hidden="1" x14ac:dyDescent="0.75">
      <c r="A651" s="2">
        <v>46289</v>
      </c>
      <c r="B651" s="3" t="s">
        <v>1901</v>
      </c>
      <c r="C651" s="3" t="s">
        <v>1902</v>
      </c>
      <c r="D651" s="3" t="s">
        <v>27</v>
      </c>
      <c r="E651" s="3" t="s">
        <v>28</v>
      </c>
      <c r="F651" s="3" t="s">
        <v>148</v>
      </c>
      <c r="G651" s="3" t="s">
        <v>149</v>
      </c>
      <c r="H651" s="4">
        <v>46289.897906365739</v>
      </c>
      <c r="I651" s="4">
        <v>46289.963915046297</v>
      </c>
      <c r="J651" s="3">
        <f>ROUND((I651-H651)*1440,0)</f>
        <v>95</v>
      </c>
      <c r="K651" s="3" t="s">
        <v>150</v>
      </c>
      <c r="L651" s="3" t="s">
        <v>36</v>
      </c>
      <c r="M651" s="3" t="s">
        <v>36</v>
      </c>
      <c r="N651" s="3" t="s">
        <v>23</v>
      </c>
      <c r="O651" s="3" t="s">
        <v>151</v>
      </c>
    </row>
    <row r="652" spans="1:15" hidden="1" x14ac:dyDescent="0.75">
      <c r="A652" s="2">
        <v>46289</v>
      </c>
      <c r="B652" s="3" t="s">
        <v>1903</v>
      </c>
      <c r="C652" s="3" t="s">
        <v>1904</v>
      </c>
      <c r="D652" s="3" t="s">
        <v>148</v>
      </c>
      <c r="E652" s="3" t="s">
        <v>149</v>
      </c>
      <c r="F652" s="3" t="s">
        <v>17</v>
      </c>
      <c r="G652" s="3" t="s">
        <v>18</v>
      </c>
      <c r="H652" s="4">
        <v>46289.897993287042</v>
      </c>
      <c r="I652" s="4">
        <v>46289.961357291657</v>
      </c>
      <c r="J652" s="3">
        <f>ROUND((I652-H652)*1440,0)</f>
        <v>91</v>
      </c>
      <c r="K652" s="3" t="s">
        <v>783</v>
      </c>
      <c r="L652" s="3" t="s">
        <v>77</v>
      </c>
      <c r="M652" s="3" t="s">
        <v>78</v>
      </c>
      <c r="N652" s="3" t="s">
        <v>23</v>
      </c>
      <c r="O652" s="3" t="s">
        <v>784</v>
      </c>
    </row>
    <row r="653" spans="1:15" hidden="1" x14ac:dyDescent="0.75">
      <c r="A653" s="2">
        <v>46289</v>
      </c>
      <c r="B653" s="3" t="s">
        <v>1905</v>
      </c>
      <c r="C653" s="3" t="s">
        <v>1906</v>
      </c>
      <c r="D653" s="3" t="s">
        <v>82</v>
      </c>
      <c r="E653" s="3" t="s">
        <v>83</v>
      </c>
      <c r="F653" s="3" t="s">
        <v>208</v>
      </c>
      <c r="G653" s="3" t="s">
        <v>209</v>
      </c>
      <c r="H653" s="4">
        <v>46289.898446180552</v>
      </c>
      <c r="I653" s="4">
        <v>46289.992186342592</v>
      </c>
      <c r="J653" s="3">
        <f>ROUND((I653-H653)*1440,0)</f>
        <v>135</v>
      </c>
      <c r="K653" s="3" t="s">
        <v>935</v>
      </c>
      <c r="L653" s="3" t="s">
        <v>36</v>
      </c>
      <c r="M653" s="3" t="s">
        <v>36</v>
      </c>
      <c r="N653" s="3" t="s">
        <v>23</v>
      </c>
      <c r="O653" s="3" t="s">
        <v>936</v>
      </c>
    </row>
    <row r="654" spans="1:15" hidden="1" x14ac:dyDescent="0.75">
      <c r="A654" s="2">
        <v>46289</v>
      </c>
      <c r="B654" s="3" t="s">
        <v>1907</v>
      </c>
      <c r="C654" s="3" t="s">
        <v>1908</v>
      </c>
      <c r="D654" s="3" t="s">
        <v>27</v>
      </c>
      <c r="E654" s="3" t="s">
        <v>28</v>
      </c>
      <c r="F654" s="3" t="s">
        <v>122</v>
      </c>
      <c r="G654" s="3" t="s">
        <v>123</v>
      </c>
      <c r="H654" s="4">
        <v>46289.898568287033</v>
      </c>
      <c r="I654" s="4">
        <v>46290.14403275463</v>
      </c>
      <c r="J654" s="3">
        <f>ROUND((I654-H654)*1440,0)</f>
        <v>353</v>
      </c>
      <c r="K654" s="3" t="s">
        <v>326</v>
      </c>
      <c r="L654" s="3" t="s">
        <v>22</v>
      </c>
      <c r="M654" s="3" t="s">
        <v>22</v>
      </c>
      <c r="N654" s="3" t="s">
        <v>23</v>
      </c>
      <c r="O654" s="3" t="s">
        <v>327</v>
      </c>
    </row>
    <row r="655" spans="1:15" hidden="1" x14ac:dyDescent="0.75">
      <c r="A655" s="2">
        <v>46289</v>
      </c>
      <c r="B655" s="3" t="s">
        <v>1909</v>
      </c>
      <c r="C655" s="3" t="s">
        <v>1910</v>
      </c>
      <c r="D655" s="3" t="s">
        <v>17</v>
      </c>
      <c r="E655" s="3" t="s">
        <v>18</v>
      </c>
      <c r="F655" s="3" t="s">
        <v>551</v>
      </c>
      <c r="G655" s="3" t="s">
        <v>552</v>
      </c>
      <c r="H655" s="4">
        <v>46289.899367592603</v>
      </c>
      <c r="I655" s="4">
        <v>46290.120938657397</v>
      </c>
      <c r="J655" s="3">
        <f>ROUND((I655-H655)*1440,0)</f>
        <v>319</v>
      </c>
      <c r="K655" s="3" t="s">
        <v>1911</v>
      </c>
      <c r="L655" s="3" t="s">
        <v>77</v>
      </c>
      <c r="M655" s="3" t="s">
        <v>78</v>
      </c>
      <c r="N655" s="3" t="s">
        <v>23</v>
      </c>
      <c r="O655" s="3" t="s">
        <v>1912</v>
      </c>
    </row>
    <row r="656" spans="1:15" hidden="1" x14ac:dyDescent="0.75">
      <c r="A656" s="2">
        <v>46289</v>
      </c>
      <c r="B656" s="3" t="s">
        <v>1913</v>
      </c>
      <c r="C656" s="3" t="s">
        <v>1914</v>
      </c>
      <c r="D656" s="3" t="s">
        <v>1207</v>
      </c>
      <c r="E656" s="3" t="s">
        <v>1208</v>
      </c>
      <c r="F656" s="3" t="s">
        <v>56</v>
      </c>
      <c r="G656" s="3" t="s">
        <v>57</v>
      </c>
      <c r="H656" s="4">
        <v>46289.900386574067</v>
      </c>
      <c r="I656" s="4">
        <v>46290.015938078701</v>
      </c>
      <c r="J656" s="3">
        <f>ROUND((I656-H656)*1440,0)</f>
        <v>166</v>
      </c>
      <c r="K656" s="3" t="s">
        <v>144</v>
      </c>
      <c r="L656" s="3" t="s">
        <v>36</v>
      </c>
      <c r="M656" s="3" t="s">
        <v>36</v>
      </c>
      <c r="N656" s="3" t="s">
        <v>23</v>
      </c>
      <c r="O656" s="3" t="s">
        <v>145</v>
      </c>
    </row>
    <row r="657" spans="1:15" hidden="1" x14ac:dyDescent="0.75">
      <c r="A657" s="2">
        <v>46289</v>
      </c>
      <c r="B657" s="3" t="s">
        <v>1915</v>
      </c>
      <c r="C657" s="3" t="s">
        <v>1916</v>
      </c>
      <c r="D657" s="3" t="s">
        <v>82</v>
      </c>
      <c r="E657" s="3" t="s">
        <v>83</v>
      </c>
      <c r="F657" s="3" t="s">
        <v>27</v>
      </c>
      <c r="G657" s="3" t="s">
        <v>28</v>
      </c>
      <c r="H657" s="4">
        <v>46289.902832175932</v>
      </c>
      <c r="I657" s="4">
        <v>46291.023209490741</v>
      </c>
      <c r="J657" s="3">
        <f>ROUND((I657-H657)*1440,0)</f>
        <v>1613</v>
      </c>
      <c r="K657" s="3" t="s">
        <v>877</v>
      </c>
      <c r="L657" s="3" t="s">
        <v>22</v>
      </c>
      <c r="M657" s="3" t="s">
        <v>22</v>
      </c>
      <c r="N657" s="3" t="s">
        <v>23</v>
      </c>
      <c r="O657" s="3" t="s">
        <v>878</v>
      </c>
    </row>
    <row r="658" spans="1:15" hidden="1" x14ac:dyDescent="0.75">
      <c r="A658" s="2">
        <v>46289</v>
      </c>
      <c r="B658" s="3" t="s">
        <v>1917</v>
      </c>
      <c r="C658" s="3" t="s">
        <v>1918</v>
      </c>
      <c r="D658" s="3"/>
      <c r="E658" s="3"/>
      <c r="F658" s="3" t="s">
        <v>17</v>
      </c>
      <c r="G658" s="3" t="s">
        <v>18</v>
      </c>
      <c r="H658" s="4">
        <v>46289.9031412037</v>
      </c>
      <c r="I658" s="4">
        <v>46289.936268171303</v>
      </c>
      <c r="J658" s="3">
        <f>ROUND((I658-H658)*1440,0)</f>
        <v>48</v>
      </c>
      <c r="K658" s="3" t="s">
        <v>1229</v>
      </c>
      <c r="L658" s="3" t="s">
        <v>77</v>
      </c>
      <c r="M658" s="3" t="s">
        <v>78</v>
      </c>
      <c r="N658" s="3" t="s">
        <v>23</v>
      </c>
      <c r="O658" s="3" t="s">
        <v>1230</v>
      </c>
    </row>
    <row r="659" spans="1:15" hidden="1" x14ac:dyDescent="0.75">
      <c r="A659" s="2">
        <v>46289</v>
      </c>
      <c r="B659" s="3" t="s">
        <v>1919</v>
      </c>
      <c r="C659" s="3" t="s">
        <v>1920</v>
      </c>
      <c r="D659" s="3"/>
      <c r="E659" s="3"/>
      <c r="F659" s="3" t="s">
        <v>56</v>
      </c>
      <c r="G659" s="3" t="s">
        <v>57</v>
      </c>
      <c r="H659" s="4">
        <v>46289.904092013887</v>
      </c>
      <c r="I659" s="4">
        <v>46289.936833564818</v>
      </c>
      <c r="J659" s="3">
        <f>ROUND((I659-H659)*1440,0)</f>
        <v>47</v>
      </c>
      <c r="K659" s="3" t="s">
        <v>256</v>
      </c>
      <c r="L659" s="3" t="s">
        <v>36</v>
      </c>
      <c r="M659" s="3" t="s">
        <v>36</v>
      </c>
      <c r="N659" s="3" t="s">
        <v>23</v>
      </c>
      <c r="O659" s="3" t="s">
        <v>257</v>
      </c>
    </row>
    <row r="660" spans="1:15" hidden="1" x14ac:dyDescent="0.75">
      <c r="A660" s="2">
        <v>46289</v>
      </c>
      <c r="B660" s="3" t="s">
        <v>1921</v>
      </c>
      <c r="C660" s="3" t="s">
        <v>1922</v>
      </c>
      <c r="D660" s="3" t="s">
        <v>82</v>
      </c>
      <c r="E660" s="3" t="s">
        <v>83</v>
      </c>
      <c r="F660" s="3" t="s">
        <v>82</v>
      </c>
      <c r="G660" s="3" t="s">
        <v>83</v>
      </c>
      <c r="H660" s="4">
        <v>46289.904607986107</v>
      </c>
      <c r="I660" s="4">
        <v>46291.002984837964</v>
      </c>
      <c r="J660" s="3">
        <f>ROUND((I660-H660)*1440,0)</f>
        <v>1582</v>
      </c>
      <c r="K660" s="3" t="s">
        <v>1157</v>
      </c>
      <c r="L660" s="3" t="s">
        <v>36</v>
      </c>
      <c r="M660" s="3" t="s">
        <v>36</v>
      </c>
      <c r="N660" s="3" t="s">
        <v>23</v>
      </c>
      <c r="O660" s="3" t="s">
        <v>1158</v>
      </c>
    </row>
    <row r="661" spans="1:15" hidden="1" x14ac:dyDescent="0.75">
      <c r="A661" s="2">
        <v>46289</v>
      </c>
      <c r="B661" s="3" t="s">
        <v>1923</v>
      </c>
      <c r="C661" s="3" t="s">
        <v>1924</v>
      </c>
      <c r="D661" s="3"/>
      <c r="E661" s="3"/>
      <c r="F661" s="3" t="s">
        <v>17</v>
      </c>
      <c r="G661" s="3" t="s">
        <v>18</v>
      </c>
      <c r="H661" s="4">
        <v>46289.905012615738</v>
      </c>
      <c r="I661" s="4">
        <v>46289.938305787036</v>
      </c>
      <c r="J661" s="3">
        <f>ROUND((I661-H661)*1440,0)</f>
        <v>48</v>
      </c>
      <c r="K661" s="3" t="s">
        <v>1215</v>
      </c>
      <c r="L661" s="3" t="s">
        <v>22</v>
      </c>
      <c r="M661" s="3" t="s">
        <v>22</v>
      </c>
      <c r="N661" s="3" t="s">
        <v>23</v>
      </c>
      <c r="O661" s="3" t="s">
        <v>1216</v>
      </c>
    </row>
    <row r="662" spans="1:15" hidden="1" x14ac:dyDescent="0.75">
      <c r="A662" s="2">
        <v>46289</v>
      </c>
      <c r="B662" s="3" t="s">
        <v>1925</v>
      </c>
      <c r="C662" s="3" t="s">
        <v>1926</v>
      </c>
      <c r="D662" s="3" t="s">
        <v>264</v>
      </c>
      <c r="E662" s="3" t="s">
        <v>265</v>
      </c>
      <c r="F662" s="3" t="s">
        <v>82</v>
      </c>
      <c r="G662" s="3" t="s">
        <v>83</v>
      </c>
      <c r="H662" s="4">
        <v>46289.905742592593</v>
      </c>
      <c r="I662" s="4">
        <v>46290.079271527778</v>
      </c>
      <c r="J662" s="3">
        <f>ROUND((I662-H662)*1440,0)</f>
        <v>250</v>
      </c>
      <c r="K662" s="3" t="s">
        <v>1257</v>
      </c>
      <c r="L662" s="3" t="s">
        <v>22</v>
      </c>
      <c r="M662" s="3" t="s">
        <v>22</v>
      </c>
      <c r="N662" s="3" t="s">
        <v>23</v>
      </c>
      <c r="O662" s="3" t="s">
        <v>1258</v>
      </c>
    </row>
    <row r="663" spans="1:15" hidden="1" x14ac:dyDescent="0.75">
      <c r="A663" s="2">
        <v>46289</v>
      </c>
      <c r="B663" s="3" t="s">
        <v>1927</v>
      </c>
      <c r="C663" s="3" t="s">
        <v>1928</v>
      </c>
      <c r="D663" s="3" t="s">
        <v>17</v>
      </c>
      <c r="E663" s="3" t="s">
        <v>18</v>
      </c>
      <c r="F663" s="3" t="s">
        <v>29</v>
      </c>
      <c r="G663" s="3" t="s">
        <v>30</v>
      </c>
      <c r="H663" s="4">
        <v>46289.906804282407</v>
      </c>
      <c r="I663" s="4">
        <v>46290.139006134261</v>
      </c>
      <c r="J663" s="3">
        <f>ROUND((I663-H663)*1440,0)</f>
        <v>334</v>
      </c>
      <c r="K663" s="3" t="s">
        <v>1271</v>
      </c>
      <c r="L663" s="3" t="s">
        <v>36</v>
      </c>
      <c r="M663" s="3" t="s">
        <v>36</v>
      </c>
      <c r="N663" s="3" t="s">
        <v>23</v>
      </c>
      <c r="O663" s="3" t="s">
        <v>1272</v>
      </c>
    </row>
    <row r="664" spans="1:15" hidden="1" x14ac:dyDescent="0.75">
      <c r="A664" s="2">
        <v>46289</v>
      </c>
      <c r="B664" s="3" t="s">
        <v>1929</v>
      </c>
      <c r="C664" s="3" t="s">
        <v>1930</v>
      </c>
      <c r="D664" s="3" t="s">
        <v>1101</v>
      </c>
      <c r="E664" s="3" t="s">
        <v>1102</v>
      </c>
      <c r="F664" s="3" t="s">
        <v>27</v>
      </c>
      <c r="G664" s="3" t="s">
        <v>28</v>
      </c>
      <c r="H664" s="4">
        <v>46289.906827199084</v>
      </c>
      <c r="I664" s="4">
        <v>46289.923209606481</v>
      </c>
      <c r="J664" s="3">
        <f>ROUND((I664-H664)*1440,0)</f>
        <v>24</v>
      </c>
      <c r="K664" s="3" t="s">
        <v>891</v>
      </c>
      <c r="L664" s="3" t="s">
        <v>77</v>
      </c>
      <c r="M664" s="3" t="s">
        <v>78</v>
      </c>
      <c r="N664" s="3" t="s">
        <v>23</v>
      </c>
      <c r="O664" s="3" t="s">
        <v>892</v>
      </c>
    </row>
    <row r="665" spans="1:15" hidden="1" x14ac:dyDescent="0.75">
      <c r="A665" s="2">
        <v>46289</v>
      </c>
      <c r="B665" s="3" t="s">
        <v>1931</v>
      </c>
      <c r="C665" s="3" t="s">
        <v>1932</v>
      </c>
      <c r="D665" s="3" t="s">
        <v>304</v>
      </c>
      <c r="E665" s="3" t="s">
        <v>305</v>
      </c>
      <c r="F665" s="3" t="s">
        <v>27</v>
      </c>
      <c r="G665" s="3" t="s">
        <v>28</v>
      </c>
      <c r="H665" s="4">
        <v>46289.907433217602</v>
      </c>
      <c r="I665" s="4">
        <v>46290.12676284722</v>
      </c>
      <c r="J665" s="3">
        <f>ROUND((I665-H665)*1440,0)</f>
        <v>316</v>
      </c>
      <c r="K665" s="3" t="s">
        <v>557</v>
      </c>
      <c r="L665" s="3" t="s">
        <v>22</v>
      </c>
      <c r="M665" s="3" t="s">
        <v>22</v>
      </c>
      <c r="N665" s="3" t="s">
        <v>23</v>
      </c>
      <c r="O665" s="3" t="s">
        <v>558</v>
      </c>
    </row>
    <row r="666" spans="1:15" hidden="1" x14ac:dyDescent="0.75">
      <c r="A666" s="2">
        <v>46289</v>
      </c>
      <c r="B666" s="3" t="s">
        <v>1933</v>
      </c>
      <c r="C666" s="3" t="s">
        <v>1934</v>
      </c>
      <c r="D666" s="3" t="s">
        <v>17</v>
      </c>
      <c r="E666" s="3" t="s">
        <v>18</v>
      </c>
      <c r="F666" s="3" t="s">
        <v>27</v>
      </c>
      <c r="G666" s="3" t="s">
        <v>28</v>
      </c>
      <c r="H666" s="4">
        <v>46289.907553935183</v>
      </c>
      <c r="I666" s="4">
        <v>46289.934771875</v>
      </c>
      <c r="J666" s="3">
        <f>ROUND((I666-H666)*1440,0)</f>
        <v>39</v>
      </c>
      <c r="K666" s="3" t="s">
        <v>352</v>
      </c>
      <c r="L666" s="3" t="s">
        <v>43</v>
      </c>
      <c r="M666" s="3" t="s">
        <v>44</v>
      </c>
      <c r="N666" s="3" t="s">
        <v>23</v>
      </c>
      <c r="O666" s="3" t="s">
        <v>353</v>
      </c>
    </row>
    <row r="667" spans="1:15" hidden="1" x14ac:dyDescent="0.75">
      <c r="A667" s="2">
        <v>46289</v>
      </c>
      <c r="B667" s="3" t="s">
        <v>1935</v>
      </c>
      <c r="C667" s="3" t="s">
        <v>1936</v>
      </c>
      <c r="D667" s="3" t="s">
        <v>82</v>
      </c>
      <c r="E667" s="3" t="s">
        <v>83</v>
      </c>
      <c r="F667" s="3" t="s">
        <v>737</v>
      </c>
      <c r="G667" s="3" t="s">
        <v>738</v>
      </c>
      <c r="H667" s="4">
        <v>46289.907854745368</v>
      </c>
      <c r="I667" s="4">
        <v>46290.000983101847</v>
      </c>
      <c r="J667" s="3">
        <f>ROUND((I667-H667)*1440,0)</f>
        <v>134</v>
      </c>
      <c r="K667" s="3" t="s">
        <v>160</v>
      </c>
      <c r="L667" s="3" t="s">
        <v>77</v>
      </c>
      <c r="M667" s="3" t="s">
        <v>78</v>
      </c>
      <c r="N667" s="3" t="s">
        <v>45</v>
      </c>
      <c r="O667" s="3" t="s">
        <v>161</v>
      </c>
    </row>
    <row r="668" spans="1:15" hidden="1" x14ac:dyDescent="0.75">
      <c r="A668" s="2">
        <v>46289</v>
      </c>
      <c r="B668" s="3" t="s">
        <v>1937</v>
      </c>
      <c r="C668" s="3" t="s">
        <v>1938</v>
      </c>
      <c r="D668" s="3" t="s">
        <v>128</v>
      </c>
      <c r="E668" s="3" t="s">
        <v>129</v>
      </c>
      <c r="F668" s="3" t="s">
        <v>56</v>
      </c>
      <c r="G668" s="3" t="s">
        <v>57</v>
      </c>
      <c r="H668" s="4">
        <v>46289.907986111109</v>
      </c>
      <c r="I668" s="4">
        <v>46290.003256018521</v>
      </c>
      <c r="J668" s="3">
        <f>ROUND((I668-H668)*1440,0)</f>
        <v>137</v>
      </c>
      <c r="K668" s="3" t="s">
        <v>1069</v>
      </c>
      <c r="L668" s="3" t="s">
        <v>36</v>
      </c>
      <c r="M668" s="3" t="s">
        <v>36</v>
      </c>
      <c r="N668" s="3" t="s">
        <v>23</v>
      </c>
      <c r="O668" s="3" t="s">
        <v>1070</v>
      </c>
    </row>
    <row r="669" spans="1:15" hidden="1" x14ac:dyDescent="0.75">
      <c r="A669" s="2">
        <v>46289</v>
      </c>
      <c r="B669" s="3" t="s">
        <v>1939</v>
      </c>
      <c r="C669" s="3" t="s">
        <v>1940</v>
      </c>
      <c r="D669" s="3" t="s">
        <v>27</v>
      </c>
      <c r="E669" s="3" t="s">
        <v>28</v>
      </c>
      <c r="F669" s="3" t="s">
        <v>17</v>
      </c>
      <c r="G669" s="3" t="s">
        <v>18</v>
      </c>
      <c r="H669" s="4">
        <v>46289.908429166673</v>
      </c>
      <c r="I669" s="4">
        <v>46289.945119444441</v>
      </c>
      <c r="J669" s="3">
        <f>ROUND((I669-H669)*1440,0)</f>
        <v>53</v>
      </c>
      <c r="K669" s="3" t="s">
        <v>1033</v>
      </c>
      <c r="L669" s="3" t="s">
        <v>77</v>
      </c>
      <c r="M669" s="3" t="s">
        <v>78</v>
      </c>
      <c r="N669" s="3" t="s">
        <v>23</v>
      </c>
      <c r="O669" s="3" t="s">
        <v>1034</v>
      </c>
    </row>
    <row r="670" spans="1:15" hidden="1" x14ac:dyDescent="0.75">
      <c r="A670" s="2">
        <v>46289</v>
      </c>
      <c r="B670" s="3" t="s">
        <v>1941</v>
      </c>
      <c r="C670" s="3" t="s">
        <v>1942</v>
      </c>
      <c r="D670" s="3" t="s">
        <v>208</v>
      </c>
      <c r="E670" s="3" t="s">
        <v>209</v>
      </c>
      <c r="F670" s="3" t="s">
        <v>56</v>
      </c>
      <c r="G670" s="3" t="s">
        <v>57</v>
      </c>
      <c r="H670" s="4">
        <v>46289.909861342603</v>
      </c>
      <c r="I670" s="4">
        <v>46290.012752314811</v>
      </c>
      <c r="J670" s="3">
        <f>ROUND((I670-H670)*1440,0)</f>
        <v>148</v>
      </c>
      <c r="K670" s="3" t="s">
        <v>35</v>
      </c>
      <c r="L670" s="3" t="s">
        <v>36</v>
      </c>
      <c r="M670" s="3" t="s">
        <v>36</v>
      </c>
      <c r="N670" s="3" t="s">
        <v>23</v>
      </c>
      <c r="O670" s="3" t="s">
        <v>37</v>
      </c>
    </row>
    <row r="671" spans="1:15" hidden="1" x14ac:dyDescent="0.75">
      <c r="A671" s="2">
        <v>46289</v>
      </c>
      <c r="B671" s="3" t="s">
        <v>98</v>
      </c>
      <c r="C671" s="3" t="s">
        <v>99</v>
      </c>
      <c r="D671" s="3" t="s">
        <v>100</v>
      </c>
      <c r="E671" s="3" t="s">
        <v>101</v>
      </c>
      <c r="F671" s="3" t="s">
        <v>27</v>
      </c>
      <c r="G671" s="3" t="s">
        <v>28</v>
      </c>
      <c r="H671" s="4">
        <v>46289.91416828704</v>
      </c>
      <c r="I671" s="4">
        <v>46290.003585648148</v>
      </c>
      <c r="J671" s="3">
        <f>ROUND((I671-H671)*1440,0)</f>
        <v>129</v>
      </c>
      <c r="K671" s="3" t="s">
        <v>489</v>
      </c>
      <c r="L671" s="3" t="s">
        <v>36</v>
      </c>
      <c r="M671" s="3" t="s">
        <v>36</v>
      </c>
      <c r="N671" s="3" t="s">
        <v>23</v>
      </c>
      <c r="O671" s="3" t="s">
        <v>490</v>
      </c>
    </row>
    <row r="672" spans="1:15" hidden="1" x14ac:dyDescent="0.75">
      <c r="A672" s="2">
        <v>46289</v>
      </c>
      <c r="B672" s="3" t="s">
        <v>1943</v>
      </c>
      <c r="C672" s="3" t="s">
        <v>1944</v>
      </c>
      <c r="D672" s="3" t="s">
        <v>122</v>
      </c>
      <c r="E672" s="3" t="s">
        <v>123</v>
      </c>
      <c r="F672" s="3" t="s">
        <v>17</v>
      </c>
      <c r="G672" s="3" t="s">
        <v>18</v>
      </c>
      <c r="H672" s="4">
        <v>46289.915137152777</v>
      </c>
      <c r="I672" s="4">
        <v>46290.126130787037</v>
      </c>
      <c r="J672" s="3">
        <f>ROUND((I672-H672)*1440,0)</f>
        <v>304</v>
      </c>
      <c r="K672" s="3" t="s">
        <v>567</v>
      </c>
      <c r="L672" s="3" t="s">
        <v>22</v>
      </c>
      <c r="M672" s="3" t="s">
        <v>22</v>
      </c>
      <c r="N672" s="3" t="s">
        <v>23</v>
      </c>
      <c r="O672" s="3" t="s">
        <v>568</v>
      </c>
    </row>
    <row r="673" spans="1:15" hidden="1" x14ac:dyDescent="0.75">
      <c r="A673" s="2">
        <v>46289</v>
      </c>
      <c r="B673" s="3" t="s">
        <v>1945</v>
      </c>
      <c r="C673" s="3" t="s">
        <v>1946</v>
      </c>
      <c r="D673" s="3"/>
      <c r="E673" s="3"/>
      <c r="F673" s="3" t="s">
        <v>17</v>
      </c>
      <c r="G673" s="3" t="s">
        <v>18</v>
      </c>
      <c r="H673" s="4">
        <v>46289.916329398147</v>
      </c>
      <c r="I673" s="4">
        <v>46289.951479398151</v>
      </c>
      <c r="J673" s="3">
        <f>ROUND((I673-H673)*1440,0)</f>
        <v>51</v>
      </c>
      <c r="K673" s="3" t="s">
        <v>537</v>
      </c>
      <c r="L673" s="3" t="s">
        <v>36</v>
      </c>
      <c r="M673" s="3" t="s">
        <v>36</v>
      </c>
      <c r="N673" s="3" t="s">
        <v>23</v>
      </c>
      <c r="O673" s="3" t="s">
        <v>538</v>
      </c>
    </row>
    <row r="674" spans="1:15" hidden="1" x14ac:dyDescent="0.75">
      <c r="A674" s="2">
        <v>46289</v>
      </c>
      <c r="B674" s="3" t="s">
        <v>1947</v>
      </c>
      <c r="C674" s="3" t="s">
        <v>1948</v>
      </c>
      <c r="D674" s="3" t="s">
        <v>19</v>
      </c>
      <c r="E674" s="3" t="s">
        <v>20</v>
      </c>
      <c r="F674" s="3" t="s">
        <v>27</v>
      </c>
      <c r="G674" s="3" t="s">
        <v>28</v>
      </c>
      <c r="H674" s="4">
        <v>46289.916868171298</v>
      </c>
      <c r="I674" s="4">
        <v>46290.021865972223</v>
      </c>
      <c r="J674" s="3">
        <f>ROUND((I674-H674)*1440,0)</f>
        <v>151</v>
      </c>
      <c r="K674" s="3" t="s">
        <v>1317</v>
      </c>
      <c r="L674" s="3" t="s">
        <v>36</v>
      </c>
      <c r="M674" s="3" t="s">
        <v>36</v>
      </c>
      <c r="N674" s="3" t="s">
        <v>23</v>
      </c>
      <c r="O674" s="3" t="s">
        <v>1318</v>
      </c>
    </row>
    <row r="675" spans="1:15" hidden="1" x14ac:dyDescent="0.75">
      <c r="A675" s="2">
        <v>46289</v>
      </c>
      <c r="B675" s="3" t="s">
        <v>1949</v>
      </c>
      <c r="C675" s="3" t="s">
        <v>1950</v>
      </c>
      <c r="D675" s="3" t="s">
        <v>27</v>
      </c>
      <c r="E675" s="3" t="s">
        <v>28</v>
      </c>
      <c r="F675" s="3" t="s">
        <v>158</v>
      </c>
      <c r="G675" s="3" t="s">
        <v>159</v>
      </c>
      <c r="H675" s="4">
        <v>46289.916989699072</v>
      </c>
      <c r="I675" s="4">
        <v>46289.968490393519</v>
      </c>
      <c r="J675" s="3">
        <f>ROUND((I675-H675)*1440,0)</f>
        <v>74</v>
      </c>
      <c r="K675" s="3" t="s">
        <v>1037</v>
      </c>
      <c r="L675" s="3" t="s">
        <v>77</v>
      </c>
      <c r="M675" s="3" t="s">
        <v>78</v>
      </c>
      <c r="N675" s="3" t="s">
        <v>23</v>
      </c>
      <c r="O675" s="3" t="s">
        <v>1038</v>
      </c>
    </row>
    <row r="676" spans="1:15" hidden="1" x14ac:dyDescent="0.75">
      <c r="A676" s="2">
        <v>46289</v>
      </c>
      <c r="B676" s="3" t="s">
        <v>1951</v>
      </c>
      <c r="C676" s="3" t="s">
        <v>1952</v>
      </c>
      <c r="D676" s="3" t="s">
        <v>264</v>
      </c>
      <c r="E676" s="3" t="s">
        <v>265</v>
      </c>
      <c r="F676" s="3" t="s">
        <v>17</v>
      </c>
      <c r="G676" s="3" t="s">
        <v>18</v>
      </c>
      <c r="H676" s="4">
        <v>46289.917965509259</v>
      </c>
      <c r="I676" s="4">
        <v>46290.108768749997</v>
      </c>
      <c r="J676" s="3">
        <f>ROUND((I676-H676)*1440,0)</f>
        <v>275</v>
      </c>
      <c r="K676" s="3" t="s">
        <v>1237</v>
      </c>
      <c r="L676" s="3" t="s">
        <v>22</v>
      </c>
      <c r="M676" s="3" t="s">
        <v>22</v>
      </c>
      <c r="N676" s="3" t="s">
        <v>23</v>
      </c>
      <c r="O676" s="3" t="s">
        <v>1238</v>
      </c>
    </row>
    <row r="677" spans="1:15" hidden="1" x14ac:dyDescent="0.75">
      <c r="A677" s="2">
        <v>46289</v>
      </c>
      <c r="B677" s="3" t="s">
        <v>1953</v>
      </c>
      <c r="C677" s="3" t="s">
        <v>1954</v>
      </c>
      <c r="D677" s="3"/>
      <c r="E677" s="3"/>
      <c r="F677" s="3" t="s">
        <v>17</v>
      </c>
      <c r="G677" s="3" t="s">
        <v>18</v>
      </c>
      <c r="H677" s="4">
        <v>46289.920698842587</v>
      </c>
      <c r="I677" s="4">
        <v>46289.958102893521</v>
      </c>
      <c r="J677" s="3">
        <f>ROUND((I677-H677)*1440,0)</f>
        <v>54</v>
      </c>
      <c r="K677" s="3" t="s">
        <v>96</v>
      </c>
      <c r="L677" s="3" t="s">
        <v>77</v>
      </c>
      <c r="M677" s="3" t="s">
        <v>78</v>
      </c>
      <c r="N677" s="3" t="s">
        <v>23</v>
      </c>
      <c r="O677" s="3" t="s">
        <v>97</v>
      </c>
    </row>
    <row r="678" spans="1:15" hidden="1" x14ac:dyDescent="0.75">
      <c r="A678" s="2">
        <v>46289</v>
      </c>
      <c r="B678" s="3" t="s">
        <v>1955</v>
      </c>
      <c r="C678" s="3" t="s">
        <v>1956</v>
      </c>
      <c r="D678" s="3"/>
      <c r="E678" s="3"/>
      <c r="F678" s="3" t="s">
        <v>56</v>
      </c>
      <c r="G678" s="3" t="s">
        <v>57</v>
      </c>
      <c r="H678" s="4">
        <v>46289.921180555553</v>
      </c>
      <c r="I678" s="4">
        <v>46289.942442013889</v>
      </c>
      <c r="J678" s="3">
        <f>ROUND((I678-H678)*1440,0)</f>
        <v>31</v>
      </c>
      <c r="K678" s="3" t="s">
        <v>240</v>
      </c>
      <c r="L678" s="3" t="s">
        <v>52</v>
      </c>
      <c r="M678" s="3"/>
      <c r="N678" s="3" t="s">
        <v>23</v>
      </c>
      <c r="O678" s="3" t="s">
        <v>241</v>
      </c>
    </row>
    <row r="679" spans="1:15" hidden="1" x14ac:dyDescent="0.75">
      <c r="A679" s="2">
        <v>46289</v>
      </c>
      <c r="B679" s="3" t="s">
        <v>1957</v>
      </c>
      <c r="C679" s="3" t="s">
        <v>1958</v>
      </c>
      <c r="D679" s="3" t="s">
        <v>615</v>
      </c>
      <c r="E679" s="3" t="s">
        <v>616</v>
      </c>
      <c r="F679" s="3" t="s">
        <v>158</v>
      </c>
      <c r="G679" s="3" t="s">
        <v>159</v>
      </c>
      <c r="H679" s="4">
        <v>46289.92182546296</v>
      </c>
      <c r="I679" s="4">
        <v>46290.059760185177</v>
      </c>
      <c r="J679" s="3">
        <f>ROUND((I679-H679)*1440,0)</f>
        <v>199</v>
      </c>
      <c r="K679" s="3" t="s">
        <v>789</v>
      </c>
      <c r="L679" s="3" t="s">
        <v>36</v>
      </c>
      <c r="M679" s="3" t="s">
        <v>36</v>
      </c>
      <c r="N679" s="3" t="s">
        <v>23</v>
      </c>
      <c r="O679" s="3" t="s">
        <v>790</v>
      </c>
    </row>
    <row r="680" spans="1:15" hidden="1" x14ac:dyDescent="0.75">
      <c r="A680" s="2">
        <v>46289</v>
      </c>
      <c r="B680" s="3" t="s">
        <v>1959</v>
      </c>
      <c r="C680" s="3" t="s">
        <v>1960</v>
      </c>
      <c r="D680" s="3" t="s">
        <v>82</v>
      </c>
      <c r="E680" s="3" t="s">
        <v>83</v>
      </c>
      <c r="F680" s="3" t="s">
        <v>56</v>
      </c>
      <c r="G680" s="3" t="s">
        <v>57</v>
      </c>
      <c r="H680" s="4">
        <v>46289.92193715278</v>
      </c>
      <c r="I680" s="4">
        <v>46289.948069791673</v>
      </c>
      <c r="J680" s="3">
        <f>ROUND((I680-H680)*1440,0)</f>
        <v>38</v>
      </c>
      <c r="K680" s="3" t="s">
        <v>617</v>
      </c>
      <c r="L680" s="3" t="s">
        <v>36</v>
      </c>
      <c r="M680" s="3" t="s">
        <v>36</v>
      </c>
      <c r="N680" s="3" t="s">
        <v>23</v>
      </c>
      <c r="O680" s="3" t="s">
        <v>618</v>
      </c>
    </row>
    <row r="681" spans="1:15" hidden="1" x14ac:dyDescent="0.75">
      <c r="A681" s="2">
        <v>46289</v>
      </c>
      <c r="B681" s="3" t="s">
        <v>1961</v>
      </c>
      <c r="C681" s="3" t="s">
        <v>1962</v>
      </c>
      <c r="D681" s="3" t="s">
        <v>17</v>
      </c>
      <c r="E681" s="3" t="s">
        <v>18</v>
      </c>
      <c r="F681" s="3" t="s">
        <v>459</v>
      </c>
      <c r="G681" s="3" t="s">
        <v>460</v>
      </c>
      <c r="H681" s="4">
        <v>46289.921964004629</v>
      </c>
      <c r="I681" s="4">
        <v>46290.136904629631</v>
      </c>
      <c r="J681" s="3">
        <f>ROUND((I681-H681)*1440,0)</f>
        <v>310</v>
      </c>
      <c r="K681" s="3" t="s">
        <v>1203</v>
      </c>
      <c r="L681" s="3" t="s">
        <v>22</v>
      </c>
      <c r="M681" s="3" t="s">
        <v>22</v>
      </c>
      <c r="N681" s="3" t="s">
        <v>23</v>
      </c>
      <c r="O681" s="3" t="s">
        <v>1204</v>
      </c>
    </row>
    <row r="682" spans="1:15" hidden="1" x14ac:dyDescent="0.75">
      <c r="A682" s="2">
        <v>46289</v>
      </c>
      <c r="B682" s="3" t="s">
        <v>1963</v>
      </c>
      <c r="C682" s="3" t="s">
        <v>1964</v>
      </c>
      <c r="D682" s="3" t="s">
        <v>27</v>
      </c>
      <c r="E682" s="3" t="s">
        <v>28</v>
      </c>
      <c r="F682" s="3" t="s">
        <v>228</v>
      </c>
      <c r="G682" s="3" t="s">
        <v>229</v>
      </c>
      <c r="H682" s="4">
        <v>46289.92451157407</v>
      </c>
      <c r="I682" s="4">
        <v>46289.985845949072</v>
      </c>
      <c r="J682" s="3">
        <f>ROUND((I682-H682)*1440,0)</f>
        <v>88</v>
      </c>
      <c r="K682" s="3" t="s">
        <v>743</v>
      </c>
      <c r="L682" s="3" t="s">
        <v>77</v>
      </c>
      <c r="M682" s="3" t="s">
        <v>78</v>
      </c>
      <c r="N682" s="3" t="s">
        <v>23</v>
      </c>
      <c r="O682" s="3" t="s">
        <v>744</v>
      </c>
    </row>
    <row r="683" spans="1:15" hidden="1" x14ac:dyDescent="0.75">
      <c r="A683" s="2">
        <v>46289</v>
      </c>
      <c r="B683" s="3" t="s">
        <v>1965</v>
      </c>
      <c r="C683" s="3" t="s">
        <v>1966</v>
      </c>
      <c r="D683" s="3" t="s">
        <v>27</v>
      </c>
      <c r="E683" s="3" t="s">
        <v>28</v>
      </c>
      <c r="F683" s="3" t="s">
        <v>719</v>
      </c>
      <c r="G683" s="3" t="s">
        <v>720</v>
      </c>
      <c r="H683" s="4">
        <v>46289.926853472221</v>
      </c>
      <c r="I683" s="4">
        <v>46290.048680555563</v>
      </c>
      <c r="J683" s="3">
        <f>ROUND((I683-H683)*1440,0)</f>
        <v>175</v>
      </c>
      <c r="K683" s="3" t="s">
        <v>1023</v>
      </c>
      <c r="L683" s="3" t="s">
        <v>77</v>
      </c>
      <c r="M683" s="3" t="s">
        <v>78</v>
      </c>
      <c r="N683" s="3" t="s">
        <v>23</v>
      </c>
      <c r="O683" s="3" t="s">
        <v>1024</v>
      </c>
    </row>
    <row r="684" spans="1:15" hidden="1" x14ac:dyDescent="0.75">
      <c r="A684" s="2">
        <v>46289</v>
      </c>
      <c r="B684" s="3" t="s">
        <v>1967</v>
      </c>
      <c r="C684" s="3" t="s">
        <v>1968</v>
      </c>
      <c r="D684" s="3" t="s">
        <v>17</v>
      </c>
      <c r="E684" s="3" t="s">
        <v>18</v>
      </c>
      <c r="F684" s="3" t="s">
        <v>571</v>
      </c>
      <c r="G684" s="3" t="s">
        <v>572</v>
      </c>
      <c r="H684" s="4">
        <v>46289.928969328706</v>
      </c>
      <c r="I684" s="4">
        <v>46290.154836574067</v>
      </c>
      <c r="J684" s="3">
        <f>ROUND((I684-H684)*1440,0)</f>
        <v>325</v>
      </c>
      <c r="K684" s="3" t="s">
        <v>573</v>
      </c>
      <c r="L684" s="3" t="s">
        <v>22</v>
      </c>
      <c r="M684" s="3" t="s">
        <v>22</v>
      </c>
      <c r="N684" s="3" t="s">
        <v>23</v>
      </c>
      <c r="O684" s="3" t="s">
        <v>574</v>
      </c>
    </row>
    <row r="685" spans="1:15" hidden="1" x14ac:dyDescent="0.75">
      <c r="A685" s="2">
        <v>46289</v>
      </c>
      <c r="B685" s="3" t="s">
        <v>1969</v>
      </c>
      <c r="C685" s="3" t="s">
        <v>1970</v>
      </c>
      <c r="D685" s="3"/>
      <c r="E685" s="3"/>
      <c r="F685" s="3" t="s">
        <v>17</v>
      </c>
      <c r="G685" s="3" t="s">
        <v>18</v>
      </c>
      <c r="H685" s="4">
        <v>46289.929016319453</v>
      </c>
      <c r="I685" s="4">
        <v>46289.964614814817</v>
      </c>
      <c r="J685" s="3">
        <f>ROUND((I685-H685)*1440,0)</f>
        <v>51</v>
      </c>
      <c r="K685" s="3" t="s">
        <v>607</v>
      </c>
      <c r="L685" s="3" t="s">
        <v>22</v>
      </c>
      <c r="M685" s="3" t="s">
        <v>22</v>
      </c>
      <c r="N685" s="3" t="s">
        <v>23</v>
      </c>
      <c r="O685" s="3" t="s">
        <v>608</v>
      </c>
    </row>
    <row r="686" spans="1:15" hidden="1" x14ac:dyDescent="0.75">
      <c r="A686" s="2">
        <v>46289</v>
      </c>
      <c r="B686" s="3" t="s">
        <v>1971</v>
      </c>
      <c r="C686" s="3" t="s">
        <v>1972</v>
      </c>
      <c r="D686" s="3" t="s">
        <v>459</v>
      </c>
      <c r="E686" s="3" t="s">
        <v>460</v>
      </c>
      <c r="F686" s="3" t="s">
        <v>27</v>
      </c>
      <c r="G686" s="3" t="s">
        <v>28</v>
      </c>
      <c r="H686" s="4">
        <v>46289.931032523149</v>
      </c>
      <c r="I686" s="4">
        <v>46290.150811342603</v>
      </c>
      <c r="J686" s="3">
        <f>ROUND((I686-H686)*1440,0)</f>
        <v>316</v>
      </c>
      <c r="K686" s="3" t="s">
        <v>533</v>
      </c>
      <c r="L686" s="3" t="s">
        <v>43</v>
      </c>
      <c r="M686" s="3" t="s">
        <v>44</v>
      </c>
      <c r="N686" s="3" t="s">
        <v>23</v>
      </c>
      <c r="O686" s="3" t="s">
        <v>534</v>
      </c>
    </row>
    <row r="687" spans="1:15" hidden="1" x14ac:dyDescent="0.75">
      <c r="A687" s="2">
        <v>46289</v>
      </c>
      <c r="B687" s="3" t="s">
        <v>1973</v>
      </c>
      <c r="C687" s="3" t="s">
        <v>1974</v>
      </c>
      <c r="D687" s="3" t="s">
        <v>82</v>
      </c>
      <c r="E687" s="3" t="s">
        <v>83</v>
      </c>
      <c r="F687" s="3" t="s">
        <v>244</v>
      </c>
      <c r="G687" s="3" t="s">
        <v>245</v>
      </c>
      <c r="H687" s="4">
        <v>46289.93128449074</v>
      </c>
      <c r="I687" s="4">
        <v>46290.024410532409</v>
      </c>
      <c r="J687" s="3">
        <f>ROUND((I687-H687)*1440,0)</f>
        <v>134</v>
      </c>
      <c r="K687" s="3" t="s">
        <v>985</v>
      </c>
      <c r="L687" s="3" t="s">
        <v>36</v>
      </c>
      <c r="M687" s="3" t="s">
        <v>36</v>
      </c>
      <c r="N687" s="3" t="s">
        <v>45</v>
      </c>
      <c r="O687" s="3" t="s">
        <v>986</v>
      </c>
    </row>
    <row r="688" spans="1:15" hidden="1" x14ac:dyDescent="0.75">
      <c r="A688" s="2">
        <v>46289</v>
      </c>
      <c r="B688" s="3" t="s">
        <v>1975</v>
      </c>
      <c r="C688" s="3" t="s">
        <v>1976</v>
      </c>
      <c r="D688" s="3" t="s">
        <v>27</v>
      </c>
      <c r="E688" s="3" t="s">
        <v>28</v>
      </c>
      <c r="F688" s="3" t="s">
        <v>304</v>
      </c>
      <c r="G688" s="3" t="s">
        <v>305</v>
      </c>
      <c r="H688" s="4">
        <v>46289.932725462961</v>
      </c>
      <c r="I688" s="4">
        <v>46290.174707060192</v>
      </c>
      <c r="J688" s="3">
        <f>ROUND((I688-H688)*1440,0)</f>
        <v>348</v>
      </c>
      <c r="K688" s="3" t="s">
        <v>721</v>
      </c>
      <c r="L688" s="3" t="s">
        <v>22</v>
      </c>
      <c r="M688" s="3" t="s">
        <v>22</v>
      </c>
      <c r="N688" s="3" t="s">
        <v>23</v>
      </c>
      <c r="O688" s="3" t="s">
        <v>722</v>
      </c>
    </row>
    <row r="689" spans="1:15" hidden="1" x14ac:dyDescent="0.75">
      <c r="A689" s="2">
        <v>46289</v>
      </c>
      <c r="B689" s="3" t="s">
        <v>1977</v>
      </c>
      <c r="C689" s="3" t="s">
        <v>1978</v>
      </c>
      <c r="D689" s="3" t="s">
        <v>27</v>
      </c>
      <c r="E689" s="3" t="s">
        <v>28</v>
      </c>
      <c r="F689" s="3" t="s">
        <v>264</v>
      </c>
      <c r="G689" s="3" t="s">
        <v>265</v>
      </c>
      <c r="H689" s="4">
        <v>46289.935646296297</v>
      </c>
      <c r="I689" s="4">
        <v>46290.148407870372</v>
      </c>
      <c r="J689" s="3">
        <f>ROUND((I689-H689)*1440,0)</f>
        <v>306</v>
      </c>
      <c r="K689" s="3" t="s">
        <v>461</v>
      </c>
      <c r="L689" s="3" t="s">
        <v>22</v>
      </c>
      <c r="M689" s="3" t="s">
        <v>22</v>
      </c>
      <c r="N689" s="3" t="s">
        <v>23</v>
      </c>
      <c r="O689" s="3" t="s">
        <v>462</v>
      </c>
    </row>
    <row r="690" spans="1:15" hidden="1" x14ac:dyDescent="0.75">
      <c r="A690" s="2">
        <v>46289</v>
      </c>
      <c r="B690" s="3" t="s">
        <v>1979</v>
      </c>
      <c r="C690" s="3" t="s">
        <v>1980</v>
      </c>
      <c r="D690" s="3" t="s">
        <v>270</v>
      </c>
      <c r="E690" s="3" t="s">
        <v>271</v>
      </c>
      <c r="F690" s="3" t="s">
        <v>17</v>
      </c>
      <c r="G690" s="3" t="s">
        <v>18</v>
      </c>
      <c r="H690" s="4">
        <v>46289.936782175922</v>
      </c>
      <c r="I690" s="4">
        <v>46290.069328124999</v>
      </c>
      <c r="J690" s="3">
        <f>ROUND((I690-H690)*1440,0)</f>
        <v>191</v>
      </c>
      <c r="K690" s="3" t="s">
        <v>300</v>
      </c>
      <c r="L690" s="3" t="s">
        <v>77</v>
      </c>
      <c r="M690" s="3" t="s">
        <v>78</v>
      </c>
      <c r="N690" s="3" t="s">
        <v>23</v>
      </c>
      <c r="O690" s="3" t="s">
        <v>301</v>
      </c>
    </row>
    <row r="691" spans="1:15" hidden="1" x14ac:dyDescent="0.75">
      <c r="A691" s="2">
        <v>46289</v>
      </c>
      <c r="B691" s="3" t="s">
        <v>1981</v>
      </c>
      <c r="C691" s="3" t="s">
        <v>1982</v>
      </c>
      <c r="D691" s="3" t="s">
        <v>27</v>
      </c>
      <c r="E691" s="3" t="s">
        <v>28</v>
      </c>
      <c r="F691" s="3" t="s">
        <v>218</v>
      </c>
      <c r="G691" s="3" t="s">
        <v>219</v>
      </c>
      <c r="H691" s="4">
        <v>46289.937090046304</v>
      </c>
      <c r="I691" s="4">
        <v>46289.999434143523</v>
      </c>
      <c r="J691" s="3">
        <f>ROUND((I691-H691)*1440,0)</f>
        <v>90</v>
      </c>
      <c r="K691" s="3" t="s">
        <v>1293</v>
      </c>
      <c r="L691" s="3" t="s">
        <v>77</v>
      </c>
      <c r="M691" s="3" t="s">
        <v>78</v>
      </c>
      <c r="N691" s="3" t="s">
        <v>23</v>
      </c>
      <c r="O691" s="3" t="s">
        <v>1294</v>
      </c>
    </row>
    <row r="692" spans="1:15" hidden="1" x14ac:dyDescent="0.75">
      <c r="A692" s="2">
        <v>46289</v>
      </c>
      <c r="B692" s="3" t="s">
        <v>1983</v>
      </c>
      <c r="C692" s="3" t="s">
        <v>1984</v>
      </c>
      <c r="D692" s="3" t="s">
        <v>17</v>
      </c>
      <c r="E692" s="3" t="s">
        <v>18</v>
      </c>
      <c r="F692" s="3" t="s">
        <v>737</v>
      </c>
      <c r="G692" s="3" t="s">
        <v>738</v>
      </c>
      <c r="H692" s="4">
        <v>46289.937289004629</v>
      </c>
      <c r="I692" s="4">
        <v>46289.976429861112</v>
      </c>
      <c r="J692" s="3">
        <f>ROUND((I692-H692)*1440,0)</f>
        <v>56</v>
      </c>
      <c r="K692" s="3" t="s">
        <v>422</v>
      </c>
      <c r="L692" s="3" t="s">
        <v>77</v>
      </c>
      <c r="M692" s="3" t="s">
        <v>78</v>
      </c>
      <c r="N692" s="3" t="s">
        <v>45</v>
      </c>
      <c r="O692" s="3" t="s">
        <v>423</v>
      </c>
    </row>
    <row r="693" spans="1:15" hidden="1" x14ac:dyDescent="0.75">
      <c r="A693" s="2">
        <v>46289</v>
      </c>
      <c r="B693" s="3" t="s">
        <v>47</v>
      </c>
      <c r="C693" s="3" t="s">
        <v>48</v>
      </c>
      <c r="D693" s="3" t="s">
        <v>49</v>
      </c>
      <c r="E693" s="3" t="s">
        <v>50</v>
      </c>
      <c r="F693" s="3" t="s">
        <v>27</v>
      </c>
      <c r="G693" s="3" t="s">
        <v>28</v>
      </c>
      <c r="H693" s="4">
        <v>46289.937333449067</v>
      </c>
      <c r="I693" s="4">
        <v>46289.974252199077</v>
      </c>
      <c r="J693" s="3">
        <f>ROUND((I693-H693)*1440,0)</f>
        <v>53</v>
      </c>
      <c r="K693" s="3" t="s">
        <v>90</v>
      </c>
      <c r="L693" s="3" t="s">
        <v>77</v>
      </c>
      <c r="M693" s="3" t="s">
        <v>78</v>
      </c>
      <c r="N693" s="3" t="s">
        <v>23</v>
      </c>
      <c r="O693" s="3" t="s">
        <v>91</v>
      </c>
    </row>
    <row r="694" spans="1:15" hidden="1" x14ac:dyDescent="0.75">
      <c r="A694" s="2">
        <v>46289</v>
      </c>
      <c r="B694" s="3" t="s">
        <v>1985</v>
      </c>
      <c r="C694" s="3" t="s">
        <v>1986</v>
      </c>
      <c r="D694" s="3" t="s">
        <v>264</v>
      </c>
      <c r="E694" s="3" t="s">
        <v>265</v>
      </c>
      <c r="F694" s="3" t="s">
        <v>27</v>
      </c>
      <c r="G694" s="3" t="s">
        <v>28</v>
      </c>
      <c r="H694" s="4">
        <v>46289.937780324071</v>
      </c>
      <c r="I694" s="4">
        <v>46290.134133217587</v>
      </c>
      <c r="J694" s="3">
        <f>ROUND((I694-H694)*1440,0)</f>
        <v>283</v>
      </c>
      <c r="K694" s="3" t="s">
        <v>1147</v>
      </c>
      <c r="L694" s="3" t="s">
        <v>22</v>
      </c>
      <c r="M694" s="3" t="s">
        <v>22</v>
      </c>
      <c r="N694" s="3" t="s">
        <v>23</v>
      </c>
      <c r="O694" s="3" t="s">
        <v>1148</v>
      </c>
    </row>
    <row r="695" spans="1:15" hidden="1" x14ac:dyDescent="0.75">
      <c r="A695" s="2">
        <v>46289</v>
      </c>
      <c r="B695" s="3" t="s">
        <v>1987</v>
      </c>
      <c r="C695" s="3" t="s">
        <v>1988</v>
      </c>
      <c r="D695" s="3" t="s">
        <v>1569</v>
      </c>
      <c r="E695" s="3" t="s">
        <v>1570</v>
      </c>
      <c r="F695" s="3" t="s">
        <v>82</v>
      </c>
      <c r="G695" s="3" t="s">
        <v>83</v>
      </c>
      <c r="H695" s="4">
        <v>46289.938439930564</v>
      </c>
      <c r="I695" s="4">
        <v>46289.986841435188</v>
      </c>
      <c r="J695" s="3">
        <f>ROUND((I695-H695)*1440,0)</f>
        <v>70</v>
      </c>
      <c r="K695" s="3" t="s">
        <v>1989</v>
      </c>
      <c r="L695" s="3" t="s">
        <v>36</v>
      </c>
      <c r="M695" s="3" t="s">
        <v>36</v>
      </c>
      <c r="N695" s="3" t="s">
        <v>23</v>
      </c>
      <c r="O695" s="3" t="s">
        <v>1990</v>
      </c>
    </row>
    <row r="696" spans="1:15" hidden="1" x14ac:dyDescent="0.75">
      <c r="A696" s="2">
        <v>46289</v>
      </c>
      <c r="B696" s="3" t="s">
        <v>1991</v>
      </c>
      <c r="C696" s="3" t="s">
        <v>1992</v>
      </c>
      <c r="D696" s="3" t="s">
        <v>27</v>
      </c>
      <c r="E696" s="3" t="s">
        <v>28</v>
      </c>
      <c r="F696" s="3" t="s">
        <v>56</v>
      </c>
      <c r="G696" s="3" t="s">
        <v>57</v>
      </c>
      <c r="H696" s="4">
        <v>46289.938564814824</v>
      </c>
      <c r="I696" s="4">
        <v>46290.057064583343</v>
      </c>
      <c r="J696" s="3">
        <f>ROUND((I696-H696)*1440,0)</f>
        <v>171</v>
      </c>
      <c r="K696" s="3" t="s">
        <v>961</v>
      </c>
      <c r="L696" s="3" t="s">
        <v>36</v>
      </c>
      <c r="M696" s="3" t="s">
        <v>36</v>
      </c>
      <c r="N696" s="3" t="s">
        <v>23</v>
      </c>
      <c r="O696" s="3" t="s">
        <v>962</v>
      </c>
    </row>
    <row r="697" spans="1:15" hidden="1" x14ac:dyDescent="0.75">
      <c r="A697" s="2">
        <v>46289</v>
      </c>
      <c r="B697" s="3" t="s">
        <v>1993</v>
      </c>
      <c r="C697" s="3" t="s">
        <v>1994</v>
      </c>
      <c r="D697" s="3" t="s">
        <v>1113</v>
      </c>
      <c r="E697" s="3" t="s">
        <v>1114</v>
      </c>
      <c r="F697" s="3" t="s">
        <v>17</v>
      </c>
      <c r="G697" s="3" t="s">
        <v>18</v>
      </c>
      <c r="H697" s="4">
        <v>46289.938952546298</v>
      </c>
      <c r="I697" s="4">
        <v>46290.086882870368</v>
      </c>
      <c r="J697" s="3">
        <f>ROUND((I697-H697)*1440,0)</f>
        <v>213</v>
      </c>
      <c r="K697" s="3" t="s">
        <v>1177</v>
      </c>
      <c r="L697" s="3" t="s">
        <v>77</v>
      </c>
      <c r="M697" s="3" t="s">
        <v>78</v>
      </c>
      <c r="N697" s="3" t="s">
        <v>23</v>
      </c>
      <c r="O697" s="3" t="s">
        <v>1178</v>
      </c>
    </row>
    <row r="698" spans="1:15" hidden="1" x14ac:dyDescent="0.75">
      <c r="A698" s="2">
        <v>46289</v>
      </c>
      <c r="B698" s="3" t="s">
        <v>1995</v>
      </c>
      <c r="C698" s="3" t="s">
        <v>1996</v>
      </c>
      <c r="D698" s="3" t="s">
        <v>17</v>
      </c>
      <c r="E698" s="3" t="s">
        <v>18</v>
      </c>
      <c r="F698" s="3" t="s">
        <v>527</v>
      </c>
      <c r="G698" s="3" t="s">
        <v>528</v>
      </c>
      <c r="H698" s="4">
        <v>46289.940679629632</v>
      </c>
      <c r="I698" s="4">
        <v>46290.158343750001</v>
      </c>
      <c r="J698" s="3">
        <f>ROUND((I698-H698)*1440,0)</f>
        <v>313</v>
      </c>
      <c r="K698" s="3" t="s">
        <v>1997</v>
      </c>
      <c r="L698" s="3" t="s">
        <v>77</v>
      </c>
      <c r="M698" s="3" t="s">
        <v>78</v>
      </c>
      <c r="N698" s="3" t="s">
        <v>23</v>
      </c>
      <c r="O698" s="3" t="s">
        <v>1998</v>
      </c>
    </row>
    <row r="699" spans="1:15" hidden="1" x14ac:dyDescent="0.75">
      <c r="A699" s="2">
        <v>46289</v>
      </c>
      <c r="B699" s="3" t="s">
        <v>1999</v>
      </c>
      <c r="C699" s="3" t="s">
        <v>2000</v>
      </c>
      <c r="D699" s="3" t="s">
        <v>270</v>
      </c>
      <c r="E699" s="3" t="s">
        <v>271</v>
      </c>
      <c r="F699" s="3" t="s">
        <v>56</v>
      </c>
      <c r="G699" s="3" t="s">
        <v>57</v>
      </c>
      <c r="H699" s="4">
        <v>46289.940693634257</v>
      </c>
      <c r="I699" s="4">
        <v>46290.026647916668</v>
      </c>
      <c r="J699" s="3">
        <f>ROUND((I699-H699)*1440,0)</f>
        <v>124</v>
      </c>
      <c r="K699" s="3" t="s">
        <v>645</v>
      </c>
      <c r="L699" s="3" t="s">
        <v>36</v>
      </c>
      <c r="M699" s="3" t="s">
        <v>36</v>
      </c>
      <c r="N699" s="3" t="s">
        <v>23</v>
      </c>
      <c r="O699" s="3" t="s">
        <v>646</v>
      </c>
    </row>
    <row r="700" spans="1:15" hidden="1" x14ac:dyDescent="0.75">
      <c r="A700" s="2">
        <v>46289</v>
      </c>
      <c r="B700" s="3" t="s">
        <v>2001</v>
      </c>
      <c r="C700" s="3" t="s">
        <v>2002</v>
      </c>
      <c r="D700" s="3" t="s">
        <v>1101</v>
      </c>
      <c r="E700" s="3" t="s">
        <v>1102</v>
      </c>
      <c r="F700" s="3" t="s">
        <v>84</v>
      </c>
      <c r="G700" s="3" t="s">
        <v>85</v>
      </c>
      <c r="H700" s="4">
        <v>46289.941909374997</v>
      </c>
      <c r="I700" s="4">
        <v>46289.966275925923</v>
      </c>
      <c r="J700" s="3">
        <f>ROUND((I700-H700)*1440,0)</f>
        <v>35</v>
      </c>
      <c r="K700" s="3" t="s">
        <v>923</v>
      </c>
      <c r="L700" s="3" t="s">
        <v>52</v>
      </c>
      <c r="M700" s="3"/>
      <c r="N700" s="3" t="s">
        <v>45</v>
      </c>
      <c r="O700" s="3" t="s">
        <v>924</v>
      </c>
    </row>
    <row r="701" spans="1:15" hidden="1" x14ac:dyDescent="0.75">
      <c r="A701" s="2">
        <v>46289</v>
      </c>
      <c r="B701" s="3" t="s">
        <v>2003</v>
      </c>
      <c r="C701" s="3" t="s">
        <v>2004</v>
      </c>
      <c r="D701" s="3" t="s">
        <v>17</v>
      </c>
      <c r="E701" s="3" t="s">
        <v>18</v>
      </c>
      <c r="F701" s="3" t="s">
        <v>304</v>
      </c>
      <c r="G701" s="3" t="s">
        <v>305</v>
      </c>
      <c r="H701" s="4">
        <v>46289.94231770833</v>
      </c>
      <c r="I701" s="4">
        <v>46290.159106828702</v>
      </c>
      <c r="J701" s="3">
        <f>ROUND((I701-H701)*1440,0)</f>
        <v>312</v>
      </c>
      <c r="K701" s="3" t="s">
        <v>747</v>
      </c>
      <c r="L701" s="3" t="s">
        <v>22</v>
      </c>
      <c r="M701" s="3" t="s">
        <v>22</v>
      </c>
      <c r="N701" s="3" t="s">
        <v>23</v>
      </c>
      <c r="O701" s="3" t="s">
        <v>748</v>
      </c>
    </row>
    <row r="702" spans="1:15" hidden="1" x14ac:dyDescent="0.75">
      <c r="A702" s="2">
        <v>46289</v>
      </c>
      <c r="B702" s="3" t="s">
        <v>2005</v>
      </c>
      <c r="C702" s="3" t="s">
        <v>2006</v>
      </c>
      <c r="D702" s="3" t="s">
        <v>17</v>
      </c>
      <c r="E702" s="3" t="s">
        <v>18</v>
      </c>
      <c r="F702" s="3" t="s">
        <v>122</v>
      </c>
      <c r="G702" s="3" t="s">
        <v>123</v>
      </c>
      <c r="H702" s="4">
        <v>46289.943127430553</v>
      </c>
      <c r="I702" s="4">
        <v>46290.183789699076</v>
      </c>
      <c r="J702" s="3">
        <f>ROUND((I702-H702)*1440,0)</f>
        <v>347</v>
      </c>
      <c r="K702" s="3" t="s">
        <v>426</v>
      </c>
      <c r="L702" s="3" t="s">
        <v>22</v>
      </c>
      <c r="M702" s="3" t="s">
        <v>22</v>
      </c>
      <c r="N702" s="3" t="s">
        <v>23</v>
      </c>
      <c r="O702" s="3" t="s">
        <v>427</v>
      </c>
    </row>
    <row r="703" spans="1:15" hidden="1" x14ac:dyDescent="0.75">
      <c r="A703" s="2">
        <v>46289</v>
      </c>
      <c r="B703" s="3" t="s">
        <v>2007</v>
      </c>
      <c r="C703" s="3" t="s">
        <v>2008</v>
      </c>
      <c r="D703" s="3" t="s">
        <v>27</v>
      </c>
      <c r="E703" s="3" t="s">
        <v>28</v>
      </c>
      <c r="F703" s="3" t="s">
        <v>737</v>
      </c>
      <c r="G703" s="3" t="s">
        <v>738</v>
      </c>
      <c r="H703" s="4">
        <v>46289.944954976847</v>
      </c>
      <c r="I703" s="4">
        <v>46289.99093900463</v>
      </c>
      <c r="J703" s="3">
        <f>ROUND((I703-H703)*1440,0)</f>
        <v>66</v>
      </c>
      <c r="K703" s="3" t="s">
        <v>184</v>
      </c>
      <c r="L703" s="3" t="s">
        <v>77</v>
      </c>
      <c r="M703" s="3" t="s">
        <v>78</v>
      </c>
      <c r="N703" s="3" t="s">
        <v>45</v>
      </c>
      <c r="O703" s="3" t="s">
        <v>185</v>
      </c>
    </row>
    <row r="704" spans="1:15" hidden="1" x14ac:dyDescent="0.75">
      <c r="A704" s="2">
        <v>46289</v>
      </c>
      <c r="B704" s="3" t="s">
        <v>2009</v>
      </c>
      <c r="C704" s="3" t="s">
        <v>2010</v>
      </c>
      <c r="D704" s="3" t="s">
        <v>17</v>
      </c>
      <c r="E704" s="3" t="s">
        <v>18</v>
      </c>
      <c r="F704" s="3" t="s">
        <v>56</v>
      </c>
      <c r="G704" s="3" t="s">
        <v>57</v>
      </c>
      <c r="H704" s="4">
        <v>46289.946202893523</v>
      </c>
      <c r="I704" s="4">
        <v>46290.049186689823</v>
      </c>
      <c r="J704" s="3">
        <f>ROUND((I704-H704)*1440,0)</f>
        <v>148</v>
      </c>
      <c r="K704" s="3" t="s">
        <v>392</v>
      </c>
      <c r="L704" s="3" t="s">
        <v>22</v>
      </c>
      <c r="M704" s="3" t="s">
        <v>22</v>
      </c>
      <c r="N704" s="3" t="s">
        <v>23</v>
      </c>
      <c r="O704" s="3" t="s">
        <v>393</v>
      </c>
    </row>
    <row r="705" spans="1:15" hidden="1" x14ac:dyDescent="0.75">
      <c r="A705" s="2">
        <v>46289</v>
      </c>
      <c r="B705" s="3" t="s">
        <v>2011</v>
      </c>
      <c r="C705" s="3" t="s">
        <v>2012</v>
      </c>
      <c r="D705" s="3" t="s">
        <v>1269</v>
      </c>
      <c r="E705" s="3" t="s">
        <v>1270</v>
      </c>
      <c r="F705" s="3" t="s">
        <v>27</v>
      </c>
      <c r="G705" s="3" t="s">
        <v>28</v>
      </c>
      <c r="H705" s="4">
        <v>46289.94775486111</v>
      </c>
      <c r="I705" s="4">
        <v>46290.028030555557</v>
      </c>
      <c r="J705" s="3">
        <f>ROUND((I705-H705)*1440,0)</f>
        <v>116</v>
      </c>
      <c r="K705" s="3" t="s">
        <v>224</v>
      </c>
      <c r="L705" s="3" t="s">
        <v>77</v>
      </c>
      <c r="M705" s="3" t="s">
        <v>78</v>
      </c>
      <c r="N705" s="3" t="s">
        <v>23</v>
      </c>
      <c r="O705" s="3" t="s">
        <v>225</v>
      </c>
    </row>
    <row r="706" spans="1:15" hidden="1" x14ac:dyDescent="0.75">
      <c r="A706" s="2">
        <v>46289</v>
      </c>
      <c r="B706" s="3" t="s">
        <v>132</v>
      </c>
      <c r="C706" s="3" t="s">
        <v>133</v>
      </c>
      <c r="D706" s="3" t="s">
        <v>615</v>
      </c>
      <c r="E706" s="3" t="s">
        <v>616</v>
      </c>
      <c r="F706" s="3" t="s">
        <v>82</v>
      </c>
      <c r="G706" s="3" t="s">
        <v>83</v>
      </c>
      <c r="H706" s="4">
        <v>46289.948478935177</v>
      </c>
      <c r="I706" s="4">
        <v>46290.05579525463</v>
      </c>
      <c r="J706" s="3">
        <f>ROUND((I706-H706)*1440,0)</f>
        <v>155</v>
      </c>
      <c r="K706" s="3" t="s">
        <v>282</v>
      </c>
      <c r="L706" s="3" t="s">
        <v>36</v>
      </c>
      <c r="M706" s="3" t="s">
        <v>36</v>
      </c>
      <c r="N706" s="3" t="s">
        <v>23</v>
      </c>
      <c r="O706" s="3" t="s">
        <v>283</v>
      </c>
    </row>
    <row r="707" spans="1:15" hidden="1" x14ac:dyDescent="0.75">
      <c r="A707" s="2">
        <v>46289</v>
      </c>
      <c r="B707" s="3" t="s">
        <v>445</v>
      </c>
      <c r="C707" s="3" t="s">
        <v>446</v>
      </c>
      <c r="D707" s="3" t="s">
        <v>27</v>
      </c>
      <c r="E707" s="3" t="s">
        <v>28</v>
      </c>
      <c r="F707" s="3" t="s">
        <v>447</v>
      </c>
      <c r="G707" s="3" t="s">
        <v>448</v>
      </c>
      <c r="H707" s="4">
        <v>46289.949080092592</v>
      </c>
      <c r="I707" s="4">
        <v>46290.257283217587</v>
      </c>
      <c r="J707" s="3">
        <f>ROUND((I707-H707)*1440,0)</f>
        <v>444</v>
      </c>
      <c r="K707" s="3" t="s">
        <v>449</v>
      </c>
      <c r="L707" s="3" t="s">
        <v>43</v>
      </c>
      <c r="M707" s="3" t="s">
        <v>44</v>
      </c>
      <c r="N707" s="3" t="s">
        <v>45</v>
      </c>
      <c r="O707" s="3" t="s">
        <v>450</v>
      </c>
    </row>
    <row r="708" spans="1:15" hidden="1" x14ac:dyDescent="0.75">
      <c r="A708" s="2">
        <v>46289</v>
      </c>
      <c r="B708" s="3" t="s">
        <v>2013</v>
      </c>
      <c r="C708" s="3" t="s">
        <v>2014</v>
      </c>
      <c r="D708" s="3" t="s">
        <v>94</v>
      </c>
      <c r="E708" s="3" t="s">
        <v>95</v>
      </c>
      <c r="F708" s="3" t="s">
        <v>27</v>
      </c>
      <c r="G708" s="3" t="s">
        <v>28</v>
      </c>
      <c r="H708" s="4">
        <v>46289.94910208333</v>
      </c>
      <c r="I708" s="4">
        <v>46290.009260995372</v>
      </c>
      <c r="J708" s="3">
        <f>ROUND((I708-H708)*1440,0)</f>
        <v>87</v>
      </c>
      <c r="K708" s="3" t="s">
        <v>236</v>
      </c>
      <c r="L708" s="3" t="s">
        <v>77</v>
      </c>
      <c r="M708" s="3" t="s">
        <v>78</v>
      </c>
      <c r="N708" s="3" t="s">
        <v>23</v>
      </c>
      <c r="O708" s="3" t="s">
        <v>237</v>
      </c>
    </row>
    <row r="709" spans="1:15" hidden="1" x14ac:dyDescent="0.75">
      <c r="A709" s="2">
        <v>46289</v>
      </c>
      <c r="B709" s="3" t="s">
        <v>2015</v>
      </c>
      <c r="C709" s="3" t="s">
        <v>2016</v>
      </c>
      <c r="D709" s="3" t="s">
        <v>84</v>
      </c>
      <c r="E709" s="3" t="s">
        <v>85</v>
      </c>
      <c r="F709" s="3" t="s">
        <v>68</v>
      </c>
      <c r="G709" s="3" t="s">
        <v>69</v>
      </c>
      <c r="H709" s="4">
        <v>46289.949771180552</v>
      </c>
      <c r="I709" s="4">
        <v>46290.051625810192</v>
      </c>
      <c r="J709" s="3">
        <f>ROUND((I709-H709)*1440,0)</f>
        <v>147</v>
      </c>
      <c r="K709" s="3" t="s">
        <v>1307</v>
      </c>
      <c r="L709" s="3" t="s">
        <v>36</v>
      </c>
      <c r="M709" s="3" t="s">
        <v>36</v>
      </c>
      <c r="N709" s="3" t="s">
        <v>23</v>
      </c>
      <c r="O709" s="3" t="s">
        <v>1308</v>
      </c>
    </row>
    <row r="710" spans="1:15" hidden="1" x14ac:dyDescent="0.75">
      <c r="A710" s="2">
        <v>46289</v>
      </c>
      <c r="B710" s="3" t="s">
        <v>2017</v>
      </c>
      <c r="C710" s="3" t="s">
        <v>2018</v>
      </c>
      <c r="D710" s="3" t="s">
        <v>27</v>
      </c>
      <c r="E710" s="3" t="s">
        <v>28</v>
      </c>
      <c r="F710" s="3" t="s">
        <v>158</v>
      </c>
      <c r="G710" s="3" t="s">
        <v>159</v>
      </c>
      <c r="H710" s="4">
        <v>46289.951821759263</v>
      </c>
      <c r="I710" s="4">
        <v>46289.998751157407</v>
      </c>
      <c r="J710" s="3">
        <f>ROUND((I710-H710)*1440,0)</f>
        <v>68</v>
      </c>
      <c r="K710" s="3" t="s">
        <v>1161</v>
      </c>
      <c r="L710" s="3" t="s">
        <v>77</v>
      </c>
      <c r="M710" s="3" t="s">
        <v>78</v>
      </c>
      <c r="N710" s="3" t="s">
        <v>23</v>
      </c>
      <c r="O710" s="3" t="s">
        <v>1162</v>
      </c>
    </row>
    <row r="711" spans="1:15" hidden="1" x14ac:dyDescent="0.75">
      <c r="A711" s="2">
        <v>46289</v>
      </c>
      <c r="B711" s="3" t="s">
        <v>2019</v>
      </c>
      <c r="C711" s="3" t="s">
        <v>2020</v>
      </c>
      <c r="D711" s="3" t="s">
        <v>68</v>
      </c>
      <c r="E711" s="3" t="s">
        <v>69</v>
      </c>
      <c r="F711" s="3" t="s">
        <v>244</v>
      </c>
      <c r="G711" s="3" t="s">
        <v>245</v>
      </c>
      <c r="H711" s="4">
        <v>46289.952162615737</v>
      </c>
      <c r="I711" s="4">
        <v>46290.057489583327</v>
      </c>
      <c r="J711" s="3">
        <f>ROUND((I711-H711)*1440,0)</f>
        <v>152</v>
      </c>
      <c r="K711" s="3" t="s">
        <v>819</v>
      </c>
      <c r="L711" s="3" t="s">
        <v>36</v>
      </c>
      <c r="M711" s="3" t="s">
        <v>36</v>
      </c>
      <c r="N711" s="3" t="s">
        <v>45</v>
      </c>
      <c r="O711" s="3" t="s">
        <v>820</v>
      </c>
    </row>
    <row r="712" spans="1:15" hidden="1" x14ac:dyDescent="0.75">
      <c r="A712" s="2">
        <v>46289</v>
      </c>
      <c r="B712" s="3" t="s">
        <v>2021</v>
      </c>
      <c r="C712" s="3" t="s">
        <v>2022</v>
      </c>
      <c r="D712" s="3" t="s">
        <v>56</v>
      </c>
      <c r="E712" s="3" t="s">
        <v>57</v>
      </c>
      <c r="F712" s="3" t="s">
        <v>17</v>
      </c>
      <c r="G712" s="3" t="s">
        <v>18</v>
      </c>
      <c r="H712" s="4">
        <v>46289.95231064815</v>
      </c>
      <c r="I712" s="4">
        <v>46290.051470023151</v>
      </c>
      <c r="J712" s="3">
        <f>ROUND((I712-H712)*1440,0)</f>
        <v>143</v>
      </c>
      <c r="K712" s="3" t="s">
        <v>1399</v>
      </c>
      <c r="L712" s="3" t="s">
        <v>43</v>
      </c>
      <c r="M712" s="3" t="s">
        <v>44</v>
      </c>
      <c r="N712" s="3" t="s">
        <v>23</v>
      </c>
      <c r="O712" s="3" t="s">
        <v>1400</v>
      </c>
    </row>
    <row r="713" spans="1:15" hidden="1" x14ac:dyDescent="0.75">
      <c r="A713" s="2">
        <v>46289</v>
      </c>
      <c r="B713" s="3" t="s">
        <v>2023</v>
      </c>
      <c r="C713" s="3" t="s">
        <v>2024</v>
      </c>
      <c r="D713" s="3" t="s">
        <v>158</v>
      </c>
      <c r="E713" s="3" t="s">
        <v>159</v>
      </c>
      <c r="F713" s="3" t="s">
        <v>68</v>
      </c>
      <c r="G713" s="3" t="s">
        <v>69</v>
      </c>
      <c r="H713" s="4">
        <v>46289.953221064818</v>
      </c>
      <c r="I713" s="4">
        <v>46290.038113773153</v>
      </c>
      <c r="J713" s="3">
        <f>ROUND((I713-H713)*1440,0)</f>
        <v>122</v>
      </c>
      <c r="K713" s="3" t="s">
        <v>372</v>
      </c>
      <c r="L713" s="3" t="s">
        <v>77</v>
      </c>
      <c r="M713" s="3" t="s">
        <v>78</v>
      </c>
      <c r="N713" s="3" t="s">
        <v>23</v>
      </c>
      <c r="O713" s="3" t="s">
        <v>373</v>
      </c>
    </row>
    <row r="714" spans="1:15" hidden="1" x14ac:dyDescent="0.75">
      <c r="A714" s="2">
        <v>46289</v>
      </c>
      <c r="B714" s="3" t="s">
        <v>2025</v>
      </c>
      <c r="C714" s="3" t="s">
        <v>2026</v>
      </c>
      <c r="D714" s="3" t="s">
        <v>196</v>
      </c>
      <c r="E714" s="3" t="s">
        <v>197</v>
      </c>
      <c r="F714" s="3" t="s">
        <v>27</v>
      </c>
      <c r="G714" s="3" t="s">
        <v>28</v>
      </c>
      <c r="H714" s="4">
        <v>46289.955827083337</v>
      </c>
      <c r="I714" s="4">
        <v>46290.011231597222</v>
      </c>
      <c r="J714" s="3">
        <f>ROUND((I714-H714)*1440,0)</f>
        <v>80</v>
      </c>
      <c r="K714" s="3" t="s">
        <v>793</v>
      </c>
      <c r="L714" s="3" t="s">
        <v>77</v>
      </c>
      <c r="M714" s="3" t="s">
        <v>78</v>
      </c>
      <c r="N714" s="3" t="s">
        <v>23</v>
      </c>
      <c r="O714" s="3" t="s">
        <v>794</v>
      </c>
    </row>
    <row r="715" spans="1:15" hidden="1" x14ac:dyDescent="0.75">
      <c r="A715" s="2">
        <v>46289</v>
      </c>
      <c r="B715" s="3" t="s">
        <v>2027</v>
      </c>
      <c r="C715" s="3" t="s">
        <v>2028</v>
      </c>
      <c r="D715" s="3" t="s">
        <v>158</v>
      </c>
      <c r="E715" s="3" t="s">
        <v>159</v>
      </c>
      <c r="F715" s="3" t="s">
        <v>82</v>
      </c>
      <c r="G715" s="3" t="s">
        <v>83</v>
      </c>
      <c r="H715" s="4">
        <v>46289.956212731478</v>
      </c>
      <c r="I715" s="4">
        <v>46290.032250810182</v>
      </c>
      <c r="J715" s="3">
        <f>ROUND((I715-H715)*1440,0)</f>
        <v>109</v>
      </c>
      <c r="K715" s="3" t="s">
        <v>665</v>
      </c>
      <c r="L715" s="3" t="s">
        <v>36</v>
      </c>
      <c r="M715" s="3" t="s">
        <v>36</v>
      </c>
      <c r="N715" s="3" t="s">
        <v>23</v>
      </c>
      <c r="O715" s="3" t="s">
        <v>666</v>
      </c>
    </row>
    <row r="716" spans="1:15" hidden="1" x14ac:dyDescent="0.75">
      <c r="A716" s="2">
        <v>46289</v>
      </c>
      <c r="B716" s="3" t="s">
        <v>2029</v>
      </c>
      <c r="C716" s="3" t="s">
        <v>2030</v>
      </c>
      <c r="D716" s="3" t="s">
        <v>17</v>
      </c>
      <c r="E716" s="3" t="s">
        <v>18</v>
      </c>
      <c r="F716" s="3"/>
      <c r="G716" s="3"/>
      <c r="H716" s="4">
        <v>46289.957068402779</v>
      </c>
      <c r="I716" s="4">
        <v>46290.156512615737</v>
      </c>
      <c r="J716" s="3">
        <f>ROUND((I716-H716)*1440,0)</f>
        <v>287</v>
      </c>
      <c r="K716" s="3" t="s">
        <v>1537</v>
      </c>
      <c r="L716" s="3" t="s">
        <v>43</v>
      </c>
      <c r="M716" s="3" t="s">
        <v>44</v>
      </c>
      <c r="N716" s="3" t="s">
        <v>443</v>
      </c>
      <c r="O716" s="3" t="s">
        <v>1538</v>
      </c>
    </row>
    <row r="717" spans="1:15" hidden="1" x14ac:dyDescent="0.75">
      <c r="A717" s="2">
        <v>46289</v>
      </c>
      <c r="B717" s="3" t="s">
        <v>2031</v>
      </c>
      <c r="C717" s="3" t="s">
        <v>2032</v>
      </c>
      <c r="D717" s="3" t="s">
        <v>304</v>
      </c>
      <c r="E717" s="3" t="s">
        <v>305</v>
      </c>
      <c r="F717" s="3"/>
      <c r="G717" s="3"/>
      <c r="H717" s="4">
        <v>46289.958289120368</v>
      </c>
      <c r="I717" s="4">
        <v>46289.999822106482</v>
      </c>
      <c r="J717" s="3">
        <f>ROUND((I717-H717)*1440,0)</f>
        <v>60</v>
      </c>
      <c r="K717" s="3" t="s">
        <v>306</v>
      </c>
      <c r="L717" s="3" t="s">
        <v>22</v>
      </c>
      <c r="M717" s="3" t="s">
        <v>22</v>
      </c>
      <c r="N717" s="3" t="s">
        <v>443</v>
      </c>
      <c r="O717" s="3" t="s">
        <v>307</v>
      </c>
    </row>
    <row r="718" spans="1:15" hidden="1" x14ac:dyDescent="0.75">
      <c r="A718" s="2">
        <v>46289</v>
      </c>
      <c r="B718" s="3" t="s">
        <v>463</v>
      </c>
      <c r="C718" s="3" t="s">
        <v>464</v>
      </c>
      <c r="D718" s="3" t="s">
        <v>27</v>
      </c>
      <c r="E718" s="3" t="s">
        <v>28</v>
      </c>
      <c r="F718" s="3" t="s">
        <v>344</v>
      </c>
      <c r="G718" s="3" t="s">
        <v>345</v>
      </c>
      <c r="H718" s="4">
        <v>46289.958482870366</v>
      </c>
      <c r="I718" s="4">
        <v>46290.216979976853</v>
      </c>
      <c r="J718" s="3">
        <f>ROUND((I718-H718)*1440,0)</f>
        <v>372</v>
      </c>
      <c r="K718" s="3" t="s">
        <v>42</v>
      </c>
      <c r="L718" s="3" t="s">
        <v>43</v>
      </c>
      <c r="M718" s="3" t="s">
        <v>44</v>
      </c>
      <c r="N718" s="3" t="s">
        <v>23</v>
      </c>
      <c r="O718" s="3" t="s">
        <v>46</v>
      </c>
    </row>
    <row r="719" spans="1:15" hidden="1" x14ac:dyDescent="0.75">
      <c r="A719" s="2">
        <v>46289</v>
      </c>
      <c r="B719" s="3" t="s">
        <v>2033</v>
      </c>
      <c r="C719" s="3" t="s">
        <v>2034</v>
      </c>
      <c r="D719" s="3" t="s">
        <v>208</v>
      </c>
      <c r="E719" s="3" t="s">
        <v>209</v>
      </c>
      <c r="F719" s="3" t="s">
        <v>56</v>
      </c>
      <c r="G719" s="3" t="s">
        <v>57</v>
      </c>
      <c r="H719" s="4">
        <v>46289.959658449072</v>
      </c>
      <c r="I719" s="4">
        <v>46290.060130439822</v>
      </c>
      <c r="J719" s="3">
        <f>ROUND((I719-H719)*1440,0)</f>
        <v>145</v>
      </c>
      <c r="K719" s="3" t="s">
        <v>1105</v>
      </c>
      <c r="L719" s="3" t="s">
        <v>36</v>
      </c>
      <c r="M719" s="3" t="s">
        <v>36</v>
      </c>
      <c r="N719" s="3" t="s">
        <v>23</v>
      </c>
      <c r="O719" s="3" t="s">
        <v>1106</v>
      </c>
    </row>
    <row r="720" spans="1:15" hidden="1" x14ac:dyDescent="0.75">
      <c r="A720" s="2">
        <v>46289</v>
      </c>
      <c r="B720" s="3" t="s">
        <v>2035</v>
      </c>
      <c r="C720" s="3" t="s">
        <v>2036</v>
      </c>
      <c r="D720" s="3" t="s">
        <v>264</v>
      </c>
      <c r="E720" s="3" t="s">
        <v>265</v>
      </c>
      <c r="F720" s="3" t="s">
        <v>17</v>
      </c>
      <c r="G720" s="3" t="s">
        <v>18</v>
      </c>
      <c r="H720" s="4">
        <v>46289.959682870372</v>
      </c>
      <c r="I720" s="4">
        <v>46290.148555439817</v>
      </c>
      <c r="J720" s="3">
        <f>ROUND((I720-H720)*1440,0)</f>
        <v>272</v>
      </c>
      <c r="K720" s="3" t="s">
        <v>581</v>
      </c>
      <c r="L720" s="3" t="s">
        <v>22</v>
      </c>
      <c r="M720" s="3" t="s">
        <v>22</v>
      </c>
      <c r="N720" s="3" t="s">
        <v>23</v>
      </c>
      <c r="O720" s="3" t="s">
        <v>582</v>
      </c>
    </row>
    <row r="721" spans="1:15" hidden="1" x14ac:dyDescent="0.75">
      <c r="A721" s="2">
        <v>46289</v>
      </c>
      <c r="B721" s="3" t="s">
        <v>2037</v>
      </c>
      <c r="C721" s="3" t="s">
        <v>2038</v>
      </c>
      <c r="D721" s="3" t="s">
        <v>68</v>
      </c>
      <c r="E721" s="3" t="s">
        <v>69</v>
      </c>
      <c r="F721" s="3" t="s">
        <v>208</v>
      </c>
      <c r="G721" s="3" t="s">
        <v>209</v>
      </c>
      <c r="H721" s="4">
        <v>46289.96125763889</v>
      </c>
      <c r="I721" s="4">
        <v>46290.059917708328</v>
      </c>
      <c r="J721" s="3">
        <f>ROUND((I721-H721)*1440,0)</f>
        <v>142</v>
      </c>
      <c r="K721" s="3" t="s">
        <v>1343</v>
      </c>
      <c r="L721" s="3" t="s">
        <v>36</v>
      </c>
      <c r="M721" s="3" t="s">
        <v>36</v>
      </c>
      <c r="N721" s="3" t="s">
        <v>23</v>
      </c>
      <c r="O721" s="3" t="s">
        <v>1344</v>
      </c>
    </row>
    <row r="722" spans="1:15" hidden="1" x14ac:dyDescent="0.75">
      <c r="A722" s="2">
        <v>46289</v>
      </c>
      <c r="B722" s="3" t="s">
        <v>2039</v>
      </c>
      <c r="C722" s="3" t="s">
        <v>2040</v>
      </c>
      <c r="D722" s="3" t="s">
        <v>56</v>
      </c>
      <c r="E722" s="3" t="s">
        <v>57</v>
      </c>
      <c r="F722" s="3" t="s">
        <v>208</v>
      </c>
      <c r="G722" s="3" t="s">
        <v>209</v>
      </c>
      <c r="H722" s="4">
        <v>46289.962373726848</v>
      </c>
      <c r="I722" s="4">
        <v>46290.06797546296</v>
      </c>
      <c r="J722" s="3">
        <f>ROUND((I722-H722)*1440,0)</f>
        <v>152</v>
      </c>
      <c r="K722" s="3" t="s">
        <v>198</v>
      </c>
      <c r="L722" s="3" t="s">
        <v>36</v>
      </c>
      <c r="M722" s="3" t="s">
        <v>36</v>
      </c>
      <c r="N722" s="3" t="s">
        <v>23</v>
      </c>
      <c r="O722" s="3" t="s">
        <v>199</v>
      </c>
    </row>
    <row r="723" spans="1:15" hidden="1" x14ac:dyDescent="0.75">
      <c r="A723" s="2">
        <v>46289</v>
      </c>
      <c r="B723" s="3" t="s">
        <v>278</v>
      </c>
      <c r="C723" s="3" t="s">
        <v>279</v>
      </c>
      <c r="D723" s="3" t="s">
        <v>280</v>
      </c>
      <c r="E723" s="3" t="s">
        <v>281</v>
      </c>
      <c r="F723" s="3" t="s">
        <v>27</v>
      </c>
      <c r="G723" s="3" t="s">
        <v>28</v>
      </c>
      <c r="H723" s="4">
        <v>46289.962386458326</v>
      </c>
      <c r="I723" s="4">
        <v>46290.084784722218</v>
      </c>
      <c r="J723" s="3">
        <f>ROUND((I723-H723)*1440,0)</f>
        <v>176</v>
      </c>
      <c r="K723" s="3" t="s">
        <v>1723</v>
      </c>
      <c r="L723" s="3" t="s">
        <v>36</v>
      </c>
      <c r="M723" s="3" t="s">
        <v>36</v>
      </c>
      <c r="N723" s="3" t="s">
        <v>23</v>
      </c>
      <c r="O723" s="3" t="s">
        <v>1724</v>
      </c>
    </row>
    <row r="724" spans="1:15" hidden="1" x14ac:dyDescent="0.75">
      <c r="A724" s="2">
        <v>46289</v>
      </c>
      <c r="B724" s="3" t="s">
        <v>2041</v>
      </c>
      <c r="C724" s="3" t="s">
        <v>2042</v>
      </c>
      <c r="D724" s="3" t="s">
        <v>68</v>
      </c>
      <c r="E724" s="3" t="s">
        <v>69</v>
      </c>
      <c r="F724" s="3" t="s">
        <v>17</v>
      </c>
      <c r="G724" s="3" t="s">
        <v>18</v>
      </c>
      <c r="H724" s="4">
        <v>46289.963302662043</v>
      </c>
      <c r="I724" s="4">
        <v>46290.057206712961</v>
      </c>
      <c r="J724" s="3">
        <f>ROUND((I724-H724)*1440,0)</f>
        <v>135</v>
      </c>
      <c r="K724" s="3" t="s">
        <v>1685</v>
      </c>
      <c r="L724" s="3" t="s">
        <v>22</v>
      </c>
      <c r="M724" s="3" t="s">
        <v>22</v>
      </c>
      <c r="N724" s="3" t="s">
        <v>23</v>
      </c>
      <c r="O724" s="3" t="s">
        <v>1686</v>
      </c>
    </row>
    <row r="725" spans="1:15" hidden="1" x14ac:dyDescent="0.75">
      <c r="A725" s="2">
        <v>46289</v>
      </c>
      <c r="B725" s="3" t="s">
        <v>2043</v>
      </c>
      <c r="C725" s="3" t="s">
        <v>2044</v>
      </c>
      <c r="D725" s="3" t="s">
        <v>17</v>
      </c>
      <c r="E725" s="3" t="s">
        <v>18</v>
      </c>
      <c r="F725" s="3" t="s">
        <v>565</v>
      </c>
      <c r="G725" s="3" t="s">
        <v>566</v>
      </c>
      <c r="H725" s="4">
        <v>46289.963466898153</v>
      </c>
      <c r="I725" s="4">
        <v>46290.195024421293</v>
      </c>
      <c r="J725" s="3">
        <f>ROUND((I725-H725)*1440,0)</f>
        <v>333</v>
      </c>
      <c r="K725" s="3" t="s">
        <v>1301</v>
      </c>
      <c r="L725" s="3" t="s">
        <v>22</v>
      </c>
      <c r="M725" s="3" t="s">
        <v>22</v>
      </c>
      <c r="N725" s="3" t="s">
        <v>45</v>
      </c>
      <c r="O725" s="3" t="s">
        <v>1302</v>
      </c>
    </row>
    <row r="726" spans="1:15" hidden="1" x14ac:dyDescent="0.75">
      <c r="A726" s="2">
        <v>46289</v>
      </c>
      <c r="B726" s="3" t="s">
        <v>2045</v>
      </c>
      <c r="C726" s="3" t="s">
        <v>2046</v>
      </c>
      <c r="D726" s="3" t="s">
        <v>17</v>
      </c>
      <c r="E726" s="3" t="s">
        <v>18</v>
      </c>
      <c r="F726" s="3"/>
      <c r="G726" s="3"/>
      <c r="H726" s="4">
        <v>46289.964158796298</v>
      </c>
      <c r="I726" s="4">
        <v>46290.092985185183</v>
      </c>
      <c r="J726" s="3">
        <f>ROUND((I726-H726)*1440,0)</f>
        <v>186</v>
      </c>
      <c r="K726" s="3" t="s">
        <v>553</v>
      </c>
      <c r="L726" s="3" t="s">
        <v>77</v>
      </c>
      <c r="M726" s="3" t="s">
        <v>78</v>
      </c>
      <c r="N726" s="3" t="s">
        <v>443</v>
      </c>
      <c r="O726" s="3" t="s">
        <v>554</v>
      </c>
    </row>
    <row r="727" spans="1:15" hidden="1" x14ac:dyDescent="0.75">
      <c r="A727" s="2">
        <v>46289</v>
      </c>
      <c r="B727" s="3" t="s">
        <v>92</v>
      </c>
      <c r="C727" s="3" t="s">
        <v>93</v>
      </c>
      <c r="D727" s="3" t="s">
        <v>94</v>
      </c>
      <c r="E727" s="3" t="s">
        <v>95</v>
      </c>
      <c r="F727" s="3" t="s">
        <v>17</v>
      </c>
      <c r="G727" s="3" t="s">
        <v>18</v>
      </c>
      <c r="H727" s="4">
        <v>46289.965370254627</v>
      </c>
      <c r="I727" s="4">
        <v>46290.016642824077</v>
      </c>
      <c r="J727" s="3">
        <f>ROUND((I727-H727)*1440,0)</f>
        <v>74</v>
      </c>
      <c r="K727" s="3" t="s">
        <v>1261</v>
      </c>
      <c r="L727" s="3" t="s">
        <v>77</v>
      </c>
      <c r="M727" s="3" t="s">
        <v>78</v>
      </c>
      <c r="N727" s="3" t="s">
        <v>23</v>
      </c>
      <c r="O727" s="3" t="s">
        <v>1262</v>
      </c>
    </row>
    <row r="728" spans="1:15" hidden="1" x14ac:dyDescent="0.75">
      <c r="A728" s="2">
        <v>46289</v>
      </c>
      <c r="B728" s="3" t="s">
        <v>2047</v>
      </c>
      <c r="C728" s="3" t="s">
        <v>2048</v>
      </c>
      <c r="D728" s="3" t="s">
        <v>82</v>
      </c>
      <c r="E728" s="3" t="s">
        <v>83</v>
      </c>
      <c r="F728" s="3" t="s">
        <v>58</v>
      </c>
      <c r="G728" s="3" t="s">
        <v>59</v>
      </c>
      <c r="H728" s="4">
        <v>46289.965557291667</v>
      </c>
      <c r="I728" s="4">
        <v>46290.067662615736</v>
      </c>
      <c r="J728" s="3">
        <f>ROUND((I728-H728)*1440,0)</f>
        <v>147</v>
      </c>
      <c r="K728" s="3" t="s">
        <v>1359</v>
      </c>
      <c r="L728" s="3" t="s">
        <v>36</v>
      </c>
      <c r="M728" s="3" t="s">
        <v>36</v>
      </c>
      <c r="N728" s="3" t="s">
        <v>23</v>
      </c>
      <c r="O728" s="3" t="s">
        <v>1360</v>
      </c>
    </row>
    <row r="729" spans="1:15" hidden="1" x14ac:dyDescent="0.75">
      <c r="A729" s="2">
        <v>46289</v>
      </c>
      <c r="B729" s="3" t="s">
        <v>2049</v>
      </c>
      <c r="C729" s="3" t="s">
        <v>2050</v>
      </c>
      <c r="D729" s="3" t="s">
        <v>56</v>
      </c>
      <c r="E729" s="3" t="s">
        <v>57</v>
      </c>
      <c r="F729" s="3" t="s">
        <v>158</v>
      </c>
      <c r="G729" s="3" t="s">
        <v>159</v>
      </c>
      <c r="H729" s="4">
        <v>46289.965566319443</v>
      </c>
      <c r="I729" s="4">
        <v>46290.062325462961</v>
      </c>
      <c r="J729" s="3">
        <f>ROUND((I729-H729)*1440,0)</f>
        <v>139</v>
      </c>
      <c r="K729" s="3" t="s">
        <v>1389</v>
      </c>
      <c r="L729" s="3" t="s">
        <v>36</v>
      </c>
      <c r="M729" s="3" t="s">
        <v>36</v>
      </c>
      <c r="N729" s="3" t="s">
        <v>23</v>
      </c>
      <c r="O729" s="3" t="s">
        <v>1390</v>
      </c>
    </row>
    <row r="730" spans="1:15" hidden="1" x14ac:dyDescent="0.75">
      <c r="A730" s="2">
        <v>46289</v>
      </c>
      <c r="B730" s="3" t="s">
        <v>312</v>
      </c>
      <c r="C730" s="3" t="s">
        <v>313</v>
      </c>
      <c r="D730" s="3" t="s">
        <v>615</v>
      </c>
      <c r="E730" s="3" t="s">
        <v>616</v>
      </c>
      <c r="F730" s="3" t="s">
        <v>27</v>
      </c>
      <c r="G730" s="3" t="s">
        <v>28</v>
      </c>
      <c r="H730" s="4">
        <v>46289.96877777778</v>
      </c>
      <c r="I730" s="4">
        <v>46290.108621527783</v>
      </c>
      <c r="J730" s="3">
        <f>ROUND((I730-H730)*1440,0)</f>
        <v>201</v>
      </c>
      <c r="K730" s="3" t="s">
        <v>999</v>
      </c>
      <c r="L730" s="3" t="s">
        <v>36</v>
      </c>
      <c r="M730" s="3" t="s">
        <v>36</v>
      </c>
      <c r="N730" s="3" t="s">
        <v>23</v>
      </c>
      <c r="O730" s="3" t="s">
        <v>1000</v>
      </c>
    </row>
    <row r="731" spans="1:15" hidden="1" x14ac:dyDescent="0.75">
      <c r="A731" s="2">
        <v>46289</v>
      </c>
      <c r="B731" s="3" t="s">
        <v>2051</v>
      </c>
      <c r="C731" s="3" t="s">
        <v>2052</v>
      </c>
      <c r="D731" s="3" t="s">
        <v>82</v>
      </c>
      <c r="E731" s="3" t="s">
        <v>83</v>
      </c>
      <c r="F731" s="3" t="s">
        <v>615</v>
      </c>
      <c r="G731" s="3" t="s">
        <v>616</v>
      </c>
      <c r="H731" s="4">
        <v>46289.968782060183</v>
      </c>
      <c r="I731" s="4">
        <v>46290.07078159722</v>
      </c>
      <c r="J731" s="3">
        <f>ROUND((I731-H731)*1440,0)</f>
        <v>147</v>
      </c>
      <c r="K731" s="3" t="s">
        <v>1143</v>
      </c>
      <c r="L731" s="3" t="s">
        <v>22</v>
      </c>
      <c r="M731" s="3" t="s">
        <v>22</v>
      </c>
      <c r="N731" s="3" t="s">
        <v>45</v>
      </c>
      <c r="O731" s="3" t="s">
        <v>1144</v>
      </c>
    </row>
    <row r="732" spans="1:15" hidden="1" x14ac:dyDescent="0.75">
      <c r="A732" s="2">
        <v>46289</v>
      </c>
      <c r="B732" s="3" t="s">
        <v>2053</v>
      </c>
      <c r="C732" s="3" t="s">
        <v>2054</v>
      </c>
      <c r="D732" s="3" t="s">
        <v>56</v>
      </c>
      <c r="E732" s="3" t="s">
        <v>57</v>
      </c>
      <c r="F732" s="3" t="s">
        <v>84</v>
      </c>
      <c r="G732" s="3" t="s">
        <v>85</v>
      </c>
      <c r="H732" s="4">
        <v>46289.969290162036</v>
      </c>
      <c r="I732" s="4">
        <v>46290.070447453712</v>
      </c>
      <c r="J732" s="3">
        <f>ROUND((I732-H732)*1440,0)</f>
        <v>146</v>
      </c>
      <c r="K732" s="3" t="s">
        <v>380</v>
      </c>
      <c r="L732" s="3" t="s">
        <v>36</v>
      </c>
      <c r="M732" s="3" t="s">
        <v>36</v>
      </c>
      <c r="N732" s="3" t="s">
        <v>45</v>
      </c>
      <c r="O732" s="3" t="s">
        <v>381</v>
      </c>
    </row>
    <row r="733" spans="1:15" hidden="1" x14ac:dyDescent="0.75">
      <c r="A733" s="2">
        <v>46289</v>
      </c>
      <c r="B733" s="3" t="s">
        <v>2055</v>
      </c>
      <c r="C733" s="3" t="s">
        <v>2056</v>
      </c>
      <c r="D733" s="3" t="s">
        <v>100</v>
      </c>
      <c r="E733" s="3" t="s">
        <v>101</v>
      </c>
      <c r="F733" s="3" t="s">
        <v>17</v>
      </c>
      <c r="G733" s="3" t="s">
        <v>18</v>
      </c>
      <c r="H733" s="4">
        <v>46289.969471180557</v>
      </c>
      <c r="I733" s="4">
        <v>46290.04496446759</v>
      </c>
      <c r="J733" s="3">
        <f>ROUND((I733-H733)*1440,0)</f>
        <v>109</v>
      </c>
      <c r="K733" s="3" t="s">
        <v>801</v>
      </c>
      <c r="L733" s="3" t="s">
        <v>77</v>
      </c>
      <c r="M733" s="3" t="s">
        <v>78</v>
      </c>
      <c r="N733" s="3" t="s">
        <v>23</v>
      </c>
      <c r="O733" s="3" t="s">
        <v>802</v>
      </c>
    </row>
    <row r="734" spans="1:15" hidden="1" x14ac:dyDescent="0.75">
      <c r="A734" s="2">
        <v>46289</v>
      </c>
      <c r="B734" s="3" t="s">
        <v>2057</v>
      </c>
      <c r="C734" s="3" t="s">
        <v>2058</v>
      </c>
      <c r="D734" s="3" t="s">
        <v>27</v>
      </c>
      <c r="E734" s="3" t="s">
        <v>28</v>
      </c>
      <c r="F734" s="3" t="s">
        <v>17</v>
      </c>
      <c r="G734" s="3" t="s">
        <v>18</v>
      </c>
      <c r="H734" s="4">
        <v>46289.97023136574</v>
      </c>
      <c r="I734" s="4">
        <v>46290.012654861108</v>
      </c>
      <c r="J734" s="3">
        <f>ROUND((I734-H734)*1440,0)</f>
        <v>61</v>
      </c>
      <c r="K734" s="3" t="s">
        <v>296</v>
      </c>
      <c r="L734" s="3" t="s">
        <v>77</v>
      </c>
      <c r="M734" s="3" t="s">
        <v>78</v>
      </c>
      <c r="N734" s="3" t="s">
        <v>23</v>
      </c>
      <c r="O734" s="3" t="s">
        <v>297</v>
      </c>
    </row>
    <row r="735" spans="1:15" hidden="1" x14ac:dyDescent="0.75">
      <c r="A735" s="2">
        <v>46289</v>
      </c>
      <c r="B735" s="3" t="s">
        <v>2059</v>
      </c>
      <c r="C735" s="3" t="s">
        <v>2060</v>
      </c>
      <c r="D735" s="3" t="s">
        <v>82</v>
      </c>
      <c r="E735" s="3" t="s">
        <v>83</v>
      </c>
      <c r="F735" s="3" t="s">
        <v>17</v>
      </c>
      <c r="G735" s="3" t="s">
        <v>18</v>
      </c>
      <c r="H735" s="4">
        <v>46289.971148379627</v>
      </c>
      <c r="I735" s="4">
        <v>46290.063368402778</v>
      </c>
      <c r="J735" s="3">
        <f>ROUND((I735-H735)*1440,0)</f>
        <v>133</v>
      </c>
      <c r="K735" s="3" t="s">
        <v>755</v>
      </c>
      <c r="L735" s="3" t="s">
        <v>43</v>
      </c>
      <c r="M735" s="3" t="s">
        <v>44</v>
      </c>
      <c r="N735" s="3" t="s">
        <v>23</v>
      </c>
      <c r="O735" s="3" t="s">
        <v>756</v>
      </c>
    </row>
    <row r="736" spans="1:15" hidden="1" x14ac:dyDescent="0.75">
      <c r="A736" s="2">
        <v>46289</v>
      </c>
      <c r="B736" s="3" t="s">
        <v>2061</v>
      </c>
      <c r="C736" s="3" t="s">
        <v>2062</v>
      </c>
      <c r="D736" s="3" t="s">
        <v>122</v>
      </c>
      <c r="E736" s="3" t="s">
        <v>123</v>
      </c>
      <c r="F736" s="3" t="s">
        <v>27</v>
      </c>
      <c r="G736" s="3" t="s">
        <v>28</v>
      </c>
      <c r="H736" s="4">
        <v>46289.97127199074</v>
      </c>
      <c r="I736" s="4">
        <v>46290.188087847222</v>
      </c>
      <c r="J736" s="3">
        <f>ROUND((I736-H736)*1440,0)</f>
        <v>312</v>
      </c>
      <c r="K736" s="3" t="s">
        <v>1199</v>
      </c>
      <c r="L736" s="3" t="s">
        <v>22</v>
      </c>
      <c r="M736" s="3" t="s">
        <v>22</v>
      </c>
      <c r="N736" s="3" t="s">
        <v>23</v>
      </c>
      <c r="O736" s="3" t="s">
        <v>1200</v>
      </c>
    </row>
    <row r="737" spans="1:15" hidden="1" x14ac:dyDescent="0.75">
      <c r="A737" s="2">
        <v>46289</v>
      </c>
      <c r="B737" s="3" t="s">
        <v>2063</v>
      </c>
      <c r="C737" s="3" t="s">
        <v>2064</v>
      </c>
      <c r="D737" s="3"/>
      <c r="E737" s="3"/>
      <c r="F737" s="3" t="s">
        <v>27</v>
      </c>
      <c r="G737" s="3" t="s">
        <v>28</v>
      </c>
      <c r="H737" s="4">
        <v>46289.978276388887</v>
      </c>
      <c r="I737" s="4">
        <v>46290.02079328704</v>
      </c>
      <c r="J737" s="3">
        <f>ROUND((I737-H737)*1440,0)</f>
        <v>61</v>
      </c>
      <c r="K737" s="3" t="s">
        <v>31</v>
      </c>
      <c r="L737" s="3" t="s">
        <v>22</v>
      </c>
      <c r="M737" s="3" t="s">
        <v>22</v>
      </c>
      <c r="N737" s="3" t="s">
        <v>23</v>
      </c>
      <c r="O737" s="3" t="s">
        <v>32</v>
      </c>
    </row>
    <row r="738" spans="1:15" hidden="1" x14ac:dyDescent="0.75">
      <c r="A738" s="2">
        <v>46289</v>
      </c>
      <c r="B738" s="3" t="s">
        <v>2065</v>
      </c>
      <c r="C738" s="3" t="s">
        <v>2066</v>
      </c>
      <c r="D738" s="3" t="s">
        <v>182</v>
      </c>
      <c r="E738" s="3" t="s">
        <v>183</v>
      </c>
      <c r="F738" s="3" t="s">
        <v>27</v>
      </c>
      <c r="G738" s="3" t="s">
        <v>28</v>
      </c>
      <c r="H738" s="4">
        <v>46289.978625347219</v>
      </c>
      <c r="I738" s="4">
        <v>46290.064293402778</v>
      </c>
      <c r="J738" s="3">
        <f>ROUND((I738-H738)*1440,0)</f>
        <v>123</v>
      </c>
      <c r="K738" s="3" t="s">
        <v>939</v>
      </c>
      <c r="L738" s="3" t="s">
        <v>77</v>
      </c>
      <c r="M738" s="3" t="s">
        <v>78</v>
      </c>
      <c r="N738" s="3" t="s">
        <v>23</v>
      </c>
      <c r="O738" s="3" t="s">
        <v>940</v>
      </c>
    </row>
    <row r="739" spans="1:15" hidden="1" x14ac:dyDescent="0.75">
      <c r="A739" s="2">
        <v>46289</v>
      </c>
      <c r="B739" s="3" t="s">
        <v>2067</v>
      </c>
      <c r="C739" s="3" t="s">
        <v>2068</v>
      </c>
      <c r="D739" s="3" t="s">
        <v>27</v>
      </c>
      <c r="E739" s="3" t="s">
        <v>28</v>
      </c>
      <c r="F739" s="3" t="s">
        <v>122</v>
      </c>
      <c r="G739" s="3" t="s">
        <v>123</v>
      </c>
      <c r="H739" s="4">
        <v>46289.978857986112</v>
      </c>
      <c r="I739" s="4">
        <v>46290.218055902777</v>
      </c>
      <c r="J739" s="3">
        <f>ROUND((I739-H739)*1440,0)</f>
        <v>344</v>
      </c>
      <c r="K739" s="3" t="s">
        <v>276</v>
      </c>
      <c r="L739" s="3" t="s">
        <v>22</v>
      </c>
      <c r="M739" s="3" t="s">
        <v>22</v>
      </c>
      <c r="N739" s="3" t="s">
        <v>23</v>
      </c>
      <c r="O739" s="3" t="s">
        <v>277</v>
      </c>
    </row>
    <row r="740" spans="1:15" hidden="1" x14ac:dyDescent="0.75">
      <c r="A740" s="2">
        <v>46289</v>
      </c>
      <c r="B740" s="3" t="s">
        <v>2069</v>
      </c>
      <c r="C740" s="3" t="s">
        <v>2070</v>
      </c>
      <c r="D740" s="3" t="s">
        <v>182</v>
      </c>
      <c r="E740" s="3" t="s">
        <v>183</v>
      </c>
      <c r="F740" s="3" t="s">
        <v>17</v>
      </c>
      <c r="G740" s="3" t="s">
        <v>18</v>
      </c>
      <c r="H740" s="4">
        <v>46289.979698148149</v>
      </c>
      <c r="I740" s="4">
        <v>46290.053769907398</v>
      </c>
      <c r="J740" s="3">
        <f>ROUND((I740-H740)*1440,0)</f>
        <v>107</v>
      </c>
      <c r="K740" s="3" t="s">
        <v>1517</v>
      </c>
      <c r="L740" s="3" t="s">
        <v>77</v>
      </c>
      <c r="M740" s="3" t="s">
        <v>78</v>
      </c>
      <c r="N740" s="3" t="s">
        <v>23</v>
      </c>
      <c r="O740" s="3" t="s">
        <v>1518</v>
      </c>
    </row>
    <row r="741" spans="1:15" hidden="1" x14ac:dyDescent="0.75">
      <c r="A741" s="2">
        <v>46289</v>
      </c>
      <c r="B741" s="3" t="s">
        <v>2071</v>
      </c>
      <c r="C741" s="3" t="s">
        <v>2072</v>
      </c>
      <c r="D741" s="3" t="s">
        <v>82</v>
      </c>
      <c r="E741" s="3" t="s">
        <v>83</v>
      </c>
      <c r="F741" s="3" t="s">
        <v>208</v>
      </c>
      <c r="G741" s="3" t="s">
        <v>209</v>
      </c>
      <c r="H741" s="4">
        <v>46289.980596527777</v>
      </c>
      <c r="I741" s="4">
        <v>46290.074007291667</v>
      </c>
      <c r="J741" s="3">
        <f>ROUND((I741-H741)*1440,0)</f>
        <v>135</v>
      </c>
      <c r="K741" s="3" t="s">
        <v>51</v>
      </c>
      <c r="L741" s="3" t="s">
        <v>52</v>
      </c>
      <c r="M741" s="3"/>
      <c r="N741" s="3" t="s">
        <v>23</v>
      </c>
      <c r="O741" s="3" t="s">
        <v>53</v>
      </c>
    </row>
    <row r="742" spans="1:15" hidden="1" x14ac:dyDescent="0.75">
      <c r="A742" s="2">
        <v>46289</v>
      </c>
      <c r="B742" s="3" t="s">
        <v>2073</v>
      </c>
      <c r="C742" s="3" t="s">
        <v>2074</v>
      </c>
      <c r="D742" s="3" t="s">
        <v>977</v>
      </c>
      <c r="E742" s="3" t="s">
        <v>978</v>
      </c>
      <c r="F742" s="3" t="s">
        <v>56</v>
      </c>
      <c r="G742" s="3" t="s">
        <v>57</v>
      </c>
      <c r="H742" s="4">
        <v>46289.981902199077</v>
      </c>
      <c r="I742" s="4">
        <v>46290.024848726847</v>
      </c>
      <c r="J742" s="3">
        <f>ROUND((I742-H742)*1440,0)</f>
        <v>62</v>
      </c>
      <c r="K742" s="3" t="s">
        <v>60</v>
      </c>
      <c r="L742" s="3" t="s">
        <v>36</v>
      </c>
      <c r="M742" s="3" t="s">
        <v>36</v>
      </c>
      <c r="N742" s="3" t="s">
        <v>23</v>
      </c>
      <c r="O742" s="3" t="s">
        <v>61</v>
      </c>
    </row>
    <row r="743" spans="1:15" hidden="1" x14ac:dyDescent="0.75">
      <c r="A743" s="2">
        <v>46289</v>
      </c>
      <c r="B743" s="3" t="s">
        <v>2075</v>
      </c>
      <c r="C743" s="3" t="s">
        <v>2076</v>
      </c>
      <c r="D743" s="3" t="s">
        <v>27</v>
      </c>
      <c r="E743" s="3" t="s">
        <v>28</v>
      </c>
      <c r="F743" s="3" t="s">
        <v>106</v>
      </c>
      <c r="G743" s="3" t="s">
        <v>107</v>
      </c>
      <c r="H743" s="4">
        <v>46289.982068287027</v>
      </c>
      <c r="I743" s="4">
        <v>46290.07635289352</v>
      </c>
      <c r="J743" s="3">
        <f>ROUND((I743-H743)*1440,0)</f>
        <v>136</v>
      </c>
      <c r="K743" s="3" t="s">
        <v>847</v>
      </c>
      <c r="L743" s="3" t="s">
        <v>77</v>
      </c>
      <c r="M743" s="3" t="s">
        <v>78</v>
      </c>
      <c r="N743" s="3" t="s">
        <v>23</v>
      </c>
      <c r="O743" s="3" t="s">
        <v>848</v>
      </c>
    </row>
    <row r="744" spans="1:15" hidden="1" x14ac:dyDescent="0.75">
      <c r="A744" s="2">
        <v>46289</v>
      </c>
      <c r="B744" s="3" t="s">
        <v>2077</v>
      </c>
      <c r="C744" s="3" t="s">
        <v>2078</v>
      </c>
      <c r="D744" s="3" t="s">
        <v>1765</v>
      </c>
      <c r="E744" s="3" t="s">
        <v>1766</v>
      </c>
      <c r="F744" s="3" t="s">
        <v>17</v>
      </c>
      <c r="G744" s="3" t="s">
        <v>18</v>
      </c>
      <c r="H744" s="4">
        <v>46289.983589583331</v>
      </c>
      <c r="I744" s="4">
        <v>46290.097829629631</v>
      </c>
      <c r="J744" s="3">
        <f>ROUND((I744-H744)*1440,0)</f>
        <v>165</v>
      </c>
      <c r="K744" s="3" t="s">
        <v>955</v>
      </c>
      <c r="L744" s="3" t="s">
        <v>77</v>
      </c>
      <c r="M744" s="3" t="s">
        <v>78</v>
      </c>
      <c r="N744" s="3" t="s">
        <v>23</v>
      </c>
      <c r="O744" s="3" t="s">
        <v>956</v>
      </c>
    </row>
    <row r="745" spans="1:15" hidden="1" x14ac:dyDescent="0.75">
      <c r="A745" s="2">
        <v>46289</v>
      </c>
      <c r="B745" s="3" t="s">
        <v>232</v>
      </c>
      <c r="C745" s="3" t="s">
        <v>233</v>
      </c>
      <c r="D745" s="3" t="s">
        <v>27</v>
      </c>
      <c r="E745" s="3" t="s">
        <v>28</v>
      </c>
      <c r="F745" s="3" t="s">
        <v>234</v>
      </c>
      <c r="G745" s="3" t="s">
        <v>235</v>
      </c>
      <c r="H745" s="4">
        <v>46289.983731481479</v>
      </c>
      <c r="I745" s="4">
        <v>46290.01815520833</v>
      </c>
      <c r="J745" s="3">
        <f>ROUND((I745-H745)*1440,0)</f>
        <v>50</v>
      </c>
      <c r="K745" s="3" t="s">
        <v>1015</v>
      </c>
      <c r="L745" s="3" t="s">
        <v>77</v>
      </c>
      <c r="M745" s="3" t="s">
        <v>78</v>
      </c>
      <c r="N745" s="3" t="s">
        <v>23</v>
      </c>
      <c r="O745" s="3" t="s">
        <v>1016</v>
      </c>
    </row>
    <row r="746" spans="1:15" hidden="1" x14ac:dyDescent="0.75">
      <c r="A746" s="2">
        <v>46289</v>
      </c>
      <c r="B746" s="3" t="s">
        <v>25</v>
      </c>
      <c r="C746" s="3" t="s">
        <v>26</v>
      </c>
      <c r="D746" s="3" t="s">
        <v>27</v>
      </c>
      <c r="E746" s="3" t="s">
        <v>28</v>
      </c>
      <c r="F746" s="3" t="s">
        <v>29</v>
      </c>
      <c r="G746" s="3" t="s">
        <v>30</v>
      </c>
      <c r="H746" s="4">
        <v>46289.986596064817</v>
      </c>
      <c r="I746" s="4">
        <v>46290.220760995369</v>
      </c>
      <c r="J746" s="3">
        <f>ROUND((I746-H746)*1440,0)</f>
        <v>337</v>
      </c>
      <c r="K746" s="3" t="s">
        <v>947</v>
      </c>
      <c r="L746" s="3" t="s">
        <v>22</v>
      </c>
      <c r="M746" s="3" t="s">
        <v>22</v>
      </c>
      <c r="N746" s="3" t="s">
        <v>23</v>
      </c>
      <c r="O746" s="3" t="s">
        <v>948</v>
      </c>
    </row>
    <row r="747" spans="1:15" hidden="1" x14ac:dyDescent="0.75">
      <c r="A747" s="2">
        <v>46289</v>
      </c>
      <c r="B747" s="3" t="s">
        <v>2079</v>
      </c>
      <c r="C747" s="3" t="s">
        <v>2080</v>
      </c>
      <c r="D747" s="3" t="s">
        <v>27</v>
      </c>
      <c r="E747" s="3" t="s">
        <v>28</v>
      </c>
      <c r="F747" s="3" t="s">
        <v>82</v>
      </c>
      <c r="G747" s="3" t="s">
        <v>83</v>
      </c>
      <c r="H747" s="4">
        <v>46289.987432060188</v>
      </c>
      <c r="I747" s="4">
        <v>46290.097946643516</v>
      </c>
      <c r="J747" s="3">
        <f>ROUND((I747-H747)*1440,0)</f>
        <v>159</v>
      </c>
      <c r="K747" s="3" t="s">
        <v>543</v>
      </c>
      <c r="L747" s="3" t="s">
        <v>77</v>
      </c>
      <c r="M747" s="3" t="s">
        <v>78</v>
      </c>
      <c r="N747" s="3" t="s">
        <v>23</v>
      </c>
      <c r="O747" s="3" t="s">
        <v>544</v>
      </c>
    </row>
    <row r="748" spans="1:15" hidden="1" x14ac:dyDescent="0.75">
      <c r="A748" s="2">
        <v>46289</v>
      </c>
      <c r="B748" s="3" t="s">
        <v>2081</v>
      </c>
      <c r="C748" s="3" t="s">
        <v>2082</v>
      </c>
      <c r="D748" s="3" t="s">
        <v>304</v>
      </c>
      <c r="E748" s="3" t="s">
        <v>305</v>
      </c>
      <c r="F748" s="3" t="s">
        <v>17</v>
      </c>
      <c r="G748" s="3" t="s">
        <v>18</v>
      </c>
      <c r="H748" s="4">
        <v>46289.987735763891</v>
      </c>
      <c r="I748" s="4">
        <v>46290.19124803241</v>
      </c>
      <c r="J748" s="3">
        <f>ROUND((I748-H748)*1440,0)</f>
        <v>293</v>
      </c>
      <c r="K748" s="3" t="s">
        <v>965</v>
      </c>
      <c r="L748" s="3" t="s">
        <v>22</v>
      </c>
      <c r="M748" s="3" t="s">
        <v>22</v>
      </c>
      <c r="N748" s="3" t="s">
        <v>23</v>
      </c>
      <c r="O748" s="3" t="s">
        <v>966</v>
      </c>
    </row>
    <row r="749" spans="1:15" hidden="1" x14ac:dyDescent="0.75">
      <c r="A749" s="2">
        <v>46289</v>
      </c>
      <c r="B749" s="3" t="s">
        <v>2083</v>
      </c>
      <c r="C749" s="3" t="s">
        <v>2084</v>
      </c>
      <c r="D749" s="3" t="s">
        <v>737</v>
      </c>
      <c r="E749" s="3" t="s">
        <v>738</v>
      </c>
      <c r="F749" s="3" t="s">
        <v>27</v>
      </c>
      <c r="G749" s="3" t="s">
        <v>28</v>
      </c>
      <c r="H749" s="4">
        <v>46289.988088078702</v>
      </c>
      <c r="I749" s="4">
        <v>46290.034441666663</v>
      </c>
      <c r="J749" s="3">
        <f>ROUND((I749-H749)*1440,0)</f>
        <v>67</v>
      </c>
      <c r="K749" s="3" t="s">
        <v>252</v>
      </c>
      <c r="L749" s="3" t="s">
        <v>36</v>
      </c>
      <c r="M749" s="3" t="s">
        <v>36</v>
      </c>
      <c r="N749" s="3" t="s">
        <v>23</v>
      </c>
      <c r="O749" s="3" t="s">
        <v>253</v>
      </c>
    </row>
    <row r="750" spans="1:15" hidden="1" x14ac:dyDescent="0.75">
      <c r="A750" s="2">
        <v>46289</v>
      </c>
      <c r="B750" s="3" t="s">
        <v>2085</v>
      </c>
      <c r="C750" s="3" t="s">
        <v>2086</v>
      </c>
      <c r="D750" s="3" t="s">
        <v>56</v>
      </c>
      <c r="E750" s="3" t="s">
        <v>57</v>
      </c>
      <c r="F750" s="3" t="s">
        <v>58</v>
      </c>
      <c r="G750" s="3" t="s">
        <v>59</v>
      </c>
      <c r="H750" s="4">
        <v>46289.988338425923</v>
      </c>
      <c r="I750" s="4">
        <v>46290.09508240741</v>
      </c>
      <c r="J750" s="3">
        <f>ROUND((I750-H750)*1440,0)</f>
        <v>154</v>
      </c>
      <c r="K750" s="3" t="s">
        <v>969</v>
      </c>
      <c r="L750" s="3" t="s">
        <v>36</v>
      </c>
      <c r="M750" s="3" t="s">
        <v>36</v>
      </c>
      <c r="N750" s="3" t="s">
        <v>23</v>
      </c>
      <c r="O750" s="3" t="s">
        <v>970</v>
      </c>
    </row>
    <row r="751" spans="1:15" hidden="1" x14ac:dyDescent="0.75">
      <c r="A751" s="2">
        <v>46289</v>
      </c>
      <c r="B751" s="3" t="s">
        <v>2087</v>
      </c>
      <c r="C751" s="3" t="s">
        <v>2088</v>
      </c>
      <c r="D751" s="3" t="s">
        <v>82</v>
      </c>
      <c r="E751" s="3" t="s">
        <v>83</v>
      </c>
      <c r="F751" s="3" t="s">
        <v>158</v>
      </c>
      <c r="G751" s="3" t="s">
        <v>159</v>
      </c>
      <c r="H751" s="4">
        <v>46289.988720254631</v>
      </c>
      <c r="I751" s="4">
        <v>46290.061161458332</v>
      </c>
      <c r="J751" s="3">
        <f>ROUND((I751-H751)*1440,0)</f>
        <v>104</v>
      </c>
      <c r="K751" s="3" t="s">
        <v>86</v>
      </c>
      <c r="L751" s="3" t="s">
        <v>36</v>
      </c>
      <c r="M751" s="3" t="s">
        <v>36</v>
      </c>
      <c r="N751" s="3" t="s">
        <v>23</v>
      </c>
      <c r="O751" s="3" t="s">
        <v>87</v>
      </c>
    </row>
    <row r="752" spans="1:15" hidden="1" x14ac:dyDescent="0.75">
      <c r="A752" s="2">
        <v>46289</v>
      </c>
      <c r="B752" s="3" t="s">
        <v>2089</v>
      </c>
      <c r="C752" s="3" t="s">
        <v>2090</v>
      </c>
      <c r="D752" s="3" t="s">
        <v>17</v>
      </c>
      <c r="E752" s="3" t="s">
        <v>18</v>
      </c>
      <c r="F752" s="3" t="s">
        <v>513</v>
      </c>
      <c r="G752" s="3" t="s">
        <v>514</v>
      </c>
      <c r="H752" s="4">
        <v>46289.991913310187</v>
      </c>
      <c r="I752" s="4">
        <v>46290.162554629627</v>
      </c>
      <c r="J752" s="3">
        <f>ROUND((I752-H752)*1440,0)</f>
        <v>246</v>
      </c>
      <c r="K752" s="3" t="s">
        <v>887</v>
      </c>
      <c r="L752" s="3" t="s">
        <v>36</v>
      </c>
      <c r="M752" s="3" t="s">
        <v>36</v>
      </c>
      <c r="N752" s="3" t="s">
        <v>23</v>
      </c>
      <c r="O752" s="3" t="s">
        <v>888</v>
      </c>
    </row>
    <row r="753" spans="1:15" hidden="1" x14ac:dyDescent="0.75">
      <c r="A753" s="2">
        <v>46289</v>
      </c>
      <c r="B753" s="3" t="s">
        <v>2091</v>
      </c>
      <c r="C753" s="3" t="s">
        <v>2092</v>
      </c>
      <c r="D753" s="3" t="s">
        <v>158</v>
      </c>
      <c r="E753" s="3" t="s">
        <v>159</v>
      </c>
      <c r="F753" s="3" t="s">
        <v>56</v>
      </c>
      <c r="G753" s="3" t="s">
        <v>57</v>
      </c>
      <c r="H753" s="4">
        <v>46289.994059722223</v>
      </c>
      <c r="I753" s="4">
        <v>46290.079406712961</v>
      </c>
      <c r="J753" s="3">
        <f>ROUND((I753-H753)*1440,0)</f>
        <v>123</v>
      </c>
      <c r="K753" s="3" t="s">
        <v>859</v>
      </c>
      <c r="L753" s="3" t="s">
        <v>36</v>
      </c>
      <c r="M753" s="3" t="s">
        <v>36</v>
      </c>
      <c r="N753" s="3" t="s">
        <v>23</v>
      </c>
      <c r="O753" s="3" t="s">
        <v>860</v>
      </c>
    </row>
    <row r="754" spans="1:15" hidden="1" x14ac:dyDescent="0.75">
      <c r="A754" s="2">
        <v>46289</v>
      </c>
      <c r="B754" s="3" t="s">
        <v>2093</v>
      </c>
      <c r="C754" s="3" t="s">
        <v>2094</v>
      </c>
      <c r="D754" s="3" t="s">
        <v>82</v>
      </c>
      <c r="E754" s="3" t="s">
        <v>83</v>
      </c>
      <c r="F754" s="3" t="s">
        <v>27</v>
      </c>
      <c r="G754" s="3" t="s">
        <v>28</v>
      </c>
      <c r="H754" s="4">
        <v>46289.995061226851</v>
      </c>
      <c r="I754" s="4">
        <v>46290.094438541673</v>
      </c>
      <c r="J754" s="3">
        <f>ROUND((I754-H754)*1440,0)</f>
        <v>143</v>
      </c>
      <c r="K754" s="3" t="s">
        <v>64</v>
      </c>
      <c r="L754" s="3" t="s">
        <v>43</v>
      </c>
      <c r="M754" s="3" t="s">
        <v>44</v>
      </c>
      <c r="N754" s="3" t="s">
        <v>23</v>
      </c>
      <c r="O754" s="3" t="s">
        <v>65</v>
      </c>
    </row>
    <row r="755" spans="1:15" hidden="1" x14ac:dyDescent="0.75">
      <c r="A755" s="2">
        <v>46289</v>
      </c>
      <c r="B755" s="3" t="s">
        <v>2095</v>
      </c>
      <c r="C755" s="3" t="s">
        <v>2096</v>
      </c>
      <c r="D755" s="3" t="s">
        <v>19</v>
      </c>
      <c r="E755" s="3" t="s">
        <v>20</v>
      </c>
      <c r="F755" s="3" t="s">
        <v>84</v>
      </c>
      <c r="G755" s="3" t="s">
        <v>85</v>
      </c>
      <c r="H755" s="4">
        <v>46289.995271296299</v>
      </c>
      <c r="I755" s="4">
        <v>46290.098250810188</v>
      </c>
      <c r="J755" s="3">
        <f>ROUND((I755-H755)*1440,0)</f>
        <v>148</v>
      </c>
      <c r="K755" s="3" t="s">
        <v>130</v>
      </c>
      <c r="L755" s="3" t="s">
        <v>36</v>
      </c>
      <c r="M755" s="3" t="s">
        <v>36</v>
      </c>
      <c r="N755" s="3" t="s">
        <v>45</v>
      </c>
      <c r="O755" s="3" t="s">
        <v>131</v>
      </c>
    </row>
    <row r="756" spans="1:15" hidden="1" x14ac:dyDescent="0.75">
      <c r="A756" s="2">
        <v>46289</v>
      </c>
      <c r="B756" s="3" t="s">
        <v>2097</v>
      </c>
      <c r="C756" s="3" t="s">
        <v>2098</v>
      </c>
      <c r="D756" s="3" t="s">
        <v>68</v>
      </c>
      <c r="E756" s="3" t="s">
        <v>69</v>
      </c>
      <c r="F756" s="3" t="s">
        <v>172</v>
      </c>
      <c r="G756" s="3" t="s">
        <v>173</v>
      </c>
      <c r="H756" s="4">
        <v>46289.995371296303</v>
      </c>
      <c r="I756" s="4">
        <v>46290.102209837962</v>
      </c>
      <c r="J756" s="3">
        <f>ROUND((I756-H756)*1440,0)</f>
        <v>154</v>
      </c>
      <c r="K756" s="3" t="s">
        <v>246</v>
      </c>
      <c r="L756" s="3" t="s">
        <v>36</v>
      </c>
      <c r="M756" s="3" t="s">
        <v>36</v>
      </c>
      <c r="N756" s="3" t="s">
        <v>23</v>
      </c>
      <c r="O756" s="3" t="s">
        <v>247</v>
      </c>
    </row>
    <row r="757" spans="1:15" hidden="1" x14ac:dyDescent="0.75">
      <c r="A757" s="2">
        <v>46289</v>
      </c>
      <c r="B757" s="3" t="s">
        <v>2099</v>
      </c>
      <c r="C757" s="3" t="s">
        <v>2100</v>
      </c>
      <c r="D757" s="3" t="s">
        <v>106</v>
      </c>
      <c r="E757" s="3" t="s">
        <v>107</v>
      </c>
      <c r="F757" s="3" t="s">
        <v>27</v>
      </c>
      <c r="G757" s="3" t="s">
        <v>28</v>
      </c>
      <c r="H757" s="4">
        <v>46289.997040856477</v>
      </c>
      <c r="I757" s="4">
        <v>46290.087754166663</v>
      </c>
      <c r="J757" s="3">
        <f>ROUND((I757-H757)*1440,0)</f>
        <v>131</v>
      </c>
      <c r="K757" s="3" t="s">
        <v>697</v>
      </c>
      <c r="L757" s="3" t="s">
        <v>77</v>
      </c>
      <c r="M757" s="3" t="s">
        <v>78</v>
      </c>
      <c r="N757" s="3" t="s">
        <v>23</v>
      </c>
      <c r="O757" s="3" t="s">
        <v>698</v>
      </c>
    </row>
    <row r="758" spans="1:15" hidden="1" x14ac:dyDescent="0.75">
      <c r="A758" s="2">
        <v>46289</v>
      </c>
      <c r="B758" s="3" t="s">
        <v>2101</v>
      </c>
      <c r="C758" s="3" t="s">
        <v>2102</v>
      </c>
      <c r="D758" s="3" t="s">
        <v>182</v>
      </c>
      <c r="E758" s="3" t="s">
        <v>183</v>
      </c>
      <c r="F758" s="3" t="s">
        <v>56</v>
      </c>
      <c r="G758" s="3" t="s">
        <v>57</v>
      </c>
      <c r="H758" s="4">
        <v>46289.997135879632</v>
      </c>
      <c r="I758" s="4">
        <v>46290.05441921296</v>
      </c>
      <c r="J758" s="3">
        <f>ROUND((I758-H758)*1440,0)</f>
        <v>82</v>
      </c>
      <c r="K758" s="3" t="s">
        <v>1089</v>
      </c>
      <c r="L758" s="3" t="s">
        <v>36</v>
      </c>
      <c r="M758" s="3" t="s">
        <v>36</v>
      </c>
      <c r="N758" s="3" t="s">
        <v>23</v>
      </c>
      <c r="O758" s="3" t="s">
        <v>1090</v>
      </c>
    </row>
    <row r="759" spans="1:15" hidden="1" x14ac:dyDescent="0.75">
      <c r="A759" s="2">
        <v>46289</v>
      </c>
      <c r="B759" s="3" t="s">
        <v>2103</v>
      </c>
      <c r="C759" s="3" t="s">
        <v>2104</v>
      </c>
      <c r="D759" s="3" t="s">
        <v>158</v>
      </c>
      <c r="E759" s="3" t="s">
        <v>159</v>
      </c>
      <c r="F759" s="3" t="s">
        <v>27</v>
      </c>
      <c r="G759" s="3" t="s">
        <v>28</v>
      </c>
      <c r="H759" s="4">
        <v>46289.997397569437</v>
      </c>
      <c r="I759" s="4">
        <v>46290.042364004628</v>
      </c>
      <c r="J759" s="3">
        <f>ROUND((I759-H759)*1440,0)</f>
        <v>65</v>
      </c>
      <c r="K759" s="3" t="s">
        <v>356</v>
      </c>
      <c r="L759" s="3" t="s">
        <v>77</v>
      </c>
      <c r="M759" s="3" t="s">
        <v>78</v>
      </c>
      <c r="N759" s="3" t="s">
        <v>23</v>
      </c>
      <c r="O759" s="3" t="s">
        <v>357</v>
      </c>
    </row>
    <row r="760" spans="1:15" hidden="1" x14ac:dyDescent="0.75">
      <c r="A760" s="2">
        <v>46290</v>
      </c>
      <c r="B760" s="3" t="s">
        <v>294</v>
      </c>
      <c r="C760" s="3" t="s">
        <v>295</v>
      </c>
      <c r="D760" s="3" t="s">
        <v>27</v>
      </c>
      <c r="E760" s="3" t="s">
        <v>28</v>
      </c>
      <c r="F760" s="3" t="s">
        <v>148</v>
      </c>
      <c r="G760" s="3" t="s">
        <v>149</v>
      </c>
      <c r="H760" s="4">
        <v>46290.006973148149</v>
      </c>
      <c r="I760" s="4">
        <v>46290.072133912043</v>
      </c>
      <c r="J760" s="3">
        <f>ROUND((I760-H760)*1440,0)</f>
        <v>94</v>
      </c>
      <c r="K760" s="3" t="s">
        <v>739</v>
      </c>
      <c r="L760" s="3" t="s">
        <v>77</v>
      </c>
      <c r="M760" s="3" t="s">
        <v>78</v>
      </c>
      <c r="N760" s="3" t="s">
        <v>23</v>
      </c>
      <c r="O760" s="3" t="s">
        <v>740</v>
      </c>
    </row>
    <row r="761" spans="1:15" hidden="1" x14ac:dyDescent="0.75">
      <c r="A761" s="2">
        <v>46290</v>
      </c>
      <c r="B761" s="3" t="s">
        <v>2105</v>
      </c>
      <c r="C761" s="3" t="s">
        <v>2106</v>
      </c>
      <c r="D761" s="3" t="s">
        <v>228</v>
      </c>
      <c r="E761" s="3" t="s">
        <v>229</v>
      </c>
      <c r="F761" s="3" t="s">
        <v>27</v>
      </c>
      <c r="G761" s="3" t="s">
        <v>28</v>
      </c>
      <c r="H761" s="4">
        <v>46290.008606365744</v>
      </c>
      <c r="I761" s="4">
        <v>46290.062411805557</v>
      </c>
      <c r="J761" s="3">
        <f>ROUND((I761-H761)*1440,0)</f>
        <v>77</v>
      </c>
      <c r="K761" s="3" t="s">
        <v>368</v>
      </c>
      <c r="L761" s="3" t="s">
        <v>77</v>
      </c>
      <c r="M761" s="3" t="s">
        <v>78</v>
      </c>
      <c r="N761" s="3" t="s">
        <v>23</v>
      </c>
      <c r="O761" s="3" t="s">
        <v>369</v>
      </c>
    </row>
    <row r="762" spans="1:15" hidden="1" x14ac:dyDescent="0.75">
      <c r="A762" s="2">
        <v>46290</v>
      </c>
      <c r="B762" s="3" t="s">
        <v>2107</v>
      </c>
      <c r="C762" s="3" t="s">
        <v>2108</v>
      </c>
      <c r="D762" s="3" t="s">
        <v>58</v>
      </c>
      <c r="E762" s="3" t="s">
        <v>59</v>
      </c>
      <c r="F762" s="3" t="s">
        <v>82</v>
      </c>
      <c r="G762" s="3" t="s">
        <v>83</v>
      </c>
      <c r="H762" s="4">
        <v>46290.010621064823</v>
      </c>
      <c r="I762" s="4">
        <v>46290.104538541673</v>
      </c>
      <c r="J762" s="3">
        <f>ROUND((I762-H762)*1440,0)</f>
        <v>135</v>
      </c>
      <c r="K762" s="3" t="s">
        <v>1191</v>
      </c>
      <c r="L762" s="3" t="s">
        <v>36</v>
      </c>
      <c r="M762" s="3" t="s">
        <v>36</v>
      </c>
      <c r="N762" s="3" t="s">
        <v>23</v>
      </c>
      <c r="O762" s="3" t="s">
        <v>1192</v>
      </c>
    </row>
    <row r="763" spans="1:15" hidden="1" x14ac:dyDescent="0.75">
      <c r="A763" s="2">
        <v>46290</v>
      </c>
      <c r="B763" s="3" t="s">
        <v>268</v>
      </c>
      <c r="C763" s="3" t="s">
        <v>269</v>
      </c>
      <c r="D763" s="3" t="s">
        <v>56</v>
      </c>
      <c r="E763" s="3" t="s">
        <v>57</v>
      </c>
      <c r="F763" s="3" t="s">
        <v>270</v>
      </c>
      <c r="G763" s="3" t="s">
        <v>271</v>
      </c>
      <c r="H763" s="4">
        <v>46290.012787615742</v>
      </c>
      <c r="I763" s="4">
        <v>46290.107521990743</v>
      </c>
      <c r="J763" s="3">
        <f>ROUND((I763-H763)*1440,0)</f>
        <v>136</v>
      </c>
      <c r="K763" s="3" t="s">
        <v>164</v>
      </c>
      <c r="L763" s="3" t="s">
        <v>36</v>
      </c>
      <c r="M763" s="3" t="s">
        <v>36</v>
      </c>
      <c r="N763" s="3" t="s">
        <v>45</v>
      </c>
      <c r="O763" s="3" t="s">
        <v>165</v>
      </c>
    </row>
    <row r="764" spans="1:15" hidden="1" x14ac:dyDescent="0.75">
      <c r="A764" s="2">
        <v>46290</v>
      </c>
      <c r="B764" s="3" t="s">
        <v>146</v>
      </c>
      <c r="C764" s="3" t="s">
        <v>147</v>
      </c>
      <c r="D764" s="3" t="s">
        <v>148</v>
      </c>
      <c r="E764" s="3" t="s">
        <v>149</v>
      </c>
      <c r="F764" s="3" t="s">
        <v>27</v>
      </c>
      <c r="G764" s="3" t="s">
        <v>28</v>
      </c>
      <c r="H764" s="4">
        <v>46290.013664583334</v>
      </c>
      <c r="I764" s="4">
        <v>46290.075894097223</v>
      </c>
      <c r="J764" s="3">
        <f>ROUND((I764-H764)*1440,0)</f>
        <v>90</v>
      </c>
      <c r="K764" s="3" t="s">
        <v>150</v>
      </c>
      <c r="L764" s="3" t="s">
        <v>36</v>
      </c>
      <c r="M764" s="3" t="s">
        <v>36</v>
      </c>
      <c r="N764" s="3" t="s">
        <v>23</v>
      </c>
      <c r="O764" s="3" t="s">
        <v>151</v>
      </c>
    </row>
    <row r="765" spans="1:15" hidden="1" x14ac:dyDescent="0.75">
      <c r="A765" s="2">
        <v>46290</v>
      </c>
      <c r="B765" s="3" t="s">
        <v>15</v>
      </c>
      <c r="C765" s="3" t="s">
        <v>16</v>
      </c>
      <c r="D765" s="3" t="s">
        <v>17</v>
      </c>
      <c r="E765" s="3" t="s">
        <v>18</v>
      </c>
      <c r="F765" s="3" t="s">
        <v>19</v>
      </c>
      <c r="G765" s="3" t="s">
        <v>20</v>
      </c>
      <c r="H765" s="4">
        <v>46290.015099884258</v>
      </c>
      <c r="I765" s="4">
        <v>46290.111144907409</v>
      </c>
      <c r="J765" s="3">
        <f>ROUND((I765-H765)*1440,0)</f>
        <v>138</v>
      </c>
      <c r="K765" s="3" t="s">
        <v>21</v>
      </c>
      <c r="L765" s="3" t="s">
        <v>22</v>
      </c>
      <c r="M765" s="3" t="s">
        <v>22</v>
      </c>
      <c r="N765" s="3" t="s">
        <v>23</v>
      </c>
      <c r="O765" s="3" t="s">
        <v>24</v>
      </c>
    </row>
    <row r="766" spans="1:15" hidden="1" x14ac:dyDescent="0.75">
      <c r="A766" s="2">
        <v>46290</v>
      </c>
      <c r="B766" s="3" t="s">
        <v>140</v>
      </c>
      <c r="C766" s="3" t="s">
        <v>141</v>
      </c>
      <c r="D766" s="3" t="s">
        <v>56</v>
      </c>
      <c r="E766" s="3" t="s">
        <v>57</v>
      </c>
      <c r="F766" s="3" t="s">
        <v>142</v>
      </c>
      <c r="G766" s="3" t="s">
        <v>143</v>
      </c>
      <c r="H766" s="4">
        <v>46290.015725578713</v>
      </c>
      <c r="I766" s="4">
        <v>46290.120394560188</v>
      </c>
      <c r="J766" s="3">
        <f>ROUND((I766-H766)*1440,0)</f>
        <v>151</v>
      </c>
      <c r="K766" s="3" t="s">
        <v>406</v>
      </c>
      <c r="L766" s="3" t="s">
        <v>36</v>
      </c>
      <c r="M766" s="3" t="s">
        <v>36</v>
      </c>
      <c r="N766" s="3" t="s">
        <v>23</v>
      </c>
      <c r="O766" s="3" t="s">
        <v>407</v>
      </c>
    </row>
    <row r="767" spans="1:15" hidden="1" x14ac:dyDescent="0.75">
      <c r="A767" s="2">
        <v>46290</v>
      </c>
      <c r="B767" s="3" t="s">
        <v>2109</v>
      </c>
      <c r="C767" s="3" t="s">
        <v>2110</v>
      </c>
      <c r="D767" s="3" t="s">
        <v>737</v>
      </c>
      <c r="E767" s="3" t="s">
        <v>738</v>
      </c>
      <c r="F767" s="3" t="s">
        <v>17</v>
      </c>
      <c r="G767" s="3" t="s">
        <v>18</v>
      </c>
      <c r="H767" s="4">
        <v>46290.017407638887</v>
      </c>
      <c r="I767" s="4">
        <v>46290.066304513894</v>
      </c>
      <c r="J767" s="3">
        <f>ROUND((I767-H767)*1440,0)</f>
        <v>70</v>
      </c>
      <c r="K767" s="3" t="s">
        <v>422</v>
      </c>
      <c r="L767" s="3" t="s">
        <v>77</v>
      </c>
      <c r="M767" s="3" t="s">
        <v>78</v>
      </c>
      <c r="N767" s="3" t="s">
        <v>23</v>
      </c>
      <c r="O767" s="3" t="s">
        <v>423</v>
      </c>
    </row>
    <row r="768" spans="1:15" hidden="1" x14ac:dyDescent="0.75">
      <c r="A768" s="2">
        <v>46290</v>
      </c>
      <c r="B768" s="3" t="s">
        <v>206</v>
      </c>
      <c r="C768" s="3" t="s">
        <v>207</v>
      </c>
      <c r="D768" s="3" t="s">
        <v>56</v>
      </c>
      <c r="E768" s="3" t="s">
        <v>57</v>
      </c>
      <c r="F768" s="3" t="s">
        <v>208</v>
      </c>
      <c r="G768" s="3" t="s">
        <v>209</v>
      </c>
      <c r="H768" s="4">
        <v>46290.018534143521</v>
      </c>
      <c r="I768" s="4">
        <v>46290.118722106483</v>
      </c>
      <c r="J768" s="3">
        <f>ROUND((I768-H768)*1440,0)</f>
        <v>144</v>
      </c>
      <c r="K768" s="3" t="s">
        <v>376</v>
      </c>
      <c r="L768" s="3" t="s">
        <v>36</v>
      </c>
      <c r="M768" s="3" t="s">
        <v>36</v>
      </c>
      <c r="N768" s="3" t="s">
        <v>23</v>
      </c>
      <c r="O768" s="3" t="s">
        <v>377</v>
      </c>
    </row>
    <row r="769" spans="1:15" hidden="1" x14ac:dyDescent="0.75">
      <c r="A769" s="2">
        <v>46290</v>
      </c>
      <c r="B769" s="3" t="s">
        <v>88</v>
      </c>
      <c r="C769" s="3" t="s">
        <v>89</v>
      </c>
      <c r="D769" s="3" t="s">
        <v>49</v>
      </c>
      <c r="E769" s="3" t="s">
        <v>50</v>
      </c>
      <c r="F769" s="3" t="s">
        <v>27</v>
      </c>
      <c r="G769" s="3" t="s">
        <v>28</v>
      </c>
      <c r="H769" s="4">
        <v>46290.020421643523</v>
      </c>
      <c r="I769" s="4">
        <v>46290.054110879631</v>
      </c>
      <c r="J769" s="3">
        <f>ROUND((I769-H769)*1440,0)</f>
        <v>49</v>
      </c>
      <c r="K769" s="3" t="s">
        <v>230</v>
      </c>
      <c r="L769" s="3" t="s">
        <v>77</v>
      </c>
      <c r="M769" s="3" t="s">
        <v>78</v>
      </c>
      <c r="N769" s="3" t="s">
        <v>23</v>
      </c>
      <c r="O769" s="3" t="s">
        <v>231</v>
      </c>
    </row>
    <row r="770" spans="1:15" hidden="1" x14ac:dyDescent="0.75">
      <c r="A770" s="2">
        <v>46290</v>
      </c>
      <c r="B770" s="3" t="s">
        <v>80</v>
      </c>
      <c r="C770" s="3" t="s">
        <v>81</v>
      </c>
      <c r="D770" s="3" t="s">
        <v>82</v>
      </c>
      <c r="E770" s="3" t="s">
        <v>83</v>
      </c>
      <c r="F770" s="3" t="s">
        <v>84</v>
      </c>
      <c r="G770" s="3" t="s">
        <v>85</v>
      </c>
      <c r="H770" s="4">
        <v>46290.020497569443</v>
      </c>
      <c r="I770" s="4">
        <v>46290.112863773153</v>
      </c>
      <c r="J770" s="3">
        <f>ROUND((I770-H770)*1440,0)</f>
        <v>133</v>
      </c>
      <c r="K770" s="3" t="s">
        <v>384</v>
      </c>
      <c r="L770" s="3" t="s">
        <v>36</v>
      </c>
      <c r="M770" s="3" t="s">
        <v>36</v>
      </c>
      <c r="N770" s="3" t="s">
        <v>45</v>
      </c>
      <c r="O770" s="3" t="s">
        <v>385</v>
      </c>
    </row>
    <row r="771" spans="1:15" hidden="1" x14ac:dyDescent="0.75">
      <c r="A771" s="2">
        <v>46290</v>
      </c>
      <c r="B771" s="3" t="s">
        <v>2111</v>
      </c>
      <c r="C771" s="3" t="s">
        <v>2112</v>
      </c>
      <c r="D771" s="3" t="s">
        <v>234</v>
      </c>
      <c r="E771" s="3" t="s">
        <v>235</v>
      </c>
      <c r="F771" s="3" t="s">
        <v>56</v>
      </c>
      <c r="G771" s="3" t="s">
        <v>57</v>
      </c>
      <c r="H771" s="4">
        <v>46290.020821064812</v>
      </c>
      <c r="I771" s="4">
        <v>46290.12855671296</v>
      </c>
      <c r="J771" s="3">
        <f>ROUND((I771-H771)*1440,0)</f>
        <v>155</v>
      </c>
      <c r="K771" s="3" t="s">
        <v>911</v>
      </c>
      <c r="L771" s="3" t="s">
        <v>36</v>
      </c>
      <c r="M771" s="3" t="s">
        <v>36</v>
      </c>
      <c r="N771" s="3" t="s">
        <v>23</v>
      </c>
      <c r="O771" s="3" t="s">
        <v>912</v>
      </c>
    </row>
    <row r="772" spans="1:15" hidden="1" x14ac:dyDescent="0.75">
      <c r="A772" s="2">
        <v>46290</v>
      </c>
      <c r="B772" s="3" t="s">
        <v>38</v>
      </c>
      <c r="C772" s="3" t="s">
        <v>39</v>
      </c>
      <c r="D772" s="3" t="s">
        <v>17</v>
      </c>
      <c r="E772" s="3" t="s">
        <v>18</v>
      </c>
      <c r="F772" s="3" t="s">
        <v>40</v>
      </c>
      <c r="G772" s="3" t="s">
        <v>41</v>
      </c>
      <c r="H772" s="4">
        <v>46290.02089699074</v>
      </c>
      <c r="I772" s="4">
        <v>46290.294953819437</v>
      </c>
      <c r="J772" s="3">
        <f>ROUND((I772-H772)*1440,0)</f>
        <v>395</v>
      </c>
      <c r="K772" s="3" t="s">
        <v>585</v>
      </c>
      <c r="L772" s="3" t="s">
        <v>43</v>
      </c>
      <c r="M772" s="3" t="s">
        <v>44</v>
      </c>
      <c r="N772" s="3" t="s">
        <v>45</v>
      </c>
      <c r="O772" s="3" t="s">
        <v>586</v>
      </c>
    </row>
    <row r="773" spans="1:15" hidden="1" x14ac:dyDescent="0.75">
      <c r="A773" s="2">
        <v>46290</v>
      </c>
      <c r="B773" s="3" t="s">
        <v>2113</v>
      </c>
      <c r="C773" s="3" t="s">
        <v>2114</v>
      </c>
      <c r="D773" s="3" t="s">
        <v>218</v>
      </c>
      <c r="E773" s="3" t="s">
        <v>219</v>
      </c>
      <c r="F773" s="3" t="s">
        <v>27</v>
      </c>
      <c r="G773" s="3" t="s">
        <v>28</v>
      </c>
      <c r="H773" s="4">
        <v>46290.021079513892</v>
      </c>
      <c r="I773" s="4">
        <v>46290.084831018517</v>
      </c>
      <c r="J773" s="3">
        <f>ROUND((I773-H773)*1440,0)</f>
        <v>92</v>
      </c>
      <c r="K773" s="3" t="s">
        <v>477</v>
      </c>
      <c r="L773" s="3" t="s">
        <v>77</v>
      </c>
      <c r="M773" s="3" t="s">
        <v>78</v>
      </c>
      <c r="N773" s="3" t="s">
        <v>23</v>
      </c>
      <c r="O773" s="3" t="s">
        <v>478</v>
      </c>
    </row>
    <row r="774" spans="1:15" hidden="1" x14ac:dyDescent="0.75">
      <c r="A774" s="2">
        <v>46290</v>
      </c>
      <c r="B774" s="3" t="s">
        <v>2115</v>
      </c>
      <c r="C774" s="3" t="s">
        <v>2116</v>
      </c>
      <c r="D774" s="3" t="s">
        <v>56</v>
      </c>
      <c r="E774" s="3" t="s">
        <v>57</v>
      </c>
      <c r="F774" s="3" t="s">
        <v>1871</v>
      </c>
      <c r="G774" s="3" t="s">
        <v>1872</v>
      </c>
      <c r="H774" s="4">
        <v>46290.021472800923</v>
      </c>
      <c r="I774" s="4">
        <v>46290.129462731478</v>
      </c>
      <c r="J774" s="3">
        <f>ROUND((I774-H774)*1440,0)</f>
        <v>156</v>
      </c>
      <c r="K774" s="3" t="s">
        <v>1505</v>
      </c>
      <c r="L774" s="3" t="s">
        <v>36</v>
      </c>
      <c r="M774" s="3" t="s">
        <v>36</v>
      </c>
      <c r="N774" s="3" t="s">
        <v>45</v>
      </c>
      <c r="O774" s="3" t="s">
        <v>1506</v>
      </c>
    </row>
    <row r="775" spans="1:15" hidden="1" x14ac:dyDescent="0.75">
      <c r="A775" s="2">
        <v>46290</v>
      </c>
      <c r="B775" s="3" t="s">
        <v>66</v>
      </c>
      <c r="C775" s="3" t="s">
        <v>67</v>
      </c>
      <c r="D775" s="3" t="s">
        <v>68</v>
      </c>
      <c r="E775" s="3" t="s">
        <v>69</v>
      </c>
      <c r="F775" s="3" t="s">
        <v>58</v>
      </c>
      <c r="G775" s="3" t="s">
        <v>59</v>
      </c>
      <c r="H775" s="4">
        <v>46290.021994675917</v>
      </c>
      <c r="I775" s="4">
        <v>46290.122359143519</v>
      </c>
      <c r="J775" s="3">
        <f>ROUND((I775-H775)*1440,0)</f>
        <v>145</v>
      </c>
      <c r="K775" s="3" t="s">
        <v>907</v>
      </c>
      <c r="L775" s="3" t="s">
        <v>36</v>
      </c>
      <c r="M775" s="3" t="s">
        <v>36</v>
      </c>
      <c r="N775" s="3" t="s">
        <v>23</v>
      </c>
      <c r="O775" s="3" t="s">
        <v>908</v>
      </c>
    </row>
    <row r="776" spans="1:15" hidden="1" x14ac:dyDescent="0.75">
      <c r="A776" s="2">
        <v>46290</v>
      </c>
      <c r="B776" s="3" t="s">
        <v>110</v>
      </c>
      <c r="C776" s="3" t="s">
        <v>111</v>
      </c>
      <c r="D776" s="3" t="s">
        <v>56</v>
      </c>
      <c r="E776" s="3" t="s">
        <v>57</v>
      </c>
      <c r="F776" s="3" t="s">
        <v>94</v>
      </c>
      <c r="G776" s="3" t="s">
        <v>95</v>
      </c>
      <c r="H776" s="4">
        <v>46290.022401273149</v>
      </c>
      <c r="I776" s="4">
        <v>46290.094719212961</v>
      </c>
      <c r="J776" s="3">
        <f>ROUND((I776-H776)*1440,0)</f>
        <v>104</v>
      </c>
      <c r="K776" s="3" t="s">
        <v>1651</v>
      </c>
      <c r="L776" s="3" t="s">
        <v>36</v>
      </c>
      <c r="M776" s="3" t="s">
        <v>36</v>
      </c>
      <c r="N776" s="3" t="s">
        <v>23</v>
      </c>
      <c r="O776" s="3" t="s">
        <v>1652</v>
      </c>
    </row>
    <row r="777" spans="1:15" hidden="1" x14ac:dyDescent="0.75">
      <c r="A777" s="2">
        <v>46290</v>
      </c>
      <c r="B777" s="3" t="s">
        <v>136</v>
      </c>
      <c r="C777" s="3" t="s">
        <v>137</v>
      </c>
      <c r="D777" s="3" t="s">
        <v>68</v>
      </c>
      <c r="E777" s="3" t="s">
        <v>69</v>
      </c>
      <c r="F777" s="3" t="s">
        <v>27</v>
      </c>
      <c r="G777" s="3" t="s">
        <v>28</v>
      </c>
      <c r="H777" s="4">
        <v>46290.02285335648</v>
      </c>
      <c r="I777" s="4">
        <v>46290.128227199071</v>
      </c>
      <c r="J777" s="3">
        <f>ROUND((I777-H777)*1440,0)</f>
        <v>152</v>
      </c>
      <c r="K777" s="3" t="s">
        <v>138</v>
      </c>
      <c r="L777" s="3" t="s">
        <v>36</v>
      </c>
      <c r="M777" s="3" t="s">
        <v>36</v>
      </c>
      <c r="N777" s="3" t="s">
        <v>23</v>
      </c>
      <c r="O777" s="3" t="s">
        <v>139</v>
      </c>
    </row>
    <row r="778" spans="1:15" hidden="1" x14ac:dyDescent="0.75">
      <c r="A778" s="2">
        <v>46290</v>
      </c>
      <c r="B778" s="3" t="s">
        <v>104</v>
      </c>
      <c r="C778" s="3" t="s">
        <v>105</v>
      </c>
      <c r="D778" s="3" t="s">
        <v>56</v>
      </c>
      <c r="E778" s="3" t="s">
        <v>57</v>
      </c>
      <c r="F778" s="3" t="s">
        <v>106</v>
      </c>
      <c r="G778" s="3" t="s">
        <v>107</v>
      </c>
      <c r="H778" s="4">
        <v>46290.023245138887</v>
      </c>
      <c r="I778" s="4">
        <v>46290.502988078697</v>
      </c>
      <c r="J778" s="3">
        <f>ROUND((I778-H778)*1440,0)</f>
        <v>691</v>
      </c>
      <c r="K778" s="3" t="s">
        <v>1715</v>
      </c>
      <c r="L778" s="3" t="s">
        <v>36</v>
      </c>
      <c r="M778" s="3" t="s">
        <v>36</v>
      </c>
      <c r="N778" s="3" t="s">
        <v>23</v>
      </c>
      <c r="O778" s="3" t="s">
        <v>1716</v>
      </c>
    </row>
    <row r="779" spans="1:15" hidden="1" x14ac:dyDescent="0.75">
      <c r="A779" s="2">
        <v>46290</v>
      </c>
      <c r="B779" s="3" t="s">
        <v>2117</v>
      </c>
      <c r="C779" s="3" t="s">
        <v>2118</v>
      </c>
      <c r="D779" s="3" t="s">
        <v>68</v>
      </c>
      <c r="E779" s="3" t="s">
        <v>69</v>
      </c>
      <c r="F779" s="3" t="s">
        <v>84</v>
      </c>
      <c r="G779" s="3" t="s">
        <v>85</v>
      </c>
      <c r="H779" s="4">
        <v>46290.023918402767</v>
      </c>
      <c r="I779" s="4">
        <v>46290.126635416673</v>
      </c>
      <c r="J779" s="3">
        <f>ROUND((I779-H779)*1440,0)</f>
        <v>148</v>
      </c>
      <c r="K779" s="3" t="s">
        <v>434</v>
      </c>
      <c r="L779" s="3" t="s">
        <v>36</v>
      </c>
      <c r="M779" s="3" t="s">
        <v>36</v>
      </c>
      <c r="N779" s="3" t="s">
        <v>45</v>
      </c>
      <c r="O779" s="3" t="s">
        <v>435</v>
      </c>
    </row>
    <row r="780" spans="1:15" hidden="1" x14ac:dyDescent="0.75">
      <c r="A780" s="2">
        <v>46290</v>
      </c>
      <c r="B780" s="3" t="s">
        <v>152</v>
      </c>
      <c r="C780" s="3" t="s">
        <v>153</v>
      </c>
      <c r="D780" s="3" t="s">
        <v>56</v>
      </c>
      <c r="E780" s="3" t="s">
        <v>57</v>
      </c>
      <c r="F780" s="3" t="s">
        <v>148</v>
      </c>
      <c r="G780" s="3" t="s">
        <v>149</v>
      </c>
      <c r="H780" s="4">
        <v>46290.024044097219</v>
      </c>
      <c r="I780" s="4">
        <v>46290.132863310188</v>
      </c>
      <c r="J780" s="3">
        <f>ROUND((I780-H780)*1440,0)</f>
        <v>157</v>
      </c>
      <c r="K780" s="3" t="s">
        <v>112</v>
      </c>
      <c r="L780" s="3" t="s">
        <v>36</v>
      </c>
      <c r="M780" s="3" t="s">
        <v>36</v>
      </c>
      <c r="N780" s="3" t="s">
        <v>23</v>
      </c>
      <c r="O780" s="3" t="s">
        <v>113</v>
      </c>
    </row>
    <row r="781" spans="1:15" hidden="1" x14ac:dyDescent="0.75">
      <c r="A781" s="2">
        <v>46290</v>
      </c>
      <c r="B781" s="3" t="s">
        <v>156</v>
      </c>
      <c r="C781" s="3" t="s">
        <v>157</v>
      </c>
      <c r="D781" s="3" t="s">
        <v>158</v>
      </c>
      <c r="E781" s="3" t="s">
        <v>159</v>
      </c>
      <c r="F781" s="3" t="s">
        <v>27</v>
      </c>
      <c r="G781" s="3" t="s">
        <v>28</v>
      </c>
      <c r="H781" s="4">
        <v>46290.02739328704</v>
      </c>
      <c r="I781" s="4">
        <v>46290.077401273149</v>
      </c>
      <c r="J781" s="3">
        <f>ROUND((I781-H781)*1440,0)</f>
        <v>72</v>
      </c>
      <c r="K781" s="3" t="s">
        <v>1037</v>
      </c>
      <c r="L781" s="3" t="s">
        <v>77</v>
      </c>
      <c r="M781" s="3" t="s">
        <v>78</v>
      </c>
      <c r="N781" s="3" t="s">
        <v>23</v>
      </c>
      <c r="O781" s="3" t="s">
        <v>1038</v>
      </c>
    </row>
    <row r="782" spans="1:15" hidden="1" x14ac:dyDescent="0.75">
      <c r="A782" s="2">
        <v>46290</v>
      </c>
      <c r="B782" s="3" t="s">
        <v>190</v>
      </c>
      <c r="C782" s="3" t="s">
        <v>191</v>
      </c>
      <c r="D782" s="3" t="s">
        <v>56</v>
      </c>
      <c r="E782" s="3" t="s">
        <v>57</v>
      </c>
      <c r="F782" s="3" t="s">
        <v>19</v>
      </c>
      <c r="G782" s="3" t="s">
        <v>20</v>
      </c>
      <c r="H782" s="4">
        <v>46290.027448726847</v>
      </c>
      <c r="I782" s="4">
        <v>46290.052141435182</v>
      </c>
      <c r="J782" s="3">
        <f>ROUND((I782-H782)*1440,0)</f>
        <v>36</v>
      </c>
      <c r="K782" s="3" t="s">
        <v>102</v>
      </c>
      <c r="L782" s="3" t="s">
        <v>36</v>
      </c>
      <c r="M782" s="3" t="s">
        <v>36</v>
      </c>
      <c r="N782" s="3" t="s">
        <v>23</v>
      </c>
      <c r="O782" s="3" t="s">
        <v>103</v>
      </c>
    </row>
    <row r="783" spans="1:15" hidden="1" x14ac:dyDescent="0.75">
      <c r="A783" s="2">
        <v>46290</v>
      </c>
      <c r="B783" s="3" t="s">
        <v>2119</v>
      </c>
      <c r="C783" s="3" t="s">
        <v>2120</v>
      </c>
      <c r="D783" s="3" t="s">
        <v>106</v>
      </c>
      <c r="E783" s="3" t="s">
        <v>107</v>
      </c>
      <c r="F783" s="3" t="s">
        <v>17</v>
      </c>
      <c r="G783" s="3" t="s">
        <v>18</v>
      </c>
      <c r="H783" s="4">
        <v>46290.029009375001</v>
      </c>
      <c r="I783" s="4">
        <v>46290.11886574074</v>
      </c>
      <c r="J783" s="3">
        <f>ROUND((I783-H783)*1440,0)</f>
        <v>129</v>
      </c>
      <c r="K783" s="3" t="s">
        <v>1881</v>
      </c>
      <c r="L783" s="3" t="s">
        <v>36</v>
      </c>
      <c r="M783" s="3" t="s">
        <v>36</v>
      </c>
      <c r="N783" s="3" t="s">
        <v>23</v>
      </c>
      <c r="O783" s="3" t="s">
        <v>1882</v>
      </c>
    </row>
    <row r="784" spans="1:15" hidden="1" x14ac:dyDescent="0.75">
      <c r="A784" s="2">
        <v>46290</v>
      </c>
      <c r="B784" s="3" t="s">
        <v>200</v>
      </c>
      <c r="C784" s="3" t="s">
        <v>201</v>
      </c>
      <c r="D784" s="3" t="s">
        <v>27</v>
      </c>
      <c r="E784" s="3" t="s">
        <v>28</v>
      </c>
      <c r="F784" s="3" t="s">
        <v>202</v>
      </c>
      <c r="G784" s="3" t="s">
        <v>203</v>
      </c>
      <c r="H784" s="4">
        <v>46290.029121180552</v>
      </c>
      <c r="I784" s="4">
        <v>46290.293305439824</v>
      </c>
      <c r="J784" s="3">
        <f>ROUND((I784-H784)*1440,0)</f>
        <v>380</v>
      </c>
      <c r="K784" s="3" t="s">
        <v>204</v>
      </c>
      <c r="L784" s="3" t="s">
        <v>43</v>
      </c>
      <c r="M784" s="3" t="s">
        <v>44</v>
      </c>
      <c r="N784" s="3" t="s">
        <v>23</v>
      </c>
      <c r="O784" s="3" t="s">
        <v>205</v>
      </c>
    </row>
    <row r="785" spans="1:15" hidden="1" x14ac:dyDescent="0.75">
      <c r="A785" s="2">
        <v>46290</v>
      </c>
      <c r="B785" s="3" t="s">
        <v>2121</v>
      </c>
      <c r="C785" s="3" t="s">
        <v>2122</v>
      </c>
      <c r="D785" s="3" t="s">
        <v>17</v>
      </c>
      <c r="E785" s="3" t="s">
        <v>18</v>
      </c>
      <c r="F785" s="3" t="s">
        <v>27</v>
      </c>
      <c r="G785" s="3" t="s">
        <v>28</v>
      </c>
      <c r="H785" s="4">
        <v>46290.029571412037</v>
      </c>
      <c r="I785" s="4">
        <v>46290.055736111113</v>
      </c>
      <c r="J785" s="3">
        <f>ROUND((I785-H785)*1440,0)</f>
        <v>38</v>
      </c>
      <c r="K785" s="3" t="s">
        <v>1033</v>
      </c>
      <c r="L785" s="3" t="s">
        <v>77</v>
      </c>
      <c r="M785" s="3" t="s">
        <v>78</v>
      </c>
      <c r="N785" s="3" t="s">
        <v>23</v>
      </c>
      <c r="O785" s="3" t="s">
        <v>1034</v>
      </c>
    </row>
    <row r="786" spans="1:15" hidden="1" x14ac:dyDescent="0.75">
      <c r="A786" s="2">
        <v>46290</v>
      </c>
      <c r="B786" s="3" t="s">
        <v>250</v>
      </c>
      <c r="C786" s="3" t="s">
        <v>251</v>
      </c>
      <c r="D786" s="3" t="s">
        <v>56</v>
      </c>
      <c r="E786" s="3" t="s">
        <v>57</v>
      </c>
      <c r="F786" s="3" t="s">
        <v>27</v>
      </c>
      <c r="G786" s="3" t="s">
        <v>28</v>
      </c>
      <c r="H786" s="4">
        <v>46290.030712500004</v>
      </c>
      <c r="I786" s="4">
        <v>46290.141303703713</v>
      </c>
      <c r="J786" s="3">
        <f>ROUND((I786-H786)*1440,0)</f>
        <v>159</v>
      </c>
      <c r="K786" s="3" t="s">
        <v>673</v>
      </c>
      <c r="L786" s="3" t="s">
        <v>36</v>
      </c>
      <c r="M786" s="3" t="s">
        <v>36</v>
      </c>
      <c r="N786" s="3" t="s">
        <v>23</v>
      </c>
      <c r="O786" s="3" t="s">
        <v>674</v>
      </c>
    </row>
    <row r="787" spans="1:15" hidden="1" x14ac:dyDescent="0.75">
      <c r="A787" s="2">
        <v>46290</v>
      </c>
      <c r="B787" s="3" t="s">
        <v>2123</v>
      </c>
      <c r="C787" s="3" t="s">
        <v>2124</v>
      </c>
      <c r="D787" s="3" t="s">
        <v>27</v>
      </c>
      <c r="E787" s="3" t="s">
        <v>28</v>
      </c>
      <c r="F787" s="3" t="s">
        <v>615</v>
      </c>
      <c r="G787" s="3" t="s">
        <v>616</v>
      </c>
      <c r="H787" s="4">
        <v>46290.031411574077</v>
      </c>
      <c r="I787" s="4">
        <v>46290.182504398152</v>
      </c>
      <c r="J787" s="3">
        <f>ROUND((I787-H787)*1440,0)</f>
        <v>218</v>
      </c>
      <c r="K787" s="3" t="s">
        <v>2125</v>
      </c>
      <c r="L787" s="3" t="s">
        <v>36</v>
      </c>
      <c r="M787" s="3" t="s">
        <v>36</v>
      </c>
      <c r="N787" s="3" t="s">
        <v>45</v>
      </c>
      <c r="O787" s="3" t="s">
        <v>2126</v>
      </c>
    </row>
    <row r="788" spans="1:15" hidden="1" x14ac:dyDescent="0.75">
      <c r="A788" s="2">
        <v>46290</v>
      </c>
      <c r="B788" s="3" t="s">
        <v>262</v>
      </c>
      <c r="C788" s="3" t="s">
        <v>263</v>
      </c>
      <c r="D788" s="3" t="s">
        <v>56</v>
      </c>
      <c r="E788" s="3" t="s">
        <v>57</v>
      </c>
      <c r="F788" s="3" t="s">
        <v>264</v>
      </c>
      <c r="G788" s="3" t="s">
        <v>265</v>
      </c>
      <c r="H788" s="4">
        <v>46290.031678935193</v>
      </c>
      <c r="I788" s="4">
        <v>46290.227715740737</v>
      </c>
      <c r="J788" s="3">
        <f>ROUND((I788-H788)*1440,0)</f>
        <v>282</v>
      </c>
      <c r="K788" s="3" t="s">
        <v>519</v>
      </c>
      <c r="L788" s="3" t="s">
        <v>22</v>
      </c>
      <c r="M788" s="3" t="s">
        <v>22</v>
      </c>
      <c r="N788" s="3" t="s">
        <v>23</v>
      </c>
      <c r="O788" s="3" t="s">
        <v>520</v>
      </c>
    </row>
    <row r="789" spans="1:15" hidden="1" x14ac:dyDescent="0.75">
      <c r="A789" s="2">
        <v>46290</v>
      </c>
      <c r="B789" s="3" t="s">
        <v>274</v>
      </c>
      <c r="C789" s="3" t="s">
        <v>275</v>
      </c>
      <c r="D789" s="3" t="s">
        <v>17</v>
      </c>
      <c r="E789" s="3" t="s">
        <v>18</v>
      </c>
      <c r="F789" s="3" t="s">
        <v>122</v>
      </c>
      <c r="G789" s="3" t="s">
        <v>123</v>
      </c>
      <c r="H789" s="4">
        <v>46290.032043055558</v>
      </c>
      <c r="I789" s="4">
        <v>46290.266852893517</v>
      </c>
      <c r="J789" s="3">
        <f>ROUND((I789-H789)*1440,0)</f>
        <v>338</v>
      </c>
      <c r="K789" s="3" t="s">
        <v>661</v>
      </c>
      <c r="L789" s="3" t="s">
        <v>22</v>
      </c>
      <c r="M789" s="3" t="s">
        <v>22</v>
      </c>
      <c r="N789" s="3" t="s">
        <v>23</v>
      </c>
      <c r="O789" s="3" t="s">
        <v>662</v>
      </c>
    </row>
    <row r="790" spans="1:15" hidden="1" x14ac:dyDescent="0.75">
      <c r="A790" s="2">
        <v>46290</v>
      </c>
      <c r="B790" s="3" t="s">
        <v>126</v>
      </c>
      <c r="C790" s="3" t="s">
        <v>127</v>
      </c>
      <c r="D790" s="3" t="s">
        <v>56</v>
      </c>
      <c r="E790" s="3" t="s">
        <v>57</v>
      </c>
      <c r="F790" s="3" t="s">
        <v>128</v>
      </c>
      <c r="G790" s="3" t="s">
        <v>129</v>
      </c>
      <c r="H790" s="4">
        <v>46290.032953935188</v>
      </c>
      <c r="I790" s="4">
        <v>46290.139102199071</v>
      </c>
      <c r="J790" s="3">
        <f>ROUND((I790-H790)*1440,0)</f>
        <v>153</v>
      </c>
      <c r="K790" s="3" t="s">
        <v>1045</v>
      </c>
      <c r="L790" s="3" t="s">
        <v>36</v>
      </c>
      <c r="M790" s="3" t="s">
        <v>36</v>
      </c>
      <c r="N790" s="3" t="s">
        <v>23</v>
      </c>
      <c r="O790" s="3" t="s">
        <v>1046</v>
      </c>
    </row>
    <row r="791" spans="1:15" hidden="1" x14ac:dyDescent="0.75">
      <c r="A791" s="2">
        <v>46290</v>
      </c>
      <c r="B791" s="3" t="s">
        <v>216</v>
      </c>
      <c r="C791" s="3" t="s">
        <v>217</v>
      </c>
      <c r="D791" s="3" t="s">
        <v>56</v>
      </c>
      <c r="E791" s="3" t="s">
        <v>57</v>
      </c>
      <c r="F791" s="3" t="s">
        <v>218</v>
      </c>
      <c r="G791" s="3" t="s">
        <v>219</v>
      </c>
      <c r="H791" s="4">
        <v>46290.033549305554</v>
      </c>
      <c r="I791" s="4">
        <v>46290.138238425927</v>
      </c>
      <c r="J791" s="3">
        <f>ROUND((I791-H791)*1440,0)</f>
        <v>151</v>
      </c>
      <c r="K791" s="3" t="s">
        <v>76</v>
      </c>
      <c r="L791" s="3" t="s">
        <v>77</v>
      </c>
      <c r="M791" s="3" t="s">
        <v>78</v>
      </c>
      <c r="N791" s="3" t="s">
        <v>23</v>
      </c>
      <c r="O791" s="3" t="s">
        <v>79</v>
      </c>
    </row>
    <row r="792" spans="1:15" hidden="1" x14ac:dyDescent="0.75">
      <c r="A792" s="2">
        <v>46290</v>
      </c>
      <c r="B792" s="3" t="s">
        <v>170</v>
      </c>
      <c r="C792" s="3" t="s">
        <v>171</v>
      </c>
      <c r="D792" s="3" t="s">
        <v>56</v>
      </c>
      <c r="E792" s="3" t="s">
        <v>57</v>
      </c>
      <c r="F792" s="3" t="s">
        <v>172</v>
      </c>
      <c r="G792" s="3" t="s">
        <v>173</v>
      </c>
      <c r="H792" s="4">
        <v>46290.034360995371</v>
      </c>
      <c r="I792" s="4">
        <v>46290.14184571759</v>
      </c>
      <c r="J792" s="3">
        <f>ROUND((I792-H792)*1440,0)</f>
        <v>155</v>
      </c>
      <c r="K792" s="3" t="s">
        <v>993</v>
      </c>
      <c r="L792" s="3" t="s">
        <v>36</v>
      </c>
      <c r="M792" s="3" t="s">
        <v>36</v>
      </c>
      <c r="N792" s="3" t="s">
        <v>23</v>
      </c>
      <c r="O792" s="3" t="s">
        <v>994</v>
      </c>
    </row>
    <row r="793" spans="1:15" hidden="1" x14ac:dyDescent="0.75">
      <c r="A793" s="2">
        <v>46290</v>
      </c>
      <c r="B793" s="3" t="s">
        <v>242</v>
      </c>
      <c r="C793" s="3" t="s">
        <v>243</v>
      </c>
      <c r="D793" s="3" t="s">
        <v>56</v>
      </c>
      <c r="E793" s="3" t="s">
        <v>57</v>
      </c>
      <c r="F793" s="3" t="s">
        <v>244</v>
      </c>
      <c r="G793" s="3" t="s">
        <v>245</v>
      </c>
      <c r="H793" s="4">
        <v>46290.035247916669</v>
      </c>
      <c r="I793" s="4">
        <v>46290.144421527781</v>
      </c>
      <c r="J793" s="3">
        <f>ROUND((I793-H793)*1440,0)</f>
        <v>157</v>
      </c>
      <c r="K793" s="3" t="s">
        <v>272</v>
      </c>
      <c r="L793" s="3" t="s">
        <v>36</v>
      </c>
      <c r="M793" s="3" t="s">
        <v>36</v>
      </c>
      <c r="N793" s="3" t="s">
        <v>45</v>
      </c>
      <c r="O793" s="3" t="s">
        <v>273</v>
      </c>
    </row>
    <row r="794" spans="1:15" hidden="1" x14ac:dyDescent="0.75">
      <c r="A794" s="2">
        <v>46290</v>
      </c>
      <c r="B794" s="3" t="s">
        <v>120</v>
      </c>
      <c r="C794" s="3" t="s">
        <v>121</v>
      </c>
      <c r="D794" s="3" t="s">
        <v>56</v>
      </c>
      <c r="E794" s="3" t="s">
        <v>57</v>
      </c>
      <c r="F794" s="3" t="s">
        <v>122</v>
      </c>
      <c r="G794" s="3" t="s">
        <v>123</v>
      </c>
      <c r="H794" s="4">
        <v>46290.036334490738</v>
      </c>
      <c r="I794" s="4">
        <v>46290.263064120372</v>
      </c>
      <c r="J794" s="3">
        <f>ROUND((I794-H794)*1440,0)</f>
        <v>326</v>
      </c>
      <c r="K794" s="3" t="s">
        <v>657</v>
      </c>
      <c r="L794" s="3" t="s">
        <v>22</v>
      </c>
      <c r="M794" s="3" t="s">
        <v>22</v>
      </c>
      <c r="N794" s="3" t="s">
        <v>23</v>
      </c>
      <c r="O794" s="3" t="s">
        <v>658</v>
      </c>
    </row>
    <row r="795" spans="1:15" hidden="1" x14ac:dyDescent="0.75">
      <c r="A795" s="2">
        <v>46290</v>
      </c>
      <c r="B795" s="3" t="s">
        <v>186</v>
      </c>
      <c r="C795" s="3" t="s">
        <v>187</v>
      </c>
      <c r="D795" s="3" t="s">
        <v>27</v>
      </c>
      <c r="E795" s="3" t="s">
        <v>28</v>
      </c>
      <c r="F795" s="3" t="s">
        <v>82</v>
      </c>
      <c r="G795" s="3" t="s">
        <v>83</v>
      </c>
      <c r="H795" s="4">
        <v>46290.036603703702</v>
      </c>
      <c r="I795" s="4">
        <v>46290.147748958327</v>
      </c>
      <c r="J795" s="3">
        <f>ROUND((I795-H795)*1440,0)</f>
        <v>160</v>
      </c>
      <c r="K795" s="3" t="s">
        <v>2127</v>
      </c>
      <c r="L795" s="3" t="s">
        <v>22</v>
      </c>
      <c r="M795" s="3" t="s">
        <v>22</v>
      </c>
      <c r="N795" s="3" t="s">
        <v>23</v>
      </c>
      <c r="O795" s="3" t="s">
        <v>2128</v>
      </c>
    </row>
    <row r="796" spans="1:15" hidden="1" x14ac:dyDescent="0.75">
      <c r="A796" s="2">
        <v>46290</v>
      </c>
      <c r="B796" s="3" t="s">
        <v>2129</v>
      </c>
      <c r="C796" s="3" t="s">
        <v>2130</v>
      </c>
      <c r="D796" s="3" t="s">
        <v>56</v>
      </c>
      <c r="E796" s="3" t="s">
        <v>57</v>
      </c>
      <c r="F796" s="3" t="s">
        <v>897</v>
      </c>
      <c r="G796" s="3" t="s">
        <v>898</v>
      </c>
      <c r="H796" s="4">
        <v>46290.036768055557</v>
      </c>
      <c r="I796" s="4">
        <v>46290.112939004634</v>
      </c>
      <c r="J796" s="3">
        <f>ROUND((I796-H796)*1440,0)</f>
        <v>110</v>
      </c>
      <c r="K796" s="3" t="s">
        <v>1571</v>
      </c>
      <c r="L796" s="3" t="s">
        <v>36</v>
      </c>
      <c r="M796" s="3" t="s">
        <v>36</v>
      </c>
      <c r="N796" s="3" t="s">
        <v>45</v>
      </c>
      <c r="O796" s="3" t="s">
        <v>1572</v>
      </c>
    </row>
    <row r="797" spans="1:15" hidden="1" x14ac:dyDescent="0.75">
      <c r="A797" s="2">
        <v>46290</v>
      </c>
      <c r="B797" s="3" t="s">
        <v>2131</v>
      </c>
      <c r="C797" s="3" t="s">
        <v>2132</v>
      </c>
      <c r="D797" s="3" t="s">
        <v>17</v>
      </c>
      <c r="E797" s="3" t="s">
        <v>18</v>
      </c>
      <c r="F797" s="3" t="s">
        <v>27</v>
      </c>
      <c r="G797" s="3" t="s">
        <v>28</v>
      </c>
      <c r="H797" s="4">
        <v>46290.03836053241</v>
      </c>
      <c r="I797" s="4">
        <v>46290.067099305546</v>
      </c>
      <c r="J797" s="3">
        <f>ROUND((I797-H797)*1440,0)</f>
        <v>41</v>
      </c>
      <c r="K797" s="3" t="s">
        <v>322</v>
      </c>
      <c r="L797" s="3" t="s">
        <v>36</v>
      </c>
      <c r="M797" s="3" t="s">
        <v>36</v>
      </c>
      <c r="N797" s="3" t="s">
        <v>23</v>
      </c>
      <c r="O797" s="3" t="s">
        <v>323</v>
      </c>
    </row>
    <row r="798" spans="1:15" hidden="1" x14ac:dyDescent="0.75">
      <c r="A798" s="2">
        <v>46290</v>
      </c>
      <c r="B798" s="3" t="s">
        <v>284</v>
      </c>
      <c r="C798" s="3" t="s">
        <v>285</v>
      </c>
      <c r="D798" s="3" t="s">
        <v>27</v>
      </c>
      <c r="E798" s="3" t="s">
        <v>28</v>
      </c>
      <c r="F798" s="3" t="s">
        <v>286</v>
      </c>
      <c r="G798" s="3" t="s">
        <v>287</v>
      </c>
      <c r="H798" s="4">
        <v>46290.038504398151</v>
      </c>
      <c r="I798" s="4">
        <v>46290.323329282408</v>
      </c>
      <c r="J798" s="3">
        <f>ROUND((I798-H798)*1440,0)</f>
        <v>410</v>
      </c>
      <c r="K798" s="3" t="s">
        <v>288</v>
      </c>
      <c r="L798" s="3" t="s">
        <v>43</v>
      </c>
      <c r="M798" s="3" t="s">
        <v>44</v>
      </c>
      <c r="N798" s="3" t="s">
        <v>23</v>
      </c>
      <c r="O798" s="3" t="s">
        <v>289</v>
      </c>
    </row>
    <row r="799" spans="1:15" hidden="1" x14ac:dyDescent="0.75">
      <c r="A799" s="2">
        <v>46290</v>
      </c>
      <c r="B799" s="3" t="s">
        <v>2133</v>
      </c>
      <c r="C799" s="3" t="s">
        <v>2134</v>
      </c>
      <c r="D799" s="3" t="s">
        <v>17</v>
      </c>
      <c r="E799" s="3" t="s">
        <v>18</v>
      </c>
      <c r="F799" s="3" t="s">
        <v>541</v>
      </c>
      <c r="G799" s="3" t="s">
        <v>542</v>
      </c>
      <c r="H799" s="4">
        <v>46290.039119444453</v>
      </c>
      <c r="I799" s="4">
        <v>46290.226151041657</v>
      </c>
      <c r="J799" s="3">
        <f>ROUND((I799-H799)*1440,0)</f>
        <v>269</v>
      </c>
      <c r="K799" s="3" t="s">
        <v>931</v>
      </c>
      <c r="L799" s="3" t="s">
        <v>77</v>
      </c>
      <c r="M799" s="3" t="s">
        <v>78</v>
      </c>
      <c r="N799" s="3" t="s">
        <v>23</v>
      </c>
      <c r="O799" s="3" t="s">
        <v>932</v>
      </c>
    </row>
    <row r="800" spans="1:15" hidden="1" x14ac:dyDescent="0.75">
      <c r="A800" s="2">
        <v>46290</v>
      </c>
      <c r="B800" s="3" t="s">
        <v>194</v>
      </c>
      <c r="C800" s="3" t="s">
        <v>195</v>
      </c>
      <c r="D800" s="3" t="s">
        <v>56</v>
      </c>
      <c r="E800" s="3" t="s">
        <v>57</v>
      </c>
      <c r="F800" s="3" t="s">
        <v>196</v>
      </c>
      <c r="G800" s="3" t="s">
        <v>197</v>
      </c>
      <c r="H800" s="4">
        <v>46290.039992013888</v>
      </c>
      <c r="I800" s="4">
        <v>46290.121503009257</v>
      </c>
      <c r="J800" s="3">
        <f>ROUND((I800-H800)*1440,0)</f>
        <v>117</v>
      </c>
      <c r="K800" s="3" t="s">
        <v>775</v>
      </c>
      <c r="L800" s="3" t="s">
        <v>36</v>
      </c>
      <c r="M800" s="3" t="s">
        <v>36</v>
      </c>
      <c r="N800" s="3" t="s">
        <v>45</v>
      </c>
      <c r="O800" s="3" t="s">
        <v>776</v>
      </c>
    </row>
    <row r="801" spans="1:15" hidden="1" x14ac:dyDescent="0.75">
      <c r="A801" s="2">
        <v>46290</v>
      </c>
      <c r="B801" s="3" t="s">
        <v>302</v>
      </c>
      <c r="C801" s="3" t="s">
        <v>303</v>
      </c>
      <c r="D801" s="3" t="s">
        <v>56</v>
      </c>
      <c r="E801" s="3" t="s">
        <v>57</v>
      </c>
      <c r="F801" s="3" t="s">
        <v>304</v>
      </c>
      <c r="G801" s="3" t="s">
        <v>305</v>
      </c>
      <c r="H801" s="4">
        <v>46290.040781481483</v>
      </c>
      <c r="I801" s="4">
        <v>46290.248920486112</v>
      </c>
      <c r="J801" s="3">
        <f>ROUND((I801-H801)*1440,0)</f>
        <v>300</v>
      </c>
      <c r="K801" s="3" t="s">
        <v>653</v>
      </c>
      <c r="L801" s="3" t="s">
        <v>22</v>
      </c>
      <c r="M801" s="3" t="s">
        <v>22</v>
      </c>
      <c r="N801" s="3" t="s">
        <v>23</v>
      </c>
      <c r="O801" s="3" t="s">
        <v>654</v>
      </c>
    </row>
    <row r="802" spans="1:15" hidden="1" x14ac:dyDescent="0.75">
      <c r="A802" s="2">
        <v>46290</v>
      </c>
      <c r="B802" s="3" t="s">
        <v>2135</v>
      </c>
      <c r="C802" s="3" t="s">
        <v>2136</v>
      </c>
      <c r="D802" s="3" t="s">
        <v>84</v>
      </c>
      <c r="E802" s="3" t="s">
        <v>85</v>
      </c>
      <c r="F802" s="3" t="s">
        <v>56</v>
      </c>
      <c r="G802" s="3" t="s">
        <v>57</v>
      </c>
      <c r="H802" s="4">
        <v>46290.044582291674</v>
      </c>
      <c r="I802" s="4">
        <v>46290.147846296299</v>
      </c>
      <c r="J802" s="3">
        <f>ROUND((I802-H802)*1440,0)</f>
        <v>149</v>
      </c>
      <c r="K802" s="3" t="s">
        <v>1469</v>
      </c>
      <c r="L802" s="3" t="s">
        <v>36</v>
      </c>
      <c r="M802" s="3" t="s">
        <v>36</v>
      </c>
      <c r="N802" s="3" t="s">
        <v>23</v>
      </c>
      <c r="O802" s="3" t="s">
        <v>1470</v>
      </c>
    </row>
    <row r="803" spans="1:15" hidden="1" x14ac:dyDescent="0.75">
      <c r="A803" s="2">
        <v>46290</v>
      </c>
      <c r="B803" s="3" t="s">
        <v>238</v>
      </c>
      <c r="C803" s="3" t="s">
        <v>239</v>
      </c>
      <c r="D803" s="3" t="s">
        <v>56</v>
      </c>
      <c r="E803" s="3" t="s">
        <v>57</v>
      </c>
      <c r="F803" s="3" t="s">
        <v>182</v>
      </c>
      <c r="G803" s="3" t="s">
        <v>183</v>
      </c>
      <c r="H803" s="4">
        <v>46290.046292245373</v>
      </c>
      <c r="I803" s="4">
        <v>46290.109630092593</v>
      </c>
      <c r="J803" s="3">
        <f>ROUND((I803-H803)*1440,0)</f>
        <v>91</v>
      </c>
      <c r="K803" s="3" t="s">
        <v>220</v>
      </c>
      <c r="L803" s="3" t="s">
        <v>77</v>
      </c>
      <c r="M803" s="3" t="s">
        <v>78</v>
      </c>
      <c r="N803" s="3" t="s">
        <v>23</v>
      </c>
      <c r="O803" s="3" t="s">
        <v>221</v>
      </c>
    </row>
    <row r="804" spans="1:15" hidden="1" x14ac:dyDescent="0.75">
      <c r="A804" s="2">
        <v>46290</v>
      </c>
      <c r="B804" s="3" t="s">
        <v>382</v>
      </c>
      <c r="C804" s="3" t="s">
        <v>383</v>
      </c>
      <c r="D804" s="3" t="s">
        <v>84</v>
      </c>
      <c r="E804" s="3" t="s">
        <v>85</v>
      </c>
      <c r="F804" s="3" t="s">
        <v>82</v>
      </c>
      <c r="G804" s="3" t="s">
        <v>83</v>
      </c>
      <c r="H804" s="4">
        <v>46290.04710520833</v>
      </c>
      <c r="I804" s="4">
        <v>46290.135654976853</v>
      </c>
      <c r="J804" s="3">
        <f>ROUND((I804-H804)*1440,0)</f>
        <v>128</v>
      </c>
      <c r="K804" s="3" t="s">
        <v>402</v>
      </c>
      <c r="L804" s="3" t="s">
        <v>36</v>
      </c>
      <c r="M804" s="3" t="s">
        <v>36</v>
      </c>
      <c r="N804" s="3" t="s">
        <v>23</v>
      </c>
      <c r="O804" s="3" t="s">
        <v>403</v>
      </c>
    </row>
    <row r="805" spans="1:15" hidden="1" x14ac:dyDescent="0.75">
      <c r="A805" s="2">
        <v>46290</v>
      </c>
      <c r="B805" s="3" t="s">
        <v>2137</v>
      </c>
      <c r="C805" s="3" t="s">
        <v>2138</v>
      </c>
      <c r="D805" s="3" t="s">
        <v>82</v>
      </c>
      <c r="E805" s="3" t="s">
        <v>83</v>
      </c>
      <c r="F805" s="3" t="s">
        <v>58</v>
      </c>
      <c r="G805" s="3" t="s">
        <v>59</v>
      </c>
      <c r="H805" s="4">
        <v>46290.049952546287</v>
      </c>
      <c r="I805" s="4">
        <v>46290.147523148153</v>
      </c>
      <c r="J805" s="3">
        <f>ROUND((I805-H805)*1440,0)</f>
        <v>141</v>
      </c>
      <c r="K805" s="3" t="s">
        <v>1989</v>
      </c>
      <c r="L805" s="3" t="s">
        <v>36</v>
      </c>
      <c r="M805" s="3" t="s">
        <v>36</v>
      </c>
      <c r="N805" s="3" t="s">
        <v>23</v>
      </c>
      <c r="O805" s="3" t="s">
        <v>1990</v>
      </c>
    </row>
    <row r="806" spans="1:15" hidden="1" x14ac:dyDescent="0.75">
      <c r="A806" s="2">
        <v>46290</v>
      </c>
      <c r="B806" s="3" t="s">
        <v>254</v>
      </c>
      <c r="C806" s="3" t="s">
        <v>255</v>
      </c>
      <c r="D806" s="3" t="s">
        <v>56</v>
      </c>
      <c r="E806" s="3" t="s">
        <v>57</v>
      </c>
      <c r="F806" s="3" t="s">
        <v>49</v>
      </c>
      <c r="G806" s="3" t="s">
        <v>50</v>
      </c>
      <c r="H806" s="4">
        <v>46290.050391435187</v>
      </c>
      <c r="I806" s="4">
        <v>46290.155129050923</v>
      </c>
      <c r="J806" s="3">
        <f>ROUND((I806-H806)*1440,0)</f>
        <v>151</v>
      </c>
      <c r="K806" s="3" t="s">
        <v>617</v>
      </c>
      <c r="L806" s="3" t="s">
        <v>36</v>
      </c>
      <c r="M806" s="3" t="s">
        <v>36</v>
      </c>
      <c r="N806" s="3" t="s">
        <v>45</v>
      </c>
      <c r="O806" s="3" t="s">
        <v>618</v>
      </c>
    </row>
    <row r="807" spans="1:15" hidden="1" x14ac:dyDescent="0.75">
      <c r="A807" s="2">
        <v>46290</v>
      </c>
      <c r="B807" s="3" t="s">
        <v>390</v>
      </c>
      <c r="C807" s="3" t="s">
        <v>391</v>
      </c>
      <c r="D807" s="3" t="s">
        <v>56</v>
      </c>
      <c r="E807" s="3" t="s">
        <v>57</v>
      </c>
      <c r="F807" s="3" t="s">
        <v>17</v>
      </c>
      <c r="G807" s="3" t="s">
        <v>18</v>
      </c>
      <c r="H807" s="4">
        <v>46290.051736574067</v>
      </c>
      <c r="I807" s="4">
        <v>46290.156088310177</v>
      </c>
      <c r="J807" s="3">
        <f>ROUND((I807-H807)*1440,0)</f>
        <v>150</v>
      </c>
      <c r="K807" s="3" t="s">
        <v>1247</v>
      </c>
      <c r="L807" s="3" t="s">
        <v>22</v>
      </c>
      <c r="M807" s="3" t="s">
        <v>22</v>
      </c>
      <c r="N807" s="3" t="s">
        <v>23</v>
      </c>
      <c r="O807" s="3" t="s">
        <v>1248</v>
      </c>
    </row>
    <row r="808" spans="1:15" hidden="1" x14ac:dyDescent="0.75">
      <c r="A808" s="2">
        <v>46290</v>
      </c>
      <c r="B808" s="3" t="s">
        <v>166</v>
      </c>
      <c r="C808" s="3" t="s">
        <v>167</v>
      </c>
      <c r="D808" s="3" t="s">
        <v>56</v>
      </c>
      <c r="E808" s="3" t="s">
        <v>57</v>
      </c>
      <c r="F808" s="3" t="s">
        <v>82</v>
      </c>
      <c r="G808" s="3" t="s">
        <v>83</v>
      </c>
      <c r="H808" s="4">
        <v>46290.052594328707</v>
      </c>
      <c r="I808" s="4">
        <v>46290.074183680546</v>
      </c>
      <c r="J808" s="3">
        <f>ROUND((I808-H808)*1440,0)</f>
        <v>31</v>
      </c>
      <c r="K808" s="3" t="s">
        <v>1751</v>
      </c>
      <c r="L808" s="3" t="s">
        <v>36</v>
      </c>
      <c r="M808" s="3" t="s">
        <v>36</v>
      </c>
      <c r="N808" s="3" t="s">
        <v>23</v>
      </c>
      <c r="O808" s="3" t="s">
        <v>1752</v>
      </c>
    </row>
    <row r="809" spans="1:15" hidden="1" x14ac:dyDescent="0.75">
      <c r="A809" s="2">
        <v>46290</v>
      </c>
      <c r="B809" s="3" t="s">
        <v>212</v>
      </c>
      <c r="C809" s="3" t="s">
        <v>213</v>
      </c>
      <c r="D809" s="3" t="s">
        <v>82</v>
      </c>
      <c r="E809" s="3" t="s">
        <v>83</v>
      </c>
      <c r="F809" s="3" t="s">
        <v>27</v>
      </c>
      <c r="G809" s="3" t="s">
        <v>28</v>
      </c>
      <c r="H809" s="4">
        <v>46290.053474652777</v>
      </c>
      <c r="I809" s="4">
        <v>46290.156879166672</v>
      </c>
      <c r="J809" s="3">
        <f>ROUND((I809-H809)*1440,0)</f>
        <v>149</v>
      </c>
      <c r="K809" s="3" t="s">
        <v>831</v>
      </c>
      <c r="L809" s="3" t="s">
        <v>77</v>
      </c>
      <c r="M809" s="3" t="s">
        <v>78</v>
      </c>
      <c r="N809" s="3" t="s">
        <v>23</v>
      </c>
      <c r="O809" s="3" t="s">
        <v>832</v>
      </c>
    </row>
    <row r="810" spans="1:15" hidden="1" x14ac:dyDescent="0.75">
      <c r="A810" s="2">
        <v>46290</v>
      </c>
      <c r="B810" s="3" t="s">
        <v>324</v>
      </c>
      <c r="C810" s="3" t="s">
        <v>325</v>
      </c>
      <c r="D810" s="3" t="s">
        <v>17</v>
      </c>
      <c r="E810" s="3" t="s">
        <v>18</v>
      </c>
      <c r="F810" s="3" t="s">
        <v>304</v>
      </c>
      <c r="G810" s="3" t="s">
        <v>305</v>
      </c>
      <c r="H810" s="4">
        <v>46290.054628587961</v>
      </c>
      <c r="I810" s="4">
        <v>46290.272943171287</v>
      </c>
      <c r="J810" s="3">
        <f>ROUND((I810-H810)*1440,0)</f>
        <v>314</v>
      </c>
      <c r="K810" s="3" t="s">
        <v>677</v>
      </c>
      <c r="L810" s="3" t="s">
        <v>22</v>
      </c>
      <c r="M810" s="3" t="s">
        <v>22</v>
      </c>
      <c r="N810" s="3" t="s">
        <v>23</v>
      </c>
      <c r="O810" s="3" t="s">
        <v>678</v>
      </c>
    </row>
    <row r="811" spans="1:15" hidden="1" x14ac:dyDescent="0.75">
      <c r="A811" s="2">
        <v>46290</v>
      </c>
      <c r="B811" s="3" t="s">
        <v>2139</v>
      </c>
      <c r="C811" s="3" t="s">
        <v>2140</v>
      </c>
      <c r="D811" s="3" t="s">
        <v>27</v>
      </c>
      <c r="E811" s="3" t="s">
        <v>28</v>
      </c>
      <c r="F811" s="3" t="s">
        <v>94</v>
      </c>
      <c r="G811" s="3" t="s">
        <v>95</v>
      </c>
      <c r="H811" s="4">
        <v>46290.055998148149</v>
      </c>
      <c r="I811" s="4">
        <v>46290.126986689807</v>
      </c>
      <c r="J811" s="3">
        <f>ROUND((I811-H811)*1440,0)</f>
        <v>102</v>
      </c>
      <c r="K811" s="3" t="s">
        <v>891</v>
      </c>
      <c r="L811" s="3" t="s">
        <v>77</v>
      </c>
      <c r="M811" s="3" t="s">
        <v>78</v>
      </c>
      <c r="N811" s="3" t="s">
        <v>23</v>
      </c>
      <c r="O811" s="3" t="s">
        <v>892</v>
      </c>
    </row>
    <row r="812" spans="1:15" hidden="1" x14ac:dyDescent="0.75">
      <c r="A812" s="2">
        <v>46290</v>
      </c>
      <c r="B812" s="3" t="s">
        <v>318</v>
      </c>
      <c r="C812" s="3" t="s">
        <v>319</v>
      </c>
      <c r="D812" s="3" t="s">
        <v>56</v>
      </c>
      <c r="E812" s="3" t="s">
        <v>57</v>
      </c>
      <c r="F812" s="3" t="s">
        <v>320</v>
      </c>
      <c r="G812" s="3" t="s">
        <v>321</v>
      </c>
      <c r="H812" s="4">
        <v>46290.056489236107</v>
      </c>
      <c r="I812" s="4">
        <v>46290.124043171287</v>
      </c>
      <c r="J812" s="3">
        <f>ROUND((I812-H812)*1440,0)</f>
        <v>97</v>
      </c>
      <c r="K812" s="3" t="s">
        <v>310</v>
      </c>
      <c r="L812" s="3" t="s">
        <v>36</v>
      </c>
      <c r="M812" s="3" t="s">
        <v>36</v>
      </c>
      <c r="N812" s="3" t="s">
        <v>23</v>
      </c>
      <c r="O812" s="3" t="s">
        <v>311</v>
      </c>
    </row>
    <row r="813" spans="1:15" hidden="1" x14ac:dyDescent="0.75">
      <c r="A813" s="2">
        <v>46290</v>
      </c>
      <c r="B813" s="3" t="s">
        <v>222</v>
      </c>
      <c r="C813" s="3" t="s">
        <v>223</v>
      </c>
      <c r="D813" s="3" t="s">
        <v>17</v>
      </c>
      <c r="E813" s="3" t="s">
        <v>18</v>
      </c>
      <c r="F813" s="3" t="s">
        <v>218</v>
      </c>
      <c r="G813" s="3" t="s">
        <v>219</v>
      </c>
      <c r="H813" s="4">
        <v>46290.058443981477</v>
      </c>
      <c r="I813" s="4">
        <v>46290.106894444441</v>
      </c>
      <c r="J813" s="3">
        <f>ROUND((I813-H813)*1440,0)</f>
        <v>70</v>
      </c>
      <c r="K813" s="3" t="s">
        <v>96</v>
      </c>
      <c r="L813" s="3" t="s">
        <v>77</v>
      </c>
      <c r="M813" s="3" t="s">
        <v>78</v>
      </c>
      <c r="N813" s="3" t="s">
        <v>23</v>
      </c>
      <c r="O813" s="3" t="s">
        <v>97</v>
      </c>
    </row>
    <row r="814" spans="1:15" hidden="1" x14ac:dyDescent="0.75">
      <c r="A814" s="2">
        <v>46290</v>
      </c>
      <c r="B814" s="3" t="s">
        <v>290</v>
      </c>
      <c r="C814" s="3" t="s">
        <v>291</v>
      </c>
      <c r="D814" s="3" t="s">
        <v>208</v>
      </c>
      <c r="E814" s="3" t="s">
        <v>209</v>
      </c>
      <c r="F814" s="3" t="s">
        <v>56</v>
      </c>
      <c r="G814" s="3" t="s">
        <v>57</v>
      </c>
      <c r="H814" s="4">
        <v>46290.060393287044</v>
      </c>
      <c r="I814" s="4">
        <v>46290.159639699072</v>
      </c>
      <c r="J814" s="3">
        <f>ROUND((I814-H814)*1440,0)</f>
        <v>143</v>
      </c>
      <c r="K814" s="3" t="s">
        <v>935</v>
      </c>
      <c r="L814" s="3" t="s">
        <v>36</v>
      </c>
      <c r="M814" s="3" t="s">
        <v>36</v>
      </c>
      <c r="N814" s="3" t="s">
        <v>23</v>
      </c>
      <c r="O814" s="3" t="s">
        <v>936</v>
      </c>
    </row>
    <row r="815" spans="1:15" hidden="1" x14ac:dyDescent="0.75">
      <c r="A815" s="2">
        <v>46290</v>
      </c>
      <c r="B815" s="3" t="s">
        <v>180</v>
      </c>
      <c r="C815" s="3" t="s">
        <v>181</v>
      </c>
      <c r="D815" s="3" t="s">
        <v>17</v>
      </c>
      <c r="E815" s="3" t="s">
        <v>18</v>
      </c>
      <c r="F815" s="3" t="s">
        <v>182</v>
      </c>
      <c r="G815" s="3" t="s">
        <v>183</v>
      </c>
      <c r="H815" s="4">
        <v>46290.060511342592</v>
      </c>
      <c r="I815" s="4">
        <v>46290.133884490737</v>
      </c>
      <c r="J815" s="3">
        <f>ROUND((I815-H815)*1440,0)</f>
        <v>106</v>
      </c>
      <c r="K815" s="3" t="s">
        <v>1229</v>
      </c>
      <c r="L815" s="3" t="s">
        <v>77</v>
      </c>
      <c r="M815" s="3" t="s">
        <v>78</v>
      </c>
      <c r="N815" s="3" t="s">
        <v>23</v>
      </c>
      <c r="O815" s="3" t="s">
        <v>1230</v>
      </c>
    </row>
    <row r="816" spans="1:15" hidden="1" x14ac:dyDescent="0.75">
      <c r="A816" s="2">
        <v>46290</v>
      </c>
      <c r="B816" s="3" t="s">
        <v>2141</v>
      </c>
      <c r="C816" s="3" t="s">
        <v>2142</v>
      </c>
      <c r="D816" s="3" t="s">
        <v>17</v>
      </c>
      <c r="E816" s="3" t="s">
        <v>18</v>
      </c>
      <c r="F816" s="3" t="s">
        <v>82</v>
      </c>
      <c r="G816" s="3" t="s">
        <v>83</v>
      </c>
      <c r="H816" s="4">
        <v>46290.061143055558</v>
      </c>
      <c r="I816" s="4">
        <v>46290.153336342592</v>
      </c>
      <c r="J816" s="3">
        <f>ROUND((I816-H816)*1440,0)</f>
        <v>133</v>
      </c>
      <c r="K816" s="3" t="s">
        <v>1215</v>
      </c>
      <c r="L816" s="3" t="s">
        <v>22</v>
      </c>
      <c r="M816" s="3" t="s">
        <v>22</v>
      </c>
      <c r="N816" s="3" t="s">
        <v>23</v>
      </c>
      <c r="O816" s="3" t="s">
        <v>1216</v>
      </c>
    </row>
    <row r="817" spans="1:15" hidden="1" x14ac:dyDescent="0.75">
      <c r="A817" s="2">
        <v>46290</v>
      </c>
      <c r="B817" s="3" t="s">
        <v>338</v>
      </c>
      <c r="C817" s="3" t="s">
        <v>339</v>
      </c>
      <c r="D817" s="3" t="s">
        <v>27</v>
      </c>
      <c r="E817" s="3" t="s">
        <v>28</v>
      </c>
      <c r="F817" s="3" t="s">
        <v>40</v>
      </c>
      <c r="G817" s="3" t="s">
        <v>41</v>
      </c>
      <c r="H817" s="4">
        <v>46290.061521064817</v>
      </c>
      <c r="I817" s="4">
        <v>46290.323113194441</v>
      </c>
      <c r="J817" s="3">
        <f>ROUND((I817-H817)*1440,0)</f>
        <v>377</v>
      </c>
      <c r="K817" s="3" t="s">
        <v>352</v>
      </c>
      <c r="L817" s="3" t="s">
        <v>43</v>
      </c>
      <c r="M817" s="3" t="s">
        <v>44</v>
      </c>
      <c r="N817" s="3" t="s">
        <v>45</v>
      </c>
      <c r="O817" s="3" t="s">
        <v>353</v>
      </c>
    </row>
    <row r="818" spans="1:15" hidden="1" x14ac:dyDescent="0.75">
      <c r="A818" s="2">
        <v>46290</v>
      </c>
      <c r="B818" s="3" t="s">
        <v>2143</v>
      </c>
      <c r="C818" s="3" t="s">
        <v>2144</v>
      </c>
      <c r="D818" s="3" t="s">
        <v>27</v>
      </c>
      <c r="E818" s="3" t="s">
        <v>28</v>
      </c>
      <c r="F818" s="3" t="s">
        <v>196</v>
      </c>
      <c r="G818" s="3" t="s">
        <v>197</v>
      </c>
      <c r="H818" s="4">
        <v>46290.06322546296</v>
      </c>
      <c r="I818" s="4">
        <v>46290.115741550922</v>
      </c>
      <c r="J818" s="3">
        <f>ROUND((I818-H818)*1440,0)</f>
        <v>76</v>
      </c>
      <c r="K818" s="3" t="s">
        <v>90</v>
      </c>
      <c r="L818" s="3" t="s">
        <v>77</v>
      </c>
      <c r="M818" s="3" t="s">
        <v>78</v>
      </c>
      <c r="N818" s="3" t="s">
        <v>45</v>
      </c>
      <c r="O818" s="3" t="s">
        <v>91</v>
      </c>
    </row>
    <row r="819" spans="1:15" hidden="1" x14ac:dyDescent="0.75">
      <c r="A819" s="2">
        <v>46290</v>
      </c>
      <c r="B819" s="3" t="s">
        <v>354</v>
      </c>
      <c r="C819" s="3" t="s">
        <v>355</v>
      </c>
      <c r="D819" s="3" t="s">
        <v>334</v>
      </c>
      <c r="E819" s="3" t="s">
        <v>335</v>
      </c>
      <c r="F819" s="3" t="s">
        <v>27</v>
      </c>
      <c r="G819" s="3" t="s">
        <v>28</v>
      </c>
      <c r="H819" s="4">
        <v>46290.064623495367</v>
      </c>
      <c r="I819" s="4">
        <v>46290.149482060187</v>
      </c>
      <c r="J819" s="3">
        <f>ROUND((I819-H819)*1440,0)</f>
        <v>122</v>
      </c>
      <c r="K819" s="3" t="s">
        <v>260</v>
      </c>
      <c r="L819" s="3" t="s">
        <v>52</v>
      </c>
      <c r="M819" s="3"/>
      <c r="N819" s="3" t="s">
        <v>23</v>
      </c>
      <c r="O819" s="3" t="s">
        <v>261</v>
      </c>
    </row>
    <row r="820" spans="1:15" hidden="1" x14ac:dyDescent="0.75">
      <c r="A820" s="2">
        <v>46290</v>
      </c>
      <c r="B820" s="3" t="s">
        <v>226</v>
      </c>
      <c r="C820" s="3" t="s">
        <v>227</v>
      </c>
      <c r="D820" s="3" t="s">
        <v>228</v>
      </c>
      <c r="E820" s="3" t="s">
        <v>229</v>
      </c>
      <c r="F820" s="3" t="s">
        <v>27</v>
      </c>
      <c r="G820" s="3" t="s">
        <v>28</v>
      </c>
      <c r="H820" s="4">
        <v>46290.064629398148</v>
      </c>
      <c r="I820" s="4">
        <v>46290.123279629632</v>
      </c>
      <c r="J820" s="3">
        <f>ROUND((I820-H820)*1440,0)</f>
        <v>84</v>
      </c>
      <c r="K820" s="3" t="s">
        <v>743</v>
      </c>
      <c r="L820" s="3" t="s">
        <v>77</v>
      </c>
      <c r="M820" s="3" t="s">
        <v>78</v>
      </c>
      <c r="N820" s="3" t="s">
        <v>23</v>
      </c>
      <c r="O820" s="3" t="s">
        <v>744</v>
      </c>
    </row>
    <row r="821" spans="1:15" hidden="1" x14ac:dyDescent="0.75">
      <c r="A821" s="2">
        <v>46290</v>
      </c>
      <c r="B821" s="3" t="s">
        <v>332</v>
      </c>
      <c r="C821" s="3" t="s">
        <v>333</v>
      </c>
      <c r="D821" s="3" t="s">
        <v>56</v>
      </c>
      <c r="E821" s="3" t="s">
        <v>57</v>
      </c>
      <c r="F821" s="3" t="s">
        <v>334</v>
      </c>
      <c r="G821" s="3" t="s">
        <v>335</v>
      </c>
      <c r="H821" s="4">
        <v>46290.065252430562</v>
      </c>
      <c r="I821" s="4">
        <v>46290.188775694442</v>
      </c>
      <c r="J821" s="3">
        <f>ROUND((I821-H821)*1440,0)</f>
        <v>178</v>
      </c>
      <c r="K821" s="3" t="s">
        <v>438</v>
      </c>
      <c r="L821" s="3" t="s">
        <v>36</v>
      </c>
      <c r="M821" s="3" t="s">
        <v>36</v>
      </c>
      <c r="N821" s="3" t="s">
        <v>23</v>
      </c>
      <c r="O821" s="3" t="s">
        <v>439</v>
      </c>
    </row>
    <row r="822" spans="1:15" hidden="1" x14ac:dyDescent="0.75">
      <c r="A822" s="2">
        <v>46290</v>
      </c>
      <c r="B822" s="3" t="s">
        <v>308</v>
      </c>
      <c r="C822" s="3" t="s">
        <v>309</v>
      </c>
      <c r="D822" s="3" t="s">
        <v>56</v>
      </c>
      <c r="E822" s="3" t="s">
        <v>57</v>
      </c>
      <c r="F822" s="3"/>
      <c r="G822" s="3"/>
      <c r="H822" s="4">
        <v>46290.066148032412</v>
      </c>
      <c r="I822" s="4">
        <v>46290.096773263889</v>
      </c>
      <c r="J822" s="3">
        <f>ROUND((I822-H822)*1440,0)</f>
        <v>44</v>
      </c>
      <c r="K822" s="3" t="s">
        <v>144</v>
      </c>
      <c r="L822" s="3" t="s">
        <v>36</v>
      </c>
      <c r="M822" s="3" t="s">
        <v>36</v>
      </c>
      <c r="N822" s="3" t="s">
        <v>45</v>
      </c>
      <c r="O822" s="3" t="s">
        <v>145</v>
      </c>
    </row>
    <row r="823" spans="1:15" hidden="1" x14ac:dyDescent="0.75">
      <c r="A823" s="2">
        <v>46290</v>
      </c>
      <c r="B823" s="3" t="s">
        <v>436</v>
      </c>
      <c r="C823" s="3" t="s">
        <v>437</v>
      </c>
      <c r="D823" s="3" t="s">
        <v>56</v>
      </c>
      <c r="E823" s="3" t="s">
        <v>57</v>
      </c>
      <c r="F823" s="3" t="s">
        <v>27</v>
      </c>
      <c r="G823" s="3" t="s">
        <v>28</v>
      </c>
      <c r="H823" s="4">
        <v>46290.067529745371</v>
      </c>
      <c r="I823" s="4">
        <v>46290.185394097221</v>
      </c>
      <c r="J823" s="3">
        <f>ROUND((I823-H823)*1440,0)</f>
        <v>170</v>
      </c>
      <c r="K823" s="3" t="s">
        <v>256</v>
      </c>
      <c r="L823" s="3" t="s">
        <v>36</v>
      </c>
      <c r="M823" s="3" t="s">
        <v>36</v>
      </c>
      <c r="N823" s="3" t="s">
        <v>23</v>
      </c>
      <c r="O823" s="3" t="s">
        <v>257</v>
      </c>
    </row>
    <row r="824" spans="1:15" hidden="1" x14ac:dyDescent="0.75">
      <c r="A824" s="2">
        <v>46290</v>
      </c>
      <c r="B824" s="3" t="s">
        <v>370</v>
      </c>
      <c r="C824" s="3" t="s">
        <v>371</v>
      </c>
      <c r="D824" s="3" t="s">
        <v>158</v>
      </c>
      <c r="E824" s="3" t="s">
        <v>159</v>
      </c>
      <c r="F824" s="3" t="s">
        <v>27</v>
      </c>
      <c r="G824" s="3" t="s">
        <v>28</v>
      </c>
      <c r="H824" s="4">
        <v>46290.067842939818</v>
      </c>
      <c r="I824" s="4">
        <v>46290.115581597223</v>
      </c>
      <c r="J824" s="3">
        <f>ROUND((I824-H824)*1440,0)</f>
        <v>69</v>
      </c>
      <c r="K824" s="3" t="s">
        <v>1161</v>
      </c>
      <c r="L824" s="3" t="s">
        <v>77</v>
      </c>
      <c r="M824" s="3" t="s">
        <v>78</v>
      </c>
      <c r="N824" s="3" t="s">
        <v>23</v>
      </c>
      <c r="O824" s="3" t="s">
        <v>1162</v>
      </c>
    </row>
    <row r="825" spans="1:15" hidden="1" x14ac:dyDescent="0.75">
      <c r="A825" s="2">
        <v>46290</v>
      </c>
      <c r="B825" s="3" t="s">
        <v>2145</v>
      </c>
      <c r="C825" s="3" t="s">
        <v>2146</v>
      </c>
      <c r="D825" s="3" t="s">
        <v>17</v>
      </c>
      <c r="E825" s="3" t="s">
        <v>18</v>
      </c>
      <c r="F825" s="3" t="s">
        <v>334</v>
      </c>
      <c r="G825" s="3" t="s">
        <v>335</v>
      </c>
      <c r="H825" s="4">
        <v>46290.068089004628</v>
      </c>
      <c r="I825" s="4">
        <v>46290.1474087963</v>
      </c>
      <c r="J825" s="3">
        <f>ROUND((I825-H825)*1440,0)</f>
        <v>114</v>
      </c>
      <c r="K825" s="3" t="s">
        <v>807</v>
      </c>
      <c r="L825" s="3" t="s">
        <v>77</v>
      </c>
      <c r="M825" s="3" t="s">
        <v>78</v>
      </c>
      <c r="N825" s="3" t="s">
        <v>23</v>
      </c>
      <c r="O825" s="3" t="s">
        <v>808</v>
      </c>
    </row>
    <row r="826" spans="1:15" hidden="1" x14ac:dyDescent="0.75">
      <c r="A826" s="2">
        <v>46290</v>
      </c>
      <c r="B826" s="3" t="s">
        <v>176</v>
      </c>
      <c r="C826" s="3" t="s">
        <v>177</v>
      </c>
      <c r="D826" s="3"/>
      <c r="E826" s="3"/>
      <c r="F826" s="3" t="s">
        <v>17</v>
      </c>
      <c r="G826" s="3" t="s">
        <v>18</v>
      </c>
      <c r="H826" s="4">
        <v>46290.070501388887</v>
      </c>
      <c r="I826" s="4">
        <v>46290.203620717592</v>
      </c>
      <c r="J826" s="3">
        <f>ROUND((I826-H826)*1440,0)</f>
        <v>192</v>
      </c>
      <c r="K826" s="3" t="s">
        <v>1441</v>
      </c>
      <c r="L826" s="3" t="s">
        <v>43</v>
      </c>
      <c r="M826" s="3" t="s">
        <v>44</v>
      </c>
      <c r="N826" s="3" t="s">
        <v>23</v>
      </c>
      <c r="O826" s="3" t="s">
        <v>1442</v>
      </c>
    </row>
    <row r="827" spans="1:15" hidden="1" x14ac:dyDescent="0.75">
      <c r="A827" s="2">
        <v>46290</v>
      </c>
      <c r="B827" s="3" t="s">
        <v>499</v>
      </c>
      <c r="C827" s="3" t="s">
        <v>500</v>
      </c>
      <c r="D827" s="3" t="s">
        <v>56</v>
      </c>
      <c r="E827" s="3" t="s">
        <v>57</v>
      </c>
      <c r="F827" s="3" t="s">
        <v>228</v>
      </c>
      <c r="G827" s="3" t="s">
        <v>229</v>
      </c>
      <c r="H827" s="4">
        <v>46290.071985995368</v>
      </c>
      <c r="I827" s="4">
        <v>46290.172417013891</v>
      </c>
      <c r="J827" s="3">
        <f>ROUND((I827-H827)*1440,0)</f>
        <v>145</v>
      </c>
      <c r="K827" s="3" t="s">
        <v>2147</v>
      </c>
      <c r="L827" s="3" t="s">
        <v>77</v>
      </c>
      <c r="M827" s="3" t="s">
        <v>78</v>
      </c>
      <c r="N827" s="3" t="s">
        <v>23</v>
      </c>
      <c r="O827" s="3" t="s">
        <v>2148</v>
      </c>
    </row>
    <row r="828" spans="1:15" hidden="1" x14ac:dyDescent="0.75">
      <c r="A828" s="2">
        <v>46290</v>
      </c>
      <c r="B828" s="3" t="s">
        <v>2149</v>
      </c>
      <c r="C828" s="3" t="s">
        <v>2150</v>
      </c>
      <c r="D828" s="3" t="s">
        <v>58</v>
      </c>
      <c r="E828" s="3" t="s">
        <v>59</v>
      </c>
      <c r="F828" s="3" t="s">
        <v>304</v>
      </c>
      <c r="G828" s="3" t="s">
        <v>305</v>
      </c>
      <c r="H828" s="4">
        <v>46290.074026967603</v>
      </c>
      <c r="I828" s="4">
        <v>46290.290453125002</v>
      </c>
      <c r="J828" s="3">
        <f>ROUND((I828-H828)*1440,0)</f>
        <v>312</v>
      </c>
      <c r="K828" s="3" t="s">
        <v>523</v>
      </c>
      <c r="L828" s="3" t="s">
        <v>22</v>
      </c>
      <c r="M828" s="3" t="s">
        <v>22</v>
      </c>
      <c r="N828" s="3" t="s">
        <v>23</v>
      </c>
      <c r="O828" s="3" t="s">
        <v>524</v>
      </c>
    </row>
    <row r="829" spans="1:15" hidden="1" x14ac:dyDescent="0.75">
      <c r="A829" s="2">
        <v>46290</v>
      </c>
      <c r="B829" s="3" t="s">
        <v>364</v>
      </c>
      <c r="C829" s="3" t="s">
        <v>365</v>
      </c>
      <c r="D829" s="3" t="s">
        <v>27</v>
      </c>
      <c r="E829" s="3" t="s">
        <v>28</v>
      </c>
      <c r="F829" s="3" t="s">
        <v>366</v>
      </c>
      <c r="G829" s="3" t="s">
        <v>367</v>
      </c>
      <c r="H829" s="4">
        <v>46290.07679861111</v>
      </c>
      <c r="I829" s="4">
        <v>46290.110935763892</v>
      </c>
      <c r="J829" s="3">
        <f>ROUND((I829-H829)*1440,0)</f>
        <v>49</v>
      </c>
      <c r="K829" s="3" t="s">
        <v>224</v>
      </c>
      <c r="L829" s="3" t="s">
        <v>77</v>
      </c>
      <c r="M829" s="3" t="s">
        <v>78</v>
      </c>
      <c r="N829" s="3" t="s">
        <v>23</v>
      </c>
      <c r="O829" s="3" t="s">
        <v>225</v>
      </c>
    </row>
    <row r="830" spans="1:15" hidden="1" x14ac:dyDescent="0.75">
      <c r="A830" s="2">
        <v>46290</v>
      </c>
      <c r="B830" s="3" t="s">
        <v>2151</v>
      </c>
      <c r="C830" s="3" t="s">
        <v>2152</v>
      </c>
      <c r="D830" s="3" t="s">
        <v>208</v>
      </c>
      <c r="E830" s="3" t="s">
        <v>209</v>
      </c>
      <c r="F830" s="3" t="s">
        <v>82</v>
      </c>
      <c r="G830" s="3" t="s">
        <v>83</v>
      </c>
      <c r="H830" s="4">
        <v>46290.079241550928</v>
      </c>
      <c r="I830" s="4">
        <v>46290.167513194443</v>
      </c>
      <c r="J830" s="3">
        <f>ROUND((I830-H830)*1440,0)</f>
        <v>127</v>
      </c>
      <c r="K830" s="3" t="s">
        <v>715</v>
      </c>
      <c r="L830" s="3" t="s">
        <v>36</v>
      </c>
      <c r="M830" s="3" t="s">
        <v>36</v>
      </c>
      <c r="N830" s="3" t="s">
        <v>23</v>
      </c>
      <c r="O830" s="3" t="s">
        <v>716</v>
      </c>
    </row>
    <row r="831" spans="1:15" hidden="1" x14ac:dyDescent="0.75">
      <c r="A831" s="2">
        <v>46290</v>
      </c>
      <c r="B831" s="3" t="s">
        <v>162</v>
      </c>
      <c r="C831" s="3" t="s">
        <v>163</v>
      </c>
      <c r="D831" s="3" t="s">
        <v>56</v>
      </c>
      <c r="E831" s="3" t="s">
        <v>57</v>
      </c>
      <c r="F831" s="3" t="s">
        <v>116</v>
      </c>
      <c r="G831" s="3" t="s">
        <v>117</v>
      </c>
      <c r="H831" s="4">
        <v>46290.080282175928</v>
      </c>
      <c r="I831" s="4">
        <v>46290.187969328697</v>
      </c>
      <c r="J831" s="3">
        <f>ROUND((I831-H831)*1440,0)</f>
        <v>155</v>
      </c>
      <c r="K831" s="3" t="s">
        <v>210</v>
      </c>
      <c r="L831" s="3" t="s">
        <v>36</v>
      </c>
      <c r="M831" s="3" t="s">
        <v>36</v>
      </c>
      <c r="N831" s="3" t="s">
        <v>45</v>
      </c>
      <c r="O831" s="3" t="s">
        <v>211</v>
      </c>
    </row>
    <row r="832" spans="1:15" hidden="1" x14ac:dyDescent="0.75">
      <c r="A832" s="2">
        <v>46290</v>
      </c>
      <c r="B832" s="3" t="s">
        <v>2153</v>
      </c>
      <c r="C832" s="3" t="s">
        <v>2154</v>
      </c>
      <c r="D832" s="3" t="s">
        <v>27</v>
      </c>
      <c r="E832" s="3" t="s">
        <v>28</v>
      </c>
      <c r="F832" s="3" t="s">
        <v>350</v>
      </c>
      <c r="G832" s="3" t="s">
        <v>351</v>
      </c>
      <c r="H832" s="4">
        <v>46290.081299421297</v>
      </c>
      <c r="I832" s="4">
        <v>46290.31093472222</v>
      </c>
      <c r="J832" s="3">
        <f>ROUND((I832-H832)*1440,0)</f>
        <v>331</v>
      </c>
      <c r="K832" s="3" t="s">
        <v>505</v>
      </c>
      <c r="L832" s="3" t="s">
        <v>43</v>
      </c>
      <c r="M832" s="3" t="s">
        <v>44</v>
      </c>
      <c r="N832" s="3" t="s">
        <v>23</v>
      </c>
      <c r="O832" s="3" t="s">
        <v>506</v>
      </c>
    </row>
    <row r="833" spans="1:15" hidden="1" x14ac:dyDescent="0.75">
      <c r="A833" s="2">
        <v>46290</v>
      </c>
      <c r="B833" s="3" t="s">
        <v>374</v>
      </c>
      <c r="C833" s="3" t="s">
        <v>375</v>
      </c>
      <c r="D833" s="3" t="s">
        <v>56</v>
      </c>
      <c r="E833" s="3" t="s">
        <v>57</v>
      </c>
      <c r="F833" s="3" t="s">
        <v>280</v>
      </c>
      <c r="G833" s="3" t="s">
        <v>281</v>
      </c>
      <c r="H833" s="4">
        <v>46290.08170613426</v>
      </c>
      <c r="I833" s="4">
        <v>46290.150551620369</v>
      </c>
      <c r="J833" s="3">
        <f>ROUND((I833-H833)*1440,0)</f>
        <v>99</v>
      </c>
      <c r="K833" s="3" t="s">
        <v>645</v>
      </c>
      <c r="L833" s="3" t="s">
        <v>36</v>
      </c>
      <c r="M833" s="3" t="s">
        <v>36</v>
      </c>
      <c r="N833" s="3" t="s">
        <v>23</v>
      </c>
      <c r="O833" s="3" t="s">
        <v>646</v>
      </c>
    </row>
    <row r="834" spans="1:15" hidden="1" x14ac:dyDescent="0.75">
      <c r="A834" s="2">
        <v>46290</v>
      </c>
      <c r="B834" s="3" t="s">
        <v>404</v>
      </c>
      <c r="C834" s="3" t="s">
        <v>405</v>
      </c>
      <c r="D834" s="3" t="s">
        <v>27</v>
      </c>
      <c r="E834" s="3" t="s">
        <v>28</v>
      </c>
      <c r="F834" s="3" t="s">
        <v>19</v>
      </c>
      <c r="G834" s="3" t="s">
        <v>20</v>
      </c>
      <c r="H834" s="4">
        <v>46290.083600578713</v>
      </c>
      <c r="I834" s="4">
        <v>46290.193929745372</v>
      </c>
      <c r="J834" s="3">
        <f>ROUND((I834-H834)*1440,0)</f>
        <v>159</v>
      </c>
      <c r="K834" s="3" t="s">
        <v>1317</v>
      </c>
      <c r="L834" s="3" t="s">
        <v>36</v>
      </c>
      <c r="M834" s="3" t="s">
        <v>36</v>
      </c>
      <c r="N834" s="3" t="s">
        <v>23</v>
      </c>
      <c r="O834" s="3" t="s">
        <v>1318</v>
      </c>
    </row>
    <row r="835" spans="1:15" hidden="1" x14ac:dyDescent="0.75">
      <c r="A835" s="2">
        <v>46290</v>
      </c>
      <c r="B835" s="3" t="s">
        <v>54</v>
      </c>
      <c r="C835" s="3" t="s">
        <v>55</v>
      </c>
      <c r="D835" s="3" t="s">
        <v>56</v>
      </c>
      <c r="E835" s="3" t="s">
        <v>57</v>
      </c>
      <c r="F835" s="3" t="s">
        <v>58</v>
      </c>
      <c r="G835" s="3" t="s">
        <v>59</v>
      </c>
      <c r="H835" s="4">
        <v>46290.083724537028</v>
      </c>
      <c r="I835" s="4">
        <v>46290.185968171303</v>
      </c>
      <c r="J835" s="3">
        <f>ROUND((I835-H835)*1440,0)</f>
        <v>147</v>
      </c>
      <c r="K835" s="3" t="s">
        <v>35</v>
      </c>
      <c r="L835" s="3" t="s">
        <v>36</v>
      </c>
      <c r="M835" s="3" t="s">
        <v>36</v>
      </c>
      <c r="N835" s="3" t="s">
        <v>23</v>
      </c>
      <c r="O835" s="3" t="s">
        <v>37</v>
      </c>
    </row>
    <row r="836" spans="1:15" hidden="1" x14ac:dyDescent="0.75">
      <c r="A836" s="2">
        <v>46290</v>
      </c>
      <c r="B836" s="3" t="s">
        <v>2155</v>
      </c>
      <c r="C836" s="3" t="s">
        <v>2156</v>
      </c>
      <c r="D836" s="3" t="s">
        <v>27</v>
      </c>
      <c r="E836" s="3" t="s">
        <v>28</v>
      </c>
      <c r="F836" s="3" t="s">
        <v>264</v>
      </c>
      <c r="G836" s="3" t="s">
        <v>265</v>
      </c>
      <c r="H836" s="4">
        <v>46290.086967476847</v>
      </c>
      <c r="I836" s="4">
        <v>46290.299643865743</v>
      </c>
      <c r="J836" s="3">
        <f>ROUND((I836-H836)*1440,0)</f>
        <v>306</v>
      </c>
      <c r="K836" s="3" t="s">
        <v>649</v>
      </c>
      <c r="L836" s="3" t="s">
        <v>22</v>
      </c>
      <c r="M836" s="3" t="s">
        <v>22</v>
      </c>
      <c r="N836" s="3" t="s">
        <v>23</v>
      </c>
      <c r="O836" s="3" t="s">
        <v>650</v>
      </c>
    </row>
    <row r="837" spans="1:15" hidden="1" x14ac:dyDescent="0.75">
      <c r="A837" s="2">
        <v>46290</v>
      </c>
      <c r="B837" s="3" t="s">
        <v>358</v>
      </c>
      <c r="C837" s="3" t="s">
        <v>359</v>
      </c>
      <c r="D837" s="3" t="s">
        <v>17</v>
      </c>
      <c r="E837" s="3" t="s">
        <v>18</v>
      </c>
      <c r="F837" s="3" t="s">
        <v>360</v>
      </c>
      <c r="G837" s="3" t="s">
        <v>361</v>
      </c>
      <c r="H837" s="4">
        <v>46290.091854398153</v>
      </c>
      <c r="I837" s="4">
        <v>46290.340891782413</v>
      </c>
      <c r="J837" s="3">
        <f>ROUND((I837-H837)*1440,0)</f>
        <v>359</v>
      </c>
      <c r="K837" s="3" t="s">
        <v>769</v>
      </c>
      <c r="L837" s="3" t="s">
        <v>43</v>
      </c>
      <c r="M837" s="3" t="s">
        <v>44</v>
      </c>
      <c r="N837" s="3" t="s">
        <v>23</v>
      </c>
      <c r="O837" s="3" t="s">
        <v>770</v>
      </c>
    </row>
    <row r="838" spans="1:15" hidden="1" x14ac:dyDescent="0.75">
      <c r="A838" s="2">
        <v>46290</v>
      </c>
      <c r="B838" s="3" t="s">
        <v>451</v>
      </c>
      <c r="C838" s="3" t="s">
        <v>452</v>
      </c>
      <c r="D838" s="3" t="s">
        <v>17</v>
      </c>
      <c r="E838" s="3" t="s">
        <v>18</v>
      </c>
      <c r="F838" s="3" t="s">
        <v>158</v>
      </c>
      <c r="G838" s="3" t="s">
        <v>159</v>
      </c>
      <c r="H838" s="4">
        <v>46290.092511805553</v>
      </c>
      <c r="I838" s="4">
        <v>46290.126316319453</v>
      </c>
      <c r="J838" s="3">
        <f>ROUND((I838-H838)*1440,0)</f>
        <v>49</v>
      </c>
      <c r="K838" s="3" t="s">
        <v>296</v>
      </c>
      <c r="L838" s="3" t="s">
        <v>77</v>
      </c>
      <c r="M838" s="3" t="s">
        <v>78</v>
      </c>
      <c r="N838" s="3" t="s">
        <v>23</v>
      </c>
      <c r="O838" s="3" t="s">
        <v>297</v>
      </c>
    </row>
    <row r="839" spans="1:15" hidden="1" x14ac:dyDescent="0.75">
      <c r="A839" s="2">
        <v>46290</v>
      </c>
      <c r="B839" s="3" t="s">
        <v>258</v>
      </c>
      <c r="C839" s="3" t="s">
        <v>259</v>
      </c>
      <c r="D839" s="3" t="s">
        <v>27</v>
      </c>
      <c r="E839" s="3" t="s">
        <v>28</v>
      </c>
      <c r="F839" s="3" t="s">
        <v>49</v>
      </c>
      <c r="G839" s="3" t="s">
        <v>50</v>
      </c>
      <c r="H839" s="4">
        <v>46290.094436689818</v>
      </c>
      <c r="I839" s="4">
        <v>46290.140188773148</v>
      </c>
      <c r="J839" s="3">
        <f>ROUND((I839-H839)*1440,0)</f>
        <v>66</v>
      </c>
      <c r="K839" s="3" t="s">
        <v>1115</v>
      </c>
      <c r="L839" s="3" t="s">
        <v>77</v>
      </c>
      <c r="M839" s="3" t="s">
        <v>78</v>
      </c>
      <c r="N839" s="3" t="s">
        <v>45</v>
      </c>
      <c r="O839" s="3" t="s">
        <v>1116</v>
      </c>
    </row>
    <row r="840" spans="1:15" hidden="1" x14ac:dyDescent="0.75">
      <c r="A840" s="2">
        <v>46290</v>
      </c>
      <c r="B840" s="3" t="s">
        <v>2157</v>
      </c>
      <c r="C840" s="3" t="s">
        <v>2158</v>
      </c>
      <c r="D840" s="3" t="s">
        <v>17</v>
      </c>
      <c r="E840" s="3" t="s">
        <v>18</v>
      </c>
      <c r="F840" s="3" t="s">
        <v>94</v>
      </c>
      <c r="G840" s="3" t="s">
        <v>95</v>
      </c>
      <c r="H840" s="4">
        <v>46290.094879629629</v>
      </c>
      <c r="I840" s="4">
        <v>46290.148975462973</v>
      </c>
      <c r="J840" s="3">
        <f>ROUND((I840-H840)*1440,0)</f>
        <v>78</v>
      </c>
      <c r="K840" s="3" t="s">
        <v>134</v>
      </c>
      <c r="L840" s="3" t="s">
        <v>36</v>
      </c>
      <c r="M840" s="3" t="s">
        <v>36</v>
      </c>
      <c r="N840" s="3" t="s">
        <v>23</v>
      </c>
      <c r="O840" s="3" t="s">
        <v>135</v>
      </c>
    </row>
    <row r="841" spans="1:15" hidden="1" x14ac:dyDescent="0.75">
      <c r="A841" s="2">
        <v>46290</v>
      </c>
      <c r="B841" s="3" t="s">
        <v>2159</v>
      </c>
      <c r="C841" s="3" t="s">
        <v>2160</v>
      </c>
      <c r="D841" s="3" t="s">
        <v>719</v>
      </c>
      <c r="E841" s="3" t="s">
        <v>720</v>
      </c>
      <c r="F841" s="3" t="s">
        <v>27</v>
      </c>
      <c r="G841" s="3" t="s">
        <v>28</v>
      </c>
      <c r="H841" s="4">
        <v>46290.095136342592</v>
      </c>
      <c r="I841" s="4">
        <v>46290.20696747685</v>
      </c>
      <c r="J841" s="3">
        <f>ROUND((I841-H841)*1440,0)</f>
        <v>161</v>
      </c>
      <c r="K841" s="3" t="s">
        <v>1023</v>
      </c>
      <c r="L841" s="3" t="s">
        <v>77</v>
      </c>
      <c r="M841" s="3" t="s">
        <v>78</v>
      </c>
      <c r="N841" s="3" t="s">
        <v>23</v>
      </c>
      <c r="O841" s="3" t="s">
        <v>1024</v>
      </c>
    </row>
    <row r="842" spans="1:15" hidden="1" x14ac:dyDescent="0.75">
      <c r="A842" s="2">
        <v>46290</v>
      </c>
      <c r="B842" s="3" t="s">
        <v>378</v>
      </c>
      <c r="C842" s="3" t="s">
        <v>379</v>
      </c>
      <c r="D842" s="3" t="s">
        <v>17</v>
      </c>
      <c r="E842" s="3" t="s">
        <v>18</v>
      </c>
      <c r="F842" s="3" t="s">
        <v>148</v>
      </c>
      <c r="G842" s="3" t="s">
        <v>149</v>
      </c>
      <c r="H842" s="4">
        <v>46290.10235173611</v>
      </c>
      <c r="I842" s="4">
        <v>46290.158946875003</v>
      </c>
      <c r="J842" s="3">
        <f>ROUND((I842-H842)*1440,0)</f>
        <v>81</v>
      </c>
      <c r="K842" s="3" t="s">
        <v>336</v>
      </c>
      <c r="L842" s="3" t="s">
        <v>36</v>
      </c>
      <c r="M842" s="3" t="s">
        <v>36</v>
      </c>
      <c r="N842" s="3" t="s">
        <v>23</v>
      </c>
      <c r="O842" s="3" t="s">
        <v>337</v>
      </c>
    </row>
    <row r="843" spans="1:15" hidden="1" x14ac:dyDescent="0.75">
      <c r="A843" s="2">
        <v>46290</v>
      </c>
      <c r="B843" s="3" t="s">
        <v>342</v>
      </c>
      <c r="C843" s="3" t="s">
        <v>343</v>
      </c>
      <c r="D843" s="3" t="s">
        <v>17</v>
      </c>
      <c r="E843" s="3" t="s">
        <v>18</v>
      </c>
      <c r="F843" s="3" t="s">
        <v>344</v>
      </c>
      <c r="G843" s="3" t="s">
        <v>345</v>
      </c>
      <c r="H843" s="4">
        <v>46290.103090625002</v>
      </c>
      <c r="I843" s="4">
        <v>46290.371472222221</v>
      </c>
      <c r="J843" s="3">
        <f>ROUND((I843-H843)*1440,0)</f>
        <v>386</v>
      </c>
      <c r="K843" s="3" t="s">
        <v>340</v>
      </c>
      <c r="L843" s="3" t="s">
        <v>43</v>
      </c>
      <c r="M843" s="3" t="s">
        <v>44</v>
      </c>
      <c r="N843" s="3" t="s">
        <v>23</v>
      </c>
      <c r="O843" s="3" t="s">
        <v>341</v>
      </c>
    </row>
    <row r="844" spans="1:15" hidden="1" x14ac:dyDescent="0.75">
      <c r="A844" s="2">
        <v>46290</v>
      </c>
      <c r="B844" s="3" t="s">
        <v>398</v>
      </c>
      <c r="C844" s="3" t="s">
        <v>399</v>
      </c>
      <c r="D844" s="3" t="s">
        <v>17</v>
      </c>
      <c r="E844" s="3" t="s">
        <v>18</v>
      </c>
      <c r="F844" s="3" t="s">
        <v>400</v>
      </c>
      <c r="G844" s="3" t="s">
        <v>401</v>
      </c>
      <c r="H844" s="4">
        <v>46290.105883564807</v>
      </c>
      <c r="I844" s="4">
        <v>46290.139880092589</v>
      </c>
      <c r="J844" s="3">
        <f>ROUND((I844-H844)*1440,0)</f>
        <v>49</v>
      </c>
      <c r="K844" s="3" t="s">
        <v>537</v>
      </c>
      <c r="L844" s="3" t="s">
        <v>36</v>
      </c>
      <c r="M844" s="3" t="s">
        <v>36</v>
      </c>
      <c r="N844" s="3" t="s">
        <v>23</v>
      </c>
      <c r="O844" s="3" t="s">
        <v>538</v>
      </c>
    </row>
    <row r="845" spans="1:15" hidden="1" x14ac:dyDescent="0.75">
      <c r="A845" s="2">
        <v>46290</v>
      </c>
      <c r="B845" s="3" t="s">
        <v>394</v>
      </c>
      <c r="C845" s="3" t="s">
        <v>395</v>
      </c>
      <c r="D845" s="3" t="s">
        <v>17</v>
      </c>
      <c r="E845" s="3" t="s">
        <v>18</v>
      </c>
      <c r="F845" s="3" t="s">
        <v>228</v>
      </c>
      <c r="G845" s="3" t="s">
        <v>229</v>
      </c>
      <c r="H845" s="4">
        <v>46290.110488078702</v>
      </c>
      <c r="I845" s="4">
        <v>46290.156080092587</v>
      </c>
      <c r="J845" s="3">
        <f>ROUND((I845-H845)*1440,0)</f>
        <v>66</v>
      </c>
      <c r="K845" s="3" t="s">
        <v>1261</v>
      </c>
      <c r="L845" s="3" t="s">
        <v>77</v>
      </c>
      <c r="M845" s="3" t="s">
        <v>78</v>
      </c>
      <c r="N845" s="3" t="s">
        <v>23</v>
      </c>
      <c r="O845" s="3" t="s">
        <v>1262</v>
      </c>
    </row>
    <row r="846" spans="1:15" hidden="1" x14ac:dyDescent="0.75">
      <c r="A846" s="2">
        <v>46290</v>
      </c>
      <c r="B846" s="3" t="s">
        <v>386</v>
      </c>
      <c r="C846" s="3" t="s">
        <v>387</v>
      </c>
      <c r="D846" s="3" t="s">
        <v>17</v>
      </c>
      <c r="E846" s="3" t="s">
        <v>18</v>
      </c>
      <c r="F846" s="3" t="s">
        <v>304</v>
      </c>
      <c r="G846" s="3" t="s">
        <v>305</v>
      </c>
      <c r="H846" s="4">
        <v>46290.113798726852</v>
      </c>
      <c r="I846" s="4">
        <v>46290.328804166667</v>
      </c>
      <c r="J846" s="3">
        <f>ROUND((I846-H846)*1440,0)</f>
        <v>310</v>
      </c>
      <c r="K846" s="3" t="s">
        <v>841</v>
      </c>
      <c r="L846" s="3" t="s">
        <v>22</v>
      </c>
      <c r="M846" s="3" t="s">
        <v>22</v>
      </c>
      <c r="N846" s="3" t="s">
        <v>23</v>
      </c>
      <c r="O846" s="3" t="s">
        <v>842</v>
      </c>
    </row>
    <row r="847" spans="1:15" hidden="1" x14ac:dyDescent="0.75">
      <c r="A847" s="2">
        <v>46290</v>
      </c>
      <c r="B847" s="3" t="s">
        <v>453</v>
      </c>
      <c r="C847" s="3" t="s">
        <v>454</v>
      </c>
      <c r="D847" s="3" t="s">
        <v>27</v>
      </c>
      <c r="E847" s="3" t="s">
        <v>28</v>
      </c>
      <c r="F847" s="3" t="s">
        <v>360</v>
      </c>
      <c r="G847" s="3" t="s">
        <v>361</v>
      </c>
      <c r="H847" s="4">
        <v>46290.119661805547</v>
      </c>
      <c r="I847" s="4">
        <v>46290.355673379629</v>
      </c>
      <c r="J847" s="3">
        <f>ROUND((I847-H847)*1440,0)</f>
        <v>340</v>
      </c>
      <c r="K847" s="3" t="s">
        <v>2161</v>
      </c>
      <c r="L847" s="3" t="s">
        <v>43</v>
      </c>
      <c r="M847" s="3" t="s">
        <v>44</v>
      </c>
      <c r="N847" s="3" t="s">
        <v>23</v>
      </c>
      <c r="O847" s="3" t="s">
        <v>2162</v>
      </c>
    </row>
    <row r="848" spans="1:15" hidden="1" x14ac:dyDescent="0.75">
      <c r="A848" s="2">
        <v>46290</v>
      </c>
      <c r="B848" s="3" t="s">
        <v>475</v>
      </c>
      <c r="C848" s="3" t="s">
        <v>476</v>
      </c>
      <c r="D848" s="3" t="s">
        <v>27</v>
      </c>
      <c r="E848" s="3" t="s">
        <v>28</v>
      </c>
      <c r="F848" s="3" t="s">
        <v>182</v>
      </c>
      <c r="G848" s="3" t="s">
        <v>183</v>
      </c>
      <c r="H848" s="4">
        <v>46290.120391319448</v>
      </c>
      <c r="I848" s="4">
        <v>46290.210740162038</v>
      </c>
      <c r="J848" s="3">
        <f>ROUND((I848-H848)*1440,0)</f>
        <v>130</v>
      </c>
      <c r="K848" s="3" t="s">
        <v>356</v>
      </c>
      <c r="L848" s="3" t="s">
        <v>77</v>
      </c>
      <c r="M848" s="3" t="s">
        <v>78</v>
      </c>
      <c r="N848" s="3" t="s">
        <v>23</v>
      </c>
      <c r="O848" s="3" t="s">
        <v>357</v>
      </c>
    </row>
    <row r="849" spans="1:15" hidden="1" x14ac:dyDescent="0.75">
      <c r="A849" s="2">
        <v>46290</v>
      </c>
      <c r="B849" s="3" t="s">
        <v>420</v>
      </c>
      <c r="C849" s="3" t="s">
        <v>421</v>
      </c>
      <c r="D849" s="3" t="s">
        <v>17</v>
      </c>
      <c r="E849" s="3" t="s">
        <v>18</v>
      </c>
      <c r="F849" s="3" t="s">
        <v>234</v>
      </c>
      <c r="G849" s="3" t="s">
        <v>235</v>
      </c>
      <c r="H849" s="4">
        <v>46290.123831481476</v>
      </c>
      <c r="I849" s="4">
        <v>46290.153314120369</v>
      </c>
      <c r="J849" s="3">
        <f>ROUND((I849-H849)*1440,0)</f>
        <v>42</v>
      </c>
      <c r="K849" s="3" t="s">
        <v>801</v>
      </c>
      <c r="L849" s="3" t="s">
        <v>77</v>
      </c>
      <c r="M849" s="3" t="s">
        <v>78</v>
      </c>
      <c r="N849" s="3" t="s">
        <v>23</v>
      </c>
      <c r="O849" s="3" t="s">
        <v>802</v>
      </c>
    </row>
    <row r="850" spans="1:15" hidden="1" x14ac:dyDescent="0.75">
      <c r="A850" s="2">
        <v>46290</v>
      </c>
      <c r="B850" s="3" t="s">
        <v>2163</v>
      </c>
      <c r="C850" s="3" t="s">
        <v>2164</v>
      </c>
      <c r="D850" s="3" t="s">
        <v>17</v>
      </c>
      <c r="E850" s="3" t="s">
        <v>18</v>
      </c>
      <c r="F850" s="3" t="s">
        <v>264</v>
      </c>
      <c r="G850" s="3" t="s">
        <v>265</v>
      </c>
      <c r="H850" s="4">
        <v>46290.128625347221</v>
      </c>
      <c r="I850" s="4">
        <v>46290.331261342602</v>
      </c>
      <c r="J850" s="3">
        <f>ROUND((I850-H850)*1440,0)</f>
        <v>292</v>
      </c>
      <c r="K850" s="3" t="s">
        <v>509</v>
      </c>
      <c r="L850" s="3" t="s">
        <v>22</v>
      </c>
      <c r="M850" s="3" t="s">
        <v>22</v>
      </c>
      <c r="N850" s="3" t="s">
        <v>23</v>
      </c>
      <c r="O850" s="3" t="s">
        <v>510</v>
      </c>
    </row>
    <row r="851" spans="1:15" hidden="1" x14ac:dyDescent="0.75">
      <c r="A851" s="2">
        <v>46290</v>
      </c>
      <c r="B851" s="3" t="s">
        <v>2165</v>
      </c>
      <c r="C851" s="3" t="s">
        <v>2166</v>
      </c>
      <c r="D851" s="3" t="s">
        <v>17</v>
      </c>
      <c r="E851" s="3" t="s">
        <v>18</v>
      </c>
      <c r="F851" s="3" t="s">
        <v>737</v>
      </c>
      <c r="G851" s="3" t="s">
        <v>738</v>
      </c>
      <c r="H851" s="4">
        <v>46290.129307060182</v>
      </c>
      <c r="I851" s="4">
        <v>46290.166000810183</v>
      </c>
      <c r="J851" s="3">
        <f>ROUND((I851-H851)*1440,0)</f>
        <v>53</v>
      </c>
      <c r="K851" s="3" t="s">
        <v>422</v>
      </c>
      <c r="L851" s="3" t="s">
        <v>77</v>
      </c>
      <c r="M851" s="3" t="s">
        <v>78</v>
      </c>
      <c r="N851" s="3" t="s">
        <v>45</v>
      </c>
      <c r="O851" s="3" t="s">
        <v>423</v>
      </c>
    </row>
    <row r="852" spans="1:15" hidden="1" x14ac:dyDescent="0.75">
      <c r="A852" s="2">
        <v>46290</v>
      </c>
      <c r="B852" s="3" t="s">
        <v>2167</v>
      </c>
      <c r="C852" s="3" t="s">
        <v>2168</v>
      </c>
      <c r="D852" s="3" t="s">
        <v>49</v>
      </c>
      <c r="E852" s="3" t="s">
        <v>50</v>
      </c>
      <c r="F852" s="3" t="s">
        <v>1367</v>
      </c>
      <c r="G852" s="3" t="s">
        <v>1368</v>
      </c>
      <c r="H852" s="4">
        <v>46290.133710648151</v>
      </c>
      <c r="I852" s="4">
        <v>46290.177481250001</v>
      </c>
      <c r="J852" s="3">
        <f>ROUND((I852-H852)*1440,0)</f>
        <v>63</v>
      </c>
      <c r="K852" s="3" t="s">
        <v>1369</v>
      </c>
      <c r="L852" s="3" t="s">
        <v>36</v>
      </c>
      <c r="M852" s="3" t="s">
        <v>36</v>
      </c>
      <c r="N852" s="3" t="s">
        <v>23</v>
      </c>
      <c r="O852" s="3" t="s">
        <v>1370</v>
      </c>
    </row>
    <row r="853" spans="1:15" hidden="1" x14ac:dyDescent="0.75">
      <c r="A853" s="2">
        <v>46290</v>
      </c>
      <c r="B853" s="3" t="s">
        <v>491</v>
      </c>
      <c r="C853" s="3" t="s">
        <v>492</v>
      </c>
      <c r="D853" s="3" t="s">
        <v>17</v>
      </c>
      <c r="E853" s="3" t="s">
        <v>18</v>
      </c>
      <c r="F853" s="3" t="s">
        <v>172</v>
      </c>
      <c r="G853" s="3" t="s">
        <v>173</v>
      </c>
      <c r="H853" s="4">
        <v>46290.135975462967</v>
      </c>
      <c r="I853" s="4">
        <v>46290.159989814812</v>
      </c>
      <c r="J853" s="3">
        <f>ROUND((I853-H853)*1440,0)</f>
        <v>35</v>
      </c>
      <c r="K853" s="3" t="s">
        <v>430</v>
      </c>
      <c r="L853" s="3" t="s">
        <v>36</v>
      </c>
      <c r="M853" s="3" t="s">
        <v>36</v>
      </c>
      <c r="N853" s="3" t="s">
        <v>23</v>
      </c>
      <c r="O853" s="3" t="s">
        <v>431</v>
      </c>
    </row>
    <row r="854" spans="1:15" hidden="1" x14ac:dyDescent="0.75">
      <c r="A854" s="2">
        <v>46290</v>
      </c>
      <c r="B854" s="3" t="s">
        <v>414</v>
      </c>
      <c r="C854" s="3" t="s">
        <v>415</v>
      </c>
      <c r="D854" s="3" t="s">
        <v>17</v>
      </c>
      <c r="E854" s="3" t="s">
        <v>18</v>
      </c>
      <c r="F854" s="3" t="s">
        <v>416</v>
      </c>
      <c r="G854" s="3" t="s">
        <v>417</v>
      </c>
      <c r="H854" s="4">
        <v>46290.138549074072</v>
      </c>
      <c r="I854" s="4">
        <v>46290.171175810188</v>
      </c>
      <c r="J854" s="3">
        <f>ROUND((I854-H854)*1440,0)</f>
        <v>47</v>
      </c>
      <c r="K854" s="3" t="s">
        <v>292</v>
      </c>
      <c r="L854" s="3" t="s">
        <v>36</v>
      </c>
      <c r="M854" s="3" t="s">
        <v>36</v>
      </c>
      <c r="N854" s="3" t="s">
        <v>23</v>
      </c>
      <c r="O854" s="3" t="s">
        <v>293</v>
      </c>
    </row>
    <row r="855" spans="1:15" hidden="1" x14ac:dyDescent="0.75">
      <c r="A855" s="2">
        <v>46290</v>
      </c>
      <c r="B855" s="3" t="s">
        <v>428</v>
      </c>
      <c r="C855" s="3" t="s">
        <v>429</v>
      </c>
      <c r="D855" s="3" t="s">
        <v>17</v>
      </c>
      <c r="E855" s="3" t="s">
        <v>18</v>
      </c>
      <c r="F855" s="3" t="s">
        <v>244</v>
      </c>
      <c r="G855" s="3" t="s">
        <v>245</v>
      </c>
      <c r="H855" s="4">
        <v>46290.139107175928</v>
      </c>
      <c r="I855" s="4">
        <v>46290.160718981482</v>
      </c>
      <c r="J855" s="3">
        <f>ROUND((I855-H855)*1440,0)</f>
        <v>31</v>
      </c>
      <c r="K855" s="3" t="s">
        <v>418</v>
      </c>
      <c r="L855" s="3" t="s">
        <v>36</v>
      </c>
      <c r="M855" s="3" t="s">
        <v>36</v>
      </c>
      <c r="N855" s="3" t="s">
        <v>45</v>
      </c>
      <c r="O855" s="3" t="s">
        <v>419</v>
      </c>
    </row>
    <row r="856" spans="1:15" hidden="1" x14ac:dyDescent="0.75">
      <c r="A856" s="2">
        <v>46290</v>
      </c>
      <c r="B856" s="3" t="s">
        <v>408</v>
      </c>
      <c r="C856" s="3" t="s">
        <v>409</v>
      </c>
      <c r="D856" s="3" t="s">
        <v>27</v>
      </c>
      <c r="E856" s="3" t="s">
        <v>28</v>
      </c>
      <c r="F856" s="3" t="s">
        <v>410</v>
      </c>
      <c r="G856" s="3" t="s">
        <v>411</v>
      </c>
      <c r="H856" s="4">
        <v>46290.140100810182</v>
      </c>
      <c r="I856" s="4">
        <v>46290.40165162037</v>
      </c>
      <c r="J856" s="3">
        <f>ROUND((I856-H856)*1440,0)</f>
        <v>377</v>
      </c>
      <c r="K856" s="3" t="s">
        <v>465</v>
      </c>
      <c r="L856" s="3" t="s">
        <v>43</v>
      </c>
      <c r="M856" s="3" t="s">
        <v>44</v>
      </c>
      <c r="N856" s="3" t="s">
        <v>23</v>
      </c>
      <c r="O856" s="3" t="s">
        <v>466</v>
      </c>
    </row>
    <row r="857" spans="1:15" hidden="1" x14ac:dyDescent="0.75">
      <c r="A857" s="2">
        <v>46290</v>
      </c>
      <c r="B857" s="3" t="s">
        <v>440</v>
      </c>
      <c r="C857" s="3" t="s">
        <v>441</v>
      </c>
      <c r="D857" s="3" t="s">
        <v>27</v>
      </c>
      <c r="E857" s="3" t="s">
        <v>28</v>
      </c>
      <c r="F857" s="3"/>
      <c r="G857" s="3"/>
      <c r="H857" s="4">
        <v>46290.141980671287</v>
      </c>
      <c r="I857" s="4">
        <v>46290.17897685185</v>
      </c>
      <c r="J857" s="3">
        <f>ROUND((I857-H857)*1440,0)</f>
        <v>53</v>
      </c>
      <c r="K857" s="3" t="s">
        <v>489</v>
      </c>
      <c r="L857" s="3" t="s">
        <v>36</v>
      </c>
      <c r="M857" s="3" t="s">
        <v>36</v>
      </c>
      <c r="N857" s="3" t="s">
        <v>443</v>
      </c>
      <c r="O857" s="3" t="s">
        <v>490</v>
      </c>
    </row>
    <row r="858" spans="1:15" hidden="1" x14ac:dyDescent="0.75">
      <c r="A858" s="2">
        <v>46290</v>
      </c>
      <c r="B858" s="3" t="s">
        <v>2169</v>
      </c>
      <c r="C858" s="3" t="s">
        <v>2170</v>
      </c>
      <c r="D858" s="3" t="s">
        <v>172</v>
      </c>
      <c r="E858" s="3" t="s">
        <v>173</v>
      </c>
      <c r="F858" s="3" t="s">
        <v>82</v>
      </c>
      <c r="G858" s="3" t="s">
        <v>83</v>
      </c>
      <c r="H858" s="4">
        <v>46290.151471759258</v>
      </c>
      <c r="I858" s="4">
        <v>46290.251500810176</v>
      </c>
      <c r="J858" s="3">
        <f>ROUND((I858-H858)*1440,0)</f>
        <v>144</v>
      </c>
      <c r="K858" s="3" t="s">
        <v>246</v>
      </c>
      <c r="L858" s="3" t="s">
        <v>36</v>
      </c>
      <c r="M858" s="3" t="s">
        <v>36</v>
      </c>
      <c r="N858" s="3" t="s">
        <v>23</v>
      </c>
      <c r="O858" s="3" t="s">
        <v>247</v>
      </c>
    </row>
    <row r="859" spans="1:15" hidden="1" x14ac:dyDescent="0.75">
      <c r="A859" s="2">
        <v>46290</v>
      </c>
      <c r="B859" s="3" t="s">
        <v>471</v>
      </c>
      <c r="C859" s="3" t="s">
        <v>472</v>
      </c>
      <c r="D859" s="3" t="s">
        <v>304</v>
      </c>
      <c r="E859" s="3" t="s">
        <v>305</v>
      </c>
      <c r="F859" s="3" t="s">
        <v>27</v>
      </c>
      <c r="G859" s="3" t="s">
        <v>28</v>
      </c>
      <c r="H859" s="4">
        <v>46290.151480208333</v>
      </c>
      <c r="I859" s="4">
        <v>46290.365979282411</v>
      </c>
      <c r="J859" s="3">
        <f>ROUND((I859-H859)*1440,0)</f>
        <v>309</v>
      </c>
      <c r="K859" s="3" t="s">
        <v>362</v>
      </c>
      <c r="L859" s="3" t="s">
        <v>43</v>
      </c>
      <c r="M859" s="3" t="s">
        <v>44</v>
      </c>
      <c r="N859" s="3" t="s">
        <v>23</v>
      </c>
      <c r="O859" s="3" t="s">
        <v>363</v>
      </c>
    </row>
    <row r="860" spans="1:15" hidden="1" x14ac:dyDescent="0.75">
      <c r="A860" s="2">
        <v>46290</v>
      </c>
      <c r="B860" s="3" t="s">
        <v>432</v>
      </c>
      <c r="C860" s="3" t="s">
        <v>433</v>
      </c>
      <c r="D860" s="3" t="s">
        <v>17</v>
      </c>
      <c r="E860" s="3" t="s">
        <v>18</v>
      </c>
      <c r="F860" s="3" t="s">
        <v>27</v>
      </c>
      <c r="G860" s="3" t="s">
        <v>28</v>
      </c>
      <c r="H860" s="4">
        <v>46290.152641782413</v>
      </c>
      <c r="I860" s="4">
        <v>46290.180016203703</v>
      </c>
      <c r="J860" s="3">
        <f>ROUND((I860-H860)*1440,0)</f>
        <v>39</v>
      </c>
      <c r="K860" s="3" t="s">
        <v>2171</v>
      </c>
      <c r="L860" s="3" t="s">
        <v>36</v>
      </c>
      <c r="M860" s="3" t="s">
        <v>36</v>
      </c>
      <c r="N860" s="3" t="s">
        <v>23</v>
      </c>
      <c r="O860" s="3" t="s">
        <v>2172</v>
      </c>
    </row>
    <row r="861" spans="1:15" hidden="1" x14ac:dyDescent="0.75">
      <c r="A861" s="2">
        <v>46290</v>
      </c>
      <c r="B861" s="3" t="s">
        <v>2173</v>
      </c>
      <c r="C861" s="3" t="s">
        <v>2174</v>
      </c>
      <c r="D861" s="3" t="s">
        <v>264</v>
      </c>
      <c r="E861" s="3" t="s">
        <v>265</v>
      </c>
      <c r="F861" s="3" t="s">
        <v>27</v>
      </c>
      <c r="G861" s="3" t="s">
        <v>28</v>
      </c>
      <c r="H861" s="4">
        <v>46290.156895138891</v>
      </c>
      <c r="I861" s="4">
        <v>46290.349133217591</v>
      </c>
      <c r="J861" s="3">
        <f>ROUND((I861-H861)*1440,0)</f>
        <v>277</v>
      </c>
      <c r="K861" s="3" t="s">
        <v>124</v>
      </c>
      <c r="L861" s="3" t="s">
        <v>22</v>
      </c>
      <c r="M861" s="3" t="s">
        <v>22</v>
      </c>
      <c r="N861" s="3" t="s">
        <v>23</v>
      </c>
      <c r="O861" s="3" t="s">
        <v>125</v>
      </c>
    </row>
    <row r="862" spans="1:15" hidden="1" x14ac:dyDescent="0.75">
      <c r="A862" s="2">
        <v>46290</v>
      </c>
      <c r="B862" s="3" t="s">
        <v>467</v>
      </c>
      <c r="C862" s="3" t="s">
        <v>468</v>
      </c>
      <c r="D862" s="3" t="s">
        <v>122</v>
      </c>
      <c r="E862" s="3" t="s">
        <v>123</v>
      </c>
      <c r="F862" s="3" t="s">
        <v>17</v>
      </c>
      <c r="G862" s="3" t="s">
        <v>18</v>
      </c>
      <c r="H862" s="4">
        <v>46290.157611342591</v>
      </c>
      <c r="I862" s="4">
        <v>46290.365470254626</v>
      </c>
      <c r="J862" s="3">
        <f>ROUND((I862-H862)*1440,0)</f>
        <v>299</v>
      </c>
      <c r="K862" s="3" t="s">
        <v>469</v>
      </c>
      <c r="L862" s="3" t="s">
        <v>22</v>
      </c>
      <c r="M862" s="3" t="s">
        <v>22</v>
      </c>
      <c r="N862" s="3" t="s">
        <v>23</v>
      </c>
      <c r="O862" s="3" t="s">
        <v>470</v>
      </c>
    </row>
    <row r="863" spans="1:15" hidden="1" x14ac:dyDescent="0.75">
      <c r="A863" s="2">
        <v>46290</v>
      </c>
      <c r="B863" s="3" t="s">
        <v>479</v>
      </c>
      <c r="C863" s="3" t="s">
        <v>480</v>
      </c>
      <c r="D863" s="3" t="s">
        <v>304</v>
      </c>
      <c r="E863" s="3" t="s">
        <v>305</v>
      </c>
      <c r="F863" s="3" t="s">
        <v>58</v>
      </c>
      <c r="G863" s="3" t="s">
        <v>59</v>
      </c>
      <c r="H863" s="4">
        <v>46290.171576967587</v>
      </c>
      <c r="I863" s="4">
        <v>46290.370182986109</v>
      </c>
      <c r="J863" s="3">
        <f>ROUND((I863-H863)*1440,0)</f>
        <v>286</v>
      </c>
      <c r="K863" s="3" t="s">
        <v>1181</v>
      </c>
      <c r="L863" s="3" t="s">
        <v>22</v>
      </c>
      <c r="M863" s="3" t="s">
        <v>22</v>
      </c>
      <c r="N863" s="3" t="s">
        <v>23</v>
      </c>
      <c r="O863" s="3" t="s">
        <v>1182</v>
      </c>
    </row>
    <row r="864" spans="1:15" hidden="1" x14ac:dyDescent="0.75">
      <c r="A864" s="2">
        <v>46290</v>
      </c>
      <c r="B864" s="3" t="s">
        <v>457</v>
      </c>
      <c r="C864" s="3" t="s">
        <v>458</v>
      </c>
      <c r="D864" s="3" t="s">
        <v>459</v>
      </c>
      <c r="E864" s="3" t="s">
        <v>460</v>
      </c>
      <c r="F864" s="3" t="s">
        <v>541</v>
      </c>
      <c r="G864" s="3" t="s">
        <v>542</v>
      </c>
      <c r="H864" s="4">
        <v>46290.171707175927</v>
      </c>
      <c r="I864" s="4">
        <v>46290.230331134262</v>
      </c>
      <c r="J864" s="3">
        <f>ROUND((I864-H864)*1440,0)</f>
        <v>84</v>
      </c>
      <c r="K864" s="3" t="s">
        <v>1077</v>
      </c>
      <c r="L864" s="3" t="s">
        <v>36</v>
      </c>
      <c r="M864" s="3" t="s">
        <v>36</v>
      </c>
      <c r="N864" s="3" t="s">
        <v>23</v>
      </c>
      <c r="O864" s="3" t="s">
        <v>1078</v>
      </c>
    </row>
    <row r="865" spans="1:15" hidden="1" x14ac:dyDescent="0.75">
      <c r="A865" s="2">
        <v>46290</v>
      </c>
      <c r="B865" s="3" t="s">
        <v>483</v>
      </c>
      <c r="C865" s="3" t="s">
        <v>484</v>
      </c>
      <c r="D865" s="3"/>
      <c r="E865" s="3"/>
      <c r="F865" s="3" t="s">
        <v>17</v>
      </c>
      <c r="G865" s="3" t="s">
        <v>18</v>
      </c>
      <c r="H865" s="4">
        <v>46290.172235185193</v>
      </c>
      <c r="I865" s="4">
        <v>46290.205035416657</v>
      </c>
      <c r="J865" s="3">
        <f>ROUND((I865-H865)*1440,0)</f>
        <v>47</v>
      </c>
      <c r="K865" s="3" t="s">
        <v>485</v>
      </c>
      <c r="L865" s="3" t="s">
        <v>36</v>
      </c>
      <c r="M865" s="3" t="s">
        <v>36</v>
      </c>
      <c r="N865" s="3" t="s">
        <v>23</v>
      </c>
      <c r="O865" s="3" t="s">
        <v>486</v>
      </c>
    </row>
    <row r="866" spans="1:15" hidden="1" x14ac:dyDescent="0.75">
      <c r="A866" s="2">
        <v>46290</v>
      </c>
      <c r="B866" s="3" t="s">
        <v>424</v>
      </c>
      <c r="C866" s="3" t="s">
        <v>425</v>
      </c>
      <c r="D866" s="3" t="s">
        <v>27</v>
      </c>
      <c r="E866" s="3" t="s">
        <v>28</v>
      </c>
      <c r="F866" s="3" t="s">
        <v>122</v>
      </c>
      <c r="G866" s="3" t="s">
        <v>123</v>
      </c>
      <c r="H866" s="4">
        <v>46290.178852662037</v>
      </c>
      <c r="I866" s="4">
        <v>46290.420214814818</v>
      </c>
      <c r="J866" s="3">
        <f>ROUND((I866-H866)*1440,0)</f>
        <v>348</v>
      </c>
      <c r="K866" s="3" t="s">
        <v>481</v>
      </c>
      <c r="L866" s="3" t="s">
        <v>22</v>
      </c>
      <c r="M866" s="3" t="s">
        <v>22</v>
      </c>
      <c r="N866" s="3" t="s">
        <v>23</v>
      </c>
      <c r="O866" s="3" t="s">
        <v>482</v>
      </c>
    </row>
    <row r="867" spans="1:15" hidden="1" x14ac:dyDescent="0.75">
      <c r="A867" s="2">
        <v>46290</v>
      </c>
      <c r="B867" s="3" t="s">
        <v>487</v>
      </c>
      <c r="C867" s="3" t="s">
        <v>488</v>
      </c>
      <c r="D867" s="3" t="s">
        <v>58</v>
      </c>
      <c r="E867" s="3" t="s">
        <v>59</v>
      </c>
      <c r="F867" s="3"/>
      <c r="G867" s="3"/>
      <c r="H867" s="4">
        <v>46290.179941550923</v>
      </c>
      <c r="I867" s="4">
        <v>46290.213113425933</v>
      </c>
      <c r="J867" s="3">
        <f>ROUND((I867-H867)*1440,0)</f>
        <v>48</v>
      </c>
      <c r="K867" s="3" t="s">
        <v>969</v>
      </c>
      <c r="L867" s="3" t="s">
        <v>36</v>
      </c>
      <c r="M867" s="3" t="s">
        <v>36</v>
      </c>
      <c r="N867" s="3" t="s">
        <v>443</v>
      </c>
      <c r="O867" s="3" t="s">
        <v>970</v>
      </c>
    </row>
    <row r="868" spans="1:15" hidden="1" x14ac:dyDescent="0.75">
      <c r="A868" s="2">
        <v>46290</v>
      </c>
      <c r="B868" s="3" t="s">
        <v>549</v>
      </c>
      <c r="C868" s="3" t="s">
        <v>550</v>
      </c>
      <c r="D868" s="3" t="s">
        <v>551</v>
      </c>
      <c r="E868" s="3" t="s">
        <v>552</v>
      </c>
      <c r="F868" s="3" t="s">
        <v>17</v>
      </c>
      <c r="G868" s="3" t="s">
        <v>18</v>
      </c>
      <c r="H868" s="4">
        <v>46290.18865625</v>
      </c>
      <c r="I868" s="4">
        <v>46290.391234027767</v>
      </c>
      <c r="J868" s="3">
        <f>ROUND((I868-H868)*1440,0)</f>
        <v>292</v>
      </c>
      <c r="K868" s="3" t="s">
        <v>1911</v>
      </c>
      <c r="L868" s="3" t="s">
        <v>77</v>
      </c>
      <c r="M868" s="3" t="s">
        <v>78</v>
      </c>
      <c r="N868" s="3" t="s">
        <v>23</v>
      </c>
      <c r="O868" s="3" t="s">
        <v>1912</v>
      </c>
    </row>
    <row r="869" spans="1:15" hidden="1" x14ac:dyDescent="0.75">
      <c r="A869" s="2">
        <v>46290</v>
      </c>
      <c r="B869" s="3" t="s">
        <v>503</v>
      </c>
      <c r="C869" s="3" t="s">
        <v>504</v>
      </c>
      <c r="D869" s="3" t="s">
        <v>304</v>
      </c>
      <c r="E869" s="3" t="s">
        <v>305</v>
      </c>
      <c r="F869" s="3" t="s">
        <v>17</v>
      </c>
      <c r="G869" s="3" t="s">
        <v>18</v>
      </c>
      <c r="H869" s="4">
        <v>46290.189067013889</v>
      </c>
      <c r="I869" s="4">
        <v>46290.394037731479</v>
      </c>
      <c r="J869" s="3">
        <f>ROUND((I869-H869)*1440,0)</f>
        <v>295</v>
      </c>
      <c r="K869" s="3" t="s">
        <v>1831</v>
      </c>
      <c r="L869" s="3" t="s">
        <v>43</v>
      </c>
      <c r="M869" s="3" t="s">
        <v>44</v>
      </c>
      <c r="N869" s="3" t="s">
        <v>23</v>
      </c>
      <c r="O869" s="3" t="s">
        <v>1832</v>
      </c>
    </row>
    <row r="870" spans="1:15" hidden="1" x14ac:dyDescent="0.75">
      <c r="A870" s="2">
        <v>46290</v>
      </c>
      <c r="B870" s="3" t="s">
        <v>495</v>
      </c>
      <c r="C870" s="3" t="s">
        <v>496</v>
      </c>
      <c r="D870" s="3" t="s">
        <v>459</v>
      </c>
      <c r="E870" s="3" t="s">
        <v>460</v>
      </c>
      <c r="F870" s="3" t="s">
        <v>17</v>
      </c>
      <c r="G870" s="3" t="s">
        <v>18</v>
      </c>
      <c r="H870" s="4">
        <v>46290.198806018518</v>
      </c>
      <c r="I870" s="4">
        <v>46290.399063888894</v>
      </c>
      <c r="J870" s="3">
        <f>ROUND((I870-H870)*1440,0)</f>
        <v>288</v>
      </c>
      <c r="K870" s="3" t="s">
        <v>1203</v>
      </c>
      <c r="L870" s="3" t="s">
        <v>22</v>
      </c>
      <c r="M870" s="3" t="s">
        <v>22</v>
      </c>
      <c r="N870" s="3" t="s">
        <v>23</v>
      </c>
      <c r="O870" s="3" t="s">
        <v>1204</v>
      </c>
    </row>
    <row r="871" spans="1:15" hidden="1" x14ac:dyDescent="0.75">
      <c r="A871" s="2">
        <v>46290</v>
      </c>
      <c r="B871" s="3" t="s">
        <v>535</v>
      </c>
      <c r="C871" s="3" t="s">
        <v>536</v>
      </c>
      <c r="D871" s="3" t="s">
        <v>29</v>
      </c>
      <c r="E871" s="3" t="s">
        <v>30</v>
      </c>
      <c r="F871" s="3" t="s">
        <v>17</v>
      </c>
      <c r="G871" s="3" t="s">
        <v>18</v>
      </c>
      <c r="H871" s="4">
        <v>46290.205908564807</v>
      </c>
      <c r="I871" s="4">
        <v>46290.401820486113</v>
      </c>
      <c r="J871" s="3">
        <f>ROUND((I871-H871)*1440,0)</f>
        <v>282</v>
      </c>
      <c r="K871" s="3" t="s">
        <v>1271</v>
      </c>
      <c r="L871" s="3" t="s">
        <v>36</v>
      </c>
      <c r="M871" s="3" t="s">
        <v>36</v>
      </c>
      <c r="N871" s="3" t="s">
        <v>23</v>
      </c>
      <c r="O871" s="3" t="s">
        <v>1272</v>
      </c>
    </row>
    <row r="872" spans="1:15" hidden="1" x14ac:dyDescent="0.75">
      <c r="A872" s="2">
        <v>46290</v>
      </c>
      <c r="B872" s="3" t="s">
        <v>517</v>
      </c>
      <c r="C872" s="3" t="s">
        <v>518</v>
      </c>
      <c r="D872" s="3" t="s">
        <v>304</v>
      </c>
      <c r="E872" s="3" t="s">
        <v>305</v>
      </c>
      <c r="F872" s="3" t="s">
        <v>56</v>
      </c>
      <c r="G872" s="3" t="s">
        <v>57</v>
      </c>
      <c r="H872" s="4">
        <v>46290.208629050932</v>
      </c>
      <c r="I872" s="4">
        <v>46290.401628819447</v>
      </c>
      <c r="J872" s="3">
        <f>ROUND((I872-H872)*1440,0)</f>
        <v>278</v>
      </c>
      <c r="K872" s="3" t="s">
        <v>388</v>
      </c>
      <c r="L872" s="3" t="s">
        <v>22</v>
      </c>
      <c r="M872" s="3" t="s">
        <v>22</v>
      </c>
      <c r="N872" s="3" t="s">
        <v>23</v>
      </c>
      <c r="O872" s="3" t="s">
        <v>389</v>
      </c>
    </row>
    <row r="873" spans="1:15" hidden="1" x14ac:dyDescent="0.75">
      <c r="A873" s="2">
        <v>46290</v>
      </c>
      <c r="B873" s="3" t="s">
        <v>507</v>
      </c>
      <c r="C873" s="3" t="s">
        <v>508</v>
      </c>
      <c r="D873" s="3" t="s">
        <v>122</v>
      </c>
      <c r="E873" s="3" t="s">
        <v>123</v>
      </c>
      <c r="F873" s="3" t="s">
        <v>27</v>
      </c>
      <c r="G873" s="3" t="s">
        <v>28</v>
      </c>
      <c r="H873" s="4">
        <v>46290.21461909722</v>
      </c>
      <c r="I873" s="4">
        <v>46290.431862962963</v>
      </c>
      <c r="J873" s="3">
        <f>ROUND((I873-H873)*1440,0)</f>
        <v>313</v>
      </c>
      <c r="K873" s="3" t="s">
        <v>326</v>
      </c>
      <c r="L873" s="3" t="s">
        <v>22</v>
      </c>
      <c r="M873" s="3" t="s">
        <v>22</v>
      </c>
      <c r="N873" s="3" t="s">
        <v>23</v>
      </c>
      <c r="O873" s="3" t="s">
        <v>327</v>
      </c>
    </row>
    <row r="874" spans="1:15" hidden="1" x14ac:dyDescent="0.75">
      <c r="A874" s="2">
        <v>46290</v>
      </c>
      <c r="B874" s="3" t="s">
        <v>511</v>
      </c>
      <c r="C874" s="3" t="s">
        <v>512</v>
      </c>
      <c r="D874" s="3" t="s">
        <v>513</v>
      </c>
      <c r="E874" s="3" t="s">
        <v>514</v>
      </c>
      <c r="F874" s="3" t="s">
        <v>17</v>
      </c>
      <c r="G874" s="3" t="s">
        <v>18</v>
      </c>
      <c r="H874" s="4">
        <v>46290.221240624996</v>
      </c>
      <c r="I874" s="4">
        <v>46290.374818055563</v>
      </c>
      <c r="J874" s="3">
        <f>ROUND((I874-H874)*1440,0)</f>
        <v>221</v>
      </c>
      <c r="K874" s="3" t="s">
        <v>887</v>
      </c>
      <c r="L874" s="3" t="s">
        <v>36</v>
      </c>
      <c r="M874" s="3" t="s">
        <v>36</v>
      </c>
      <c r="N874" s="3" t="s">
        <v>23</v>
      </c>
      <c r="O874" s="3" t="s">
        <v>888</v>
      </c>
    </row>
    <row r="875" spans="1:15" hidden="1" x14ac:dyDescent="0.75">
      <c r="A875" s="2">
        <v>46290</v>
      </c>
      <c r="B875" s="3" t="s">
        <v>521</v>
      </c>
      <c r="C875" s="3" t="s">
        <v>522</v>
      </c>
      <c r="D875" s="3" t="s">
        <v>264</v>
      </c>
      <c r="E875" s="3" t="s">
        <v>265</v>
      </c>
      <c r="F875" s="3" t="s">
        <v>56</v>
      </c>
      <c r="G875" s="3" t="s">
        <v>57</v>
      </c>
      <c r="H875" s="4">
        <v>46290.234983680559</v>
      </c>
      <c r="I875" s="4">
        <v>46290.421360763889</v>
      </c>
      <c r="J875" s="3">
        <f>ROUND((I875-H875)*1440,0)</f>
        <v>268</v>
      </c>
      <c r="K875" s="3" t="s">
        <v>461</v>
      </c>
      <c r="L875" s="3" t="s">
        <v>22</v>
      </c>
      <c r="M875" s="3" t="s">
        <v>22</v>
      </c>
      <c r="N875" s="3" t="s">
        <v>23</v>
      </c>
      <c r="O875" s="3" t="s">
        <v>462</v>
      </c>
    </row>
    <row r="876" spans="1:15" hidden="1" x14ac:dyDescent="0.75">
      <c r="A876" s="2">
        <v>46290</v>
      </c>
      <c r="B876" s="3" t="s">
        <v>525</v>
      </c>
      <c r="C876" s="3" t="s">
        <v>526</v>
      </c>
      <c r="D876" s="3" t="s">
        <v>527</v>
      </c>
      <c r="E876" s="3" t="s">
        <v>528</v>
      </c>
      <c r="F876" s="3" t="s">
        <v>17</v>
      </c>
      <c r="G876" s="3" t="s">
        <v>18</v>
      </c>
      <c r="H876" s="4">
        <v>46290.243486574072</v>
      </c>
      <c r="I876" s="4">
        <v>46290.441018055557</v>
      </c>
      <c r="J876" s="3">
        <f>ROUND((I876-H876)*1440,0)</f>
        <v>284</v>
      </c>
      <c r="K876" s="3" t="s">
        <v>1997</v>
      </c>
      <c r="L876" s="3" t="s">
        <v>77</v>
      </c>
      <c r="M876" s="3" t="s">
        <v>78</v>
      </c>
      <c r="N876" s="3" t="s">
        <v>23</v>
      </c>
      <c r="O876" s="3" t="s">
        <v>1998</v>
      </c>
    </row>
    <row r="877" spans="1:15" hidden="1" x14ac:dyDescent="0.75">
      <c r="A877" s="2">
        <v>46290</v>
      </c>
      <c r="B877" s="3" t="s">
        <v>555</v>
      </c>
      <c r="C877" s="3" t="s">
        <v>556</v>
      </c>
      <c r="D877" s="3" t="s">
        <v>264</v>
      </c>
      <c r="E877" s="3" t="s">
        <v>265</v>
      </c>
      <c r="F877" s="3" t="s">
        <v>17</v>
      </c>
      <c r="G877" s="3" t="s">
        <v>18</v>
      </c>
      <c r="H877" s="4">
        <v>46290.254620370368</v>
      </c>
      <c r="I877" s="4">
        <v>46290.439295949072</v>
      </c>
      <c r="J877" s="3">
        <f>ROUND((I877-H877)*1440,0)</f>
        <v>266</v>
      </c>
      <c r="K877" s="3" t="s">
        <v>1689</v>
      </c>
      <c r="L877" s="3" t="s">
        <v>22</v>
      </c>
      <c r="M877" s="3" t="s">
        <v>22</v>
      </c>
      <c r="N877" s="3" t="s">
        <v>23</v>
      </c>
      <c r="O877" s="3" t="s">
        <v>1690</v>
      </c>
    </row>
    <row r="878" spans="1:15" hidden="1" x14ac:dyDescent="0.75">
      <c r="A878" s="2">
        <v>46290</v>
      </c>
      <c r="B878" s="3" t="s">
        <v>531</v>
      </c>
      <c r="C878" s="3" t="s">
        <v>532</v>
      </c>
      <c r="D878" s="3" t="s">
        <v>304</v>
      </c>
      <c r="E878" s="3" t="s">
        <v>305</v>
      </c>
      <c r="F878" s="3" t="s">
        <v>27</v>
      </c>
      <c r="G878" s="3" t="s">
        <v>28</v>
      </c>
      <c r="H878" s="4">
        <v>46290.259782060188</v>
      </c>
      <c r="I878" s="4">
        <v>46290.470209375002</v>
      </c>
      <c r="J878" s="3">
        <f>ROUND((I878-H878)*1440,0)</f>
        <v>303</v>
      </c>
      <c r="K878" s="3" t="s">
        <v>721</v>
      </c>
      <c r="L878" s="3" t="s">
        <v>22</v>
      </c>
      <c r="M878" s="3" t="s">
        <v>22</v>
      </c>
      <c r="N878" s="3" t="s">
        <v>23</v>
      </c>
      <c r="O878" s="3" t="s">
        <v>722</v>
      </c>
    </row>
    <row r="879" spans="1:15" hidden="1" x14ac:dyDescent="0.75">
      <c r="A879" s="2">
        <v>46290</v>
      </c>
      <c r="B879" s="3" t="s">
        <v>457</v>
      </c>
      <c r="C879" s="3" t="s">
        <v>458</v>
      </c>
      <c r="D879" s="3" t="s">
        <v>541</v>
      </c>
      <c r="E879" s="3" t="s">
        <v>542</v>
      </c>
      <c r="F879" s="3" t="s">
        <v>27</v>
      </c>
      <c r="G879" s="3" t="s">
        <v>28</v>
      </c>
      <c r="H879" s="4">
        <v>46290.266272106477</v>
      </c>
      <c r="I879" s="4">
        <v>46290.434720717603</v>
      </c>
      <c r="J879" s="3">
        <f>ROUND((I879-H879)*1440,0)</f>
        <v>243</v>
      </c>
      <c r="K879" s="3" t="s">
        <v>1077</v>
      </c>
      <c r="L879" s="3" t="s">
        <v>36</v>
      </c>
      <c r="M879" s="3" t="s">
        <v>36</v>
      </c>
      <c r="N879" s="3" t="s">
        <v>23</v>
      </c>
      <c r="O879" s="3" t="s">
        <v>1078</v>
      </c>
    </row>
    <row r="880" spans="1:15" hidden="1" x14ac:dyDescent="0.75">
      <c r="A880" s="2">
        <v>46290</v>
      </c>
      <c r="B880" s="3" t="s">
        <v>563</v>
      </c>
      <c r="C880" s="3" t="s">
        <v>564</v>
      </c>
      <c r="D880" s="3" t="s">
        <v>565</v>
      </c>
      <c r="E880" s="3" t="s">
        <v>566</v>
      </c>
      <c r="F880" s="3" t="s">
        <v>17</v>
      </c>
      <c r="G880" s="3" t="s">
        <v>18</v>
      </c>
      <c r="H880" s="4">
        <v>46290.272133333332</v>
      </c>
      <c r="I880" s="4">
        <v>46290.474756597221</v>
      </c>
      <c r="J880" s="3">
        <f>ROUND((I880-H880)*1440,0)</f>
        <v>292</v>
      </c>
      <c r="K880" s="3" t="s">
        <v>1301</v>
      </c>
      <c r="L880" s="3" t="s">
        <v>22</v>
      </c>
      <c r="M880" s="3" t="s">
        <v>22</v>
      </c>
      <c r="N880" s="3" t="s">
        <v>23</v>
      </c>
      <c r="O880" s="3" t="s">
        <v>1302</v>
      </c>
    </row>
    <row r="881" spans="1:15" hidden="1" x14ac:dyDescent="0.75">
      <c r="A881" s="2">
        <v>46290</v>
      </c>
      <c r="B881" s="3" t="s">
        <v>539</v>
      </c>
      <c r="C881" s="3" t="s">
        <v>540</v>
      </c>
      <c r="D881" s="3" t="s">
        <v>541</v>
      </c>
      <c r="E881" s="3" t="s">
        <v>542</v>
      </c>
      <c r="F881" s="3" t="s">
        <v>17</v>
      </c>
      <c r="G881" s="3" t="s">
        <v>18</v>
      </c>
      <c r="H881" s="4">
        <v>46290.272621643519</v>
      </c>
      <c r="I881" s="4">
        <v>46290.432673379633</v>
      </c>
      <c r="J881" s="3">
        <f>ROUND((I881-H881)*1440,0)</f>
        <v>230</v>
      </c>
      <c r="K881" s="3" t="s">
        <v>931</v>
      </c>
      <c r="L881" s="3" t="s">
        <v>77</v>
      </c>
      <c r="M881" s="3" t="s">
        <v>78</v>
      </c>
      <c r="N881" s="3" t="s">
        <v>23</v>
      </c>
      <c r="O881" s="3" t="s">
        <v>932</v>
      </c>
    </row>
    <row r="882" spans="1:15" hidden="1" x14ac:dyDescent="0.75">
      <c r="A882" s="2">
        <v>46290</v>
      </c>
      <c r="B882" s="3" t="s">
        <v>569</v>
      </c>
      <c r="C882" s="3" t="s">
        <v>570</v>
      </c>
      <c r="D882" s="3" t="s">
        <v>571</v>
      </c>
      <c r="E882" s="3" t="s">
        <v>572</v>
      </c>
      <c r="F882" s="3" t="s">
        <v>17</v>
      </c>
      <c r="G882" s="3" t="s">
        <v>18</v>
      </c>
      <c r="H882" s="4">
        <v>46290.275125231477</v>
      </c>
      <c r="I882" s="4">
        <v>46290.478034259257</v>
      </c>
      <c r="J882" s="3">
        <f>ROUND((I882-H882)*1440,0)</f>
        <v>292</v>
      </c>
      <c r="K882" s="3" t="s">
        <v>573</v>
      </c>
      <c r="L882" s="3" t="s">
        <v>22</v>
      </c>
      <c r="M882" s="3" t="s">
        <v>22</v>
      </c>
      <c r="N882" s="3" t="s">
        <v>23</v>
      </c>
      <c r="O882" s="3" t="s">
        <v>574</v>
      </c>
    </row>
    <row r="883" spans="1:15" hidden="1" x14ac:dyDescent="0.75">
      <c r="A883" s="2">
        <v>46290</v>
      </c>
      <c r="B883" s="3" t="s">
        <v>545</v>
      </c>
      <c r="C883" s="3" t="s">
        <v>546</v>
      </c>
      <c r="D883" s="3" t="s">
        <v>122</v>
      </c>
      <c r="E883" s="3" t="s">
        <v>123</v>
      </c>
      <c r="F883" s="3" t="s">
        <v>56</v>
      </c>
      <c r="G883" s="3" t="s">
        <v>57</v>
      </c>
      <c r="H883" s="4">
        <v>46290.287080787028</v>
      </c>
      <c r="I883" s="4">
        <v>46290.502566550917</v>
      </c>
      <c r="J883" s="3">
        <f>ROUND((I883-H883)*1440,0)</f>
        <v>310</v>
      </c>
      <c r="K883" s="3" t="s">
        <v>276</v>
      </c>
      <c r="L883" s="3" t="s">
        <v>22</v>
      </c>
      <c r="M883" s="3" t="s">
        <v>22</v>
      </c>
      <c r="N883" s="3" t="s">
        <v>23</v>
      </c>
      <c r="O883" s="3" t="s">
        <v>277</v>
      </c>
    </row>
    <row r="884" spans="1:15" hidden="1" x14ac:dyDescent="0.75">
      <c r="A884" s="2">
        <v>46290</v>
      </c>
      <c r="B884" s="3" t="s">
        <v>577</v>
      </c>
      <c r="C884" s="3" t="s">
        <v>578</v>
      </c>
      <c r="D884" s="3" t="s">
        <v>29</v>
      </c>
      <c r="E884" s="3" t="s">
        <v>30</v>
      </c>
      <c r="F884" s="3" t="s">
        <v>27</v>
      </c>
      <c r="G884" s="3" t="s">
        <v>28</v>
      </c>
      <c r="H884" s="4">
        <v>46290.292362268519</v>
      </c>
      <c r="I884" s="4">
        <v>46290.494935532413</v>
      </c>
      <c r="J884" s="3">
        <f>ROUND((I884-H884)*1440,0)</f>
        <v>292</v>
      </c>
      <c r="K884" s="3" t="s">
        <v>947</v>
      </c>
      <c r="L884" s="3" t="s">
        <v>22</v>
      </c>
      <c r="M884" s="3" t="s">
        <v>22</v>
      </c>
      <c r="N884" s="3" t="s">
        <v>23</v>
      </c>
      <c r="O884" s="3" t="s">
        <v>948</v>
      </c>
    </row>
    <row r="885" spans="1:15" hidden="1" x14ac:dyDescent="0.75">
      <c r="A885" s="2">
        <v>46290</v>
      </c>
      <c r="B885" s="3" t="s">
        <v>575</v>
      </c>
      <c r="C885" s="3" t="s">
        <v>576</v>
      </c>
      <c r="D885" s="3" t="s">
        <v>264</v>
      </c>
      <c r="E885" s="3" t="s">
        <v>265</v>
      </c>
      <c r="F885" s="3" t="s">
        <v>27</v>
      </c>
      <c r="G885" s="3" t="s">
        <v>28</v>
      </c>
      <c r="H885" s="4">
        <v>46290.296120833344</v>
      </c>
      <c r="I885" s="4">
        <v>46290.489916550927</v>
      </c>
      <c r="J885" s="3">
        <f>ROUND((I885-H885)*1440,0)</f>
        <v>279</v>
      </c>
      <c r="K885" s="3" t="s">
        <v>519</v>
      </c>
      <c r="L885" s="3" t="s">
        <v>22</v>
      </c>
      <c r="M885" s="3" t="s">
        <v>22</v>
      </c>
      <c r="N885" s="3" t="s">
        <v>23</v>
      </c>
      <c r="O885" s="3" t="s">
        <v>520</v>
      </c>
    </row>
    <row r="886" spans="1:15" hidden="1" x14ac:dyDescent="0.75">
      <c r="A886" s="2">
        <v>46290</v>
      </c>
      <c r="B886" s="3" t="s">
        <v>579</v>
      </c>
      <c r="C886" s="3" t="s">
        <v>580</v>
      </c>
      <c r="D886" s="3" t="s">
        <v>122</v>
      </c>
      <c r="E886" s="3" t="s">
        <v>123</v>
      </c>
      <c r="F886" s="3" t="s">
        <v>17</v>
      </c>
      <c r="G886" s="3" t="s">
        <v>18</v>
      </c>
      <c r="H886" s="4">
        <v>46290.314436342589</v>
      </c>
      <c r="I886" s="4">
        <v>46290.521757523151</v>
      </c>
      <c r="J886" s="3">
        <f>ROUND((I886-H886)*1440,0)</f>
        <v>299</v>
      </c>
      <c r="K886" s="3" t="s">
        <v>426</v>
      </c>
      <c r="L886" s="3" t="s">
        <v>22</v>
      </c>
      <c r="M886" s="3" t="s">
        <v>22</v>
      </c>
      <c r="N886" s="3" t="s">
        <v>23</v>
      </c>
      <c r="O886" s="3" t="s">
        <v>427</v>
      </c>
    </row>
    <row r="887" spans="1:15" hidden="1" x14ac:dyDescent="0.75">
      <c r="A887" s="2">
        <v>46290</v>
      </c>
      <c r="B887" s="3" t="s">
        <v>587</v>
      </c>
      <c r="C887" s="3" t="s">
        <v>588</v>
      </c>
      <c r="D887" s="3" t="s">
        <v>304</v>
      </c>
      <c r="E887" s="3" t="s">
        <v>305</v>
      </c>
      <c r="F887" s="3" t="s">
        <v>17</v>
      </c>
      <c r="G887" s="3" t="s">
        <v>18</v>
      </c>
      <c r="H887" s="4">
        <v>46290.317805208331</v>
      </c>
      <c r="I887" s="4">
        <v>46290.520467361108</v>
      </c>
      <c r="J887" s="3">
        <f>ROUND((I887-H887)*1440,0)</f>
        <v>292</v>
      </c>
      <c r="K887" s="3" t="s">
        <v>653</v>
      </c>
      <c r="L887" s="3" t="s">
        <v>22</v>
      </c>
      <c r="M887" s="3" t="s">
        <v>22</v>
      </c>
      <c r="N887" s="3" t="s">
        <v>23</v>
      </c>
      <c r="O887" s="3" t="s">
        <v>654</v>
      </c>
    </row>
    <row r="888" spans="1:15" hidden="1" x14ac:dyDescent="0.75">
      <c r="A888" s="2">
        <v>46290</v>
      </c>
      <c r="B888" s="3" t="s">
        <v>589</v>
      </c>
      <c r="C888" s="3" t="s">
        <v>590</v>
      </c>
      <c r="D888" s="3" t="s">
        <v>344</v>
      </c>
      <c r="E888" s="3" t="s">
        <v>345</v>
      </c>
      <c r="F888" s="3" t="s">
        <v>27</v>
      </c>
      <c r="G888" s="3" t="s">
        <v>28</v>
      </c>
      <c r="H888" s="4">
        <v>46290.335623611107</v>
      </c>
      <c r="I888" s="4">
        <v>46290.639733912038</v>
      </c>
      <c r="J888" s="3">
        <f>ROUND((I888-H888)*1440,0)</f>
        <v>438</v>
      </c>
      <c r="K888" s="3" t="s">
        <v>42</v>
      </c>
      <c r="L888" s="3" t="s">
        <v>43</v>
      </c>
      <c r="M888" s="3" t="s">
        <v>44</v>
      </c>
      <c r="N888" s="3" t="s">
        <v>23</v>
      </c>
      <c r="O888" s="3" t="s">
        <v>46</v>
      </c>
    </row>
    <row r="889" spans="1:15" hidden="1" x14ac:dyDescent="0.75">
      <c r="A889" s="2">
        <v>46290</v>
      </c>
      <c r="B889" s="3" t="s">
        <v>591</v>
      </c>
      <c r="C889" s="3" t="s">
        <v>592</v>
      </c>
      <c r="D889" s="3" t="s">
        <v>447</v>
      </c>
      <c r="E889" s="3" t="s">
        <v>448</v>
      </c>
      <c r="F889" s="3" t="s">
        <v>27</v>
      </c>
      <c r="G889" s="3" t="s">
        <v>28</v>
      </c>
      <c r="H889" s="4">
        <v>46290.364615740742</v>
      </c>
      <c r="I889" s="4">
        <v>46290.721753587961</v>
      </c>
      <c r="J889" s="3">
        <f>ROUND((I889-H889)*1440,0)</f>
        <v>514</v>
      </c>
      <c r="K889" s="3" t="s">
        <v>449</v>
      </c>
      <c r="L889" s="3" t="s">
        <v>43</v>
      </c>
      <c r="M889" s="3" t="s">
        <v>44</v>
      </c>
      <c r="N889" s="3" t="s">
        <v>23</v>
      </c>
      <c r="O889" s="3" t="s">
        <v>450</v>
      </c>
    </row>
    <row r="890" spans="1:15" hidden="1" x14ac:dyDescent="0.75">
      <c r="A890" s="2">
        <v>46290</v>
      </c>
      <c r="B890" s="3" t="s">
        <v>593</v>
      </c>
      <c r="C890" s="3" t="s">
        <v>594</v>
      </c>
      <c r="D890" s="3" t="s">
        <v>82</v>
      </c>
      <c r="E890" s="3" t="s">
        <v>83</v>
      </c>
      <c r="F890" s="3" t="s">
        <v>82</v>
      </c>
      <c r="G890" s="3" t="s">
        <v>83</v>
      </c>
      <c r="H890" s="4">
        <v>46290.379104976862</v>
      </c>
      <c r="I890" s="4">
        <v>46290.634583796287</v>
      </c>
      <c r="J890" s="3">
        <f>ROUND((I890-H890)*1440,0)</f>
        <v>368</v>
      </c>
      <c r="K890" s="3" t="s">
        <v>282</v>
      </c>
      <c r="L890" s="3" t="s">
        <v>36</v>
      </c>
      <c r="M890" s="3" t="s">
        <v>36</v>
      </c>
      <c r="N890" s="3" t="s">
        <v>23</v>
      </c>
      <c r="O890" s="3" t="s">
        <v>283</v>
      </c>
    </row>
    <row r="891" spans="1:15" hidden="1" x14ac:dyDescent="0.75">
      <c r="A891" s="2">
        <v>46290</v>
      </c>
      <c r="B891" s="3" t="s">
        <v>597</v>
      </c>
      <c r="C891" s="3" t="s">
        <v>598</v>
      </c>
      <c r="D891" s="3" t="s">
        <v>27</v>
      </c>
      <c r="E891" s="3" t="s">
        <v>28</v>
      </c>
      <c r="F891" s="3" t="s">
        <v>17</v>
      </c>
      <c r="G891" s="3" t="s">
        <v>18</v>
      </c>
      <c r="H891" s="4">
        <v>46290.386793634258</v>
      </c>
      <c r="I891" s="4">
        <v>46290.419475115741</v>
      </c>
      <c r="J891" s="3">
        <f>ROUND((I891-H891)*1440,0)</f>
        <v>47</v>
      </c>
      <c r="K891" s="3" t="s">
        <v>1037</v>
      </c>
      <c r="L891" s="3" t="s">
        <v>77</v>
      </c>
      <c r="M891" s="3" t="s">
        <v>78</v>
      </c>
      <c r="N891" s="3" t="s">
        <v>23</v>
      </c>
      <c r="O891" s="3" t="s">
        <v>1038</v>
      </c>
    </row>
    <row r="892" spans="1:15" hidden="1" x14ac:dyDescent="0.75">
      <c r="A892" s="2">
        <v>46290</v>
      </c>
      <c r="B892" s="3" t="s">
        <v>559</v>
      </c>
      <c r="C892" s="3" t="s">
        <v>560</v>
      </c>
      <c r="D892" s="3" t="s">
        <v>304</v>
      </c>
      <c r="E892" s="3" t="s">
        <v>305</v>
      </c>
      <c r="F892" s="3" t="s">
        <v>17</v>
      </c>
      <c r="G892" s="3" t="s">
        <v>18</v>
      </c>
      <c r="H892" s="4">
        <v>46290.389578009257</v>
      </c>
      <c r="I892" s="4">
        <v>46290.59233796296</v>
      </c>
      <c r="J892" s="3">
        <f>ROUND((I892-H892)*1440,0)</f>
        <v>292</v>
      </c>
      <c r="K892" s="3" t="s">
        <v>677</v>
      </c>
      <c r="L892" s="3" t="s">
        <v>22</v>
      </c>
      <c r="M892" s="3" t="s">
        <v>22</v>
      </c>
      <c r="N892" s="3" t="s">
        <v>23</v>
      </c>
      <c r="O892" s="3" t="s">
        <v>678</v>
      </c>
    </row>
    <row r="893" spans="1:15" hidden="1" x14ac:dyDescent="0.75">
      <c r="A893" s="2">
        <v>46290</v>
      </c>
      <c r="B893" s="3" t="s">
        <v>2175</v>
      </c>
      <c r="C893" s="3" t="s">
        <v>2176</v>
      </c>
      <c r="D893" s="3" t="s">
        <v>615</v>
      </c>
      <c r="E893" s="3" t="s">
        <v>616</v>
      </c>
      <c r="F893" s="3" t="s">
        <v>27</v>
      </c>
      <c r="G893" s="3" t="s">
        <v>28</v>
      </c>
      <c r="H893" s="4">
        <v>46290.396093171294</v>
      </c>
      <c r="I893" s="4">
        <v>46290.542647800918</v>
      </c>
      <c r="J893" s="3">
        <f>ROUND((I893-H893)*1440,0)</f>
        <v>211</v>
      </c>
      <c r="K893" s="3" t="s">
        <v>951</v>
      </c>
      <c r="L893" s="3" t="s">
        <v>36</v>
      </c>
      <c r="M893" s="3" t="s">
        <v>36</v>
      </c>
      <c r="N893" s="3" t="s">
        <v>23</v>
      </c>
      <c r="O893" s="3" t="s">
        <v>952</v>
      </c>
    </row>
    <row r="894" spans="1:15" hidden="1" x14ac:dyDescent="0.75">
      <c r="A894" s="2">
        <v>46290</v>
      </c>
      <c r="B894" s="3" t="s">
        <v>599</v>
      </c>
      <c r="C894" s="3" t="s">
        <v>600</v>
      </c>
      <c r="D894" s="3" t="s">
        <v>40</v>
      </c>
      <c r="E894" s="3" t="s">
        <v>41</v>
      </c>
      <c r="F894" s="3" t="s">
        <v>27</v>
      </c>
      <c r="G894" s="3" t="s">
        <v>28</v>
      </c>
      <c r="H894" s="4">
        <v>46290.398619444437</v>
      </c>
      <c r="I894" s="4">
        <v>46290.716624074077</v>
      </c>
      <c r="J894" s="3">
        <f>ROUND((I894-H894)*1440,0)</f>
        <v>458</v>
      </c>
      <c r="K894" s="3" t="s">
        <v>585</v>
      </c>
      <c r="L894" s="3" t="s">
        <v>43</v>
      </c>
      <c r="M894" s="3" t="s">
        <v>44</v>
      </c>
      <c r="N894" s="3" t="s">
        <v>23</v>
      </c>
      <c r="O894" s="3" t="s">
        <v>586</v>
      </c>
    </row>
    <row r="895" spans="1:15" hidden="1" x14ac:dyDescent="0.75">
      <c r="A895" s="2">
        <v>46290</v>
      </c>
      <c r="B895" s="3" t="s">
        <v>601</v>
      </c>
      <c r="C895" s="3" t="s">
        <v>602</v>
      </c>
      <c r="D895" s="3" t="s">
        <v>202</v>
      </c>
      <c r="E895" s="3" t="s">
        <v>203</v>
      </c>
      <c r="F895" s="3" t="s">
        <v>27</v>
      </c>
      <c r="G895" s="3" t="s">
        <v>28</v>
      </c>
      <c r="H895" s="4">
        <v>46290.399361574076</v>
      </c>
      <c r="I895" s="4">
        <v>46290.713683564813</v>
      </c>
      <c r="J895" s="3">
        <f>ROUND((I895-H895)*1440,0)</f>
        <v>453</v>
      </c>
      <c r="K895" s="3" t="s">
        <v>204</v>
      </c>
      <c r="L895" s="3" t="s">
        <v>43</v>
      </c>
      <c r="M895" s="3" t="s">
        <v>44</v>
      </c>
      <c r="N895" s="3" t="s">
        <v>23</v>
      </c>
      <c r="O895" s="3" t="s">
        <v>205</v>
      </c>
    </row>
    <row r="896" spans="1:15" hidden="1" x14ac:dyDescent="0.75">
      <c r="A896" s="2">
        <v>46290</v>
      </c>
      <c r="B896" s="3" t="s">
        <v>603</v>
      </c>
      <c r="C896" s="3" t="s">
        <v>604</v>
      </c>
      <c r="D896" s="3" t="s">
        <v>17</v>
      </c>
      <c r="E896" s="3" t="s">
        <v>18</v>
      </c>
      <c r="F896" s="3"/>
      <c r="G896" s="3"/>
      <c r="H896" s="4">
        <v>46290.409973032409</v>
      </c>
      <c r="I896" s="4">
        <v>46290.555286111106</v>
      </c>
      <c r="J896" s="3">
        <f>ROUND((I896-H896)*1440,0)</f>
        <v>209</v>
      </c>
      <c r="K896" s="3" t="s">
        <v>1441</v>
      </c>
      <c r="L896" s="3" t="s">
        <v>43</v>
      </c>
      <c r="M896" s="3" t="s">
        <v>44</v>
      </c>
      <c r="N896" s="3" t="s">
        <v>443</v>
      </c>
      <c r="O896" s="3" t="s">
        <v>1442</v>
      </c>
    </row>
    <row r="897" spans="1:15" hidden="1" x14ac:dyDescent="0.75">
      <c r="A897" s="2">
        <v>46290</v>
      </c>
      <c r="B897" s="3" t="s">
        <v>619</v>
      </c>
      <c r="C897" s="3" t="s">
        <v>620</v>
      </c>
      <c r="D897" s="3" t="s">
        <v>234</v>
      </c>
      <c r="E897" s="3" t="s">
        <v>235</v>
      </c>
      <c r="F897" s="3" t="s">
        <v>17</v>
      </c>
      <c r="G897" s="3" t="s">
        <v>18</v>
      </c>
      <c r="H897" s="4">
        <v>46290.414748611111</v>
      </c>
      <c r="I897" s="4">
        <v>46290.445845254631</v>
      </c>
      <c r="J897" s="3">
        <f>ROUND((I897-H897)*1440,0)</f>
        <v>45</v>
      </c>
      <c r="K897" s="3" t="s">
        <v>801</v>
      </c>
      <c r="L897" s="3" t="s">
        <v>77</v>
      </c>
      <c r="M897" s="3" t="s">
        <v>78</v>
      </c>
      <c r="N897" s="3" t="s">
        <v>23</v>
      </c>
      <c r="O897" s="3" t="s">
        <v>802</v>
      </c>
    </row>
    <row r="898" spans="1:15" hidden="1" x14ac:dyDescent="0.75">
      <c r="A898" s="2">
        <v>46290</v>
      </c>
      <c r="B898" s="3" t="s">
        <v>609</v>
      </c>
      <c r="C898" s="3" t="s">
        <v>610</v>
      </c>
      <c r="D898" s="3" t="s">
        <v>366</v>
      </c>
      <c r="E898" s="3" t="s">
        <v>367</v>
      </c>
      <c r="F898" s="3" t="s">
        <v>27</v>
      </c>
      <c r="G898" s="3" t="s">
        <v>28</v>
      </c>
      <c r="H898" s="4">
        <v>46290.415418865741</v>
      </c>
      <c r="I898" s="4">
        <v>46290.454825578701</v>
      </c>
      <c r="J898" s="3">
        <f>ROUND((I898-H898)*1440,0)</f>
        <v>57</v>
      </c>
      <c r="K898" s="3" t="s">
        <v>224</v>
      </c>
      <c r="L898" s="3" t="s">
        <v>77</v>
      </c>
      <c r="M898" s="3" t="s">
        <v>78</v>
      </c>
      <c r="N898" s="3" t="s">
        <v>23</v>
      </c>
      <c r="O898" s="3" t="s">
        <v>225</v>
      </c>
    </row>
    <row r="899" spans="1:15" hidden="1" x14ac:dyDescent="0.75">
      <c r="A899" s="2">
        <v>46290</v>
      </c>
      <c r="B899" s="3" t="s">
        <v>655</v>
      </c>
      <c r="C899" s="3" t="s">
        <v>656</v>
      </c>
      <c r="D899" s="3" t="s">
        <v>56</v>
      </c>
      <c r="E899" s="3" t="s">
        <v>57</v>
      </c>
      <c r="F899" s="3" t="s">
        <v>122</v>
      </c>
      <c r="G899" s="3" t="s">
        <v>123</v>
      </c>
      <c r="H899" s="4">
        <v>46290.417082754633</v>
      </c>
      <c r="I899" s="4">
        <v>46290.648739467593</v>
      </c>
      <c r="J899" s="3">
        <f>ROUND((I899-H899)*1440,0)</f>
        <v>334</v>
      </c>
      <c r="K899" s="3" t="s">
        <v>547</v>
      </c>
      <c r="L899" s="3" t="s">
        <v>22</v>
      </c>
      <c r="M899" s="3" t="s">
        <v>22</v>
      </c>
      <c r="N899" s="3" t="s">
        <v>23</v>
      </c>
      <c r="O899" s="3" t="s">
        <v>548</v>
      </c>
    </row>
    <row r="900" spans="1:15" hidden="1" x14ac:dyDescent="0.75">
      <c r="A900" s="2">
        <v>46290</v>
      </c>
      <c r="B900" s="3" t="s">
        <v>635</v>
      </c>
      <c r="C900" s="3" t="s">
        <v>636</v>
      </c>
      <c r="D900" s="3" t="s">
        <v>615</v>
      </c>
      <c r="E900" s="3" t="s">
        <v>616</v>
      </c>
      <c r="F900" s="3" t="s">
        <v>17</v>
      </c>
      <c r="G900" s="3" t="s">
        <v>18</v>
      </c>
      <c r="H900" s="4">
        <v>46290.418033680558</v>
      </c>
      <c r="I900" s="4">
        <v>46290.579567361106</v>
      </c>
      <c r="J900" s="3">
        <f>ROUND((I900-H900)*1440,0)</f>
        <v>233</v>
      </c>
      <c r="K900" s="3" t="s">
        <v>1143</v>
      </c>
      <c r="L900" s="3" t="s">
        <v>22</v>
      </c>
      <c r="M900" s="3" t="s">
        <v>22</v>
      </c>
      <c r="N900" s="3" t="s">
        <v>23</v>
      </c>
      <c r="O900" s="3" t="s">
        <v>1144</v>
      </c>
    </row>
    <row r="901" spans="1:15" hidden="1" x14ac:dyDescent="0.75">
      <c r="A901" s="2">
        <v>46290</v>
      </c>
      <c r="B901" s="3" t="s">
        <v>625</v>
      </c>
      <c r="C901" s="3" t="s">
        <v>626</v>
      </c>
      <c r="D901" s="3" t="s">
        <v>56</v>
      </c>
      <c r="E901" s="3" t="s">
        <v>57</v>
      </c>
      <c r="F901" s="3" t="s">
        <v>17</v>
      </c>
      <c r="G901" s="3" t="s">
        <v>18</v>
      </c>
      <c r="H901" s="4">
        <v>46290.418587152781</v>
      </c>
      <c r="I901" s="4">
        <v>46290.523096527781</v>
      </c>
      <c r="J901" s="3">
        <f>ROUND((I901-H901)*1440,0)</f>
        <v>150</v>
      </c>
      <c r="K901" s="3" t="s">
        <v>961</v>
      </c>
      <c r="L901" s="3" t="s">
        <v>36</v>
      </c>
      <c r="M901" s="3" t="s">
        <v>36</v>
      </c>
      <c r="N901" s="3" t="s">
        <v>23</v>
      </c>
      <c r="O901" s="3" t="s">
        <v>962</v>
      </c>
    </row>
    <row r="902" spans="1:15" hidden="1" x14ac:dyDescent="0.75">
      <c r="A902" s="2">
        <v>46290</v>
      </c>
      <c r="B902" s="3" t="s">
        <v>627</v>
      </c>
      <c r="C902" s="3" t="s">
        <v>628</v>
      </c>
      <c r="D902" s="3" t="s">
        <v>94</v>
      </c>
      <c r="E902" s="3" t="s">
        <v>95</v>
      </c>
      <c r="F902" s="3" t="s">
        <v>27</v>
      </c>
      <c r="G902" s="3" t="s">
        <v>28</v>
      </c>
      <c r="H902" s="4">
        <v>46290.419040162044</v>
      </c>
      <c r="I902" s="4">
        <v>46290.479250578697</v>
      </c>
      <c r="J902" s="3">
        <f>ROUND((I902-H902)*1440,0)</f>
        <v>87</v>
      </c>
      <c r="K902" s="3" t="s">
        <v>891</v>
      </c>
      <c r="L902" s="3" t="s">
        <v>77</v>
      </c>
      <c r="M902" s="3" t="s">
        <v>78</v>
      </c>
      <c r="N902" s="3" t="s">
        <v>23</v>
      </c>
      <c r="O902" s="3" t="s">
        <v>892</v>
      </c>
    </row>
    <row r="903" spans="1:15" hidden="1" x14ac:dyDescent="0.75">
      <c r="A903" s="2">
        <v>46290</v>
      </c>
      <c r="B903" s="3" t="s">
        <v>613</v>
      </c>
      <c r="C903" s="3" t="s">
        <v>614</v>
      </c>
      <c r="D903" s="3" t="s">
        <v>615</v>
      </c>
      <c r="E903" s="3" t="s">
        <v>616</v>
      </c>
      <c r="F903" s="3" t="s">
        <v>82</v>
      </c>
      <c r="G903" s="3" t="s">
        <v>83</v>
      </c>
      <c r="H903" s="4">
        <v>46290.419693518517</v>
      </c>
      <c r="I903" s="4">
        <v>46290.530265393521</v>
      </c>
      <c r="J903" s="3">
        <f>ROUND((I903-H903)*1440,0)</f>
        <v>159</v>
      </c>
      <c r="K903" s="3" t="s">
        <v>2125</v>
      </c>
      <c r="L903" s="3" t="s">
        <v>36</v>
      </c>
      <c r="M903" s="3" t="s">
        <v>36</v>
      </c>
      <c r="N903" s="3" t="s">
        <v>23</v>
      </c>
      <c r="O903" s="3" t="s">
        <v>2126</v>
      </c>
    </row>
    <row r="904" spans="1:15" hidden="1" x14ac:dyDescent="0.75">
      <c r="A904" s="2">
        <v>46290</v>
      </c>
      <c r="B904" s="3" t="s">
        <v>611</v>
      </c>
      <c r="C904" s="3" t="s">
        <v>612</v>
      </c>
      <c r="D904" s="3" t="s">
        <v>228</v>
      </c>
      <c r="E904" s="3" t="s">
        <v>229</v>
      </c>
      <c r="F904" s="3" t="s">
        <v>17</v>
      </c>
      <c r="G904" s="3" t="s">
        <v>18</v>
      </c>
      <c r="H904" s="4">
        <v>46290.419943865738</v>
      </c>
      <c r="I904" s="4">
        <v>46290.466822453702</v>
      </c>
      <c r="J904" s="3">
        <f>ROUND((I904-H904)*1440,0)</f>
        <v>68</v>
      </c>
      <c r="K904" s="3" t="s">
        <v>1261</v>
      </c>
      <c r="L904" s="3" t="s">
        <v>77</v>
      </c>
      <c r="M904" s="3" t="s">
        <v>78</v>
      </c>
      <c r="N904" s="3" t="s">
        <v>23</v>
      </c>
      <c r="O904" s="3" t="s">
        <v>1262</v>
      </c>
    </row>
    <row r="905" spans="1:15" hidden="1" x14ac:dyDescent="0.75">
      <c r="A905" s="2">
        <v>46290</v>
      </c>
      <c r="B905" s="3" t="s">
        <v>2177</v>
      </c>
      <c r="C905" s="3" t="s">
        <v>2178</v>
      </c>
      <c r="D905" s="3" t="s">
        <v>350</v>
      </c>
      <c r="E905" s="3" t="s">
        <v>351</v>
      </c>
      <c r="F905" s="3" t="s">
        <v>27</v>
      </c>
      <c r="G905" s="3" t="s">
        <v>28</v>
      </c>
      <c r="H905" s="4">
        <v>46290.419955439807</v>
      </c>
      <c r="I905" s="4">
        <v>46290.695800578702</v>
      </c>
      <c r="J905" s="3">
        <f>ROUND((I905-H905)*1440,0)</f>
        <v>397</v>
      </c>
      <c r="K905" s="3" t="s">
        <v>505</v>
      </c>
      <c r="L905" s="3" t="s">
        <v>43</v>
      </c>
      <c r="M905" s="3" t="s">
        <v>44</v>
      </c>
      <c r="N905" s="3" t="s">
        <v>23</v>
      </c>
      <c r="O905" s="3" t="s">
        <v>506</v>
      </c>
    </row>
    <row r="906" spans="1:15" hidden="1" x14ac:dyDescent="0.75">
      <c r="A906" s="2">
        <v>46290</v>
      </c>
      <c r="B906" s="3" t="s">
        <v>667</v>
      </c>
      <c r="C906" s="3" t="s">
        <v>668</v>
      </c>
      <c r="D906" s="3" t="s">
        <v>49</v>
      </c>
      <c r="E906" s="3" t="s">
        <v>50</v>
      </c>
      <c r="F906" s="3" t="s">
        <v>27</v>
      </c>
      <c r="G906" s="3" t="s">
        <v>28</v>
      </c>
      <c r="H906" s="4">
        <v>46290.420030787027</v>
      </c>
      <c r="I906" s="4">
        <v>46290.452701041657</v>
      </c>
      <c r="J906" s="3">
        <f>ROUND((I906-H906)*1440,0)</f>
        <v>47</v>
      </c>
      <c r="K906" s="3" t="s">
        <v>1115</v>
      </c>
      <c r="L906" s="3" t="s">
        <v>77</v>
      </c>
      <c r="M906" s="3" t="s">
        <v>78</v>
      </c>
      <c r="N906" s="3" t="s">
        <v>23</v>
      </c>
      <c r="O906" s="3" t="s">
        <v>1116</v>
      </c>
    </row>
    <row r="907" spans="1:15" hidden="1" x14ac:dyDescent="0.75">
      <c r="A907" s="2">
        <v>46290</v>
      </c>
      <c r="B907" s="3" t="s">
        <v>2179</v>
      </c>
      <c r="C907" s="3" t="s">
        <v>2180</v>
      </c>
      <c r="D907" s="3" t="s">
        <v>737</v>
      </c>
      <c r="E907" s="3" t="s">
        <v>738</v>
      </c>
      <c r="F907" s="3" t="s">
        <v>17</v>
      </c>
      <c r="G907" s="3" t="s">
        <v>18</v>
      </c>
      <c r="H907" s="4">
        <v>46290.420544328706</v>
      </c>
      <c r="I907" s="4">
        <v>46290.464353124997</v>
      </c>
      <c r="J907" s="3">
        <f>ROUND((I907-H907)*1440,0)</f>
        <v>63</v>
      </c>
      <c r="K907" s="3" t="s">
        <v>160</v>
      </c>
      <c r="L907" s="3" t="s">
        <v>77</v>
      </c>
      <c r="M907" s="3" t="s">
        <v>78</v>
      </c>
      <c r="N907" s="3" t="s">
        <v>23</v>
      </c>
      <c r="O907" s="3" t="s">
        <v>161</v>
      </c>
    </row>
    <row r="908" spans="1:15" hidden="1" x14ac:dyDescent="0.75">
      <c r="A908" s="2">
        <v>46290</v>
      </c>
      <c r="B908" s="3" t="s">
        <v>651</v>
      </c>
      <c r="C908" s="3" t="s">
        <v>652</v>
      </c>
      <c r="D908" s="3" t="s">
        <v>27</v>
      </c>
      <c r="E908" s="3" t="s">
        <v>28</v>
      </c>
      <c r="F908" s="3" t="s">
        <v>304</v>
      </c>
      <c r="G908" s="3" t="s">
        <v>305</v>
      </c>
      <c r="H908" s="4">
        <v>46290.42188587963</v>
      </c>
      <c r="I908" s="4">
        <v>46290.659911111114</v>
      </c>
      <c r="J908" s="3">
        <f>ROUND((I908-H908)*1440,0)</f>
        <v>343</v>
      </c>
      <c r="K908" s="3" t="s">
        <v>124</v>
      </c>
      <c r="L908" s="3" t="s">
        <v>22</v>
      </c>
      <c r="M908" s="3" t="s">
        <v>22</v>
      </c>
      <c r="N908" s="3" t="s">
        <v>23</v>
      </c>
      <c r="O908" s="3" t="s">
        <v>125</v>
      </c>
    </row>
    <row r="909" spans="1:15" hidden="1" x14ac:dyDescent="0.75">
      <c r="A909" s="2">
        <v>46290</v>
      </c>
      <c r="B909" s="3" t="s">
        <v>643</v>
      </c>
      <c r="C909" s="3" t="s">
        <v>644</v>
      </c>
      <c r="D909" s="3" t="s">
        <v>68</v>
      </c>
      <c r="E909" s="3" t="s">
        <v>69</v>
      </c>
      <c r="F909" s="3" t="s">
        <v>84</v>
      </c>
      <c r="G909" s="3" t="s">
        <v>85</v>
      </c>
      <c r="H909" s="4">
        <v>46290.423858564813</v>
      </c>
      <c r="I909" s="4">
        <v>46290.532703935183</v>
      </c>
      <c r="J909" s="3">
        <f>ROUND((I909-H909)*1440,0)</f>
        <v>157</v>
      </c>
      <c r="K909" s="3" t="s">
        <v>1307</v>
      </c>
      <c r="L909" s="3" t="s">
        <v>36</v>
      </c>
      <c r="M909" s="3" t="s">
        <v>36</v>
      </c>
      <c r="N909" s="3" t="s">
        <v>45</v>
      </c>
      <c r="O909" s="3" t="s">
        <v>1308</v>
      </c>
    </row>
    <row r="910" spans="1:15" hidden="1" x14ac:dyDescent="0.75">
      <c r="A910" s="2">
        <v>46290</v>
      </c>
      <c r="B910" s="3" t="s">
        <v>681</v>
      </c>
      <c r="C910" s="3" t="s">
        <v>682</v>
      </c>
      <c r="D910" s="3" t="s">
        <v>17</v>
      </c>
      <c r="E910" s="3" t="s">
        <v>18</v>
      </c>
      <c r="F910" s="3" t="s">
        <v>683</v>
      </c>
      <c r="G910" s="3" t="s">
        <v>684</v>
      </c>
      <c r="H910" s="4">
        <v>46290.424201620372</v>
      </c>
      <c r="I910" s="4">
        <v>46290.564706018522</v>
      </c>
      <c r="J910" s="3">
        <f>ROUND((I910-H910)*1440,0)</f>
        <v>202</v>
      </c>
      <c r="K910" s="3" t="s">
        <v>515</v>
      </c>
      <c r="L910" s="3" t="s">
        <v>36</v>
      </c>
      <c r="M910" s="3" t="s">
        <v>36</v>
      </c>
      <c r="N910" s="3" t="s">
        <v>23</v>
      </c>
      <c r="O910" s="3" t="s">
        <v>516</v>
      </c>
    </row>
    <row r="911" spans="1:15" hidden="1" x14ac:dyDescent="0.75">
      <c r="A911" s="2">
        <v>46290</v>
      </c>
      <c r="B911" s="3" t="s">
        <v>669</v>
      </c>
      <c r="C911" s="3" t="s">
        <v>670</v>
      </c>
      <c r="D911" s="3" t="s">
        <v>208</v>
      </c>
      <c r="E911" s="3" t="s">
        <v>209</v>
      </c>
      <c r="F911" s="3" t="s">
        <v>56</v>
      </c>
      <c r="G911" s="3" t="s">
        <v>57</v>
      </c>
      <c r="H911" s="4">
        <v>46290.424245023147</v>
      </c>
      <c r="I911" s="4">
        <v>46290.520748958334</v>
      </c>
      <c r="J911" s="3">
        <f>ROUND((I911-H911)*1440,0)</f>
        <v>139</v>
      </c>
      <c r="K911" s="3" t="s">
        <v>376</v>
      </c>
      <c r="L911" s="3" t="s">
        <v>36</v>
      </c>
      <c r="M911" s="3" t="s">
        <v>36</v>
      </c>
      <c r="N911" s="3" t="s">
        <v>23</v>
      </c>
      <c r="O911" s="3" t="s">
        <v>377</v>
      </c>
    </row>
    <row r="912" spans="1:15" hidden="1" x14ac:dyDescent="0.75">
      <c r="A912" s="2">
        <v>46290</v>
      </c>
      <c r="B912" s="3" t="s">
        <v>679</v>
      </c>
      <c r="C912" s="3" t="s">
        <v>680</v>
      </c>
      <c r="D912" s="3" t="s">
        <v>148</v>
      </c>
      <c r="E912" s="3" t="s">
        <v>149</v>
      </c>
      <c r="F912" s="3" t="s">
        <v>17</v>
      </c>
      <c r="G912" s="3" t="s">
        <v>18</v>
      </c>
      <c r="H912" s="4">
        <v>46290.425480324076</v>
      </c>
      <c r="I912" s="4">
        <v>46290.482667013886</v>
      </c>
      <c r="J912" s="3">
        <f>ROUND((I912-H912)*1440,0)</f>
        <v>82</v>
      </c>
      <c r="K912" s="3" t="s">
        <v>336</v>
      </c>
      <c r="L912" s="3" t="s">
        <v>36</v>
      </c>
      <c r="M912" s="3" t="s">
        <v>36</v>
      </c>
      <c r="N912" s="3" t="s">
        <v>23</v>
      </c>
      <c r="O912" s="3" t="s">
        <v>337</v>
      </c>
    </row>
    <row r="913" spans="1:15" hidden="1" x14ac:dyDescent="0.75">
      <c r="A913" s="2">
        <v>46290</v>
      </c>
      <c r="B913" s="3" t="s">
        <v>639</v>
      </c>
      <c r="C913" s="3" t="s">
        <v>640</v>
      </c>
      <c r="D913" s="3" t="s">
        <v>158</v>
      </c>
      <c r="E913" s="3" t="s">
        <v>159</v>
      </c>
      <c r="F913" s="3" t="s">
        <v>56</v>
      </c>
      <c r="G913" s="3" t="s">
        <v>57</v>
      </c>
      <c r="H913" s="4">
        <v>46290.425600925933</v>
      </c>
      <c r="I913" s="4">
        <v>46290.509357870367</v>
      </c>
      <c r="J913" s="3">
        <f>ROUND((I913-H913)*1440,0)</f>
        <v>121</v>
      </c>
      <c r="K913" s="3" t="s">
        <v>1389</v>
      </c>
      <c r="L913" s="3" t="s">
        <v>36</v>
      </c>
      <c r="M913" s="3" t="s">
        <v>36</v>
      </c>
      <c r="N913" s="3" t="s">
        <v>23</v>
      </c>
      <c r="O913" s="3" t="s">
        <v>1390</v>
      </c>
    </row>
    <row r="914" spans="1:15" hidden="1" x14ac:dyDescent="0.75">
      <c r="A914" s="2">
        <v>46290</v>
      </c>
      <c r="B914" s="3" t="s">
        <v>659</v>
      </c>
      <c r="C914" s="3" t="s">
        <v>660</v>
      </c>
      <c r="D914" s="3" t="s">
        <v>17</v>
      </c>
      <c r="E914" s="3" t="s">
        <v>18</v>
      </c>
      <c r="F914" s="3" t="s">
        <v>304</v>
      </c>
      <c r="G914" s="3" t="s">
        <v>305</v>
      </c>
      <c r="H914" s="4">
        <v>46290.426517361113</v>
      </c>
      <c r="I914" s="4">
        <v>46290.645255324067</v>
      </c>
      <c r="J914" s="3">
        <f>ROUND((I914-H914)*1440,0)</f>
        <v>315</v>
      </c>
      <c r="K914" s="3" t="s">
        <v>581</v>
      </c>
      <c r="L914" s="3" t="s">
        <v>22</v>
      </c>
      <c r="M914" s="3" t="s">
        <v>22</v>
      </c>
      <c r="N914" s="3" t="s">
        <v>23</v>
      </c>
      <c r="O914" s="3" t="s">
        <v>582</v>
      </c>
    </row>
    <row r="915" spans="1:15" hidden="1" x14ac:dyDescent="0.75">
      <c r="A915" s="2">
        <v>46290</v>
      </c>
      <c r="B915" s="3" t="s">
        <v>671</v>
      </c>
      <c r="C915" s="3" t="s">
        <v>672</v>
      </c>
      <c r="D915" s="3" t="s">
        <v>56</v>
      </c>
      <c r="E915" s="3" t="s">
        <v>57</v>
      </c>
      <c r="F915" s="3" t="s">
        <v>27</v>
      </c>
      <c r="G915" s="3" t="s">
        <v>28</v>
      </c>
      <c r="H915" s="4">
        <v>46290.426569212963</v>
      </c>
      <c r="I915" s="4">
        <v>46290.548218634263</v>
      </c>
      <c r="J915" s="3">
        <f>ROUND((I915-H915)*1440,0)</f>
        <v>175</v>
      </c>
      <c r="K915" s="3" t="s">
        <v>1469</v>
      </c>
      <c r="L915" s="3" t="s">
        <v>36</v>
      </c>
      <c r="M915" s="3" t="s">
        <v>36</v>
      </c>
      <c r="N915" s="3" t="s">
        <v>23</v>
      </c>
      <c r="O915" s="3" t="s">
        <v>1470</v>
      </c>
    </row>
    <row r="916" spans="1:15" hidden="1" x14ac:dyDescent="0.75">
      <c r="A916" s="2">
        <v>46290</v>
      </c>
      <c r="B916" s="3" t="s">
        <v>687</v>
      </c>
      <c r="C916" s="3" t="s">
        <v>688</v>
      </c>
      <c r="D916" s="3" t="s">
        <v>218</v>
      </c>
      <c r="E916" s="3" t="s">
        <v>219</v>
      </c>
      <c r="F916" s="3" t="s">
        <v>17</v>
      </c>
      <c r="G916" s="3" t="s">
        <v>18</v>
      </c>
      <c r="H916" s="4">
        <v>46290.427135069447</v>
      </c>
      <c r="I916" s="4">
        <v>46290.481591203701</v>
      </c>
      <c r="J916" s="3">
        <f>ROUND((I916-H916)*1440,0)</f>
        <v>78</v>
      </c>
      <c r="K916" s="3" t="s">
        <v>96</v>
      </c>
      <c r="L916" s="3" t="s">
        <v>77</v>
      </c>
      <c r="M916" s="3" t="s">
        <v>78</v>
      </c>
      <c r="N916" s="3" t="s">
        <v>23</v>
      </c>
      <c r="O916" s="3" t="s">
        <v>97</v>
      </c>
    </row>
    <row r="917" spans="1:15" hidden="1" x14ac:dyDescent="0.75">
      <c r="A917" s="2">
        <v>46290</v>
      </c>
      <c r="B917" s="3" t="s">
        <v>2181</v>
      </c>
      <c r="C917" s="3" t="s">
        <v>2182</v>
      </c>
      <c r="D917" s="3" t="s">
        <v>196</v>
      </c>
      <c r="E917" s="3" t="s">
        <v>197</v>
      </c>
      <c r="F917" s="3" t="s">
        <v>27</v>
      </c>
      <c r="G917" s="3" t="s">
        <v>28</v>
      </c>
      <c r="H917" s="4">
        <v>46290.428846759263</v>
      </c>
      <c r="I917" s="4">
        <v>46290.476654513892</v>
      </c>
      <c r="J917" s="3">
        <f>ROUND((I917-H917)*1440,0)</f>
        <v>69</v>
      </c>
      <c r="K917" s="3" t="s">
        <v>90</v>
      </c>
      <c r="L917" s="3" t="s">
        <v>77</v>
      </c>
      <c r="M917" s="3" t="s">
        <v>78</v>
      </c>
      <c r="N917" s="3" t="s">
        <v>23</v>
      </c>
      <c r="O917" s="3" t="s">
        <v>91</v>
      </c>
    </row>
    <row r="918" spans="1:15" hidden="1" x14ac:dyDescent="0.75">
      <c r="A918" s="2">
        <v>46290</v>
      </c>
      <c r="B918" s="3" t="s">
        <v>647</v>
      </c>
      <c r="C918" s="3" t="s">
        <v>648</v>
      </c>
      <c r="D918" s="3" t="s">
        <v>17</v>
      </c>
      <c r="E918" s="3" t="s">
        <v>18</v>
      </c>
      <c r="F918" s="3" t="s">
        <v>122</v>
      </c>
      <c r="G918" s="3" t="s">
        <v>123</v>
      </c>
      <c r="H918" s="4">
        <v>46290.429351967592</v>
      </c>
      <c r="I918" s="4">
        <v>46290.66810451389</v>
      </c>
      <c r="J918" s="3">
        <f>ROUND((I918-H918)*1440,0)</f>
        <v>344</v>
      </c>
      <c r="K918" s="3" t="s">
        <v>497</v>
      </c>
      <c r="L918" s="3" t="s">
        <v>22</v>
      </c>
      <c r="M918" s="3" t="s">
        <v>22</v>
      </c>
      <c r="N918" s="3" t="s">
        <v>23</v>
      </c>
      <c r="O918" s="3" t="s">
        <v>498</v>
      </c>
    </row>
    <row r="919" spans="1:15" hidden="1" x14ac:dyDescent="0.75">
      <c r="A919" s="2">
        <v>46290</v>
      </c>
      <c r="B919" s="3" t="s">
        <v>633</v>
      </c>
      <c r="C919" s="3" t="s">
        <v>634</v>
      </c>
      <c r="D919" s="3" t="s">
        <v>416</v>
      </c>
      <c r="E919" s="3" t="s">
        <v>417</v>
      </c>
      <c r="F919" s="3" t="s">
        <v>17</v>
      </c>
      <c r="G919" s="3" t="s">
        <v>18</v>
      </c>
      <c r="H919" s="4">
        <v>46290.43091909722</v>
      </c>
      <c r="I919" s="4">
        <v>46290.469008796303</v>
      </c>
      <c r="J919" s="3">
        <f>ROUND((I919-H919)*1440,0)</f>
        <v>55</v>
      </c>
      <c r="K919" s="3" t="s">
        <v>292</v>
      </c>
      <c r="L919" s="3" t="s">
        <v>36</v>
      </c>
      <c r="M919" s="3" t="s">
        <v>36</v>
      </c>
      <c r="N919" s="3" t="s">
        <v>23</v>
      </c>
      <c r="O919" s="3" t="s">
        <v>293</v>
      </c>
    </row>
    <row r="920" spans="1:15" hidden="1" x14ac:dyDescent="0.75">
      <c r="A920" s="2">
        <v>46290</v>
      </c>
      <c r="B920" s="3" t="s">
        <v>631</v>
      </c>
      <c r="C920" s="3" t="s">
        <v>632</v>
      </c>
      <c r="D920" s="3" t="s">
        <v>182</v>
      </c>
      <c r="E920" s="3" t="s">
        <v>183</v>
      </c>
      <c r="F920" s="3" t="s">
        <v>27</v>
      </c>
      <c r="G920" s="3" t="s">
        <v>28</v>
      </c>
      <c r="H920" s="4">
        <v>46290.431299999997</v>
      </c>
      <c r="I920" s="4">
        <v>46290.520102083326</v>
      </c>
      <c r="J920" s="3">
        <f>ROUND((I920-H920)*1440,0)</f>
        <v>128</v>
      </c>
      <c r="K920" s="3" t="s">
        <v>1229</v>
      </c>
      <c r="L920" s="3" t="s">
        <v>77</v>
      </c>
      <c r="M920" s="3" t="s">
        <v>78</v>
      </c>
      <c r="N920" s="3" t="s">
        <v>23</v>
      </c>
      <c r="O920" s="3" t="s">
        <v>1230</v>
      </c>
    </row>
    <row r="921" spans="1:15" hidden="1" x14ac:dyDescent="0.75">
      <c r="A921" s="2">
        <v>46290</v>
      </c>
      <c r="B921" s="3" t="s">
        <v>685</v>
      </c>
      <c r="C921" s="3" t="s">
        <v>686</v>
      </c>
      <c r="D921" s="3" t="s">
        <v>244</v>
      </c>
      <c r="E921" s="3" t="s">
        <v>245</v>
      </c>
      <c r="F921" s="3" t="s">
        <v>17</v>
      </c>
      <c r="G921" s="3" t="s">
        <v>18</v>
      </c>
      <c r="H921" s="4">
        <v>46290.431452430559</v>
      </c>
      <c r="I921" s="4">
        <v>46290.454998379631</v>
      </c>
      <c r="J921" s="3">
        <f>ROUND((I921-H921)*1440,0)</f>
        <v>34</v>
      </c>
      <c r="K921" s="3" t="s">
        <v>418</v>
      </c>
      <c r="L921" s="3" t="s">
        <v>36</v>
      </c>
      <c r="M921" s="3" t="s">
        <v>36</v>
      </c>
      <c r="N921" s="3" t="s">
        <v>23</v>
      </c>
      <c r="O921" s="3" t="s">
        <v>419</v>
      </c>
    </row>
    <row r="922" spans="1:15" hidden="1" x14ac:dyDescent="0.75">
      <c r="A922" s="2">
        <v>46290</v>
      </c>
      <c r="B922" s="3" t="s">
        <v>863</v>
      </c>
      <c r="C922" s="3" t="s">
        <v>864</v>
      </c>
      <c r="D922" s="3" t="s">
        <v>58</v>
      </c>
      <c r="E922" s="3" t="s">
        <v>59</v>
      </c>
      <c r="F922" s="3" t="s">
        <v>82</v>
      </c>
      <c r="G922" s="3" t="s">
        <v>83</v>
      </c>
      <c r="H922" s="4">
        <v>46290.431634490742</v>
      </c>
      <c r="I922" s="4">
        <v>46290.521852430553</v>
      </c>
      <c r="J922" s="3">
        <f>ROUND((I922-H922)*1440,0)</f>
        <v>130</v>
      </c>
      <c r="K922" s="3" t="s">
        <v>35</v>
      </c>
      <c r="L922" s="3" t="s">
        <v>36</v>
      </c>
      <c r="M922" s="3" t="s">
        <v>36</v>
      </c>
      <c r="N922" s="3" t="s">
        <v>23</v>
      </c>
      <c r="O922" s="3" t="s">
        <v>37</v>
      </c>
    </row>
    <row r="923" spans="1:15" hidden="1" x14ac:dyDescent="0.75">
      <c r="A923" s="2">
        <v>46290</v>
      </c>
      <c r="B923" s="3" t="s">
        <v>701</v>
      </c>
      <c r="C923" s="3" t="s">
        <v>702</v>
      </c>
      <c r="D923" s="3" t="s">
        <v>56</v>
      </c>
      <c r="E923" s="3" t="s">
        <v>57</v>
      </c>
      <c r="F923" s="3" t="s">
        <v>208</v>
      </c>
      <c r="G923" s="3" t="s">
        <v>209</v>
      </c>
      <c r="H923" s="4">
        <v>46290.432083449072</v>
      </c>
      <c r="I923" s="4">
        <v>46290.540324768517</v>
      </c>
      <c r="J923" s="3">
        <f>ROUND((I923-H923)*1440,0)</f>
        <v>156</v>
      </c>
      <c r="K923" s="3" t="s">
        <v>1089</v>
      </c>
      <c r="L923" s="3" t="s">
        <v>36</v>
      </c>
      <c r="M923" s="3" t="s">
        <v>36</v>
      </c>
      <c r="N923" s="3" t="s">
        <v>23</v>
      </c>
      <c r="O923" s="3" t="s">
        <v>1090</v>
      </c>
    </row>
    <row r="924" spans="1:15" hidden="1" x14ac:dyDescent="0.75">
      <c r="A924" s="2">
        <v>46290</v>
      </c>
      <c r="B924" s="3" t="s">
        <v>731</v>
      </c>
      <c r="C924" s="3" t="s">
        <v>732</v>
      </c>
      <c r="D924" s="3" t="s">
        <v>27</v>
      </c>
      <c r="E924" s="3" t="s">
        <v>28</v>
      </c>
      <c r="F924" s="3" t="s">
        <v>56</v>
      </c>
      <c r="G924" s="3" t="s">
        <v>57</v>
      </c>
      <c r="H924" s="4">
        <v>46290.435798726852</v>
      </c>
      <c r="I924" s="4">
        <v>46290.556641782408</v>
      </c>
      <c r="J924" s="3">
        <f>ROUND((I924-H924)*1440,0)</f>
        <v>174</v>
      </c>
      <c r="K924" s="3" t="s">
        <v>252</v>
      </c>
      <c r="L924" s="3" t="s">
        <v>36</v>
      </c>
      <c r="M924" s="3" t="s">
        <v>36</v>
      </c>
      <c r="N924" s="3" t="s">
        <v>23</v>
      </c>
      <c r="O924" s="3" t="s">
        <v>253</v>
      </c>
    </row>
    <row r="925" spans="1:15" hidden="1" x14ac:dyDescent="0.75">
      <c r="A925" s="2">
        <v>46290</v>
      </c>
      <c r="B925" s="3" t="s">
        <v>713</v>
      </c>
      <c r="C925" s="3" t="s">
        <v>714</v>
      </c>
      <c r="D925" s="3" t="s">
        <v>56</v>
      </c>
      <c r="E925" s="3" t="s">
        <v>57</v>
      </c>
      <c r="F925" s="3" t="s">
        <v>615</v>
      </c>
      <c r="G925" s="3" t="s">
        <v>616</v>
      </c>
      <c r="H925" s="4">
        <v>46290.43626412037</v>
      </c>
      <c r="I925" s="4">
        <v>46290.528631944442</v>
      </c>
      <c r="J925" s="3">
        <f>ROUND((I925-H925)*1440,0)</f>
        <v>133</v>
      </c>
      <c r="K925" s="3" t="s">
        <v>911</v>
      </c>
      <c r="L925" s="3" t="s">
        <v>36</v>
      </c>
      <c r="M925" s="3" t="s">
        <v>36</v>
      </c>
      <c r="N925" s="3" t="s">
        <v>45</v>
      </c>
      <c r="O925" s="3" t="s">
        <v>912</v>
      </c>
    </row>
    <row r="926" spans="1:15" hidden="1" x14ac:dyDescent="0.75">
      <c r="A926" s="2">
        <v>46290</v>
      </c>
      <c r="B926" s="3" t="s">
        <v>689</v>
      </c>
      <c r="C926" s="3" t="s">
        <v>690</v>
      </c>
      <c r="D926" s="3" t="s">
        <v>17</v>
      </c>
      <c r="E926" s="3" t="s">
        <v>18</v>
      </c>
      <c r="F926" s="3"/>
      <c r="G926" s="3"/>
      <c r="H926" s="4">
        <v>46290.436362615743</v>
      </c>
      <c r="I926" s="4">
        <v>46290.491695370372</v>
      </c>
      <c r="J926" s="3">
        <f>ROUND((I926-H926)*1440,0)</f>
        <v>80</v>
      </c>
      <c r="K926" s="3" t="s">
        <v>637</v>
      </c>
      <c r="L926" s="3" t="s">
        <v>22</v>
      </c>
      <c r="M926" s="3" t="s">
        <v>22</v>
      </c>
      <c r="N926" s="3" t="s">
        <v>443</v>
      </c>
      <c r="O926" s="3" t="s">
        <v>638</v>
      </c>
    </row>
    <row r="927" spans="1:15" hidden="1" x14ac:dyDescent="0.75">
      <c r="A927" s="2">
        <v>46290</v>
      </c>
      <c r="B927" s="3" t="s">
        <v>675</v>
      </c>
      <c r="C927" s="3" t="s">
        <v>676</v>
      </c>
      <c r="D927" s="3" t="s">
        <v>17</v>
      </c>
      <c r="E927" s="3" t="s">
        <v>18</v>
      </c>
      <c r="F927" s="3" t="s">
        <v>459</v>
      </c>
      <c r="G927" s="3" t="s">
        <v>460</v>
      </c>
      <c r="H927" s="4">
        <v>46290.437156365741</v>
      </c>
      <c r="I927" s="4">
        <v>46290.650235069443</v>
      </c>
      <c r="J927" s="3">
        <f>ROUND((I927-H927)*1440,0)</f>
        <v>307</v>
      </c>
      <c r="K927" s="3" t="s">
        <v>567</v>
      </c>
      <c r="L927" s="3" t="s">
        <v>22</v>
      </c>
      <c r="M927" s="3" t="s">
        <v>22</v>
      </c>
      <c r="N927" s="3" t="s">
        <v>23</v>
      </c>
      <c r="O927" s="3" t="s">
        <v>568</v>
      </c>
    </row>
    <row r="928" spans="1:15" hidden="1" x14ac:dyDescent="0.75">
      <c r="A928" s="2">
        <v>46290</v>
      </c>
      <c r="B928" s="3" t="s">
        <v>711</v>
      </c>
      <c r="C928" s="3" t="s">
        <v>712</v>
      </c>
      <c r="D928" s="3" t="s">
        <v>84</v>
      </c>
      <c r="E928" s="3" t="s">
        <v>85</v>
      </c>
      <c r="F928" s="3" t="s">
        <v>19</v>
      </c>
      <c r="G928" s="3" t="s">
        <v>20</v>
      </c>
      <c r="H928" s="4">
        <v>46290.438722453713</v>
      </c>
      <c r="I928" s="4">
        <v>46290.534426851853</v>
      </c>
      <c r="J928" s="3">
        <f>ROUND((I928-H928)*1440,0)</f>
        <v>138</v>
      </c>
      <c r="K928" s="3" t="s">
        <v>384</v>
      </c>
      <c r="L928" s="3" t="s">
        <v>36</v>
      </c>
      <c r="M928" s="3" t="s">
        <v>36</v>
      </c>
      <c r="N928" s="3" t="s">
        <v>23</v>
      </c>
      <c r="O928" s="3" t="s">
        <v>385</v>
      </c>
    </row>
    <row r="929" spans="1:15" hidden="1" x14ac:dyDescent="0.75">
      <c r="A929" s="2">
        <v>46290</v>
      </c>
      <c r="B929" s="3" t="s">
        <v>699</v>
      </c>
      <c r="C929" s="3" t="s">
        <v>700</v>
      </c>
      <c r="D929" s="3" t="s">
        <v>158</v>
      </c>
      <c r="E929" s="3" t="s">
        <v>159</v>
      </c>
      <c r="F929" s="3" t="s">
        <v>17</v>
      </c>
      <c r="G929" s="3" t="s">
        <v>18</v>
      </c>
      <c r="H929" s="4">
        <v>46290.43884826389</v>
      </c>
      <c r="I929" s="4">
        <v>46290.471571064823</v>
      </c>
      <c r="J929" s="3">
        <f>ROUND((I929-H929)*1440,0)</f>
        <v>47</v>
      </c>
      <c r="K929" s="3" t="s">
        <v>240</v>
      </c>
      <c r="L929" s="3" t="s">
        <v>52</v>
      </c>
      <c r="M929" s="3"/>
      <c r="N929" s="3" t="s">
        <v>23</v>
      </c>
      <c r="O929" s="3" t="s">
        <v>241</v>
      </c>
    </row>
    <row r="930" spans="1:15" hidden="1" x14ac:dyDescent="0.75">
      <c r="A930" s="2">
        <v>46290</v>
      </c>
      <c r="B930" s="3" t="s">
        <v>705</v>
      </c>
      <c r="C930" s="3" t="s">
        <v>706</v>
      </c>
      <c r="D930" s="3" t="s">
        <v>40</v>
      </c>
      <c r="E930" s="3" t="s">
        <v>41</v>
      </c>
      <c r="F930" s="3" t="s">
        <v>17</v>
      </c>
      <c r="G930" s="3" t="s">
        <v>18</v>
      </c>
      <c r="H930" s="4">
        <v>46290.440402777778</v>
      </c>
      <c r="I930" s="4">
        <v>46290.779665046299</v>
      </c>
      <c r="J930" s="3">
        <f>ROUND((I930-H930)*1440,0)</f>
        <v>489</v>
      </c>
      <c r="K930" s="3" t="s">
        <v>352</v>
      </c>
      <c r="L930" s="3" t="s">
        <v>43</v>
      </c>
      <c r="M930" s="3" t="s">
        <v>44</v>
      </c>
      <c r="N930" s="3" t="s">
        <v>23</v>
      </c>
      <c r="O930" s="3" t="s">
        <v>353</v>
      </c>
    </row>
    <row r="931" spans="1:15" hidden="1" x14ac:dyDescent="0.75">
      <c r="A931" s="2">
        <v>46290</v>
      </c>
      <c r="B931" s="3" t="s">
        <v>695</v>
      </c>
      <c r="C931" s="3" t="s">
        <v>696</v>
      </c>
      <c r="D931" s="3" t="s">
        <v>27</v>
      </c>
      <c r="E931" s="3" t="s">
        <v>28</v>
      </c>
      <c r="F931" s="3" t="s">
        <v>106</v>
      </c>
      <c r="G931" s="3" t="s">
        <v>107</v>
      </c>
      <c r="H931" s="4">
        <v>46290.440611574071</v>
      </c>
      <c r="I931" s="4">
        <v>46290.53322164352</v>
      </c>
      <c r="J931" s="3">
        <f>ROUND((I931-H931)*1440,0)</f>
        <v>133</v>
      </c>
      <c r="K931" s="3" t="s">
        <v>477</v>
      </c>
      <c r="L931" s="3" t="s">
        <v>77</v>
      </c>
      <c r="M931" s="3" t="s">
        <v>78</v>
      </c>
      <c r="N931" s="3" t="s">
        <v>23</v>
      </c>
      <c r="O931" s="3" t="s">
        <v>478</v>
      </c>
    </row>
    <row r="932" spans="1:15" hidden="1" x14ac:dyDescent="0.75">
      <c r="A932" s="2">
        <v>46290</v>
      </c>
      <c r="B932" s="3" t="s">
        <v>725</v>
      </c>
      <c r="C932" s="3" t="s">
        <v>726</v>
      </c>
      <c r="D932" s="3" t="s">
        <v>58</v>
      </c>
      <c r="E932" s="3" t="s">
        <v>59</v>
      </c>
      <c r="F932" s="3" t="s">
        <v>56</v>
      </c>
      <c r="G932" s="3" t="s">
        <v>57</v>
      </c>
      <c r="H932" s="4">
        <v>46290.440883796298</v>
      </c>
      <c r="I932" s="4">
        <v>46290.534893865741</v>
      </c>
      <c r="J932" s="3">
        <f>ROUND((I932-H932)*1440,0)</f>
        <v>135</v>
      </c>
      <c r="K932" s="3" t="s">
        <v>907</v>
      </c>
      <c r="L932" s="3" t="s">
        <v>36</v>
      </c>
      <c r="M932" s="3" t="s">
        <v>36</v>
      </c>
      <c r="N932" s="3" t="s">
        <v>23</v>
      </c>
      <c r="O932" s="3" t="s">
        <v>908</v>
      </c>
    </row>
    <row r="933" spans="1:15" hidden="1" x14ac:dyDescent="0.75">
      <c r="A933" s="2">
        <v>46290</v>
      </c>
      <c r="B933" s="3" t="s">
        <v>709</v>
      </c>
      <c r="C933" s="3" t="s">
        <v>710</v>
      </c>
      <c r="D933" s="3" t="s">
        <v>172</v>
      </c>
      <c r="E933" s="3" t="s">
        <v>173</v>
      </c>
      <c r="F933" s="3" t="s">
        <v>56</v>
      </c>
      <c r="G933" s="3" t="s">
        <v>57</v>
      </c>
      <c r="H933" s="4">
        <v>46290.441259837957</v>
      </c>
      <c r="I933" s="4">
        <v>46290.549468750003</v>
      </c>
      <c r="J933" s="3">
        <f>ROUND((I933-H933)*1440,0)</f>
        <v>156</v>
      </c>
      <c r="K933" s="3" t="s">
        <v>993</v>
      </c>
      <c r="L933" s="3" t="s">
        <v>36</v>
      </c>
      <c r="M933" s="3" t="s">
        <v>36</v>
      </c>
      <c r="N933" s="3" t="s">
        <v>23</v>
      </c>
      <c r="O933" s="3" t="s">
        <v>994</v>
      </c>
    </row>
    <row r="934" spans="1:15" hidden="1" x14ac:dyDescent="0.75">
      <c r="A934" s="2">
        <v>46290</v>
      </c>
      <c r="B934" s="3" t="s">
        <v>733</v>
      </c>
      <c r="C934" s="3" t="s">
        <v>734</v>
      </c>
      <c r="D934" s="3" t="s">
        <v>27</v>
      </c>
      <c r="E934" s="3" t="s">
        <v>28</v>
      </c>
      <c r="F934" s="3" t="s">
        <v>228</v>
      </c>
      <c r="G934" s="3" t="s">
        <v>229</v>
      </c>
      <c r="H934" s="4">
        <v>46290.441446874996</v>
      </c>
      <c r="I934" s="4">
        <v>46290.499112731479</v>
      </c>
      <c r="J934" s="3">
        <f>ROUND((I934-H934)*1440,0)</f>
        <v>83</v>
      </c>
      <c r="K934" s="3" t="s">
        <v>743</v>
      </c>
      <c r="L934" s="3" t="s">
        <v>77</v>
      </c>
      <c r="M934" s="3" t="s">
        <v>78</v>
      </c>
      <c r="N934" s="3" t="s">
        <v>23</v>
      </c>
      <c r="O934" s="3" t="s">
        <v>744</v>
      </c>
    </row>
    <row r="935" spans="1:15" hidden="1" x14ac:dyDescent="0.75">
      <c r="A935" s="2">
        <v>46290</v>
      </c>
      <c r="B935" s="3" t="s">
        <v>729</v>
      </c>
      <c r="C935" s="3" t="s">
        <v>730</v>
      </c>
      <c r="D935" s="3" t="s">
        <v>360</v>
      </c>
      <c r="E935" s="3" t="s">
        <v>361</v>
      </c>
      <c r="F935" s="3" t="s">
        <v>27</v>
      </c>
      <c r="G935" s="3" t="s">
        <v>28</v>
      </c>
      <c r="H935" s="4">
        <v>46290.443455671288</v>
      </c>
      <c r="I935" s="4">
        <v>46290.737386689812</v>
      </c>
      <c r="J935" s="3">
        <f>ROUND((I935-H935)*1440,0)</f>
        <v>423</v>
      </c>
      <c r="K935" s="3" t="s">
        <v>769</v>
      </c>
      <c r="L935" s="3" t="s">
        <v>43</v>
      </c>
      <c r="M935" s="3" t="s">
        <v>44</v>
      </c>
      <c r="N935" s="3" t="s">
        <v>23</v>
      </c>
      <c r="O935" s="3" t="s">
        <v>770</v>
      </c>
    </row>
    <row r="936" spans="1:15" hidden="1" x14ac:dyDescent="0.75">
      <c r="A936" s="2">
        <v>46290</v>
      </c>
      <c r="B936" s="3" t="s">
        <v>693</v>
      </c>
      <c r="C936" s="3" t="s">
        <v>694</v>
      </c>
      <c r="D936" s="3" t="s">
        <v>27</v>
      </c>
      <c r="E936" s="3" t="s">
        <v>28</v>
      </c>
      <c r="F936" s="3" t="s">
        <v>82</v>
      </c>
      <c r="G936" s="3" t="s">
        <v>83</v>
      </c>
      <c r="H936" s="4">
        <v>46290.443842245368</v>
      </c>
      <c r="I936" s="4">
        <v>46290.553291203702</v>
      </c>
      <c r="J936" s="3">
        <f>ROUND((I936-H936)*1440,0)</f>
        <v>158</v>
      </c>
      <c r="K936" s="3" t="s">
        <v>697</v>
      </c>
      <c r="L936" s="3" t="s">
        <v>77</v>
      </c>
      <c r="M936" s="3" t="s">
        <v>78</v>
      </c>
      <c r="N936" s="3" t="s">
        <v>23</v>
      </c>
      <c r="O936" s="3" t="s">
        <v>698</v>
      </c>
    </row>
    <row r="937" spans="1:15" hidden="1" x14ac:dyDescent="0.75">
      <c r="A937" s="2">
        <v>46290</v>
      </c>
      <c r="B937" s="3" t="s">
        <v>717</v>
      </c>
      <c r="C937" s="3" t="s">
        <v>718</v>
      </c>
      <c r="D937" s="3" t="s">
        <v>27</v>
      </c>
      <c r="E937" s="3" t="s">
        <v>28</v>
      </c>
      <c r="F937" s="3" t="s">
        <v>719</v>
      </c>
      <c r="G937" s="3" t="s">
        <v>720</v>
      </c>
      <c r="H937" s="4">
        <v>46290.446744212961</v>
      </c>
      <c r="I937" s="4">
        <v>46290.565321643517</v>
      </c>
      <c r="J937" s="3">
        <f>ROUND((I937-H937)*1440,0)</f>
        <v>171</v>
      </c>
      <c r="K937" s="3" t="s">
        <v>31</v>
      </c>
      <c r="L937" s="3" t="s">
        <v>22</v>
      </c>
      <c r="M937" s="3" t="s">
        <v>22</v>
      </c>
      <c r="N937" s="3" t="s">
        <v>23</v>
      </c>
      <c r="O937" s="3" t="s">
        <v>32</v>
      </c>
    </row>
    <row r="938" spans="1:15" hidden="1" x14ac:dyDescent="0.75">
      <c r="A938" s="2">
        <v>46290</v>
      </c>
      <c r="B938" s="3" t="s">
        <v>735</v>
      </c>
      <c r="C938" s="3" t="s">
        <v>736</v>
      </c>
      <c r="D938" s="3" t="s">
        <v>17</v>
      </c>
      <c r="E938" s="3" t="s">
        <v>18</v>
      </c>
      <c r="F938" s="3" t="s">
        <v>737</v>
      </c>
      <c r="G938" s="3" t="s">
        <v>738</v>
      </c>
      <c r="H938" s="4">
        <v>46290.448556597221</v>
      </c>
      <c r="I938" s="4">
        <v>46290.484792824071</v>
      </c>
      <c r="J938" s="3">
        <f>ROUND((I938-H938)*1440,0)</f>
        <v>52</v>
      </c>
      <c r="K938" s="3" t="s">
        <v>1911</v>
      </c>
      <c r="L938" s="3" t="s">
        <v>77</v>
      </c>
      <c r="M938" s="3" t="s">
        <v>78</v>
      </c>
      <c r="N938" s="3" t="s">
        <v>45</v>
      </c>
      <c r="O938" s="3" t="s">
        <v>1912</v>
      </c>
    </row>
    <row r="939" spans="1:15" hidden="1" x14ac:dyDescent="0.75">
      <c r="A939" s="2">
        <v>46290</v>
      </c>
      <c r="B939" s="3" t="s">
        <v>749</v>
      </c>
      <c r="C939" s="3" t="s">
        <v>750</v>
      </c>
      <c r="D939" s="3" t="s">
        <v>27</v>
      </c>
      <c r="E939" s="3" t="s">
        <v>28</v>
      </c>
      <c r="F939" s="3" t="s">
        <v>19</v>
      </c>
      <c r="G939" s="3" t="s">
        <v>20</v>
      </c>
      <c r="H939" s="4">
        <v>46290.451774189823</v>
      </c>
      <c r="I939" s="4">
        <v>46290.562588310182</v>
      </c>
      <c r="J939" s="3">
        <f>ROUND((I939-H939)*1440,0)</f>
        <v>160</v>
      </c>
      <c r="K939" s="3" t="s">
        <v>150</v>
      </c>
      <c r="L939" s="3" t="s">
        <v>36</v>
      </c>
      <c r="M939" s="3" t="s">
        <v>36</v>
      </c>
      <c r="N939" s="3" t="s">
        <v>23</v>
      </c>
      <c r="O939" s="3" t="s">
        <v>151</v>
      </c>
    </row>
    <row r="940" spans="1:15" hidden="1" x14ac:dyDescent="0.75">
      <c r="A940" s="2">
        <v>46290</v>
      </c>
      <c r="B940" s="3" t="s">
        <v>2183</v>
      </c>
      <c r="C940" s="3" t="s">
        <v>2184</v>
      </c>
      <c r="D940" s="3" t="s">
        <v>82</v>
      </c>
      <c r="E940" s="3" t="s">
        <v>83</v>
      </c>
      <c r="F940" s="3"/>
      <c r="G940" s="3"/>
      <c r="H940" s="4">
        <v>46290.452888657397</v>
      </c>
      <c r="I940" s="4">
        <v>46290.478381712957</v>
      </c>
      <c r="J940" s="3">
        <f>ROUND((I940-H940)*1440,0)</f>
        <v>37</v>
      </c>
      <c r="K940" s="3" t="s">
        <v>1191</v>
      </c>
      <c r="L940" s="3" t="s">
        <v>36</v>
      </c>
      <c r="M940" s="3" t="s">
        <v>36</v>
      </c>
      <c r="N940" s="3" t="s">
        <v>443</v>
      </c>
      <c r="O940" s="3" t="s">
        <v>1192</v>
      </c>
    </row>
    <row r="941" spans="1:15" hidden="1" x14ac:dyDescent="0.75">
      <c r="A941" s="2">
        <v>46290</v>
      </c>
      <c r="B941" s="3" t="s">
        <v>753</v>
      </c>
      <c r="C941" s="3" t="s">
        <v>754</v>
      </c>
      <c r="D941" s="3" t="s">
        <v>17</v>
      </c>
      <c r="E941" s="3" t="s">
        <v>18</v>
      </c>
      <c r="F941" s="3" t="s">
        <v>68</v>
      </c>
      <c r="G941" s="3" t="s">
        <v>69</v>
      </c>
      <c r="H941" s="4">
        <v>46290.453401041668</v>
      </c>
      <c r="I941" s="4">
        <v>46290.547281481478</v>
      </c>
      <c r="J941" s="3">
        <f>ROUND((I941-H941)*1440,0)</f>
        <v>135</v>
      </c>
      <c r="K941" s="3" t="s">
        <v>2185</v>
      </c>
      <c r="L941" s="3" t="s">
        <v>43</v>
      </c>
      <c r="M941" s="3" t="s">
        <v>44</v>
      </c>
      <c r="N941" s="3" t="s">
        <v>23</v>
      </c>
      <c r="O941" s="3" t="s">
        <v>2186</v>
      </c>
    </row>
    <row r="942" spans="1:15" hidden="1" x14ac:dyDescent="0.75">
      <c r="A942" s="2">
        <v>46290</v>
      </c>
      <c r="B942" s="3" t="s">
        <v>741</v>
      </c>
      <c r="C942" s="3" t="s">
        <v>742</v>
      </c>
      <c r="D942" s="3" t="s">
        <v>17</v>
      </c>
      <c r="E942" s="3" t="s">
        <v>18</v>
      </c>
      <c r="F942" s="3" t="s">
        <v>27</v>
      </c>
      <c r="G942" s="3" t="s">
        <v>28</v>
      </c>
      <c r="H942" s="4">
        <v>46290.454457523148</v>
      </c>
      <c r="I942" s="4">
        <v>46290.480642824077</v>
      </c>
      <c r="J942" s="3">
        <f>ROUND((I942-H942)*1440,0)</f>
        <v>38</v>
      </c>
      <c r="K942" s="3" t="s">
        <v>2187</v>
      </c>
      <c r="L942" s="3" t="s">
        <v>77</v>
      </c>
      <c r="M942" s="3" t="s">
        <v>78</v>
      </c>
      <c r="N942" s="3" t="s">
        <v>23</v>
      </c>
      <c r="O942" s="3" t="s">
        <v>2188</v>
      </c>
    </row>
    <row r="943" spans="1:15" hidden="1" x14ac:dyDescent="0.75">
      <c r="A943" s="2">
        <v>46290</v>
      </c>
      <c r="B943" s="3" t="s">
        <v>745</v>
      </c>
      <c r="C943" s="3" t="s">
        <v>746</v>
      </c>
      <c r="D943" s="3" t="s">
        <v>17</v>
      </c>
      <c r="E943" s="3" t="s">
        <v>18</v>
      </c>
      <c r="F943" s="3"/>
      <c r="G943" s="3"/>
      <c r="H943" s="4">
        <v>46290.455197106479</v>
      </c>
      <c r="I943" s="4">
        <v>46290.510188888889</v>
      </c>
      <c r="J943" s="3">
        <f>ROUND((I943-H943)*1440,0)</f>
        <v>79</v>
      </c>
      <c r="K943" s="3" t="s">
        <v>1119</v>
      </c>
      <c r="L943" s="3" t="s">
        <v>43</v>
      </c>
      <c r="M943" s="3" t="s">
        <v>44</v>
      </c>
      <c r="N943" s="3" t="s">
        <v>443</v>
      </c>
      <c r="O943" s="3" t="s">
        <v>1120</v>
      </c>
    </row>
    <row r="944" spans="1:15" hidden="1" x14ac:dyDescent="0.75">
      <c r="A944" s="2">
        <v>46290</v>
      </c>
      <c r="B944" s="3" t="s">
        <v>763</v>
      </c>
      <c r="C944" s="3" t="s">
        <v>764</v>
      </c>
      <c r="D944" s="3" t="s">
        <v>17</v>
      </c>
      <c r="E944" s="3" t="s">
        <v>18</v>
      </c>
      <c r="F944" s="3" t="s">
        <v>56</v>
      </c>
      <c r="G944" s="3" t="s">
        <v>57</v>
      </c>
      <c r="H944" s="4">
        <v>46290.457296643523</v>
      </c>
      <c r="I944" s="4">
        <v>46290.554073611107</v>
      </c>
      <c r="J944" s="3">
        <f>ROUND((I944-H944)*1440,0)</f>
        <v>139</v>
      </c>
      <c r="K944" s="3" t="s">
        <v>755</v>
      </c>
      <c r="L944" s="3" t="s">
        <v>43</v>
      </c>
      <c r="M944" s="3" t="s">
        <v>44</v>
      </c>
      <c r="N944" s="3" t="s">
        <v>23</v>
      </c>
      <c r="O944" s="3" t="s">
        <v>756</v>
      </c>
    </row>
    <row r="945" spans="1:15" hidden="1" x14ac:dyDescent="0.75">
      <c r="A945" s="2">
        <v>46290</v>
      </c>
      <c r="B945" s="3" t="s">
        <v>773</v>
      </c>
      <c r="C945" s="3" t="s">
        <v>774</v>
      </c>
      <c r="D945" s="3" t="s">
        <v>244</v>
      </c>
      <c r="E945" s="3" t="s">
        <v>245</v>
      </c>
      <c r="F945" s="3" t="s">
        <v>56</v>
      </c>
      <c r="G945" s="3" t="s">
        <v>57</v>
      </c>
      <c r="H945" s="4">
        <v>46290.459855208333</v>
      </c>
      <c r="I945" s="4">
        <v>46290.566106365739</v>
      </c>
      <c r="J945" s="3">
        <f>ROUND((I945-H945)*1440,0)</f>
        <v>153</v>
      </c>
      <c r="K945" s="3" t="s">
        <v>272</v>
      </c>
      <c r="L945" s="3" t="s">
        <v>36</v>
      </c>
      <c r="M945" s="3" t="s">
        <v>36</v>
      </c>
      <c r="N945" s="3" t="s">
        <v>23</v>
      </c>
      <c r="O945" s="3" t="s">
        <v>273</v>
      </c>
    </row>
    <row r="946" spans="1:15" hidden="1" x14ac:dyDescent="0.75">
      <c r="A946" s="2">
        <v>46290</v>
      </c>
      <c r="B946" s="3" t="s">
        <v>855</v>
      </c>
      <c r="C946" s="3" t="s">
        <v>856</v>
      </c>
      <c r="D946" s="3" t="s">
        <v>17</v>
      </c>
      <c r="E946" s="3" t="s">
        <v>18</v>
      </c>
      <c r="F946" s="3" t="s">
        <v>264</v>
      </c>
      <c r="G946" s="3" t="s">
        <v>265</v>
      </c>
      <c r="H946" s="4">
        <v>46290.460106944447</v>
      </c>
      <c r="I946" s="4">
        <v>46290.659181828712</v>
      </c>
      <c r="J946" s="3">
        <f>ROUND((I946-H946)*1440,0)</f>
        <v>287</v>
      </c>
      <c r="K946" s="3" t="s">
        <v>561</v>
      </c>
      <c r="L946" s="3" t="s">
        <v>43</v>
      </c>
      <c r="M946" s="3" t="s">
        <v>44</v>
      </c>
      <c r="N946" s="3" t="s">
        <v>23</v>
      </c>
      <c r="O946" s="3" t="s">
        <v>562</v>
      </c>
    </row>
    <row r="947" spans="1:15" hidden="1" x14ac:dyDescent="0.75">
      <c r="A947" s="2">
        <v>46290</v>
      </c>
      <c r="B947" s="3" t="s">
        <v>817</v>
      </c>
      <c r="C947" s="3" t="s">
        <v>818</v>
      </c>
      <c r="D947" s="3" t="s">
        <v>84</v>
      </c>
      <c r="E947" s="3" t="s">
        <v>85</v>
      </c>
      <c r="F947" s="3" t="s">
        <v>719</v>
      </c>
      <c r="G947" s="3" t="s">
        <v>720</v>
      </c>
      <c r="H947" s="4">
        <v>46290.460384953702</v>
      </c>
      <c r="I947" s="4">
        <v>46290.563583912037</v>
      </c>
      <c r="J947" s="3">
        <f>ROUND((I947-H947)*1440,0)</f>
        <v>149</v>
      </c>
      <c r="K947" s="3" t="s">
        <v>130</v>
      </c>
      <c r="L947" s="3" t="s">
        <v>36</v>
      </c>
      <c r="M947" s="3" t="s">
        <v>36</v>
      </c>
      <c r="N947" s="3" t="s">
        <v>23</v>
      </c>
      <c r="O947" s="3" t="s">
        <v>131</v>
      </c>
    </row>
    <row r="948" spans="1:15" hidden="1" x14ac:dyDescent="0.75">
      <c r="A948" s="2">
        <v>46290</v>
      </c>
      <c r="B948" s="3" t="s">
        <v>761</v>
      </c>
      <c r="C948" s="3" t="s">
        <v>762</v>
      </c>
      <c r="D948" s="3" t="s">
        <v>218</v>
      </c>
      <c r="E948" s="3" t="s">
        <v>219</v>
      </c>
      <c r="F948" s="3" t="s">
        <v>56</v>
      </c>
      <c r="G948" s="3" t="s">
        <v>57</v>
      </c>
      <c r="H948" s="4">
        <v>46290.460840277781</v>
      </c>
      <c r="I948" s="4">
        <v>46290.555116550917</v>
      </c>
      <c r="J948" s="3">
        <f>ROUND((I948-H948)*1440,0)</f>
        <v>136</v>
      </c>
      <c r="K948" s="3" t="s">
        <v>76</v>
      </c>
      <c r="L948" s="3" t="s">
        <v>77</v>
      </c>
      <c r="M948" s="3" t="s">
        <v>78</v>
      </c>
      <c r="N948" s="3" t="s">
        <v>23</v>
      </c>
      <c r="O948" s="3" t="s">
        <v>79</v>
      </c>
    </row>
    <row r="949" spans="1:15" hidden="1" x14ac:dyDescent="0.75">
      <c r="A949" s="2">
        <v>46290</v>
      </c>
      <c r="B949" s="3" t="s">
        <v>759</v>
      </c>
      <c r="C949" s="3" t="s">
        <v>760</v>
      </c>
      <c r="D949" s="3" t="s">
        <v>19</v>
      </c>
      <c r="E949" s="3" t="s">
        <v>20</v>
      </c>
      <c r="F949" s="3" t="s">
        <v>27</v>
      </c>
      <c r="G949" s="3" t="s">
        <v>28</v>
      </c>
      <c r="H949" s="4">
        <v>46290.46119814815</v>
      </c>
      <c r="I949" s="4">
        <v>46290.570810763893</v>
      </c>
      <c r="J949" s="3">
        <f>ROUND((I949-H949)*1440,0)</f>
        <v>158</v>
      </c>
      <c r="K949" s="3" t="s">
        <v>21</v>
      </c>
      <c r="L949" s="3" t="s">
        <v>22</v>
      </c>
      <c r="M949" s="3" t="s">
        <v>22</v>
      </c>
      <c r="N949" s="3" t="s">
        <v>23</v>
      </c>
      <c r="O949" s="3" t="s">
        <v>24</v>
      </c>
    </row>
    <row r="950" spans="1:15" hidden="1" x14ac:dyDescent="0.75">
      <c r="A950" s="2">
        <v>46290</v>
      </c>
      <c r="B950" s="3" t="s">
        <v>797</v>
      </c>
      <c r="C950" s="3" t="s">
        <v>798</v>
      </c>
      <c r="D950" s="3" t="s">
        <v>148</v>
      </c>
      <c r="E950" s="3" t="s">
        <v>149</v>
      </c>
      <c r="F950" s="3" t="s">
        <v>56</v>
      </c>
      <c r="G950" s="3" t="s">
        <v>57</v>
      </c>
      <c r="H950" s="4">
        <v>46290.461432870368</v>
      </c>
      <c r="I950" s="4">
        <v>46290.558889583343</v>
      </c>
      <c r="J950" s="3">
        <f>ROUND((I950-H950)*1440,0)</f>
        <v>140</v>
      </c>
      <c r="K950" s="3" t="s">
        <v>112</v>
      </c>
      <c r="L950" s="3" t="s">
        <v>36</v>
      </c>
      <c r="M950" s="3" t="s">
        <v>36</v>
      </c>
      <c r="N950" s="3" t="s">
        <v>23</v>
      </c>
      <c r="O950" s="3" t="s">
        <v>113</v>
      </c>
    </row>
    <row r="951" spans="1:15" hidden="1" x14ac:dyDescent="0.75">
      <c r="A951" s="2">
        <v>46290</v>
      </c>
      <c r="B951" s="3" t="s">
        <v>821</v>
      </c>
      <c r="C951" s="3" t="s">
        <v>822</v>
      </c>
      <c r="D951" s="3" t="s">
        <v>400</v>
      </c>
      <c r="E951" s="3" t="s">
        <v>401</v>
      </c>
      <c r="F951" s="3" t="s">
        <v>17</v>
      </c>
      <c r="G951" s="3" t="s">
        <v>18</v>
      </c>
      <c r="H951" s="4">
        <v>46290.462788657409</v>
      </c>
      <c r="I951" s="4">
        <v>46290.497164004628</v>
      </c>
      <c r="J951" s="3">
        <f>ROUND((I951-H951)*1440,0)</f>
        <v>50</v>
      </c>
      <c r="K951" s="3" t="s">
        <v>537</v>
      </c>
      <c r="L951" s="3" t="s">
        <v>36</v>
      </c>
      <c r="M951" s="3" t="s">
        <v>36</v>
      </c>
      <c r="N951" s="3" t="s">
        <v>23</v>
      </c>
      <c r="O951" s="3" t="s">
        <v>538</v>
      </c>
    </row>
    <row r="952" spans="1:15" hidden="1" x14ac:dyDescent="0.75">
      <c r="A952" s="2">
        <v>46290</v>
      </c>
      <c r="B952" s="3" t="s">
        <v>791</v>
      </c>
      <c r="C952" s="3" t="s">
        <v>792</v>
      </c>
      <c r="D952" s="3" t="s">
        <v>27</v>
      </c>
      <c r="E952" s="3" t="s">
        <v>28</v>
      </c>
      <c r="F952" s="3" t="s">
        <v>334</v>
      </c>
      <c r="G952" s="3" t="s">
        <v>335</v>
      </c>
      <c r="H952" s="4">
        <v>46290.463039814807</v>
      </c>
      <c r="I952" s="4">
        <v>46290.551813310187</v>
      </c>
      <c r="J952" s="3">
        <f>ROUND((I952-H952)*1440,0)</f>
        <v>128</v>
      </c>
      <c r="K952" s="3" t="s">
        <v>368</v>
      </c>
      <c r="L952" s="3" t="s">
        <v>77</v>
      </c>
      <c r="M952" s="3" t="s">
        <v>78</v>
      </c>
      <c r="N952" s="3" t="s">
        <v>23</v>
      </c>
      <c r="O952" s="3" t="s">
        <v>369</v>
      </c>
    </row>
    <row r="953" spans="1:15" hidden="1" x14ac:dyDescent="0.75">
      <c r="A953" s="2">
        <v>46290</v>
      </c>
      <c r="B953" s="3" t="s">
        <v>583</v>
      </c>
      <c r="C953" s="3" t="s">
        <v>584</v>
      </c>
      <c r="D953" s="3" t="s">
        <v>344</v>
      </c>
      <c r="E953" s="3" t="s">
        <v>345</v>
      </c>
      <c r="F953" s="3" t="s">
        <v>17</v>
      </c>
      <c r="G953" s="3" t="s">
        <v>18</v>
      </c>
      <c r="H953" s="4">
        <v>46290.464025694448</v>
      </c>
      <c r="I953" s="4">
        <v>46290.791912499997</v>
      </c>
      <c r="J953" s="3">
        <f>ROUND((I953-H953)*1440,0)</f>
        <v>472</v>
      </c>
      <c r="K953" s="3" t="s">
        <v>1041</v>
      </c>
      <c r="L953" s="3" t="s">
        <v>43</v>
      </c>
      <c r="M953" s="3" t="s">
        <v>44</v>
      </c>
      <c r="N953" s="3" t="s">
        <v>23</v>
      </c>
      <c r="O953" s="3" t="s">
        <v>1042</v>
      </c>
    </row>
    <row r="954" spans="1:15" hidden="1" x14ac:dyDescent="0.75">
      <c r="A954" s="2">
        <v>46290</v>
      </c>
      <c r="B954" s="3" t="s">
        <v>925</v>
      </c>
      <c r="C954" s="3" t="s">
        <v>926</v>
      </c>
      <c r="D954" s="3"/>
      <c r="E954" s="3"/>
      <c r="F954" s="3" t="s">
        <v>58</v>
      </c>
      <c r="G954" s="3" t="s">
        <v>59</v>
      </c>
      <c r="H954" s="4">
        <v>46290.464384027779</v>
      </c>
      <c r="I954" s="4">
        <v>46290.550876157409</v>
      </c>
      <c r="J954" s="3">
        <f>ROUND((I954-H954)*1440,0)</f>
        <v>125</v>
      </c>
      <c r="K954" s="3" t="s">
        <v>489</v>
      </c>
      <c r="L954" s="3" t="s">
        <v>36</v>
      </c>
      <c r="M954" s="3" t="s">
        <v>36</v>
      </c>
      <c r="N954" s="3" t="s">
        <v>23</v>
      </c>
      <c r="O954" s="3" t="s">
        <v>490</v>
      </c>
    </row>
    <row r="955" spans="1:15" hidden="1" x14ac:dyDescent="0.75">
      <c r="A955" s="2">
        <v>46290</v>
      </c>
      <c r="B955" s="3" t="s">
        <v>809</v>
      </c>
      <c r="C955" s="3" t="s">
        <v>810</v>
      </c>
      <c r="D955" s="3" t="s">
        <v>128</v>
      </c>
      <c r="E955" s="3" t="s">
        <v>129</v>
      </c>
      <c r="F955" s="3" t="s">
        <v>56</v>
      </c>
      <c r="G955" s="3" t="s">
        <v>57</v>
      </c>
      <c r="H955" s="4">
        <v>46290.465591782413</v>
      </c>
      <c r="I955" s="4">
        <v>46290.565203124999</v>
      </c>
      <c r="J955" s="3">
        <f>ROUND((I955-H955)*1440,0)</f>
        <v>143</v>
      </c>
      <c r="K955" s="3" t="s">
        <v>1045</v>
      </c>
      <c r="L955" s="3" t="s">
        <v>36</v>
      </c>
      <c r="M955" s="3" t="s">
        <v>36</v>
      </c>
      <c r="N955" s="3" t="s">
        <v>23</v>
      </c>
      <c r="O955" s="3" t="s">
        <v>1046</v>
      </c>
    </row>
    <row r="956" spans="1:15" hidden="1" x14ac:dyDescent="0.75">
      <c r="A956" s="2">
        <v>46290</v>
      </c>
      <c r="B956" s="3" t="s">
        <v>799</v>
      </c>
      <c r="C956" s="3" t="s">
        <v>800</v>
      </c>
      <c r="D956" s="3" t="s">
        <v>17</v>
      </c>
      <c r="E956" s="3" t="s">
        <v>18</v>
      </c>
      <c r="F956" s="3" t="s">
        <v>280</v>
      </c>
      <c r="G956" s="3" t="s">
        <v>281</v>
      </c>
      <c r="H956" s="4">
        <v>46290.465661574082</v>
      </c>
      <c r="I956" s="4">
        <v>46290.570215856482</v>
      </c>
      <c r="J956" s="3">
        <f>ROUND((I956-H956)*1440,0)</f>
        <v>151</v>
      </c>
      <c r="K956" s="3" t="s">
        <v>955</v>
      </c>
      <c r="L956" s="3" t="s">
        <v>77</v>
      </c>
      <c r="M956" s="3" t="s">
        <v>78</v>
      </c>
      <c r="N956" s="3" t="s">
        <v>23</v>
      </c>
      <c r="O956" s="3" t="s">
        <v>956</v>
      </c>
    </row>
    <row r="957" spans="1:15" hidden="1" x14ac:dyDescent="0.75">
      <c r="A957" s="2">
        <v>46290</v>
      </c>
      <c r="B957" s="3" t="s">
        <v>815</v>
      </c>
      <c r="C957" s="3" t="s">
        <v>816</v>
      </c>
      <c r="D957" s="3" t="s">
        <v>27</v>
      </c>
      <c r="E957" s="3" t="s">
        <v>28</v>
      </c>
      <c r="F957" s="3" t="s">
        <v>264</v>
      </c>
      <c r="G957" s="3" t="s">
        <v>265</v>
      </c>
      <c r="H957" s="4">
        <v>46290.466293750003</v>
      </c>
      <c r="I957" s="4">
        <v>46290.677772222232</v>
      </c>
      <c r="J957" s="3">
        <f>ROUND((I957-H957)*1440,0)</f>
        <v>305</v>
      </c>
      <c r="K957" s="3" t="s">
        <v>362</v>
      </c>
      <c r="L957" s="3" t="s">
        <v>43</v>
      </c>
      <c r="M957" s="3" t="s">
        <v>44</v>
      </c>
      <c r="N957" s="3" t="s">
        <v>23</v>
      </c>
      <c r="O957" s="3" t="s">
        <v>363</v>
      </c>
    </row>
    <row r="958" spans="1:15" hidden="1" x14ac:dyDescent="0.75">
      <c r="A958" s="2">
        <v>46290</v>
      </c>
      <c r="B958" s="3" t="s">
        <v>2189</v>
      </c>
      <c r="C958" s="3" t="s">
        <v>2190</v>
      </c>
      <c r="D958" s="3" t="s">
        <v>56</v>
      </c>
      <c r="E958" s="3" t="s">
        <v>57</v>
      </c>
      <c r="F958" s="3" t="s">
        <v>84</v>
      </c>
      <c r="G958" s="3" t="s">
        <v>85</v>
      </c>
      <c r="H958" s="4">
        <v>46290.466329513889</v>
      </c>
      <c r="I958" s="4">
        <v>46290.580090740739</v>
      </c>
      <c r="J958" s="3">
        <f>ROUND((I958-H958)*1440,0)</f>
        <v>164</v>
      </c>
      <c r="K958" s="3" t="s">
        <v>60</v>
      </c>
      <c r="L958" s="3" t="s">
        <v>36</v>
      </c>
      <c r="M958" s="3" t="s">
        <v>36</v>
      </c>
      <c r="N958" s="3" t="s">
        <v>45</v>
      </c>
      <c r="O958" s="3" t="s">
        <v>61</v>
      </c>
    </row>
    <row r="959" spans="1:15" hidden="1" x14ac:dyDescent="0.75">
      <c r="A959" s="2">
        <v>46290</v>
      </c>
      <c r="B959" s="3" t="s">
        <v>2191</v>
      </c>
      <c r="C959" s="3" t="s">
        <v>2192</v>
      </c>
      <c r="D959" s="3" t="s">
        <v>106</v>
      </c>
      <c r="E959" s="3" t="s">
        <v>107</v>
      </c>
      <c r="F959" s="3" t="s">
        <v>27</v>
      </c>
      <c r="G959" s="3" t="s">
        <v>28</v>
      </c>
      <c r="H959" s="4">
        <v>46290.466420254626</v>
      </c>
      <c r="I959" s="4">
        <v>46290.554807175933</v>
      </c>
      <c r="J959" s="3">
        <f>ROUND((I959-H959)*1440,0)</f>
        <v>127</v>
      </c>
      <c r="K959" s="3" t="s">
        <v>847</v>
      </c>
      <c r="L959" s="3" t="s">
        <v>77</v>
      </c>
      <c r="M959" s="3" t="s">
        <v>78</v>
      </c>
      <c r="N959" s="3" t="s">
        <v>23</v>
      </c>
      <c r="O959" s="3" t="s">
        <v>848</v>
      </c>
    </row>
    <row r="960" spans="1:15" hidden="1" x14ac:dyDescent="0.75">
      <c r="A960" s="2">
        <v>46290</v>
      </c>
      <c r="B960" s="3" t="s">
        <v>785</v>
      </c>
      <c r="C960" s="3" t="s">
        <v>786</v>
      </c>
      <c r="D960" s="3" t="s">
        <v>58</v>
      </c>
      <c r="E960" s="3" t="s">
        <v>59</v>
      </c>
      <c r="F960" s="3" t="s">
        <v>304</v>
      </c>
      <c r="G960" s="3" t="s">
        <v>305</v>
      </c>
      <c r="H960" s="4">
        <v>46290.467794791657</v>
      </c>
      <c r="I960" s="4">
        <v>46290.689257754631</v>
      </c>
      <c r="J960" s="3">
        <f>ROUND((I960-H960)*1440,0)</f>
        <v>319</v>
      </c>
      <c r="K960" s="3" t="s">
        <v>1181</v>
      </c>
      <c r="L960" s="3" t="s">
        <v>22</v>
      </c>
      <c r="M960" s="3" t="s">
        <v>22</v>
      </c>
      <c r="N960" s="3" t="s">
        <v>23</v>
      </c>
      <c r="O960" s="3" t="s">
        <v>1182</v>
      </c>
    </row>
    <row r="961" spans="1:15" hidden="1" x14ac:dyDescent="0.75">
      <c r="A961" s="2">
        <v>46290</v>
      </c>
      <c r="B961" s="3" t="s">
        <v>727</v>
      </c>
      <c r="C961" s="3" t="s">
        <v>728</v>
      </c>
      <c r="D961" s="3" t="s">
        <v>172</v>
      </c>
      <c r="E961" s="3" t="s">
        <v>173</v>
      </c>
      <c r="F961" s="3" t="s">
        <v>17</v>
      </c>
      <c r="G961" s="3" t="s">
        <v>18</v>
      </c>
      <c r="H961" s="4">
        <v>46290.469920023148</v>
      </c>
      <c r="I961" s="4">
        <v>46290.494314467593</v>
      </c>
      <c r="J961" s="3">
        <f>ROUND((I961-H961)*1440,0)</f>
        <v>35</v>
      </c>
      <c r="K961" s="3" t="s">
        <v>430</v>
      </c>
      <c r="L961" s="3" t="s">
        <v>36</v>
      </c>
      <c r="M961" s="3" t="s">
        <v>36</v>
      </c>
      <c r="N961" s="3" t="s">
        <v>23</v>
      </c>
      <c r="O961" s="3" t="s">
        <v>431</v>
      </c>
    </row>
    <row r="962" spans="1:15" hidden="1" x14ac:dyDescent="0.75">
      <c r="A962" s="2">
        <v>46290</v>
      </c>
      <c r="B962" s="3" t="s">
        <v>805</v>
      </c>
      <c r="C962" s="3" t="s">
        <v>806</v>
      </c>
      <c r="D962" s="3" t="s">
        <v>82</v>
      </c>
      <c r="E962" s="3" t="s">
        <v>83</v>
      </c>
      <c r="F962" s="3" t="s">
        <v>27</v>
      </c>
      <c r="G962" s="3" t="s">
        <v>28</v>
      </c>
      <c r="H962" s="4">
        <v>46290.470690277783</v>
      </c>
      <c r="I962" s="4">
        <v>46290.580715509263</v>
      </c>
      <c r="J962" s="3">
        <f>ROUND((I962-H962)*1440,0)</f>
        <v>158</v>
      </c>
      <c r="K962" s="3" t="s">
        <v>2193</v>
      </c>
      <c r="L962" s="3" t="s">
        <v>77</v>
      </c>
      <c r="M962" s="3" t="s">
        <v>78</v>
      </c>
      <c r="N962" s="3" t="s">
        <v>23</v>
      </c>
      <c r="O962" s="3" t="s">
        <v>2194</v>
      </c>
    </row>
    <row r="963" spans="1:15" hidden="1" x14ac:dyDescent="0.75">
      <c r="A963" s="2">
        <v>46290</v>
      </c>
      <c r="B963" s="3" t="s">
        <v>827</v>
      </c>
      <c r="C963" s="3" t="s">
        <v>828</v>
      </c>
      <c r="D963" s="3" t="s">
        <v>56</v>
      </c>
      <c r="E963" s="3" t="s">
        <v>57</v>
      </c>
      <c r="F963" s="3" t="s">
        <v>304</v>
      </c>
      <c r="G963" s="3" t="s">
        <v>305</v>
      </c>
      <c r="H963" s="4">
        <v>46290.470800462957</v>
      </c>
      <c r="I963" s="4">
        <v>46290.674046180553</v>
      </c>
      <c r="J963" s="3">
        <f>ROUND((I963-H963)*1440,0)</f>
        <v>293</v>
      </c>
      <c r="K963" s="3" t="s">
        <v>388</v>
      </c>
      <c r="L963" s="3" t="s">
        <v>22</v>
      </c>
      <c r="M963" s="3" t="s">
        <v>22</v>
      </c>
      <c r="N963" s="3" t="s">
        <v>23</v>
      </c>
      <c r="O963" s="3" t="s">
        <v>389</v>
      </c>
    </row>
    <row r="964" spans="1:15" hidden="1" x14ac:dyDescent="0.75">
      <c r="A964" s="2">
        <v>46290</v>
      </c>
      <c r="B964" s="3" t="s">
        <v>757</v>
      </c>
      <c r="C964" s="3" t="s">
        <v>758</v>
      </c>
      <c r="D964" s="3" t="s">
        <v>94</v>
      </c>
      <c r="E964" s="3" t="s">
        <v>95</v>
      </c>
      <c r="F964" s="3" t="s">
        <v>56</v>
      </c>
      <c r="G964" s="3" t="s">
        <v>57</v>
      </c>
      <c r="H964" s="4">
        <v>46290.470881134257</v>
      </c>
      <c r="I964" s="4">
        <v>46290.532469097219</v>
      </c>
      <c r="J964" s="3">
        <f>ROUND((I964-H964)*1440,0)</f>
        <v>89</v>
      </c>
      <c r="K964" s="3" t="s">
        <v>1651</v>
      </c>
      <c r="L964" s="3" t="s">
        <v>36</v>
      </c>
      <c r="M964" s="3" t="s">
        <v>36</v>
      </c>
      <c r="N964" s="3" t="s">
        <v>23</v>
      </c>
      <c r="O964" s="3" t="s">
        <v>1652</v>
      </c>
    </row>
    <row r="965" spans="1:15" hidden="1" x14ac:dyDescent="0.75">
      <c r="A965" s="2">
        <v>46290</v>
      </c>
      <c r="B965" s="3" t="s">
        <v>845</v>
      </c>
      <c r="C965" s="3" t="s">
        <v>846</v>
      </c>
      <c r="D965" s="3" t="s">
        <v>208</v>
      </c>
      <c r="E965" s="3" t="s">
        <v>209</v>
      </c>
      <c r="F965" s="3" t="s">
        <v>68</v>
      </c>
      <c r="G965" s="3" t="s">
        <v>69</v>
      </c>
      <c r="H965" s="4">
        <v>46290.471420717593</v>
      </c>
      <c r="I965" s="4">
        <v>46290.565226157407</v>
      </c>
      <c r="J965" s="3">
        <f>ROUND((I965-H965)*1440,0)</f>
        <v>135</v>
      </c>
      <c r="K965" s="3" t="s">
        <v>51</v>
      </c>
      <c r="L965" s="3" t="s">
        <v>52</v>
      </c>
      <c r="M965" s="3"/>
      <c r="N965" s="3" t="s">
        <v>23</v>
      </c>
      <c r="O965" s="3" t="s">
        <v>53</v>
      </c>
    </row>
    <row r="966" spans="1:15" hidden="1" x14ac:dyDescent="0.75">
      <c r="A966" s="2">
        <v>46290</v>
      </c>
      <c r="B966" s="3" t="s">
        <v>803</v>
      </c>
      <c r="C966" s="3" t="s">
        <v>804</v>
      </c>
      <c r="D966" s="3" t="s">
        <v>27</v>
      </c>
      <c r="E966" s="3" t="s">
        <v>28</v>
      </c>
      <c r="F966" s="3" t="s">
        <v>17</v>
      </c>
      <c r="G966" s="3" t="s">
        <v>18</v>
      </c>
      <c r="H966" s="4">
        <v>46290.471825000001</v>
      </c>
      <c r="I966" s="4">
        <v>46290.501879745367</v>
      </c>
      <c r="J966" s="3">
        <f>ROUND((I966-H966)*1440,0)</f>
        <v>43</v>
      </c>
      <c r="K966" s="3" t="s">
        <v>673</v>
      </c>
      <c r="L966" s="3" t="s">
        <v>36</v>
      </c>
      <c r="M966" s="3" t="s">
        <v>36</v>
      </c>
      <c r="N966" s="3" t="s">
        <v>23</v>
      </c>
      <c r="O966" s="3" t="s">
        <v>674</v>
      </c>
    </row>
    <row r="967" spans="1:15" hidden="1" x14ac:dyDescent="0.75">
      <c r="A967" s="2">
        <v>46290</v>
      </c>
      <c r="B967" s="3" t="s">
        <v>829</v>
      </c>
      <c r="C967" s="3" t="s">
        <v>830</v>
      </c>
      <c r="D967" s="3" t="s">
        <v>737</v>
      </c>
      <c r="E967" s="3" t="s">
        <v>738</v>
      </c>
      <c r="F967" s="3" t="s">
        <v>82</v>
      </c>
      <c r="G967" s="3" t="s">
        <v>83</v>
      </c>
      <c r="H967" s="4">
        <v>46290.472029861106</v>
      </c>
      <c r="I967" s="4">
        <v>46290.555413310183</v>
      </c>
      <c r="J967" s="3">
        <f>ROUND((I967-H967)*1440,0)</f>
        <v>120</v>
      </c>
      <c r="K967" s="3" t="s">
        <v>422</v>
      </c>
      <c r="L967" s="3" t="s">
        <v>77</v>
      </c>
      <c r="M967" s="3" t="s">
        <v>78</v>
      </c>
      <c r="N967" s="3" t="s">
        <v>23</v>
      </c>
      <c r="O967" s="3" t="s">
        <v>423</v>
      </c>
    </row>
    <row r="968" spans="1:15" hidden="1" x14ac:dyDescent="0.75">
      <c r="A968" s="2">
        <v>46290</v>
      </c>
      <c r="B968" s="3" t="s">
        <v>2195</v>
      </c>
      <c r="C968" s="3" t="s">
        <v>2196</v>
      </c>
      <c r="D968" s="3" t="s">
        <v>94</v>
      </c>
      <c r="E968" s="3" t="s">
        <v>95</v>
      </c>
      <c r="F968" s="3" t="s">
        <v>17</v>
      </c>
      <c r="G968" s="3" t="s">
        <v>18</v>
      </c>
      <c r="H968" s="4">
        <v>46290.473318750002</v>
      </c>
      <c r="I968" s="4">
        <v>46290.516952199083</v>
      </c>
      <c r="J968" s="3">
        <f>ROUND((I968-H968)*1440,0)</f>
        <v>63</v>
      </c>
      <c r="K968" s="3" t="s">
        <v>134</v>
      </c>
      <c r="L968" s="3" t="s">
        <v>36</v>
      </c>
      <c r="M968" s="3" t="s">
        <v>36</v>
      </c>
      <c r="N968" s="3" t="s">
        <v>23</v>
      </c>
      <c r="O968" s="3" t="s">
        <v>135</v>
      </c>
    </row>
    <row r="969" spans="1:15" hidden="1" x14ac:dyDescent="0.75">
      <c r="A969" s="2">
        <v>46290</v>
      </c>
      <c r="B969" s="3" t="s">
        <v>849</v>
      </c>
      <c r="C969" s="3" t="s">
        <v>850</v>
      </c>
      <c r="D969" s="3" t="s">
        <v>19</v>
      </c>
      <c r="E969" s="3" t="s">
        <v>20</v>
      </c>
      <c r="F969" s="3" t="s">
        <v>17</v>
      </c>
      <c r="G969" s="3" t="s">
        <v>18</v>
      </c>
      <c r="H969" s="4">
        <v>46290.473496180559</v>
      </c>
      <c r="I969" s="4">
        <v>46290.570912268522</v>
      </c>
      <c r="J969" s="3">
        <f>ROUND((I969-H969)*1440,0)</f>
        <v>140</v>
      </c>
      <c r="K969" s="3" t="s">
        <v>1317</v>
      </c>
      <c r="L969" s="3" t="s">
        <v>36</v>
      </c>
      <c r="M969" s="3" t="s">
        <v>36</v>
      </c>
      <c r="N969" s="3" t="s">
        <v>23</v>
      </c>
      <c r="O969" s="3" t="s">
        <v>1318</v>
      </c>
    </row>
    <row r="970" spans="1:15" hidden="1" x14ac:dyDescent="0.75">
      <c r="A970" s="2">
        <v>46290</v>
      </c>
      <c r="B970" s="3" t="s">
        <v>837</v>
      </c>
      <c r="C970" s="3" t="s">
        <v>838</v>
      </c>
      <c r="D970" s="3" t="s">
        <v>100</v>
      </c>
      <c r="E970" s="3" t="s">
        <v>101</v>
      </c>
      <c r="F970" s="3" t="s">
        <v>56</v>
      </c>
      <c r="G970" s="3" t="s">
        <v>57</v>
      </c>
      <c r="H970" s="4">
        <v>46290.475182060189</v>
      </c>
      <c r="I970" s="4">
        <v>46290.507455208332</v>
      </c>
      <c r="J970" s="3">
        <f>ROUND((I970-H970)*1440,0)</f>
        <v>46</v>
      </c>
      <c r="K970" s="3" t="s">
        <v>144</v>
      </c>
      <c r="L970" s="3" t="s">
        <v>36</v>
      </c>
      <c r="M970" s="3" t="s">
        <v>36</v>
      </c>
      <c r="N970" s="3" t="s">
        <v>23</v>
      </c>
      <c r="O970" s="3" t="s">
        <v>145</v>
      </c>
    </row>
    <row r="971" spans="1:15" hidden="1" x14ac:dyDescent="0.75">
      <c r="A971" s="2">
        <v>46290</v>
      </c>
      <c r="B971" s="3" t="s">
        <v>811</v>
      </c>
      <c r="C971" s="3" t="s">
        <v>812</v>
      </c>
      <c r="D971" s="3" t="s">
        <v>158</v>
      </c>
      <c r="E971" s="3" t="s">
        <v>159</v>
      </c>
      <c r="F971" s="3" t="s">
        <v>82</v>
      </c>
      <c r="G971" s="3" t="s">
        <v>83</v>
      </c>
      <c r="H971" s="4">
        <v>46290.475382407407</v>
      </c>
      <c r="I971" s="4">
        <v>46290.548049074067</v>
      </c>
      <c r="J971" s="3">
        <f>ROUND((I971-H971)*1440,0)</f>
        <v>105</v>
      </c>
      <c r="K971" s="3" t="s">
        <v>789</v>
      </c>
      <c r="L971" s="3" t="s">
        <v>36</v>
      </c>
      <c r="M971" s="3" t="s">
        <v>36</v>
      </c>
      <c r="N971" s="3" t="s">
        <v>23</v>
      </c>
      <c r="O971" s="3" t="s">
        <v>790</v>
      </c>
    </row>
    <row r="972" spans="1:15" hidden="1" x14ac:dyDescent="0.75">
      <c r="A972" s="2">
        <v>46290</v>
      </c>
      <c r="B972" s="3" t="s">
        <v>767</v>
      </c>
      <c r="C972" s="3" t="s">
        <v>768</v>
      </c>
      <c r="D972" s="3" t="s">
        <v>17</v>
      </c>
      <c r="E972" s="3" t="s">
        <v>18</v>
      </c>
      <c r="F972" s="3" t="s">
        <v>304</v>
      </c>
      <c r="G972" s="3" t="s">
        <v>305</v>
      </c>
      <c r="H972" s="4">
        <v>46290.475471412043</v>
      </c>
      <c r="I972" s="4">
        <v>46290.691701504627</v>
      </c>
      <c r="J972" s="3">
        <f>ROUND((I972-H972)*1440,0)</f>
        <v>311</v>
      </c>
      <c r="K972" s="3" t="s">
        <v>1831</v>
      </c>
      <c r="L972" s="3" t="s">
        <v>43</v>
      </c>
      <c r="M972" s="3" t="s">
        <v>44</v>
      </c>
      <c r="N972" s="3" t="s">
        <v>23</v>
      </c>
      <c r="O972" s="3" t="s">
        <v>1832</v>
      </c>
    </row>
    <row r="973" spans="1:15" hidden="1" x14ac:dyDescent="0.75">
      <c r="A973" s="2">
        <v>46290</v>
      </c>
      <c r="B973" s="3" t="s">
        <v>941</v>
      </c>
      <c r="C973" s="3" t="s">
        <v>942</v>
      </c>
      <c r="D973" s="3" t="s">
        <v>27</v>
      </c>
      <c r="E973" s="3" t="s">
        <v>28</v>
      </c>
      <c r="F973" s="3" t="s">
        <v>122</v>
      </c>
      <c r="G973" s="3" t="s">
        <v>123</v>
      </c>
      <c r="H973" s="4">
        <v>46290.475828703697</v>
      </c>
      <c r="I973" s="4">
        <v>46290.729057523153</v>
      </c>
      <c r="J973" s="3">
        <f>ROUND((I973-H973)*1440,0)</f>
        <v>365</v>
      </c>
      <c r="K973" s="3" t="s">
        <v>533</v>
      </c>
      <c r="L973" s="3" t="s">
        <v>43</v>
      </c>
      <c r="M973" s="3" t="s">
        <v>44</v>
      </c>
      <c r="N973" s="3" t="s">
        <v>23</v>
      </c>
      <c r="O973" s="3" t="s">
        <v>534</v>
      </c>
    </row>
    <row r="974" spans="1:15" hidden="1" x14ac:dyDescent="0.75">
      <c r="A974" s="2">
        <v>46290</v>
      </c>
      <c r="B974" s="3" t="s">
        <v>851</v>
      </c>
      <c r="C974" s="3" t="s">
        <v>852</v>
      </c>
      <c r="D974" s="3" t="s">
        <v>334</v>
      </c>
      <c r="E974" s="3" t="s">
        <v>335</v>
      </c>
      <c r="F974" s="3" t="s">
        <v>56</v>
      </c>
      <c r="G974" s="3" t="s">
        <v>57</v>
      </c>
      <c r="H974" s="4">
        <v>46290.476463657411</v>
      </c>
      <c r="I974" s="4">
        <v>46290.578811689818</v>
      </c>
      <c r="J974" s="3">
        <f>ROUND((I974-H974)*1440,0)</f>
        <v>147</v>
      </c>
      <c r="K974" s="3" t="s">
        <v>438</v>
      </c>
      <c r="L974" s="3" t="s">
        <v>36</v>
      </c>
      <c r="M974" s="3" t="s">
        <v>36</v>
      </c>
      <c r="N974" s="3" t="s">
        <v>23</v>
      </c>
      <c r="O974" s="3" t="s">
        <v>439</v>
      </c>
    </row>
    <row r="975" spans="1:15" hidden="1" x14ac:dyDescent="0.75">
      <c r="A975" s="2">
        <v>46290</v>
      </c>
      <c r="B975" s="3" t="s">
        <v>835</v>
      </c>
      <c r="C975" s="3" t="s">
        <v>836</v>
      </c>
      <c r="D975" s="3" t="s">
        <v>270</v>
      </c>
      <c r="E975" s="3" t="s">
        <v>271</v>
      </c>
      <c r="F975" s="3" t="s">
        <v>56</v>
      </c>
      <c r="G975" s="3" t="s">
        <v>57</v>
      </c>
      <c r="H975" s="4">
        <v>46290.477138425929</v>
      </c>
      <c r="I975" s="4">
        <v>46290.563117129634</v>
      </c>
      <c r="J975" s="3">
        <f>ROUND((I975-H975)*1440,0)</f>
        <v>124</v>
      </c>
      <c r="K975" s="3" t="s">
        <v>164</v>
      </c>
      <c r="L975" s="3" t="s">
        <v>36</v>
      </c>
      <c r="M975" s="3" t="s">
        <v>36</v>
      </c>
      <c r="N975" s="3" t="s">
        <v>23</v>
      </c>
      <c r="O975" s="3" t="s">
        <v>165</v>
      </c>
    </row>
    <row r="976" spans="1:15" hidden="1" x14ac:dyDescent="0.75">
      <c r="A976" s="2">
        <v>46290</v>
      </c>
      <c r="B976" s="3" t="s">
        <v>779</v>
      </c>
      <c r="C976" s="3" t="s">
        <v>780</v>
      </c>
      <c r="D976" s="3" t="s">
        <v>344</v>
      </c>
      <c r="E976" s="3" t="s">
        <v>345</v>
      </c>
      <c r="F976" s="3" t="s">
        <v>17</v>
      </c>
      <c r="G976" s="3" t="s">
        <v>18</v>
      </c>
      <c r="H976" s="4">
        <v>46290.478966550923</v>
      </c>
      <c r="I976" s="4">
        <v>46290.799683912039</v>
      </c>
      <c r="J976" s="3">
        <f>ROUND((I976-H976)*1440,0)</f>
        <v>462</v>
      </c>
      <c r="K976" s="3" t="s">
        <v>340</v>
      </c>
      <c r="L976" s="3" t="s">
        <v>43</v>
      </c>
      <c r="M976" s="3" t="s">
        <v>44</v>
      </c>
      <c r="N976" s="3" t="s">
        <v>23</v>
      </c>
      <c r="O976" s="3" t="s">
        <v>341</v>
      </c>
    </row>
    <row r="977" spans="1:15" hidden="1" x14ac:dyDescent="0.75">
      <c r="A977" s="2">
        <v>46290</v>
      </c>
      <c r="B977" s="3" t="s">
        <v>777</v>
      </c>
      <c r="C977" s="3" t="s">
        <v>778</v>
      </c>
      <c r="D977" s="3" t="s">
        <v>116</v>
      </c>
      <c r="E977" s="3" t="s">
        <v>117</v>
      </c>
      <c r="F977" s="3" t="s">
        <v>56</v>
      </c>
      <c r="G977" s="3" t="s">
        <v>57</v>
      </c>
      <c r="H977" s="4">
        <v>46290.480432638891</v>
      </c>
      <c r="I977" s="4">
        <v>46290.58901747685</v>
      </c>
      <c r="J977" s="3">
        <f>ROUND((I977-H977)*1440,0)</f>
        <v>156</v>
      </c>
      <c r="K977" s="3" t="s">
        <v>210</v>
      </c>
      <c r="L977" s="3" t="s">
        <v>36</v>
      </c>
      <c r="M977" s="3" t="s">
        <v>36</v>
      </c>
      <c r="N977" s="3" t="s">
        <v>23</v>
      </c>
      <c r="O977" s="3" t="s">
        <v>211</v>
      </c>
    </row>
    <row r="978" spans="1:15" hidden="1" x14ac:dyDescent="0.75">
      <c r="A978" s="2">
        <v>46290</v>
      </c>
      <c r="B978" s="3" t="s">
        <v>853</v>
      </c>
      <c r="C978" s="3" t="s">
        <v>854</v>
      </c>
      <c r="D978" s="3" t="s">
        <v>196</v>
      </c>
      <c r="E978" s="3" t="s">
        <v>197</v>
      </c>
      <c r="F978" s="3" t="s">
        <v>56</v>
      </c>
      <c r="G978" s="3" t="s">
        <v>57</v>
      </c>
      <c r="H978" s="4">
        <v>46290.480878240742</v>
      </c>
      <c r="I978" s="4">
        <v>46290.568788425917</v>
      </c>
      <c r="J978" s="3">
        <f>ROUND((I978-H978)*1440,0)</f>
        <v>127</v>
      </c>
      <c r="K978" s="3" t="s">
        <v>775</v>
      </c>
      <c r="L978" s="3" t="s">
        <v>36</v>
      </c>
      <c r="M978" s="3" t="s">
        <v>36</v>
      </c>
      <c r="N978" s="3" t="s">
        <v>23</v>
      </c>
      <c r="O978" s="3" t="s">
        <v>776</v>
      </c>
    </row>
    <row r="979" spans="1:15" hidden="1" x14ac:dyDescent="0.75">
      <c r="A979" s="2">
        <v>46290</v>
      </c>
      <c r="B979" s="3" t="s">
        <v>1337</v>
      </c>
      <c r="C979" s="3" t="s">
        <v>1338</v>
      </c>
      <c r="D979" s="3" t="s">
        <v>82</v>
      </c>
      <c r="E979" s="3" t="s">
        <v>83</v>
      </c>
      <c r="F979" s="3" t="s">
        <v>82</v>
      </c>
      <c r="G979" s="3" t="s">
        <v>83</v>
      </c>
      <c r="H979" s="4">
        <v>46290.482327199083</v>
      </c>
      <c r="I979" s="4">
        <v>46290.736312847221</v>
      </c>
      <c r="J979" s="3">
        <f>ROUND((I979-H979)*1440,0)</f>
        <v>366</v>
      </c>
      <c r="K979" s="3" t="s">
        <v>402</v>
      </c>
      <c r="L979" s="3" t="s">
        <v>36</v>
      </c>
      <c r="M979" s="3" t="s">
        <v>36</v>
      </c>
      <c r="N979" s="3" t="s">
        <v>23</v>
      </c>
      <c r="O979" s="3" t="s">
        <v>403</v>
      </c>
    </row>
    <row r="980" spans="1:15" hidden="1" x14ac:dyDescent="0.75">
      <c r="A980" s="2">
        <v>46290</v>
      </c>
      <c r="B980" s="3" t="s">
        <v>833</v>
      </c>
      <c r="C980" s="3" t="s">
        <v>834</v>
      </c>
      <c r="D980" s="3" t="s">
        <v>142</v>
      </c>
      <c r="E980" s="3" t="s">
        <v>143</v>
      </c>
      <c r="F980" s="3" t="s">
        <v>56</v>
      </c>
      <c r="G980" s="3" t="s">
        <v>57</v>
      </c>
      <c r="H980" s="4">
        <v>46290.484474884259</v>
      </c>
      <c r="I980" s="4">
        <v>46290.584242245372</v>
      </c>
      <c r="J980" s="3">
        <f>ROUND((I980-H980)*1440,0)</f>
        <v>144</v>
      </c>
      <c r="K980" s="3" t="s">
        <v>406</v>
      </c>
      <c r="L980" s="3" t="s">
        <v>36</v>
      </c>
      <c r="M980" s="3" t="s">
        <v>36</v>
      </c>
      <c r="N980" s="3" t="s">
        <v>23</v>
      </c>
      <c r="O980" s="3" t="s">
        <v>407</v>
      </c>
    </row>
    <row r="981" spans="1:15" hidden="1" x14ac:dyDescent="0.75">
      <c r="A981" s="2">
        <v>46290</v>
      </c>
      <c r="B981" s="3" t="s">
        <v>857</v>
      </c>
      <c r="C981" s="3" t="s">
        <v>858</v>
      </c>
      <c r="D981" s="3" t="s">
        <v>56</v>
      </c>
      <c r="E981" s="3" t="s">
        <v>57</v>
      </c>
      <c r="F981" s="3" t="s">
        <v>158</v>
      </c>
      <c r="G981" s="3" t="s">
        <v>159</v>
      </c>
      <c r="H981" s="4">
        <v>46290.484627546299</v>
      </c>
      <c r="I981" s="4">
        <v>46290.576189699073</v>
      </c>
      <c r="J981" s="3">
        <f>ROUND((I981-H981)*1440,0)</f>
        <v>132</v>
      </c>
      <c r="K981" s="3" t="s">
        <v>1105</v>
      </c>
      <c r="L981" s="3" t="s">
        <v>36</v>
      </c>
      <c r="M981" s="3" t="s">
        <v>36</v>
      </c>
      <c r="N981" s="3" t="s">
        <v>23</v>
      </c>
      <c r="O981" s="3" t="s">
        <v>1106</v>
      </c>
    </row>
    <row r="982" spans="1:15" hidden="1" x14ac:dyDescent="0.75">
      <c r="A982" s="2">
        <v>46290</v>
      </c>
      <c r="B982" s="3" t="s">
        <v>893</v>
      </c>
      <c r="C982" s="3" t="s">
        <v>894</v>
      </c>
      <c r="D982" s="3" t="s">
        <v>148</v>
      </c>
      <c r="E982" s="3" t="s">
        <v>149</v>
      </c>
      <c r="F982" s="3" t="s">
        <v>27</v>
      </c>
      <c r="G982" s="3" t="s">
        <v>28</v>
      </c>
      <c r="H982" s="4">
        <v>46290.485285879629</v>
      </c>
      <c r="I982" s="4">
        <v>46290.552900925933</v>
      </c>
      <c r="J982" s="3">
        <f>ROUND((I982-H982)*1440,0)</f>
        <v>97</v>
      </c>
      <c r="K982" s="3" t="s">
        <v>739</v>
      </c>
      <c r="L982" s="3" t="s">
        <v>77</v>
      </c>
      <c r="M982" s="3" t="s">
        <v>78</v>
      </c>
      <c r="N982" s="3" t="s">
        <v>23</v>
      </c>
      <c r="O982" s="3" t="s">
        <v>740</v>
      </c>
    </row>
    <row r="983" spans="1:15" hidden="1" x14ac:dyDescent="0.75">
      <c r="A983" s="2">
        <v>46290</v>
      </c>
      <c r="B983" s="3" t="s">
        <v>1019</v>
      </c>
      <c r="C983" s="3" t="s">
        <v>1020</v>
      </c>
      <c r="D983" s="3" t="s">
        <v>320</v>
      </c>
      <c r="E983" s="3" t="s">
        <v>321</v>
      </c>
      <c r="F983" s="3" t="s">
        <v>56</v>
      </c>
      <c r="G983" s="3" t="s">
        <v>57</v>
      </c>
      <c r="H983" s="4">
        <v>46290.485660069447</v>
      </c>
      <c r="I983" s="4">
        <v>46290.541016435192</v>
      </c>
      <c r="J983" s="3">
        <f>ROUND((I983-H983)*1440,0)</f>
        <v>80</v>
      </c>
      <c r="K983" s="3" t="s">
        <v>310</v>
      </c>
      <c r="L983" s="3" t="s">
        <v>36</v>
      </c>
      <c r="M983" s="3" t="s">
        <v>36</v>
      </c>
      <c r="N983" s="3" t="s">
        <v>23</v>
      </c>
      <c r="O983" s="3" t="s">
        <v>311</v>
      </c>
    </row>
    <row r="984" spans="1:15" hidden="1" x14ac:dyDescent="0.75">
      <c r="A984" s="2">
        <v>46290</v>
      </c>
      <c r="B984" s="3" t="s">
        <v>2197</v>
      </c>
      <c r="C984" s="3" t="s">
        <v>2198</v>
      </c>
      <c r="D984" s="3" t="s">
        <v>17</v>
      </c>
      <c r="E984" s="3" t="s">
        <v>18</v>
      </c>
      <c r="F984" s="3" t="s">
        <v>2199</v>
      </c>
      <c r="G984" s="3" t="s">
        <v>2200</v>
      </c>
      <c r="H984" s="4">
        <v>46290.485994097216</v>
      </c>
      <c r="I984" s="4">
        <v>46290.545252430558</v>
      </c>
      <c r="J984" s="3">
        <f>ROUND((I984-H984)*1440,0)</f>
        <v>85</v>
      </c>
      <c r="K984" s="3" t="s">
        <v>1281</v>
      </c>
      <c r="L984" s="3" t="s">
        <v>22</v>
      </c>
      <c r="M984" s="3" t="s">
        <v>22</v>
      </c>
      <c r="N984" s="3" t="s">
        <v>45</v>
      </c>
      <c r="O984" s="3" t="s">
        <v>1282</v>
      </c>
    </row>
    <row r="985" spans="1:15" hidden="1" x14ac:dyDescent="0.75">
      <c r="A985" s="2">
        <v>46290</v>
      </c>
      <c r="B985" s="3" t="s">
        <v>2201</v>
      </c>
      <c r="C985" s="3" t="s">
        <v>2202</v>
      </c>
      <c r="D985" s="3" t="s">
        <v>84</v>
      </c>
      <c r="E985" s="3" t="s">
        <v>85</v>
      </c>
      <c r="F985" s="3" t="s">
        <v>615</v>
      </c>
      <c r="G985" s="3" t="s">
        <v>616</v>
      </c>
      <c r="H985" s="4">
        <v>46290.486905787038</v>
      </c>
      <c r="I985" s="4">
        <v>46290.648219907409</v>
      </c>
      <c r="J985" s="3">
        <f>ROUND((I985-H985)*1440,0)</f>
        <v>232</v>
      </c>
      <c r="K985" s="3" t="s">
        <v>923</v>
      </c>
      <c r="L985" s="3" t="s">
        <v>52</v>
      </c>
      <c r="M985" s="3"/>
      <c r="N985" s="3" t="s">
        <v>45</v>
      </c>
      <c r="O985" s="3" t="s">
        <v>924</v>
      </c>
    </row>
    <row r="986" spans="1:15" hidden="1" x14ac:dyDescent="0.75">
      <c r="A986" s="2">
        <v>46290</v>
      </c>
      <c r="B986" s="3" t="s">
        <v>843</v>
      </c>
      <c r="C986" s="3" t="s">
        <v>844</v>
      </c>
      <c r="D986" s="3" t="s">
        <v>360</v>
      </c>
      <c r="E986" s="3" t="s">
        <v>361</v>
      </c>
      <c r="F986" s="3" t="s">
        <v>17</v>
      </c>
      <c r="G986" s="3" t="s">
        <v>18</v>
      </c>
      <c r="H986" s="4">
        <v>46290.488776388891</v>
      </c>
      <c r="I986" s="4">
        <v>46290.79493877315</v>
      </c>
      <c r="J986" s="3">
        <f>ROUND((I986-H986)*1440,0)</f>
        <v>441</v>
      </c>
      <c r="K986" s="3" t="s">
        <v>2161</v>
      </c>
      <c r="L986" s="3" t="s">
        <v>43</v>
      </c>
      <c r="M986" s="3" t="s">
        <v>44</v>
      </c>
      <c r="N986" s="3" t="s">
        <v>23</v>
      </c>
      <c r="O986" s="3" t="s">
        <v>2162</v>
      </c>
    </row>
    <row r="987" spans="1:15" hidden="1" x14ac:dyDescent="0.75">
      <c r="A987" s="2">
        <v>46290</v>
      </c>
      <c r="B987" s="3" t="s">
        <v>875</v>
      </c>
      <c r="C987" s="3" t="s">
        <v>876</v>
      </c>
      <c r="D987" s="3" t="s">
        <v>17</v>
      </c>
      <c r="E987" s="3" t="s">
        <v>18</v>
      </c>
      <c r="F987" s="3" t="s">
        <v>82</v>
      </c>
      <c r="G987" s="3" t="s">
        <v>83</v>
      </c>
      <c r="H987" s="4">
        <v>46290.48893240741</v>
      </c>
      <c r="I987" s="4">
        <v>46290.574816435183</v>
      </c>
      <c r="J987" s="3">
        <f>ROUND((I987-H987)*1440,0)</f>
        <v>124</v>
      </c>
      <c r="K987" s="3" t="s">
        <v>1685</v>
      </c>
      <c r="L987" s="3" t="s">
        <v>22</v>
      </c>
      <c r="M987" s="3" t="s">
        <v>22</v>
      </c>
      <c r="N987" s="3" t="s">
        <v>23</v>
      </c>
      <c r="O987" s="3" t="s">
        <v>1686</v>
      </c>
    </row>
    <row r="988" spans="1:15" hidden="1" x14ac:dyDescent="0.75">
      <c r="A988" s="2">
        <v>46290</v>
      </c>
      <c r="B988" s="3" t="s">
        <v>871</v>
      </c>
      <c r="C988" s="3" t="s">
        <v>872</v>
      </c>
      <c r="D988" s="3" t="s">
        <v>82</v>
      </c>
      <c r="E988" s="3" t="s">
        <v>83</v>
      </c>
      <c r="F988" s="3" t="s">
        <v>158</v>
      </c>
      <c r="G988" s="3" t="s">
        <v>159</v>
      </c>
      <c r="H988" s="4">
        <v>46290.489022453701</v>
      </c>
      <c r="I988" s="4">
        <v>46290.56720636574</v>
      </c>
      <c r="J988" s="3">
        <f>ROUND((I988-H988)*1440,0)</f>
        <v>113</v>
      </c>
      <c r="K988" s="3" t="s">
        <v>1211</v>
      </c>
      <c r="L988" s="3" t="s">
        <v>36</v>
      </c>
      <c r="M988" s="3" t="s">
        <v>36</v>
      </c>
      <c r="N988" s="3" t="s">
        <v>23</v>
      </c>
      <c r="O988" s="3" t="s">
        <v>1212</v>
      </c>
    </row>
    <row r="989" spans="1:15" hidden="1" x14ac:dyDescent="0.75">
      <c r="A989" s="2">
        <v>46290</v>
      </c>
      <c r="B989" s="3" t="s">
        <v>885</v>
      </c>
      <c r="C989" s="3" t="s">
        <v>886</v>
      </c>
      <c r="D989" s="3" t="s">
        <v>17</v>
      </c>
      <c r="E989" s="3" t="s">
        <v>18</v>
      </c>
      <c r="F989" s="3" t="s">
        <v>17</v>
      </c>
      <c r="G989" s="3" t="s">
        <v>18</v>
      </c>
      <c r="H989" s="4">
        <v>46290.490225347217</v>
      </c>
      <c r="I989" s="4">
        <v>46290.836308912039</v>
      </c>
      <c r="J989" s="3">
        <f>ROUND((I989-H989)*1440,0)</f>
        <v>498</v>
      </c>
      <c r="K989" s="3" t="s">
        <v>1271</v>
      </c>
      <c r="L989" s="3" t="s">
        <v>36</v>
      </c>
      <c r="M989" s="3" t="s">
        <v>36</v>
      </c>
      <c r="N989" s="3" t="s">
        <v>23</v>
      </c>
      <c r="O989" s="3" t="s">
        <v>1272</v>
      </c>
    </row>
    <row r="990" spans="1:15" hidden="1" x14ac:dyDescent="0.75">
      <c r="A990" s="2">
        <v>46290</v>
      </c>
      <c r="B990" s="3" t="s">
        <v>861</v>
      </c>
      <c r="C990" s="3" t="s">
        <v>862</v>
      </c>
      <c r="D990" s="3" t="s">
        <v>56</v>
      </c>
      <c r="E990" s="3" t="s">
        <v>57</v>
      </c>
      <c r="F990" s="3" t="s">
        <v>264</v>
      </c>
      <c r="G990" s="3" t="s">
        <v>265</v>
      </c>
      <c r="H990" s="4">
        <v>46290.490914351853</v>
      </c>
      <c r="I990" s="4">
        <v>46290.682446412036</v>
      </c>
      <c r="J990" s="3">
        <f>ROUND((I990-H990)*1440,0)</f>
        <v>276</v>
      </c>
      <c r="K990" s="3" t="s">
        <v>461</v>
      </c>
      <c r="L990" s="3" t="s">
        <v>22</v>
      </c>
      <c r="M990" s="3" t="s">
        <v>22</v>
      </c>
      <c r="N990" s="3" t="s">
        <v>23</v>
      </c>
      <c r="O990" s="3" t="s">
        <v>462</v>
      </c>
    </row>
    <row r="991" spans="1:15" hidden="1" x14ac:dyDescent="0.75">
      <c r="A991" s="2">
        <v>46290</v>
      </c>
      <c r="B991" s="3" t="s">
        <v>1027</v>
      </c>
      <c r="C991" s="3" t="s">
        <v>1028</v>
      </c>
      <c r="D991" s="3"/>
      <c r="E991" s="3"/>
      <c r="F991" s="3" t="s">
        <v>27</v>
      </c>
      <c r="G991" s="3" t="s">
        <v>28</v>
      </c>
      <c r="H991" s="4">
        <v>46290.491440625003</v>
      </c>
      <c r="I991" s="4">
        <v>46290.588562962963</v>
      </c>
      <c r="J991" s="3">
        <f>ROUND((I991-H991)*1440,0)</f>
        <v>140</v>
      </c>
      <c r="K991" s="3" t="s">
        <v>969</v>
      </c>
      <c r="L991" s="3" t="s">
        <v>36</v>
      </c>
      <c r="M991" s="3" t="s">
        <v>36</v>
      </c>
      <c r="N991" s="3" t="s">
        <v>23</v>
      </c>
      <c r="O991" s="3" t="s">
        <v>970</v>
      </c>
    </row>
    <row r="992" spans="1:15" hidden="1" x14ac:dyDescent="0.75">
      <c r="A992" s="2">
        <v>46290</v>
      </c>
      <c r="B992" s="3" t="s">
        <v>901</v>
      </c>
      <c r="C992" s="3" t="s">
        <v>902</v>
      </c>
      <c r="D992" s="3" t="s">
        <v>158</v>
      </c>
      <c r="E992" s="3" t="s">
        <v>159</v>
      </c>
      <c r="F992" s="3" t="s">
        <v>56</v>
      </c>
      <c r="G992" s="3" t="s">
        <v>57</v>
      </c>
      <c r="H992" s="4">
        <v>46290.492829861112</v>
      </c>
      <c r="I992" s="4">
        <v>46290.577388773148</v>
      </c>
      <c r="J992" s="3">
        <f>ROUND((I992-H992)*1440,0)</f>
        <v>122</v>
      </c>
      <c r="K992" s="3" t="s">
        <v>296</v>
      </c>
      <c r="L992" s="3" t="s">
        <v>77</v>
      </c>
      <c r="M992" s="3" t="s">
        <v>78</v>
      </c>
      <c r="N992" s="3" t="s">
        <v>23</v>
      </c>
      <c r="O992" s="3" t="s">
        <v>297</v>
      </c>
    </row>
    <row r="993" spans="1:15" hidden="1" x14ac:dyDescent="0.75">
      <c r="A993" s="2">
        <v>46290</v>
      </c>
      <c r="B993" s="3" t="s">
        <v>839</v>
      </c>
      <c r="C993" s="3" t="s">
        <v>840</v>
      </c>
      <c r="D993" s="3" t="s">
        <v>17</v>
      </c>
      <c r="E993" s="3" t="s">
        <v>18</v>
      </c>
      <c r="F993" s="3" t="s">
        <v>122</v>
      </c>
      <c r="G993" s="3" t="s">
        <v>123</v>
      </c>
      <c r="H993" s="4">
        <v>46290.494751273152</v>
      </c>
      <c r="I993" s="4">
        <v>46290.727632407397</v>
      </c>
      <c r="J993" s="3">
        <f>ROUND((I993-H993)*1440,0)</f>
        <v>335</v>
      </c>
      <c r="K993" s="3" t="s">
        <v>469</v>
      </c>
      <c r="L993" s="3" t="s">
        <v>22</v>
      </c>
      <c r="M993" s="3" t="s">
        <v>22</v>
      </c>
      <c r="N993" s="3" t="s">
        <v>23</v>
      </c>
      <c r="O993" s="3" t="s">
        <v>470</v>
      </c>
    </row>
    <row r="994" spans="1:15" hidden="1" x14ac:dyDescent="0.75">
      <c r="A994" s="2">
        <v>46290</v>
      </c>
      <c r="B994" s="3" t="s">
        <v>889</v>
      </c>
      <c r="C994" s="3" t="s">
        <v>890</v>
      </c>
      <c r="D994" s="3" t="s">
        <v>68</v>
      </c>
      <c r="E994" s="3" t="s">
        <v>69</v>
      </c>
      <c r="F994" s="3" t="s">
        <v>208</v>
      </c>
      <c r="G994" s="3" t="s">
        <v>209</v>
      </c>
      <c r="H994" s="4">
        <v>46290.496790740741</v>
      </c>
      <c r="I994" s="4">
        <v>46290.608178472219</v>
      </c>
      <c r="J994" s="3">
        <f>ROUND((I994-H994)*1440,0)</f>
        <v>160</v>
      </c>
      <c r="K994" s="3" t="s">
        <v>372</v>
      </c>
      <c r="L994" s="3" t="s">
        <v>77</v>
      </c>
      <c r="M994" s="3" t="s">
        <v>78</v>
      </c>
      <c r="N994" s="3" t="s">
        <v>23</v>
      </c>
      <c r="O994" s="3" t="s">
        <v>373</v>
      </c>
    </row>
    <row r="995" spans="1:15" hidden="1" x14ac:dyDescent="0.75">
      <c r="A995" s="2">
        <v>46290</v>
      </c>
      <c r="B995" s="3" t="s">
        <v>881</v>
      </c>
      <c r="C995" s="3" t="s">
        <v>882</v>
      </c>
      <c r="D995" s="3" t="s">
        <v>17</v>
      </c>
      <c r="E995" s="3" t="s">
        <v>18</v>
      </c>
      <c r="F995" s="3"/>
      <c r="G995" s="3"/>
      <c r="H995" s="4">
        <v>46290.496928587963</v>
      </c>
      <c r="I995" s="4">
        <v>46290.574151388893</v>
      </c>
      <c r="J995" s="3">
        <f>ROUND((I995-H995)*1440,0)</f>
        <v>111</v>
      </c>
      <c r="K995" s="3" t="s">
        <v>1247</v>
      </c>
      <c r="L995" s="3" t="s">
        <v>22</v>
      </c>
      <c r="M995" s="3" t="s">
        <v>22</v>
      </c>
      <c r="N995" s="3" t="s">
        <v>443</v>
      </c>
      <c r="O995" s="3" t="s">
        <v>1248</v>
      </c>
    </row>
    <row r="996" spans="1:15" hidden="1" x14ac:dyDescent="0.75">
      <c r="A996" s="2">
        <v>46290</v>
      </c>
      <c r="B996" s="3" t="s">
        <v>959</v>
      </c>
      <c r="C996" s="3" t="s">
        <v>960</v>
      </c>
      <c r="D996" s="3" t="s">
        <v>56</v>
      </c>
      <c r="E996" s="3" t="s">
        <v>57</v>
      </c>
      <c r="F996" s="3" t="s">
        <v>270</v>
      </c>
      <c r="G996" s="3" t="s">
        <v>271</v>
      </c>
      <c r="H996" s="4">
        <v>46290.500326388887</v>
      </c>
      <c r="I996" s="4">
        <v>46290.591441898148</v>
      </c>
      <c r="J996" s="3">
        <f>ROUND((I996-H996)*1440,0)</f>
        <v>131</v>
      </c>
      <c r="K996" s="3" t="s">
        <v>70</v>
      </c>
      <c r="L996" s="3" t="s">
        <v>36</v>
      </c>
      <c r="M996" s="3" t="s">
        <v>36</v>
      </c>
      <c r="N996" s="3" t="s">
        <v>45</v>
      </c>
      <c r="O996" s="3" t="s">
        <v>71</v>
      </c>
    </row>
    <row r="997" spans="1:15" hidden="1" x14ac:dyDescent="0.75">
      <c r="A997" s="2">
        <v>46290</v>
      </c>
      <c r="B997" s="3" t="s">
        <v>2203</v>
      </c>
      <c r="C997" s="3" t="s">
        <v>2204</v>
      </c>
      <c r="D997" s="3"/>
      <c r="E997" s="3"/>
      <c r="F997" s="3" t="s">
        <v>17</v>
      </c>
      <c r="G997" s="3" t="s">
        <v>18</v>
      </c>
      <c r="H997" s="4">
        <v>46290.500441898148</v>
      </c>
      <c r="I997" s="4">
        <v>46290.587248611111</v>
      </c>
      <c r="J997" s="3">
        <f>ROUND((I997-H997)*1440,0)</f>
        <v>125</v>
      </c>
      <c r="K997" s="3" t="s">
        <v>553</v>
      </c>
      <c r="L997" s="3" t="s">
        <v>77</v>
      </c>
      <c r="M997" s="3" t="s">
        <v>78</v>
      </c>
      <c r="N997" s="3" t="s">
        <v>23</v>
      </c>
      <c r="O997" s="3" t="s">
        <v>554</v>
      </c>
    </row>
    <row r="998" spans="1:15" hidden="1" x14ac:dyDescent="0.75">
      <c r="A998" s="2">
        <v>46290</v>
      </c>
      <c r="B998" s="3" t="s">
        <v>909</v>
      </c>
      <c r="C998" s="3" t="s">
        <v>910</v>
      </c>
      <c r="D998" s="3" t="s">
        <v>56</v>
      </c>
      <c r="E998" s="3" t="s">
        <v>57</v>
      </c>
      <c r="F998" s="3" t="s">
        <v>94</v>
      </c>
      <c r="G998" s="3" t="s">
        <v>95</v>
      </c>
      <c r="H998" s="4">
        <v>46290.501019097217</v>
      </c>
      <c r="I998" s="4">
        <v>46290.574304398149</v>
      </c>
      <c r="J998" s="3">
        <f>ROUND((I998-H998)*1440,0)</f>
        <v>106</v>
      </c>
      <c r="K998" s="3" t="s">
        <v>935</v>
      </c>
      <c r="L998" s="3" t="s">
        <v>36</v>
      </c>
      <c r="M998" s="3" t="s">
        <v>36</v>
      </c>
      <c r="N998" s="3" t="s">
        <v>23</v>
      </c>
      <c r="O998" s="3" t="s">
        <v>936</v>
      </c>
    </row>
    <row r="999" spans="1:15" hidden="1" x14ac:dyDescent="0.75">
      <c r="A999" s="2">
        <v>46290</v>
      </c>
      <c r="B999" s="3" t="s">
        <v>975</v>
      </c>
      <c r="C999" s="3" t="s">
        <v>976</v>
      </c>
      <c r="D999" s="3" t="s">
        <v>17</v>
      </c>
      <c r="E999" s="3" t="s">
        <v>18</v>
      </c>
      <c r="F999" s="3" t="s">
        <v>977</v>
      </c>
      <c r="G999" s="3" t="s">
        <v>978</v>
      </c>
      <c r="H999" s="4">
        <v>46290.502585532413</v>
      </c>
      <c r="I999" s="4">
        <v>46290.570116087962</v>
      </c>
      <c r="J999" s="3">
        <f>ROUND((I999-H999)*1440,0)</f>
        <v>97</v>
      </c>
      <c r="K999" s="3" t="s">
        <v>1037</v>
      </c>
      <c r="L999" s="3" t="s">
        <v>77</v>
      </c>
      <c r="M999" s="3" t="s">
        <v>78</v>
      </c>
      <c r="N999" s="3" t="s">
        <v>45</v>
      </c>
      <c r="O999" s="3" t="s">
        <v>1038</v>
      </c>
    </row>
    <row r="1000" spans="1:15" hidden="1" x14ac:dyDescent="0.75">
      <c r="A1000" s="2">
        <v>46290</v>
      </c>
      <c r="B1000" s="3" t="s">
        <v>903</v>
      </c>
      <c r="C1000" s="3" t="s">
        <v>904</v>
      </c>
      <c r="D1000" s="3" t="s">
        <v>27</v>
      </c>
      <c r="E1000" s="3" t="s">
        <v>28</v>
      </c>
      <c r="F1000" s="3" t="s">
        <v>615</v>
      </c>
      <c r="G1000" s="3" t="s">
        <v>616</v>
      </c>
      <c r="H1000" s="4">
        <v>46290.503221412037</v>
      </c>
      <c r="I1000" s="4">
        <v>46290.733384837957</v>
      </c>
      <c r="J1000" s="3">
        <f>ROUND((I1000-H1000)*1440,0)</f>
        <v>331</v>
      </c>
      <c r="K1000" s="3" t="s">
        <v>2171</v>
      </c>
      <c r="L1000" s="3" t="s">
        <v>36</v>
      </c>
      <c r="M1000" s="3" t="s">
        <v>36</v>
      </c>
      <c r="N1000" s="3" t="s">
        <v>23</v>
      </c>
      <c r="O1000" s="3" t="s">
        <v>2172</v>
      </c>
    </row>
    <row r="1001" spans="1:15" hidden="1" x14ac:dyDescent="0.75">
      <c r="A1001" s="2">
        <v>46290</v>
      </c>
      <c r="B1001" s="3" t="s">
        <v>879</v>
      </c>
      <c r="C1001" s="3" t="s">
        <v>880</v>
      </c>
      <c r="D1001" s="3" t="s">
        <v>286</v>
      </c>
      <c r="E1001" s="3" t="s">
        <v>287</v>
      </c>
      <c r="F1001" s="3" t="s">
        <v>27</v>
      </c>
      <c r="G1001" s="3" t="s">
        <v>28</v>
      </c>
      <c r="H1001" s="4">
        <v>46290.505556597222</v>
      </c>
      <c r="I1001" s="4">
        <v>46290.868471875001</v>
      </c>
      <c r="J1001" s="3">
        <f>ROUND((I1001-H1001)*1440,0)</f>
        <v>523</v>
      </c>
      <c r="K1001" s="3" t="s">
        <v>288</v>
      </c>
      <c r="L1001" s="3" t="s">
        <v>43</v>
      </c>
      <c r="M1001" s="3" t="s">
        <v>44</v>
      </c>
      <c r="N1001" s="3" t="s">
        <v>23</v>
      </c>
      <c r="O1001" s="3" t="s">
        <v>289</v>
      </c>
    </row>
    <row r="1002" spans="1:15" hidden="1" x14ac:dyDescent="0.75">
      <c r="A1002" s="2">
        <v>46290</v>
      </c>
      <c r="B1002" s="3" t="s">
        <v>913</v>
      </c>
      <c r="C1002" s="3" t="s">
        <v>914</v>
      </c>
      <c r="D1002" s="3" t="s">
        <v>182</v>
      </c>
      <c r="E1002" s="3" t="s">
        <v>183</v>
      </c>
      <c r="F1002" s="3" t="s">
        <v>56</v>
      </c>
      <c r="G1002" s="3" t="s">
        <v>57</v>
      </c>
      <c r="H1002" s="4">
        <v>46290.506113425923</v>
      </c>
      <c r="I1002" s="4">
        <v>46290.567357291657</v>
      </c>
      <c r="J1002" s="3">
        <f>ROUND((I1002-H1002)*1440,0)</f>
        <v>88</v>
      </c>
      <c r="K1002" s="3" t="s">
        <v>220</v>
      </c>
      <c r="L1002" s="3" t="s">
        <v>77</v>
      </c>
      <c r="M1002" s="3" t="s">
        <v>78</v>
      </c>
      <c r="N1002" s="3" t="s">
        <v>23</v>
      </c>
      <c r="O1002" s="3" t="s">
        <v>221</v>
      </c>
    </row>
    <row r="1003" spans="1:15" hidden="1" x14ac:dyDescent="0.75">
      <c r="A1003" s="2">
        <v>46290</v>
      </c>
      <c r="B1003" s="3" t="s">
        <v>865</v>
      </c>
      <c r="C1003" s="3" t="s">
        <v>866</v>
      </c>
      <c r="D1003" s="3" t="s">
        <v>208</v>
      </c>
      <c r="E1003" s="3" t="s">
        <v>209</v>
      </c>
      <c r="F1003" s="3" t="s">
        <v>82</v>
      </c>
      <c r="G1003" s="3" t="s">
        <v>83</v>
      </c>
      <c r="H1003" s="4">
        <v>46290.506275347223</v>
      </c>
      <c r="I1003" s="4">
        <v>46290.591328587972</v>
      </c>
      <c r="J1003" s="3">
        <f>ROUND((I1003-H1003)*1440,0)</f>
        <v>122</v>
      </c>
      <c r="K1003" s="3" t="s">
        <v>198</v>
      </c>
      <c r="L1003" s="3" t="s">
        <v>36</v>
      </c>
      <c r="M1003" s="3" t="s">
        <v>36</v>
      </c>
      <c r="N1003" s="3" t="s">
        <v>23</v>
      </c>
      <c r="O1003" s="3" t="s">
        <v>199</v>
      </c>
    </row>
    <row r="1004" spans="1:15" hidden="1" x14ac:dyDescent="0.75">
      <c r="A1004" s="2">
        <v>46290</v>
      </c>
      <c r="B1004" s="3" t="s">
        <v>987</v>
      </c>
      <c r="C1004" s="3" t="s">
        <v>988</v>
      </c>
      <c r="D1004" s="3" t="s">
        <v>106</v>
      </c>
      <c r="E1004" s="3" t="s">
        <v>107</v>
      </c>
      <c r="F1004" s="3" t="s">
        <v>56</v>
      </c>
      <c r="G1004" s="3" t="s">
        <v>57</v>
      </c>
      <c r="H1004" s="4">
        <v>46290.506425462961</v>
      </c>
      <c r="I1004" s="4">
        <v>46290.58171273148</v>
      </c>
      <c r="J1004" s="3">
        <f>ROUND((I1004-H1004)*1440,0)</f>
        <v>108</v>
      </c>
      <c r="K1004" s="3" t="s">
        <v>1715</v>
      </c>
      <c r="L1004" s="3" t="s">
        <v>36</v>
      </c>
      <c r="M1004" s="3" t="s">
        <v>36</v>
      </c>
      <c r="N1004" s="3" t="s">
        <v>23</v>
      </c>
      <c r="O1004" s="3" t="s">
        <v>1716</v>
      </c>
    </row>
    <row r="1005" spans="1:15" hidden="1" x14ac:dyDescent="0.75">
      <c r="A1005" s="2">
        <v>46290</v>
      </c>
      <c r="B1005" s="3" t="s">
        <v>929</v>
      </c>
      <c r="C1005" s="3" t="s">
        <v>930</v>
      </c>
      <c r="D1005" s="3" t="s">
        <v>17</v>
      </c>
      <c r="E1005" s="3" t="s">
        <v>18</v>
      </c>
      <c r="F1005" s="3" t="s">
        <v>270</v>
      </c>
      <c r="G1005" s="3" t="s">
        <v>271</v>
      </c>
      <c r="H1005" s="4">
        <v>46290.506754513888</v>
      </c>
      <c r="I1005" s="4">
        <v>46290.631716898148</v>
      </c>
      <c r="J1005" s="3">
        <f>ROUND((I1005-H1005)*1440,0)</f>
        <v>180</v>
      </c>
      <c r="K1005" s="3" t="s">
        <v>1517</v>
      </c>
      <c r="L1005" s="3" t="s">
        <v>77</v>
      </c>
      <c r="M1005" s="3" t="s">
        <v>78</v>
      </c>
      <c r="N1005" s="3" t="s">
        <v>45</v>
      </c>
      <c r="O1005" s="3" t="s">
        <v>1518</v>
      </c>
    </row>
    <row r="1006" spans="1:15" hidden="1" x14ac:dyDescent="0.75">
      <c r="A1006" s="2">
        <v>46290</v>
      </c>
      <c r="B1006" s="3" t="s">
        <v>905</v>
      </c>
      <c r="C1006" s="3" t="s">
        <v>906</v>
      </c>
      <c r="D1006" s="3" t="s">
        <v>84</v>
      </c>
      <c r="E1006" s="3" t="s">
        <v>85</v>
      </c>
      <c r="F1006" s="3" t="s">
        <v>68</v>
      </c>
      <c r="G1006" s="3" t="s">
        <v>69</v>
      </c>
      <c r="H1006" s="4">
        <v>46290.506918634259</v>
      </c>
      <c r="I1006" s="4">
        <v>46290.599763310187</v>
      </c>
      <c r="J1006" s="3">
        <f>ROUND((I1006-H1006)*1440,0)</f>
        <v>134</v>
      </c>
      <c r="K1006" s="3" t="s">
        <v>380</v>
      </c>
      <c r="L1006" s="3" t="s">
        <v>36</v>
      </c>
      <c r="M1006" s="3" t="s">
        <v>36</v>
      </c>
      <c r="N1006" s="3" t="s">
        <v>23</v>
      </c>
      <c r="O1006" s="3" t="s">
        <v>381</v>
      </c>
    </row>
    <row r="1007" spans="1:15" hidden="1" x14ac:dyDescent="0.75">
      <c r="A1007" s="2">
        <v>46290</v>
      </c>
      <c r="B1007" s="3" t="s">
        <v>915</v>
      </c>
      <c r="C1007" s="3" t="s">
        <v>916</v>
      </c>
      <c r="D1007" s="3" t="s">
        <v>27</v>
      </c>
      <c r="E1007" s="3" t="s">
        <v>28</v>
      </c>
      <c r="F1007" s="3" t="s">
        <v>94</v>
      </c>
      <c r="G1007" s="3" t="s">
        <v>95</v>
      </c>
      <c r="H1007" s="4">
        <v>46290.509069560183</v>
      </c>
      <c r="I1007" s="4">
        <v>46290.575698263892</v>
      </c>
      <c r="J1007" s="3">
        <f>ROUND((I1007-H1007)*1440,0)</f>
        <v>96</v>
      </c>
      <c r="K1007" s="3" t="s">
        <v>260</v>
      </c>
      <c r="L1007" s="3" t="s">
        <v>52</v>
      </c>
      <c r="M1007" s="3"/>
      <c r="N1007" s="3" t="s">
        <v>23</v>
      </c>
      <c r="O1007" s="3" t="s">
        <v>261</v>
      </c>
    </row>
    <row r="1008" spans="1:15" hidden="1" x14ac:dyDescent="0.75">
      <c r="A1008" s="2">
        <v>46290</v>
      </c>
      <c r="B1008" s="3" t="s">
        <v>917</v>
      </c>
      <c r="C1008" s="3" t="s">
        <v>918</v>
      </c>
      <c r="D1008" s="3" t="s">
        <v>280</v>
      </c>
      <c r="E1008" s="3" t="s">
        <v>281</v>
      </c>
      <c r="F1008" s="3" t="s">
        <v>56</v>
      </c>
      <c r="G1008" s="3" t="s">
        <v>57</v>
      </c>
      <c r="H1008" s="4">
        <v>46290.510625462957</v>
      </c>
      <c r="I1008" s="4">
        <v>46290.574245717587</v>
      </c>
      <c r="J1008" s="3">
        <f>ROUND((I1008-H1008)*1440,0)</f>
        <v>92</v>
      </c>
      <c r="K1008" s="3" t="s">
        <v>645</v>
      </c>
      <c r="L1008" s="3" t="s">
        <v>36</v>
      </c>
      <c r="M1008" s="3" t="s">
        <v>36</v>
      </c>
      <c r="N1008" s="3" t="s">
        <v>23</v>
      </c>
      <c r="O1008" s="3" t="s">
        <v>646</v>
      </c>
    </row>
    <row r="1009" spans="1:15" hidden="1" x14ac:dyDescent="0.75">
      <c r="A1009" s="2">
        <v>46290</v>
      </c>
      <c r="B1009" s="3" t="s">
        <v>933</v>
      </c>
      <c r="C1009" s="3" t="s">
        <v>934</v>
      </c>
      <c r="D1009" s="3" t="s">
        <v>56</v>
      </c>
      <c r="E1009" s="3" t="s">
        <v>57</v>
      </c>
      <c r="F1009" s="3" t="s">
        <v>58</v>
      </c>
      <c r="G1009" s="3" t="s">
        <v>59</v>
      </c>
      <c r="H1009" s="4">
        <v>46290.510885648153</v>
      </c>
      <c r="I1009" s="4">
        <v>46290.613783680557</v>
      </c>
      <c r="J1009" s="3">
        <f>ROUND((I1009-H1009)*1440,0)</f>
        <v>148</v>
      </c>
      <c r="K1009" s="3" t="s">
        <v>859</v>
      </c>
      <c r="L1009" s="3" t="s">
        <v>36</v>
      </c>
      <c r="M1009" s="3" t="s">
        <v>36</v>
      </c>
      <c r="N1009" s="3" t="s">
        <v>23</v>
      </c>
      <c r="O1009" s="3" t="s">
        <v>860</v>
      </c>
    </row>
    <row r="1010" spans="1:15" hidden="1" x14ac:dyDescent="0.75">
      <c r="A1010" s="2">
        <v>46290</v>
      </c>
      <c r="B1010" s="3" t="s">
        <v>1025</v>
      </c>
      <c r="C1010" s="3" t="s">
        <v>1026</v>
      </c>
      <c r="D1010" s="3" t="s">
        <v>17</v>
      </c>
      <c r="E1010" s="3" t="s">
        <v>18</v>
      </c>
      <c r="F1010" s="3" t="s">
        <v>304</v>
      </c>
      <c r="G1010" s="3" t="s">
        <v>305</v>
      </c>
      <c r="H1010" s="4">
        <v>46290.51094375</v>
      </c>
      <c r="I1010" s="4">
        <v>46290.723058796299</v>
      </c>
      <c r="J1010" s="3">
        <f>ROUND((I1010-H1010)*1440,0)</f>
        <v>305</v>
      </c>
      <c r="K1010" s="3" t="s">
        <v>1203</v>
      </c>
      <c r="L1010" s="3" t="s">
        <v>22</v>
      </c>
      <c r="M1010" s="3" t="s">
        <v>22</v>
      </c>
      <c r="N1010" s="3" t="s">
        <v>23</v>
      </c>
      <c r="O1010" s="3" t="s">
        <v>1204</v>
      </c>
    </row>
    <row r="1011" spans="1:15" hidden="1" x14ac:dyDescent="0.75">
      <c r="A1011" s="2">
        <v>46290</v>
      </c>
      <c r="B1011" s="3" t="s">
        <v>949</v>
      </c>
      <c r="C1011" s="3" t="s">
        <v>950</v>
      </c>
      <c r="D1011" s="3" t="s">
        <v>158</v>
      </c>
      <c r="E1011" s="3" t="s">
        <v>159</v>
      </c>
      <c r="F1011" s="3" t="s">
        <v>615</v>
      </c>
      <c r="G1011" s="3" t="s">
        <v>616</v>
      </c>
      <c r="H1011" s="4">
        <v>46290.510954398153</v>
      </c>
      <c r="I1011" s="4">
        <v>46290.657975115741</v>
      </c>
      <c r="J1011" s="3">
        <f>ROUND((I1011-H1011)*1440,0)</f>
        <v>212</v>
      </c>
      <c r="K1011" s="3" t="s">
        <v>86</v>
      </c>
      <c r="L1011" s="3" t="s">
        <v>36</v>
      </c>
      <c r="M1011" s="3" t="s">
        <v>36</v>
      </c>
      <c r="N1011" s="3" t="s">
        <v>45</v>
      </c>
      <c r="O1011" s="3" t="s">
        <v>87</v>
      </c>
    </row>
    <row r="1012" spans="1:15" hidden="1" x14ac:dyDescent="0.75">
      <c r="A1012" s="2">
        <v>46290</v>
      </c>
      <c r="B1012" s="3" t="s">
        <v>921</v>
      </c>
      <c r="C1012" s="3" t="s">
        <v>922</v>
      </c>
      <c r="D1012" s="3" t="s">
        <v>27</v>
      </c>
      <c r="E1012" s="3" t="s">
        <v>28</v>
      </c>
      <c r="F1012" s="3" t="s">
        <v>49</v>
      </c>
      <c r="G1012" s="3" t="s">
        <v>50</v>
      </c>
      <c r="H1012" s="4">
        <v>46290.512607291668</v>
      </c>
      <c r="I1012" s="4">
        <v>46290.563601851849</v>
      </c>
      <c r="J1012" s="3">
        <f>ROUND((I1012-H1012)*1440,0)</f>
        <v>73</v>
      </c>
      <c r="K1012" s="3" t="s">
        <v>1023</v>
      </c>
      <c r="L1012" s="3" t="s">
        <v>77</v>
      </c>
      <c r="M1012" s="3" t="s">
        <v>78</v>
      </c>
      <c r="N1012" s="3" t="s">
        <v>23</v>
      </c>
      <c r="O1012" s="3" t="s">
        <v>1024</v>
      </c>
    </row>
    <row r="1013" spans="1:15" hidden="1" x14ac:dyDescent="0.75">
      <c r="A1013" s="2">
        <v>46290</v>
      </c>
      <c r="B1013" s="3" t="s">
        <v>967</v>
      </c>
      <c r="C1013" s="3" t="s">
        <v>968</v>
      </c>
      <c r="D1013" s="3" t="s">
        <v>208</v>
      </c>
      <c r="E1013" s="3" t="s">
        <v>209</v>
      </c>
      <c r="F1013" s="3" t="s">
        <v>56</v>
      </c>
      <c r="G1013" s="3" t="s">
        <v>57</v>
      </c>
      <c r="H1013" s="4">
        <v>46290.51353877315</v>
      </c>
      <c r="I1013" s="4">
        <v>46290.613528703703</v>
      </c>
      <c r="J1013" s="3">
        <f>ROUND((I1013-H1013)*1440,0)</f>
        <v>144</v>
      </c>
      <c r="K1013" s="3" t="s">
        <v>1343</v>
      </c>
      <c r="L1013" s="3" t="s">
        <v>36</v>
      </c>
      <c r="M1013" s="3" t="s">
        <v>36</v>
      </c>
      <c r="N1013" s="3" t="s">
        <v>23</v>
      </c>
      <c r="O1013" s="3" t="s">
        <v>1344</v>
      </c>
    </row>
    <row r="1014" spans="1:15" hidden="1" x14ac:dyDescent="0.75">
      <c r="A1014" s="2">
        <v>46290</v>
      </c>
      <c r="B1014" s="3" t="s">
        <v>937</v>
      </c>
      <c r="C1014" s="3" t="s">
        <v>938</v>
      </c>
      <c r="D1014" s="3" t="s">
        <v>27</v>
      </c>
      <c r="E1014" s="3" t="s">
        <v>28</v>
      </c>
      <c r="F1014" s="3" t="s">
        <v>158</v>
      </c>
      <c r="G1014" s="3" t="s">
        <v>159</v>
      </c>
      <c r="H1014" s="4">
        <v>46290.514506828702</v>
      </c>
      <c r="I1014" s="4">
        <v>46290.563104976849</v>
      </c>
      <c r="J1014" s="3">
        <f>ROUND((I1014-H1014)*1440,0)</f>
        <v>70</v>
      </c>
      <c r="K1014" s="3" t="s">
        <v>939</v>
      </c>
      <c r="L1014" s="3" t="s">
        <v>77</v>
      </c>
      <c r="M1014" s="3" t="s">
        <v>78</v>
      </c>
      <c r="N1014" s="3" t="s">
        <v>23</v>
      </c>
      <c r="O1014" s="3" t="s">
        <v>940</v>
      </c>
    </row>
    <row r="1015" spans="1:15" hidden="1" x14ac:dyDescent="0.75">
      <c r="A1015" s="2">
        <v>46290</v>
      </c>
      <c r="B1015" s="3" t="s">
        <v>869</v>
      </c>
      <c r="C1015" s="3" t="s">
        <v>870</v>
      </c>
      <c r="D1015" s="3" t="s">
        <v>410</v>
      </c>
      <c r="E1015" s="3" t="s">
        <v>411</v>
      </c>
      <c r="F1015" s="3" t="s">
        <v>27</v>
      </c>
      <c r="G1015" s="3" t="s">
        <v>28</v>
      </c>
      <c r="H1015" s="4">
        <v>46290.514540509263</v>
      </c>
      <c r="I1015" s="4">
        <v>46290.842724768518</v>
      </c>
      <c r="J1015" s="3">
        <f>ROUND((I1015-H1015)*1440,0)</f>
        <v>473</v>
      </c>
      <c r="K1015" s="3" t="s">
        <v>465</v>
      </c>
      <c r="L1015" s="3" t="s">
        <v>43</v>
      </c>
      <c r="M1015" s="3" t="s">
        <v>44</v>
      </c>
      <c r="N1015" s="3" t="s">
        <v>23</v>
      </c>
      <c r="O1015" s="3" t="s">
        <v>466</v>
      </c>
    </row>
    <row r="1016" spans="1:15" hidden="1" x14ac:dyDescent="0.75">
      <c r="A1016" s="2">
        <v>46290</v>
      </c>
      <c r="B1016" s="3" t="s">
        <v>72</v>
      </c>
      <c r="C1016" s="3" t="s">
        <v>73</v>
      </c>
      <c r="D1016" s="3" t="s">
        <v>56</v>
      </c>
      <c r="E1016" s="3" t="s">
        <v>57</v>
      </c>
      <c r="F1016" s="3" t="s">
        <v>74</v>
      </c>
      <c r="G1016" s="3" t="s">
        <v>75</v>
      </c>
      <c r="H1016" s="4">
        <v>46290.519389930552</v>
      </c>
      <c r="I1016" s="4">
        <v>46290.614327662042</v>
      </c>
      <c r="J1016" s="3">
        <f>ROUND((I1016-H1016)*1440,0)</f>
        <v>137</v>
      </c>
      <c r="K1016" s="3" t="s">
        <v>529</v>
      </c>
      <c r="L1016" s="3" t="s">
        <v>77</v>
      </c>
      <c r="M1016" s="3" t="s">
        <v>78</v>
      </c>
      <c r="N1016" s="3" t="s">
        <v>23</v>
      </c>
      <c r="O1016" s="3" t="s">
        <v>530</v>
      </c>
    </row>
    <row r="1017" spans="1:15" hidden="1" x14ac:dyDescent="0.75">
      <c r="A1017" s="2">
        <v>46290</v>
      </c>
      <c r="B1017" s="3" t="s">
        <v>919</v>
      </c>
      <c r="C1017" s="3" t="s">
        <v>920</v>
      </c>
      <c r="D1017" s="3" t="s">
        <v>17</v>
      </c>
      <c r="E1017" s="3" t="s">
        <v>18</v>
      </c>
      <c r="F1017" s="3" t="s">
        <v>106</v>
      </c>
      <c r="G1017" s="3" t="s">
        <v>107</v>
      </c>
      <c r="H1017" s="4">
        <v>46290.519841898153</v>
      </c>
      <c r="I1017" s="4">
        <v>46290.59467835648</v>
      </c>
      <c r="J1017" s="3">
        <f>ROUND((I1017-H1017)*1440,0)</f>
        <v>108</v>
      </c>
      <c r="K1017" s="3" t="s">
        <v>931</v>
      </c>
      <c r="L1017" s="3" t="s">
        <v>77</v>
      </c>
      <c r="M1017" s="3" t="s">
        <v>78</v>
      </c>
      <c r="N1017" s="3" t="s">
        <v>23</v>
      </c>
      <c r="O1017" s="3" t="s">
        <v>932</v>
      </c>
    </row>
    <row r="1018" spans="1:15" hidden="1" x14ac:dyDescent="0.75">
      <c r="A1018" s="2">
        <v>46290</v>
      </c>
      <c r="B1018" s="3" t="s">
        <v>953</v>
      </c>
      <c r="C1018" s="3" t="s">
        <v>954</v>
      </c>
      <c r="D1018" s="3" t="s">
        <v>17</v>
      </c>
      <c r="E1018" s="3" t="s">
        <v>18</v>
      </c>
      <c r="F1018" s="3" t="s">
        <v>334</v>
      </c>
      <c r="G1018" s="3" t="s">
        <v>335</v>
      </c>
      <c r="H1018" s="4">
        <v>46290.520999884262</v>
      </c>
      <c r="I1018" s="4">
        <v>46290.601681018517</v>
      </c>
      <c r="J1018" s="3">
        <f>ROUND((I1018-H1018)*1440,0)</f>
        <v>116</v>
      </c>
      <c r="K1018" s="3" t="s">
        <v>801</v>
      </c>
      <c r="L1018" s="3" t="s">
        <v>77</v>
      </c>
      <c r="M1018" s="3" t="s">
        <v>78</v>
      </c>
      <c r="N1018" s="3" t="s">
        <v>23</v>
      </c>
      <c r="O1018" s="3" t="s">
        <v>802</v>
      </c>
    </row>
    <row r="1019" spans="1:15" hidden="1" x14ac:dyDescent="0.75">
      <c r="A1019" s="2">
        <v>46290</v>
      </c>
      <c r="B1019" s="3" t="s">
        <v>927</v>
      </c>
      <c r="C1019" s="3" t="s">
        <v>928</v>
      </c>
      <c r="D1019" s="3" t="s">
        <v>27</v>
      </c>
      <c r="E1019" s="3" t="s">
        <v>28</v>
      </c>
      <c r="F1019" s="3"/>
      <c r="G1019" s="3"/>
      <c r="H1019" s="4">
        <v>46290.521392592593</v>
      </c>
      <c r="I1019" s="4">
        <v>46290.61319502315</v>
      </c>
      <c r="J1019" s="3">
        <f>ROUND((I1019-H1019)*1440,0)</f>
        <v>132</v>
      </c>
      <c r="K1019" s="3" t="s">
        <v>230</v>
      </c>
      <c r="L1019" s="3" t="s">
        <v>77</v>
      </c>
      <c r="M1019" s="3" t="s">
        <v>78</v>
      </c>
      <c r="N1019" s="3" t="s">
        <v>45</v>
      </c>
      <c r="O1019" s="3" t="s">
        <v>231</v>
      </c>
    </row>
    <row r="1020" spans="1:15" hidden="1" x14ac:dyDescent="0.75">
      <c r="A1020" s="2">
        <v>46290</v>
      </c>
      <c r="B1020" s="3" t="s">
        <v>979</v>
      </c>
      <c r="C1020" s="3" t="s">
        <v>980</v>
      </c>
      <c r="D1020" s="3" t="s">
        <v>84</v>
      </c>
      <c r="E1020" s="3" t="s">
        <v>85</v>
      </c>
      <c r="F1020" s="3" t="s">
        <v>82</v>
      </c>
      <c r="G1020" s="3" t="s">
        <v>83</v>
      </c>
      <c r="H1020" s="4">
        <v>46290.521450231478</v>
      </c>
      <c r="I1020" s="4">
        <v>46290.613041203702</v>
      </c>
      <c r="J1020" s="3">
        <f>ROUND((I1020-H1020)*1440,0)</f>
        <v>132</v>
      </c>
      <c r="K1020" s="3" t="s">
        <v>434</v>
      </c>
      <c r="L1020" s="3" t="s">
        <v>36</v>
      </c>
      <c r="M1020" s="3" t="s">
        <v>36</v>
      </c>
      <c r="N1020" s="3" t="s">
        <v>23</v>
      </c>
      <c r="O1020" s="3" t="s">
        <v>435</v>
      </c>
    </row>
    <row r="1021" spans="1:15" hidden="1" x14ac:dyDescent="0.75">
      <c r="A1021" s="2">
        <v>46290</v>
      </c>
      <c r="B1021" s="3" t="s">
        <v>1029</v>
      </c>
      <c r="C1021" s="3" t="s">
        <v>1030</v>
      </c>
      <c r="D1021" s="3" t="s">
        <v>27</v>
      </c>
      <c r="E1021" s="3" t="s">
        <v>28</v>
      </c>
      <c r="F1021" s="3" t="s">
        <v>1031</v>
      </c>
      <c r="G1021" s="3" t="s">
        <v>1032</v>
      </c>
      <c r="H1021" s="4">
        <v>46290.522426041673</v>
      </c>
      <c r="I1021" s="4">
        <v>46290.599188541673</v>
      </c>
      <c r="J1021" s="3">
        <f>ROUND((I1021-H1021)*1440,0)</f>
        <v>111</v>
      </c>
      <c r="K1021" s="3" t="s">
        <v>1033</v>
      </c>
      <c r="L1021" s="3" t="s">
        <v>77</v>
      </c>
      <c r="M1021" s="3" t="s">
        <v>78</v>
      </c>
      <c r="N1021" s="3" t="s">
        <v>23</v>
      </c>
      <c r="O1021" s="3" t="s">
        <v>1034</v>
      </c>
    </row>
    <row r="1022" spans="1:15" hidden="1" x14ac:dyDescent="0.75">
      <c r="A1022" s="2">
        <v>46290</v>
      </c>
      <c r="B1022" s="3" t="s">
        <v>2205</v>
      </c>
      <c r="C1022" s="3" t="s">
        <v>2206</v>
      </c>
      <c r="D1022" s="3" t="s">
        <v>1871</v>
      </c>
      <c r="E1022" s="3" t="s">
        <v>1872</v>
      </c>
      <c r="F1022" s="3" t="s">
        <v>56</v>
      </c>
      <c r="G1022" s="3" t="s">
        <v>57</v>
      </c>
      <c r="H1022" s="4">
        <v>46290.522513310178</v>
      </c>
      <c r="I1022" s="4">
        <v>46290.633179629629</v>
      </c>
      <c r="J1022" s="3">
        <f>ROUND((I1022-H1022)*1440,0)</f>
        <v>159</v>
      </c>
      <c r="K1022" s="3" t="s">
        <v>1505</v>
      </c>
      <c r="L1022" s="3" t="s">
        <v>36</v>
      </c>
      <c r="M1022" s="3" t="s">
        <v>36</v>
      </c>
      <c r="N1022" s="3" t="s">
        <v>23</v>
      </c>
      <c r="O1022" s="3" t="s">
        <v>1506</v>
      </c>
    </row>
    <row r="1023" spans="1:15" hidden="1" x14ac:dyDescent="0.75">
      <c r="A1023" s="2">
        <v>46290</v>
      </c>
      <c r="B1023" s="3" t="s">
        <v>995</v>
      </c>
      <c r="C1023" s="3" t="s">
        <v>996</v>
      </c>
      <c r="D1023" s="3" t="s">
        <v>27</v>
      </c>
      <c r="E1023" s="3" t="s">
        <v>28</v>
      </c>
      <c r="F1023" s="3" t="s">
        <v>304</v>
      </c>
      <c r="G1023" s="3" t="s">
        <v>305</v>
      </c>
      <c r="H1023" s="4">
        <v>46290.523138078701</v>
      </c>
      <c r="I1023" s="4">
        <v>46290.770980555557</v>
      </c>
      <c r="J1023" s="3">
        <f>ROUND((I1023-H1023)*1440,0)</f>
        <v>357</v>
      </c>
      <c r="K1023" s="3" t="s">
        <v>326</v>
      </c>
      <c r="L1023" s="3" t="s">
        <v>22</v>
      </c>
      <c r="M1023" s="3" t="s">
        <v>22</v>
      </c>
      <c r="N1023" s="3" t="s">
        <v>23</v>
      </c>
      <c r="O1023" s="3" t="s">
        <v>327</v>
      </c>
    </row>
    <row r="1024" spans="1:15" hidden="1" x14ac:dyDescent="0.75">
      <c r="A1024" s="2">
        <v>46290</v>
      </c>
      <c r="B1024" s="3" t="s">
        <v>895</v>
      </c>
      <c r="C1024" s="3" t="s">
        <v>896</v>
      </c>
      <c r="D1024" s="3" t="s">
        <v>897</v>
      </c>
      <c r="E1024" s="3" t="s">
        <v>898</v>
      </c>
      <c r="F1024" s="3" t="s">
        <v>56</v>
      </c>
      <c r="G1024" s="3" t="s">
        <v>57</v>
      </c>
      <c r="H1024" s="4">
        <v>46290.525759027783</v>
      </c>
      <c r="I1024" s="4">
        <v>46290.598354282411</v>
      </c>
      <c r="J1024" s="3">
        <f>ROUND((I1024-H1024)*1440,0)</f>
        <v>105</v>
      </c>
      <c r="K1024" s="3" t="s">
        <v>1571</v>
      </c>
      <c r="L1024" s="3" t="s">
        <v>36</v>
      </c>
      <c r="M1024" s="3" t="s">
        <v>36</v>
      </c>
      <c r="N1024" s="3" t="s">
        <v>23</v>
      </c>
      <c r="O1024" s="3" t="s">
        <v>1572</v>
      </c>
    </row>
    <row r="1025" spans="1:15" hidden="1" x14ac:dyDescent="0.75">
      <c r="A1025" s="2">
        <v>46290</v>
      </c>
      <c r="B1025" s="3" t="s">
        <v>1003</v>
      </c>
      <c r="C1025" s="3" t="s">
        <v>1004</v>
      </c>
      <c r="D1025" s="3" t="s">
        <v>27</v>
      </c>
      <c r="E1025" s="3" t="s">
        <v>28</v>
      </c>
      <c r="F1025" s="3" t="s">
        <v>1005</v>
      </c>
      <c r="G1025" s="3" t="s">
        <v>1006</v>
      </c>
      <c r="H1025" s="4">
        <v>46290.526721875001</v>
      </c>
      <c r="I1025" s="4">
        <v>46290.614847106481</v>
      </c>
      <c r="J1025" s="3">
        <f>ROUND((I1025-H1025)*1440,0)</f>
        <v>127</v>
      </c>
      <c r="K1025" s="3" t="s">
        <v>236</v>
      </c>
      <c r="L1025" s="3" t="s">
        <v>77</v>
      </c>
      <c r="M1025" s="3" t="s">
        <v>78</v>
      </c>
      <c r="N1025" s="3" t="s">
        <v>45</v>
      </c>
      <c r="O1025" s="3" t="s">
        <v>237</v>
      </c>
    </row>
    <row r="1026" spans="1:15" hidden="1" x14ac:dyDescent="0.75">
      <c r="A1026" s="2">
        <v>46290</v>
      </c>
      <c r="B1026" s="3" t="s">
        <v>2207</v>
      </c>
      <c r="C1026" s="3" t="s">
        <v>2208</v>
      </c>
      <c r="D1026" s="3" t="s">
        <v>334</v>
      </c>
      <c r="E1026" s="3" t="s">
        <v>335</v>
      </c>
      <c r="F1026" s="3" t="s">
        <v>17</v>
      </c>
      <c r="G1026" s="3" t="s">
        <v>18</v>
      </c>
      <c r="H1026" s="4">
        <v>46290.526800694453</v>
      </c>
      <c r="I1026" s="4">
        <v>46290.598694097222</v>
      </c>
      <c r="J1026" s="3">
        <f>ROUND((I1026-H1026)*1440,0)</f>
        <v>104</v>
      </c>
      <c r="K1026" s="3" t="s">
        <v>807</v>
      </c>
      <c r="L1026" s="3" t="s">
        <v>77</v>
      </c>
      <c r="M1026" s="3" t="s">
        <v>78</v>
      </c>
      <c r="N1026" s="3" t="s">
        <v>23</v>
      </c>
      <c r="O1026" s="3" t="s">
        <v>808</v>
      </c>
    </row>
    <row r="1027" spans="1:15" hidden="1" x14ac:dyDescent="0.75">
      <c r="A1027" s="2">
        <v>46290</v>
      </c>
      <c r="B1027" s="3" t="s">
        <v>1219</v>
      </c>
      <c r="C1027" s="3" t="s">
        <v>1220</v>
      </c>
      <c r="D1027" s="3" t="s">
        <v>17</v>
      </c>
      <c r="E1027" s="3" t="s">
        <v>18</v>
      </c>
      <c r="F1027" s="3" t="s">
        <v>56</v>
      </c>
      <c r="G1027" s="3" t="s">
        <v>57</v>
      </c>
      <c r="H1027" s="4">
        <v>46290.52725324074</v>
      </c>
      <c r="I1027" s="4">
        <v>46290.621478125002</v>
      </c>
      <c r="J1027" s="3">
        <f>ROUND((I1027-H1027)*1440,0)</f>
        <v>136</v>
      </c>
      <c r="K1027" s="3" t="s">
        <v>292</v>
      </c>
      <c r="L1027" s="3" t="s">
        <v>36</v>
      </c>
      <c r="M1027" s="3" t="s">
        <v>36</v>
      </c>
      <c r="N1027" s="3" t="s">
        <v>23</v>
      </c>
      <c r="O1027" s="3" t="s">
        <v>293</v>
      </c>
    </row>
    <row r="1028" spans="1:15" hidden="1" x14ac:dyDescent="0.75">
      <c r="A1028" s="2">
        <v>46290</v>
      </c>
      <c r="B1028" s="3" t="s">
        <v>997</v>
      </c>
      <c r="C1028" s="3" t="s">
        <v>998</v>
      </c>
      <c r="D1028" s="3" t="s">
        <v>27</v>
      </c>
      <c r="E1028" s="3" t="s">
        <v>28</v>
      </c>
      <c r="F1028" s="3" t="s">
        <v>56</v>
      </c>
      <c r="G1028" s="3" t="s">
        <v>57</v>
      </c>
      <c r="H1028" s="4">
        <v>46290.52921458333</v>
      </c>
      <c r="I1028" s="4">
        <v>46290.647254861113</v>
      </c>
      <c r="J1028" s="3">
        <f>ROUND((I1028-H1028)*1440,0)</f>
        <v>170</v>
      </c>
      <c r="K1028" s="3" t="s">
        <v>999</v>
      </c>
      <c r="L1028" s="3" t="s">
        <v>36</v>
      </c>
      <c r="M1028" s="3" t="s">
        <v>36</v>
      </c>
      <c r="N1028" s="3" t="s">
        <v>23</v>
      </c>
      <c r="O1028" s="3" t="s">
        <v>1000</v>
      </c>
    </row>
    <row r="1029" spans="1:15" hidden="1" x14ac:dyDescent="0.75">
      <c r="A1029" s="2">
        <v>46290</v>
      </c>
      <c r="B1029" s="3" t="s">
        <v>1011</v>
      </c>
      <c r="C1029" s="3" t="s">
        <v>1012</v>
      </c>
      <c r="D1029" s="3" t="s">
        <v>27</v>
      </c>
      <c r="E1029" s="3" t="s">
        <v>28</v>
      </c>
      <c r="F1029" s="3" t="s">
        <v>1013</v>
      </c>
      <c r="G1029" s="3" t="s">
        <v>1014</v>
      </c>
      <c r="H1029" s="4">
        <v>46290.530225347233</v>
      </c>
      <c r="I1029" s="4">
        <v>46290.639043171293</v>
      </c>
      <c r="J1029" s="3">
        <f>ROUND((I1029-H1029)*1440,0)</f>
        <v>157</v>
      </c>
      <c r="K1029" s="3" t="s">
        <v>831</v>
      </c>
      <c r="L1029" s="3" t="s">
        <v>77</v>
      </c>
      <c r="M1029" s="3" t="s">
        <v>78</v>
      </c>
      <c r="N1029" s="3" t="s">
        <v>45</v>
      </c>
      <c r="O1029" s="3" t="s">
        <v>832</v>
      </c>
    </row>
    <row r="1030" spans="1:15" hidden="1" x14ac:dyDescent="0.75">
      <c r="A1030" s="2">
        <v>46290</v>
      </c>
      <c r="B1030" s="3" t="s">
        <v>1017</v>
      </c>
      <c r="C1030" s="3" t="s">
        <v>1018</v>
      </c>
      <c r="D1030" s="3" t="s">
        <v>27</v>
      </c>
      <c r="E1030" s="3" t="s">
        <v>28</v>
      </c>
      <c r="F1030" s="3" t="s">
        <v>148</v>
      </c>
      <c r="G1030" s="3" t="s">
        <v>149</v>
      </c>
      <c r="H1030" s="4">
        <v>46290.53199236111</v>
      </c>
      <c r="I1030" s="4">
        <v>46290.597930787037</v>
      </c>
      <c r="J1030" s="3">
        <f>ROUND((I1030-H1030)*1440,0)</f>
        <v>95</v>
      </c>
      <c r="K1030" s="3" t="s">
        <v>224</v>
      </c>
      <c r="L1030" s="3" t="s">
        <v>77</v>
      </c>
      <c r="M1030" s="3" t="s">
        <v>78</v>
      </c>
      <c r="N1030" s="3" t="s">
        <v>23</v>
      </c>
      <c r="O1030" s="3" t="s">
        <v>225</v>
      </c>
    </row>
    <row r="1031" spans="1:15" hidden="1" x14ac:dyDescent="0.75">
      <c r="A1031" s="2">
        <v>46290</v>
      </c>
      <c r="B1031" s="3" t="s">
        <v>957</v>
      </c>
      <c r="C1031" s="3" t="s">
        <v>958</v>
      </c>
      <c r="D1031" s="3" t="s">
        <v>27</v>
      </c>
      <c r="E1031" s="3" t="s">
        <v>28</v>
      </c>
      <c r="F1031" s="3" t="s">
        <v>270</v>
      </c>
      <c r="G1031" s="3" t="s">
        <v>271</v>
      </c>
      <c r="H1031" s="4">
        <v>46290.533699884261</v>
      </c>
      <c r="I1031" s="4">
        <v>46290.677801388891</v>
      </c>
      <c r="J1031" s="3">
        <f>ROUND((I1031-H1031)*1440,0)</f>
        <v>208</v>
      </c>
      <c r="K1031" s="3" t="s">
        <v>138</v>
      </c>
      <c r="L1031" s="3" t="s">
        <v>36</v>
      </c>
      <c r="M1031" s="3" t="s">
        <v>36</v>
      </c>
      <c r="N1031" s="3" t="s">
        <v>45</v>
      </c>
      <c r="O1031" s="3" t="s">
        <v>139</v>
      </c>
    </row>
    <row r="1032" spans="1:15" hidden="1" x14ac:dyDescent="0.75">
      <c r="A1032" s="2">
        <v>46290</v>
      </c>
      <c r="B1032" s="3" t="s">
        <v>989</v>
      </c>
      <c r="C1032" s="3" t="s">
        <v>990</v>
      </c>
      <c r="D1032" s="3" t="s">
        <v>244</v>
      </c>
      <c r="E1032" s="3" t="s">
        <v>245</v>
      </c>
      <c r="F1032" s="3" t="s">
        <v>68</v>
      </c>
      <c r="G1032" s="3" t="s">
        <v>69</v>
      </c>
      <c r="H1032" s="4">
        <v>46290.535081018519</v>
      </c>
      <c r="I1032" s="4">
        <v>46290.634526851849</v>
      </c>
      <c r="J1032" s="3">
        <f>ROUND((I1032-H1032)*1440,0)</f>
        <v>143</v>
      </c>
      <c r="K1032" s="3" t="s">
        <v>985</v>
      </c>
      <c r="L1032" s="3" t="s">
        <v>36</v>
      </c>
      <c r="M1032" s="3" t="s">
        <v>36</v>
      </c>
      <c r="N1032" s="3" t="s">
        <v>23</v>
      </c>
      <c r="O1032" s="3" t="s">
        <v>986</v>
      </c>
    </row>
    <row r="1033" spans="1:15" hidden="1" x14ac:dyDescent="0.75">
      <c r="A1033" s="2">
        <v>46290</v>
      </c>
      <c r="B1033" s="3" t="s">
        <v>1021</v>
      </c>
      <c r="C1033" s="3" t="s">
        <v>1022</v>
      </c>
      <c r="D1033" s="3" t="s">
        <v>27</v>
      </c>
      <c r="E1033" s="3" t="s">
        <v>28</v>
      </c>
      <c r="F1033" s="3" t="s">
        <v>218</v>
      </c>
      <c r="G1033" s="3" t="s">
        <v>219</v>
      </c>
      <c r="H1033" s="4">
        <v>46290.538717129632</v>
      </c>
      <c r="I1033" s="4">
        <v>46290.599348148149</v>
      </c>
      <c r="J1033" s="3">
        <f>ROUND((I1033-H1033)*1440,0)</f>
        <v>87</v>
      </c>
      <c r="K1033" s="3" t="s">
        <v>1115</v>
      </c>
      <c r="L1033" s="3" t="s">
        <v>77</v>
      </c>
      <c r="M1033" s="3" t="s">
        <v>78</v>
      </c>
      <c r="N1033" s="3" t="s">
        <v>23</v>
      </c>
      <c r="O1033" s="3" t="s">
        <v>1116</v>
      </c>
    </row>
    <row r="1034" spans="1:15" hidden="1" x14ac:dyDescent="0.75">
      <c r="A1034" s="2">
        <v>46290</v>
      </c>
      <c r="B1034" s="3" t="s">
        <v>1035</v>
      </c>
      <c r="C1034" s="3" t="s">
        <v>1036</v>
      </c>
      <c r="D1034" s="3" t="s">
        <v>84</v>
      </c>
      <c r="E1034" s="3" t="s">
        <v>85</v>
      </c>
      <c r="F1034" s="3"/>
      <c r="G1034" s="3"/>
      <c r="H1034" s="4">
        <v>46290.539302314814</v>
      </c>
      <c r="I1034" s="4">
        <v>46290.563608101853</v>
      </c>
      <c r="J1034" s="3">
        <f>ROUND((I1034-H1034)*1440,0)</f>
        <v>35</v>
      </c>
      <c r="K1034" s="3" t="s">
        <v>1501</v>
      </c>
      <c r="L1034" s="3" t="s">
        <v>77</v>
      </c>
      <c r="M1034" s="3" t="s">
        <v>78</v>
      </c>
      <c r="N1034" s="3" t="s">
        <v>45</v>
      </c>
      <c r="O1034" s="3" t="s">
        <v>1502</v>
      </c>
    </row>
    <row r="1035" spans="1:15" hidden="1" x14ac:dyDescent="0.75">
      <c r="A1035" s="2">
        <v>46290</v>
      </c>
      <c r="B1035" s="3" t="s">
        <v>1047</v>
      </c>
      <c r="C1035" s="3" t="s">
        <v>1048</v>
      </c>
      <c r="D1035" s="3" t="s">
        <v>56</v>
      </c>
      <c r="E1035" s="3" t="s">
        <v>57</v>
      </c>
      <c r="F1035" s="3" t="s">
        <v>17</v>
      </c>
      <c r="G1035" s="3" t="s">
        <v>18</v>
      </c>
      <c r="H1035" s="4">
        <v>46290.540207986109</v>
      </c>
      <c r="I1035" s="4">
        <v>46290.649319212956</v>
      </c>
      <c r="J1035" s="3">
        <f>ROUND((I1035-H1035)*1440,0)</f>
        <v>157</v>
      </c>
      <c r="K1035" s="3" t="s">
        <v>2209</v>
      </c>
      <c r="L1035" s="3" t="s">
        <v>22</v>
      </c>
      <c r="M1035" s="3" t="s">
        <v>22</v>
      </c>
      <c r="N1035" s="3" t="s">
        <v>23</v>
      </c>
      <c r="O1035" s="3" t="s">
        <v>2210</v>
      </c>
    </row>
    <row r="1036" spans="1:15" hidden="1" x14ac:dyDescent="0.75">
      <c r="A1036" s="2">
        <v>46290</v>
      </c>
      <c r="B1036" s="3" t="s">
        <v>945</v>
      </c>
      <c r="C1036" s="3" t="s">
        <v>946</v>
      </c>
      <c r="D1036" s="3" t="s">
        <v>27</v>
      </c>
      <c r="E1036" s="3" t="s">
        <v>28</v>
      </c>
      <c r="F1036" s="3" t="s">
        <v>68</v>
      </c>
      <c r="G1036" s="3" t="s">
        <v>69</v>
      </c>
      <c r="H1036" s="4">
        <v>46290.540772453707</v>
      </c>
      <c r="I1036" s="4">
        <v>46290.648019328713</v>
      </c>
      <c r="J1036" s="3">
        <f>ROUND((I1036-H1036)*1440,0)</f>
        <v>154</v>
      </c>
      <c r="K1036" s="3" t="s">
        <v>721</v>
      </c>
      <c r="L1036" s="3" t="s">
        <v>22</v>
      </c>
      <c r="M1036" s="3" t="s">
        <v>22</v>
      </c>
      <c r="N1036" s="3" t="s">
        <v>23</v>
      </c>
      <c r="O1036" s="3" t="s">
        <v>722</v>
      </c>
    </row>
    <row r="1037" spans="1:15" hidden="1" x14ac:dyDescent="0.75">
      <c r="A1037" s="2">
        <v>46290</v>
      </c>
      <c r="B1037" s="3" t="s">
        <v>1073</v>
      </c>
      <c r="C1037" s="3" t="s">
        <v>1074</v>
      </c>
      <c r="D1037" s="3" t="s">
        <v>27</v>
      </c>
      <c r="E1037" s="3" t="s">
        <v>28</v>
      </c>
      <c r="F1037" s="3" t="s">
        <v>737</v>
      </c>
      <c r="G1037" s="3" t="s">
        <v>738</v>
      </c>
      <c r="H1037" s="4">
        <v>46290.54178472222</v>
      </c>
      <c r="I1037" s="4">
        <v>46290.587413541667</v>
      </c>
      <c r="J1037" s="3">
        <f>ROUND((I1037-H1037)*1440,0)</f>
        <v>66</v>
      </c>
      <c r="K1037" s="3" t="s">
        <v>256</v>
      </c>
      <c r="L1037" s="3" t="s">
        <v>36</v>
      </c>
      <c r="M1037" s="3" t="s">
        <v>36</v>
      </c>
      <c r="N1037" s="3" t="s">
        <v>45</v>
      </c>
      <c r="O1037" s="3" t="s">
        <v>257</v>
      </c>
    </row>
    <row r="1038" spans="1:15" hidden="1" x14ac:dyDescent="0.75">
      <c r="A1038" s="2">
        <v>46290</v>
      </c>
      <c r="B1038" s="3" t="s">
        <v>2211</v>
      </c>
      <c r="C1038" s="3" t="s">
        <v>2212</v>
      </c>
      <c r="D1038" s="3" t="s">
        <v>82</v>
      </c>
      <c r="E1038" s="3" t="s">
        <v>83</v>
      </c>
      <c r="F1038" s="3" t="s">
        <v>172</v>
      </c>
      <c r="G1038" s="3" t="s">
        <v>173</v>
      </c>
      <c r="H1038" s="4">
        <v>46290.544203124999</v>
      </c>
      <c r="I1038" s="4">
        <v>46290.652077199084</v>
      </c>
      <c r="J1038" s="3">
        <f>ROUND((I1038-H1038)*1440,0)</f>
        <v>155</v>
      </c>
      <c r="K1038" s="3" t="s">
        <v>246</v>
      </c>
      <c r="L1038" s="3" t="s">
        <v>36</v>
      </c>
      <c r="M1038" s="3" t="s">
        <v>36</v>
      </c>
      <c r="N1038" s="3" t="s">
        <v>23</v>
      </c>
      <c r="O1038" s="3" t="s">
        <v>247</v>
      </c>
    </row>
    <row r="1039" spans="1:15" hidden="1" x14ac:dyDescent="0.75">
      <c r="A1039" s="2">
        <v>46290</v>
      </c>
      <c r="B1039" s="3" t="s">
        <v>1071</v>
      </c>
      <c r="C1039" s="3" t="s">
        <v>1072</v>
      </c>
      <c r="D1039" s="3" t="s">
        <v>17</v>
      </c>
      <c r="E1039" s="3" t="s">
        <v>18</v>
      </c>
      <c r="F1039" s="3"/>
      <c r="G1039" s="3"/>
      <c r="H1039" s="4">
        <v>46290.544390162038</v>
      </c>
      <c r="I1039" s="4">
        <v>46290.68400115741</v>
      </c>
      <c r="J1039" s="3">
        <f>ROUND((I1039-H1039)*1440,0)</f>
        <v>201</v>
      </c>
      <c r="K1039" s="3" t="s">
        <v>418</v>
      </c>
      <c r="L1039" s="3" t="s">
        <v>36</v>
      </c>
      <c r="M1039" s="3" t="s">
        <v>36</v>
      </c>
      <c r="N1039" s="3" t="s">
        <v>443</v>
      </c>
      <c r="O1039" s="3" t="s">
        <v>419</v>
      </c>
    </row>
    <row r="1040" spans="1:15" hidden="1" x14ac:dyDescent="0.75">
      <c r="A1040" s="2">
        <v>46290</v>
      </c>
      <c r="B1040" s="3" t="s">
        <v>1107</v>
      </c>
      <c r="C1040" s="3" t="s">
        <v>1108</v>
      </c>
      <c r="D1040" s="3"/>
      <c r="E1040" s="3"/>
      <c r="F1040" s="3" t="s">
        <v>17</v>
      </c>
      <c r="G1040" s="3" t="s">
        <v>18</v>
      </c>
      <c r="H1040" s="4">
        <v>46290.546250694453</v>
      </c>
      <c r="I1040" s="4">
        <v>46290.602612847222</v>
      </c>
      <c r="J1040" s="3">
        <f>ROUND((I1040-H1040)*1440,0)</f>
        <v>81</v>
      </c>
      <c r="K1040" s="3" t="s">
        <v>188</v>
      </c>
      <c r="L1040" s="3" t="s">
        <v>22</v>
      </c>
      <c r="M1040" s="3" t="s">
        <v>22</v>
      </c>
      <c r="N1040" s="3" t="s">
        <v>23</v>
      </c>
      <c r="O1040" s="3" t="s">
        <v>189</v>
      </c>
    </row>
    <row r="1041" spans="1:15" hidden="1" x14ac:dyDescent="0.75">
      <c r="A1041" s="2">
        <v>46290</v>
      </c>
      <c r="B1041" s="3" t="s">
        <v>1065</v>
      </c>
      <c r="C1041" s="3" t="s">
        <v>1066</v>
      </c>
      <c r="D1041" s="3" t="s">
        <v>27</v>
      </c>
      <c r="E1041" s="3" t="s">
        <v>28</v>
      </c>
      <c r="F1041" s="3" t="s">
        <v>977</v>
      </c>
      <c r="G1041" s="3" t="s">
        <v>978</v>
      </c>
      <c r="H1041" s="4">
        <v>46290.547470486112</v>
      </c>
      <c r="I1041" s="4">
        <v>46290.634701967603</v>
      </c>
      <c r="J1041" s="3">
        <f>ROUND((I1041-H1041)*1440,0)</f>
        <v>126</v>
      </c>
      <c r="K1041" s="3" t="s">
        <v>891</v>
      </c>
      <c r="L1041" s="3" t="s">
        <v>77</v>
      </c>
      <c r="M1041" s="3" t="s">
        <v>78</v>
      </c>
      <c r="N1041" s="3" t="s">
        <v>45</v>
      </c>
      <c r="O1041" s="3" t="s">
        <v>892</v>
      </c>
    </row>
    <row r="1042" spans="1:15" hidden="1" x14ac:dyDescent="0.75">
      <c r="A1042" s="2">
        <v>46290</v>
      </c>
      <c r="B1042" s="3" t="s">
        <v>1059</v>
      </c>
      <c r="C1042" s="3" t="s">
        <v>1060</v>
      </c>
      <c r="D1042" s="3" t="s">
        <v>737</v>
      </c>
      <c r="E1042" s="3" t="s">
        <v>738</v>
      </c>
      <c r="F1042" s="3" t="s">
        <v>27</v>
      </c>
      <c r="G1042" s="3" t="s">
        <v>28</v>
      </c>
      <c r="H1042" s="4">
        <v>46290.547518287043</v>
      </c>
      <c r="I1042" s="4">
        <v>46290.595235300927</v>
      </c>
      <c r="J1042" s="3">
        <f>ROUND((I1042-H1042)*1440,0)</f>
        <v>69</v>
      </c>
      <c r="K1042" s="3" t="s">
        <v>1911</v>
      </c>
      <c r="L1042" s="3" t="s">
        <v>77</v>
      </c>
      <c r="M1042" s="3" t="s">
        <v>78</v>
      </c>
      <c r="N1042" s="3" t="s">
        <v>23</v>
      </c>
      <c r="O1042" s="3" t="s">
        <v>1912</v>
      </c>
    </row>
    <row r="1043" spans="1:15" hidden="1" x14ac:dyDescent="0.75">
      <c r="A1043" s="2">
        <v>46290</v>
      </c>
      <c r="B1043" s="3" t="s">
        <v>2213</v>
      </c>
      <c r="C1043" s="3" t="s">
        <v>2214</v>
      </c>
      <c r="D1043" s="3" t="s">
        <v>1871</v>
      </c>
      <c r="E1043" s="3" t="s">
        <v>1872</v>
      </c>
      <c r="F1043" s="3" t="s">
        <v>82</v>
      </c>
      <c r="G1043" s="3" t="s">
        <v>83</v>
      </c>
      <c r="H1043" s="4">
        <v>46290.548365856477</v>
      </c>
      <c r="I1043" s="4">
        <v>46290.650402893523</v>
      </c>
      <c r="J1043" s="3">
        <f>ROUND((I1043-H1043)*1440,0)</f>
        <v>147</v>
      </c>
      <c r="K1043" s="3" t="s">
        <v>1873</v>
      </c>
      <c r="L1043" s="3" t="s">
        <v>36</v>
      </c>
      <c r="M1043" s="3" t="s">
        <v>36</v>
      </c>
      <c r="N1043" s="3" t="s">
        <v>23</v>
      </c>
      <c r="O1043" s="3" t="s">
        <v>1874</v>
      </c>
    </row>
    <row r="1044" spans="1:15" hidden="1" x14ac:dyDescent="0.75">
      <c r="A1044" s="2">
        <v>46290</v>
      </c>
      <c r="B1044" s="3" t="s">
        <v>1053</v>
      </c>
      <c r="C1044" s="3" t="s">
        <v>1054</v>
      </c>
      <c r="D1044" s="3" t="s">
        <v>264</v>
      </c>
      <c r="E1044" s="3" t="s">
        <v>265</v>
      </c>
      <c r="F1044" s="3" t="s">
        <v>17</v>
      </c>
      <c r="G1044" s="3" t="s">
        <v>18</v>
      </c>
      <c r="H1044" s="4">
        <v>46290.548861111107</v>
      </c>
      <c r="I1044" s="4">
        <v>46290.732123842587</v>
      </c>
      <c r="J1044" s="3">
        <f>ROUND((I1044-H1044)*1440,0)</f>
        <v>264</v>
      </c>
      <c r="K1044" s="3" t="s">
        <v>509</v>
      </c>
      <c r="L1044" s="3" t="s">
        <v>22</v>
      </c>
      <c r="M1044" s="3" t="s">
        <v>22</v>
      </c>
      <c r="N1044" s="3" t="s">
        <v>23</v>
      </c>
      <c r="O1044" s="3" t="s">
        <v>510</v>
      </c>
    </row>
    <row r="1045" spans="1:15" hidden="1" x14ac:dyDescent="0.75">
      <c r="A1045" s="2">
        <v>46290</v>
      </c>
      <c r="B1045" s="3" t="s">
        <v>1057</v>
      </c>
      <c r="C1045" s="3" t="s">
        <v>1058</v>
      </c>
      <c r="D1045" s="3" t="s">
        <v>304</v>
      </c>
      <c r="E1045" s="3" t="s">
        <v>305</v>
      </c>
      <c r="F1045" s="3" t="s">
        <v>58</v>
      </c>
      <c r="G1045" s="3" t="s">
        <v>59</v>
      </c>
      <c r="H1045" s="4">
        <v>46290.550530439818</v>
      </c>
      <c r="I1045" s="4">
        <v>46290.756127430563</v>
      </c>
      <c r="J1045" s="3">
        <f>ROUND((I1045-H1045)*1440,0)</f>
        <v>296</v>
      </c>
      <c r="K1045" s="3" t="s">
        <v>523</v>
      </c>
      <c r="L1045" s="3" t="s">
        <v>22</v>
      </c>
      <c r="M1045" s="3" t="s">
        <v>22</v>
      </c>
      <c r="N1045" s="3" t="s">
        <v>23</v>
      </c>
      <c r="O1045" s="3" t="s">
        <v>524</v>
      </c>
    </row>
    <row r="1046" spans="1:15" hidden="1" x14ac:dyDescent="0.75">
      <c r="A1046" s="2">
        <v>46290</v>
      </c>
      <c r="B1046" s="3" t="s">
        <v>1079</v>
      </c>
      <c r="C1046" s="3" t="s">
        <v>1080</v>
      </c>
      <c r="D1046" s="3" t="s">
        <v>228</v>
      </c>
      <c r="E1046" s="3" t="s">
        <v>229</v>
      </c>
      <c r="F1046" s="3" t="s">
        <v>27</v>
      </c>
      <c r="G1046" s="3" t="s">
        <v>28</v>
      </c>
      <c r="H1046" s="4">
        <v>46290.551576273137</v>
      </c>
      <c r="I1046" s="4">
        <v>46290.613438310182</v>
      </c>
      <c r="J1046" s="3">
        <f>ROUND((I1046-H1046)*1440,0)</f>
        <v>89</v>
      </c>
      <c r="K1046" s="3" t="s">
        <v>743</v>
      </c>
      <c r="L1046" s="3" t="s">
        <v>77</v>
      </c>
      <c r="M1046" s="3" t="s">
        <v>78</v>
      </c>
      <c r="N1046" s="3" t="s">
        <v>23</v>
      </c>
      <c r="O1046" s="3" t="s">
        <v>744</v>
      </c>
    </row>
    <row r="1047" spans="1:15" hidden="1" x14ac:dyDescent="0.75">
      <c r="A1047" s="2">
        <v>46290</v>
      </c>
      <c r="B1047" s="3" t="s">
        <v>1067</v>
      </c>
      <c r="C1047" s="3" t="s">
        <v>1068</v>
      </c>
      <c r="D1047" s="3" t="s">
        <v>615</v>
      </c>
      <c r="E1047" s="3" t="s">
        <v>616</v>
      </c>
      <c r="F1047" s="3" t="s">
        <v>56</v>
      </c>
      <c r="G1047" s="3" t="s">
        <v>57</v>
      </c>
      <c r="H1047" s="4">
        <v>46290.552006944446</v>
      </c>
      <c r="I1047" s="4">
        <v>46290.646045023153</v>
      </c>
      <c r="J1047" s="3">
        <f>ROUND((I1047-H1047)*1440,0)</f>
        <v>135</v>
      </c>
      <c r="K1047" s="3" t="s">
        <v>2215</v>
      </c>
      <c r="L1047" s="3" t="s">
        <v>36</v>
      </c>
      <c r="M1047" s="3" t="s">
        <v>36</v>
      </c>
      <c r="N1047" s="3" t="s">
        <v>23</v>
      </c>
      <c r="O1047" s="3" t="s">
        <v>2216</v>
      </c>
    </row>
    <row r="1048" spans="1:15" hidden="1" x14ac:dyDescent="0.75">
      <c r="A1048" s="2">
        <v>46290</v>
      </c>
      <c r="B1048" s="3" t="s">
        <v>1007</v>
      </c>
      <c r="C1048" s="3" t="s">
        <v>1008</v>
      </c>
      <c r="D1048" s="3" t="s">
        <v>58</v>
      </c>
      <c r="E1048" s="3" t="s">
        <v>59</v>
      </c>
      <c r="F1048" s="3" t="s">
        <v>56</v>
      </c>
      <c r="G1048" s="3" t="s">
        <v>57</v>
      </c>
      <c r="H1048" s="4">
        <v>46290.552388310192</v>
      </c>
      <c r="I1048" s="4">
        <v>46290.650163773149</v>
      </c>
      <c r="J1048" s="3">
        <f>ROUND((I1048-H1048)*1440,0)</f>
        <v>141</v>
      </c>
      <c r="K1048" s="3" t="s">
        <v>1989</v>
      </c>
      <c r="L1048" s="3" t="s">
        <v>36</v>
      </c>
      <c r="M1048" s="3" t="s">
        <v>36</v>
      </c>
      <c r="N1048" s="3" t="s">
        <v>23</v>
      </c>
      <c r="O1048" s="3" t="s">
        <v>1990</v>
      </c>
    </row>
    <row r="1049" spans="1:15" hidden="1" x14ac:dyDescent="0.75">
      <c r="A1049" s="2">
        <v>46290</v>
      </c>
      <c r="B1049" s="3" t="s">
        <v>771</v>
      </c>
      <c r="C1049" s="3" t="s">
        <v>772</v>
      </c>
      <c r="D1049" s="3" t="s">
        <v>228</v>
      </c>
      <c r="E1049" s="3" t="s">
        <v>229</v>
      </c>
      <c r="F1049" s="3" t="s">
        <v>56</v>
      </c>
      <c r="G1049" s="3" t="s">
        <v>57</v>
      </c>
      <c r="H1049" s="4">
        <v>46290.552462731481</v>
      </c>
      <c r="I1049" s="4">
        <v>46290.638776388892</v>
      </c>
      <c r="J1049" s="3">
        <f>ROUND((I1049-H1049)*1440,0)</f>
        <v>124</v>
      </c>
      <c r="K1049" s="3" t="s">
        <v>2147</v>
      </c>
      <c r="L1049" s="3" t="s">
        <v>77</v>
      </c>
      <c r="M1049" s="3" t="s">
        <v>78</v>
      </c>
      <c r="N1049" s="3" t="s">
        <v>23</v>
      </c>
      <c r="O1049" s="3" t="s">
        <v>2148</v>
      </c>
    </row>
    <row r="1050" spans="1:15" hidden="1" x14ac:dyDescent="0.75">
      <c r="A1050" s="2">
        <v>46290</v>
      </c>
      <c r="B1050" s="3" t="s">
        <v>1001</v>
      </c>
      <c r="C1050" s="3" t="s">
        <v>1002</v>
      </c>
      <c r="D1050" s="3" t="s">
        <v>19</v>
      </c>
      <c r="E1050" s="3" t="s">
        <v>20</v>
      </c>
      <c r="F1050" s="3" t="s">
        <v>56</v>
      </c>
      <c r="G1050" s="3" t="s">
        <v>57</v>
      </c>
      <c r="H1050" s="4">
        <v>46290.553179745373</v>
      </c>
      <c r="I1050" s="4">
        <v>46290.585456250003</v>
      </c>
      <c r="J1050" s="3">
        <f>ROUND((I1050-H1050)*1440,0)</f>
        <v>46</v>
      </c>
      <c r="K1050" s="3" t="s">
        <v>102</v>
      </c>
      <c r="L1050" s="3" t="s">
        <v>36</v>
      </c>
      <c r="M1050" s="3" t="s">
        <v>36</v>
      </c>
      <c r="N1050" s="3" t="s">
        <v>23</v>
      </c>
      <c r="O1050" s="3" t="s">
        <v>103</v>
      </c>
    </row>
    <row r="1051" spans="1:15" hidden="1" x14ac:dyDescent="0.75">
      <c r="A1051" s="2">
        <v>46290</v>
      </c>
      <c r="B1051" s="3" t="s">
        <v>1091</v>
      </c>
      <c r="C1051" s="3" t="s">
        <v>1092</v>
      </c>
      <c r="D1051" s="3" t="s">
        <v>17</v>
      </c>
      <c r="E1051" s="3" t="s">
        <v>18</v>
      </c>
      <c r="F1051" s="3" t="s">
        <v>17</v>
      </c>
      <c r="G1051" s="3" t="s">
        <v>18</v>
      </c>
      <c r="H1051" s="4">
        <v>46290.553652430557</v>
      </c>
      <c r="I1051" s="4">
        <v>46291.018236342592</v>
      </c>
      <c r="J1051" s="3">
        <f>ROUND((I1051-H1051)*1440,0)</f>
        <v>669</v>
      </c>
      <c r="K1051" s="3" t="s">
        <v>1093</v>
      </c>
      <c r="L1051" s="3" t="s">
        <v>43</v>
      </c>
      <c r="M1051" s="3" t="s">
        <v>44</v>
      </c>
      <c r="N1051" s="3" t="s">
        <v>23</v>
      </c>
      <c r="O1051" s="3" t="s">
        <v>1094</v>
      </c>
    </row>
    <row r="1052" spans="1:15" hidden="1" x14ac:dyDescent="0.75">
      <c r="A1052" s="2">
        <v>46290</v>
      </c>
      <c r="B1052" s="3" t="s">
        <v>1075</v>
      </c>
      <c r="C1052" s="3" t="s">
        <v>1076</v>
      </c>
      <c r="D1052" s="3" t="s">
        <v>27</v>
      </c>
      <c r="E1052" s="3" t="s">
        <v>28</v>
      </c>
      <c r="F1052" s="3" t="s">
        <v>196</v>
      </c>
      <c r="G1052" s="3" t="s">
        <v>197</v>
      </c>
      <c r="H1052" s="4">
        <v>46290.55485497685</v>
      </c>
      <c r="I1052" s="4">
        <v>46290.605934143518</v>
      </c>
      <c r="J1052" s="3">
        <f>ROUND((I1052-H1052)*1440,0)</f>
        <v>74</v>
      </c>
      <c r="K1052" s="3" t="s">
        <v>90</v>
      </c>
      <c r="L1052" s="3" t="s">
        <v>77</v>
      </c>
      <c r="M1052" s="3" t="s">
        <v>78</v>
      </c>
      <c r="N1052" s="3" t="s">
        <v>45</v>
      </c>
      <c r="O1052" s="3" t="s">
        <v>91</v>
      </c>
    </row>
    <row r="1053" spans="1:15" hidden="1" x14ac:dyDescent="0.75">
      <c r="A1053" s="2">
        <v>46290</v>
      </c>
      <c r="B1053" s="3" t="s">
        <v>1039</v>
      </c>
      <c r="C1053" s="3" t="s">
        <v>1040</v>
      </c>
      <c r="D1053" s="3" t="s">
        <v>17</v>
      </c>
      <c r="E1053" s="3" t="s">
        <v>18</v>
      </c>
      <c r="F1053" s="3" t="s">
        <v>344</v>
      </c>
      <c r="G1053" s="3" t="s">
        <v>345</v>
      </c>
      <c r="H1053" s="4">
        <v>46290.556737962957</v>
      </c>
      <c r="I1053" s="4">
        <v>46290.820861111111</v>
      </c>
      <c r="J1053" s="3">
        <f>ROUND((I1053-H1053)*1440,0)</f>
        <v>380</v>
      </c>
      <c r="K1053" s="3" t="s">
        <v>346</v>
      </c>
      <c r="L1053" s="3" t="s">
        <v>43</v>
      </c>
      <c r="M1053" s="3" t="s">
        <v>44</v>
      </c>
      <c r="N1053" s="3" t="s">
        <v>23</v>
      </c>
      <c r="O1053" s="3" t="s">
        <v>347</v>
      </c>
    </row>
    <row r="1054" spans="1:15" hidden="1" x14ac:dyDescent="0.75">
      <c r="A1054" s="2">
        <v>46290</v>
      </c>
      <c r="B1054" s="3" t="s">
        <v>1081</v>
      </c>
      <c r="C1054" s="3" t="s">
        <v>1082</v>
      </c>
      <c r="D1054" s="3" t="s">
        <v>82</v>
      </c>
      <c r="E1054" s="3" t="s">
        <v>83</v>
      </c>
      <c r="F1054" s="3" t="s">
        <v>84</v>
      </c>
      <c r="G1054" s="3" t="s">
        <v>85</v>
      </c>
      <c r="H1054" s="4">
        <v>46290.557506134261</v>
      </c>
      <c r="I1054" s="4">
        <v>46290.656698495368</v>
      </c>
      <c r="J1054" s="3">
        <f>ROUND((I1054-H1054)*1440,0)</f>
        <v>143</v>
      </c>
      <c r="K1054" s="3" t="s">
        <v>1185</v>
      </c>
      <c r="L1054" s="3" t="s">
        <v>36</v>
      </c>
      <c r="M1054" s="3" t="s">
        <v>36</v>
      </c>
      <c r="N1054" s="3" t="s">
        <v>45</v>
      </c>
      <c r="O1054" s="3" t="s">
        <v>1186</v>
      </c>
    </row>
    <row r="1055" spans="1:15" hidden="1" x14ac:dyDescent="0.75">
      <c r="A1055" s="2">
        <v>46290</v>
      </c>
      <c r="B1055" s="3" t="s">
        <v>1063</v>
      </c>
      <c r="C1055" s="3" t="s">
        <v>1064</v>
      </c>
      <c r="D1055" s="3" t="s">
        <v>122</v>
      </c>
      <c r="E1055" s="3" t="s">
        <v>123</v>
      </c>
      <c r="F1055" s="3" t="s">
        <v>17</v>
      </c>
      <c r="G1055" s="3" t="s">
        <v>18</v>
      </c>
      <c r="H1055" s="4">
        <v>46290.558056944443</v>
      </c>
      <c r="I1055" s="4">
        <v>46290.768548148153</v>
      </c>
      <c r="J1055" s="3">
        <f>ROUND((I1055-H1055)*1440,0)</f>
        <v>303</v>
      </c>
      <c r="K1055" s="3" t="s">
        <v>481</v>
      </c>
      <c r="L1055" s="3" t="s">
        <v>22</v>
      </c>
      <c r="M1055" s="3" t="s">
        <v>22</v>
      </c>
      <c r="N1055" s="3" t="s">
        <v>23</v>
      </c>
      <c r="O1055" s="3" t="s">
        <v>482</v>
      </c>
    </row>
    <row r="1056" spans="1:15" hidden="1" x14ac:dyDescent="0.75">
      <c r="A1056" s="2">
        <v>46290</v>
      </c>
      <c r="B1056" s="3" t="s">
        <v>1099</v>
      </c>
      <c r="C1056" s="3" t="s">
        <v>1100</v>
      </c>
      <c r="D1056" s="3" t="s">
        <v>17</v>
      </c>
      <c r="E1056" s="3" t="s">
        <v>18</v>
      </c>
      <c r="F1056" s="3" t="s">
        <v>1101</v>
      </c>
      <c r="G1056" s="3" t="s">
        <v>1102</v>
      </c>
      <c r="H1056" s="4">
        <v>46290.558069907413</v>
      </c>
      <c r="I1056" s="4">
        <v>46290.584736226847</v>
      </c>
      <c r="J1056" s="3">
        <f>ROUND((I1056-H1056)*1440,0)</f>
        <v>38</v>
      </c>
      <c r="K1056" s="3" t="s">
        <v>96</v>
      </c>
      <c r="L1056" s="3" t="s">
        <v>77</v>
      </c>
      <c r="M1056" s="3" t="s">
        <v>78</v>
      </c>
      <c r="N1056" s="3" t="s">
        <v>45</v>
      </c>
      <c r="O1056" s="3" t="s">
        <v>97</v>
      </c>
    </row>
    <row r="1057" spans="1:15" hidden="1" x14ac:dyDescent="0.75">
      <c r="A1057" s="2">
        <v>46290</v>
      </c>
      <c r="B1057" s="3" t="s">
        <v>1121</v>
      </c>
      <c r="C1057" s="3" t="s">
        <v>1122</v>
      </c>
      <c r="D1057" s="3" t="s">
        <v>27</v>
      </c>
      <c r="E1057" s="3" t="s">
        <v>28</v>
      </c>
      <c r="F1057" s="3" t="s">
        <v>182</v>
      </c>
      <c r="G1057" s="3" t="s">
        <v>183</v>
      </c>
      <c r="H1057" s="4">
        <v>46290.558461458328</v>
      </c>
      <c r="I1057" s="4">
        <v>46290.649237268517</v>
      </c>
      <c r="J1057" s="3">
        <f>ROUND((I1057-H1057)*1440,0)</f>
        <v>131</v>
      </c>
      <c r="K1057" s="3" t="s">
        <v>2187</v>
      </c>
      <c r="L1057" s="3" t="s">
        <v>77</v>
      </c>
      <c r="M1057" s="3" t="s">
        <v>78</v>
      </c>
      <c r="N1057" s="3" t="s">
        <v>23</v>
      </c>
      <c r="O1057" s="3" t="s">
        <v>2188</v>
      </c>
    </row>
    <row r="1058" spans="1:15" hidden="1" x14ac:dyDescent="0.75">
      <c r="A1058" s="2">
        <v>46290</v>
      </c>
      <c r="B1058" s="3" t="s">
        <v>1111</v>
      </c>
      <c r="C1058" s="3" t="s">
        <v>1112</v>
      </c>
      <c r="D1058" s="3" t="s">
        <v>27</v>
      </c>
      <c r="E1058" s="3" t="s">
        <v>28</v>
      </c>
      <c r="F1058" s="3" t="s">
        <v>1113</v>
      </c>
      <c r="G1058" s="3" t="s">
        <v>1114</v>
      </c>
      <c r="H1058" s="4">
        <v>46290.559263541669</v>
      </c>
      <c r="I1058" s="4">
        <v>46290.725088888888</v>
      </c>
      <c r="J1058" s="3">
        <f>ROUND((I1058-H1058)*1440,0)</f>
        <v>239</v>
      </c>
      <c r="K1058" s="3" t="s">
        <v>1161</v>
      </c>
      <c r="L1058" s="3" t="s">
        <v>77</v>
      </c>
      <c r="M1058" s="3" t="s">
        <v>78</v>
      </c>
      <c r="N1058" s="3" t="s">
        <v>23</v>
      </c>
      <c r="O1058" s="3" t="s">
        <v>1162</v>
      </c>
    </row>
    <row r="1059" spans="1:15" hidden="1" x14ac:dyDescent="0.75">
      <c r="A1059" s="2">
        <v>46290</v>
      </c>
      <c r="B1059" s="3" t="s">
        <v>1083</v>
      </c>
      <c r="C1059" s="3" t="s">
        <v>1084</v>
      </c>
      <c r="D1059" s="3" t="s">
        <v>17</v>
      </c>
      <c r="E1059" s="3" t="s">
        <v>18</v>
      </c>
      <c r="F1059" s="3" t="s">
        <v>1085</v>
      </c>
      <c r="G1059" s="3" t="s">
        <v>1086</v>
      </c>
      <c r="H1059" s="4">
        <v>46290.560424768519</v>
      </c>
      <c r="I1059" s="4">
        <v>46290.750243171293</v>
      </c>
      <c r="J1059" s="3">
        <f>ROUND((I1059-H1059)*1440,0)</f>
        <v>273</v>
      </c>
      <c r="K1059" s="3" t="s">
        <v>330</v>
      </c>
      <c r="L1059" s="3" t="s">
        <v>43</v>
      </c>
      <c r="M1059" s="3" t="s">
        <v>44</v>
      </c>
      <c r="N1059" s="3" t="s">
        <v>23</v>
      </c>
      <c r="O1059" s="3" t="s">
        <v>331</v>
      </c>
    </row>
    <row r="1060" spans="1:15" hidden="1" x14ac:dyDescent="0.75">
      <c r="A1060" s="2">
        <v>46290</v>
      </c>
      <c r="B1060" s="3" t="s">
        <v>1103</v>
      </c>
      <c r="C1060" s="3" t="s">
        <v>1104</v>
      </c>
      <c r="D1060" s="3" t="s">
        <v>82</v>
      </c>
      <c r="E1060" s="3" t="s">
        <v>83</v>
      </c>
      <c r="F1060" s="3" t="s">
        <v>615</v>
      </c>
      <c r="G1060" s="3" t="s">
        <v>616</v>
      </c>
      <c r="H1060" s="4">
        <v>46290.560549768517</v>
      </c>
      <c r="I1060" s="4">
        <v>46290.745901736111</v>
      </c>
      <c r="J1060" s="3">
        <f>ROUND((I1060-H1060)*1440,0)</f>
        <v>267</v>
      </c>
      <c r="K1060" s="3" t="s">
        <v>168</v>
      </c>
      <c r="L1060" s="3" t="s">
        <v>36</v>
      </c>
      <c r="M1060" s="3" t="s">
        <v>36</v>
      </c>
      <c r="N1060" s="3" t="s">
        <v>45</v>
      </c>
      <c r="O1060" s="3" t="s">
        <v>169</v>
      </c>
    </row>
    <row r="1061" spans="1:15" hidden="1" x14ac:dyDescent="0.75">
      <c r="A1061" s="2">
        <v>46290</v>
      </c>
      <c r="B1061" s="3" t="s">
        <v>1117</v>
      </c>
      <c r="C1061" s="3" t="s">
        <v>1118</v>
      </c>
      <c r="D1061" s="3" t="s">
        <v>17</v>
      </c>
      <c r="E1061" s="3" t="s">
        <v>18</v>
      </c>
      <c r="F1061" s="3" t="s">
        <v>17</v>
      </c>
      <c r="G1061" s="3" t="s">
        <v>18</v>
      </c>
      <c r="H1061" s="4">
        <v>46290.561175578703</v>
      </c>
      <c r="I1061" s="4">
        <v>46290.966084490741</v>
      </c>
      <c r="J1061" s="3">
        <f>ROUND((I1061-H1061)*1440,0)</f>
        <v>583</v>
      </c>
      <c r="K1061" s="3" t="s">
        <v>607</v>
      </c>
      <c r="L1061" s="3" t="s">
        <v>22</v>
      </c>
      <c r="M1061" s="3" t="s">
        <v>22</v>
      </c>
      <c r="N1061" s="3" t="s">
        <v>23</v>
      </c>
      <c r="O1061" s="3" t="s">
        <v>608</v>
      </c>
    </row>
    <row r="1062" spans="1:15" hidden="1" x14ac:dyDescent="0.75">
      <c r="A1062" s="2">
        <v>46290</v>
      </c>
      <c r="B1062" s="3" t="s">
        <v>1159</v>
      </c>
      <c r="C1062" s="3" t="s">
        <v>1160</v>
      </c>
      <c r="D1062" s="3" t="s">
        <v>218</v>
      </c>
      <c r="E1062" s="3" t="s">
        <v>219</v>
      </c>
      <c r="F1062" s="3" t="s">
        <v>27</v>
      </c>
      <c r="G1062" s="3" t="s">
        <v>28</v>
      </c>
      <c r="H1062" s="4">
        <v>46290.562259722217</v>
      </c>
      <c r="I1062" s="4">
        <v>46290.624817013893</v>
      </c>
      <c r="J1062" s="3">
        <f>ROUND((I1062-H1062)*1440,0)</f>
        <v>90</v>
      </c>
      <c r="K1062" s="3" t="s">
        <v>1293</v>
      </c>
      <c r="L1062" s="3" t="s">
        <v>77</v>
      </c>
      <c r="M1062" s="3" t="s">
        <v>78</v>
      </c>
      <c r="N1062" s="3" t="s">
        <v>23</v>
      </c>
      <c r="O1062" s="3" t="s">
        <v>1294</v>
      </c>
    </row>
    <row r="1063" spans="1:15" hidden="1" x14ac:dyDescent="0.75">
      <c r="A1063" s="2">
        <v>46290</v>
      </c>
      <c r="B1063" s="3" t="s">
        <v>1087</v>
      </c>
      <c r="C1063" s="3" t="s">
        <v>1088</v>
      </c>
      <c r="D1063" s="3" t="s">
        <v>56</v>
      </c>
      <c r="E1063" s="3" t="s">
        <v>57</v>
      </c>
      <c r="F1063" s="3" t="s">
        <v>128</v>
      </c>
      <c r="G1063" s="3" t="s">
        <v>129</v>
      </c>
      <c r="H1063" s="4">
        <v>46290.562352314817</v>
      </c>
      <c r="I1063" s="4">
        <v>46290.672699305564</v>
      </c>
      <c r="J1063" s="3">
        <f>ROUND((I1063-H1063)*1440,0)</f>
        <v>159</v>
      </c>
      <c r="K1063" s="3" t="s">
        <v>1069</v>
      </c>
      <c r="L1063" s="3" t="s">
        <v>36</v>
      </c>
      <c r="M1063" s="3" t="s">
        <v>36</v>
      </c>
      <c r="N1063" s="3" t="s">
        <v>23</v>
      </c>
      <c r="O1063" s="3" t="s">
        <v>1070</v>
      </c>
    </row>
    <row r="1064" spans="1:15" hidden="1" x14ac:dyDescent="0.75">
      <c r="A1064" s="2">
        <v>46290</v>
      </c>
      <c r="B1064" s="3" t="s">
        <v>1409</v>
      </c>
      <c r="C1064" s="3" t="s">
        <v>1410</v>
      </c>
      <c r="D1064" s="3" t="s">
        <v>27</v>
      </c>
      <c r="E1064" s="3" t="s">
        <v>28</v>
      </c>
      <c r="F1064" s="3" t="s">
        <v>94</v>
      </c>
      <c r="G1064" s="3" t="s">
        <v>95</v>
      </c>
      <c r="H1064" s="4">
        <v>46290.562595370371</v>
      </c>
      <c r="I1064" s="4">
        <v>46290.631955902783</v>
      </c>
      <c r="J1064" s="3">
        <f>ROUND((I1064-H1064)*1440,0)</f>
        <v>100</v>
      </c>
      <c r="K1064" s="3" t="s">
        <v>1723</v>
      </c>
      <c r="L1064" s="3" t="s">
        <v>36</v>
      </c>
      <c r="M1064" s="3" t="s">
        <v>36</v>
      </c>
      <c r="N1064" s="3" t="s">
        <v>23</v>
      </c>
      <c r="O1064" s="3" t="s">
        <v>1724</v>
      </c>
    </row>
    <row r="1065" spans="1:15" hidden="1" x14ac:dyDescent="0.75">
      <c r="A1065" s="2">
        <v>46290</v>
      </c>
      <c r="B1065" s="3" t="s">
        <v>1043</v>
      </c>
      <c r="C1065" s="3" t="s">
        <v>1044</v>
      </c>
      <c r="D1065" s="3" t="s">
        <v>82</v>
      </c>
      <c r="E1065" s="3" t="s">
        <v>83</v>
      </c>
      <c r="F1065" s="3" t="s">
        <v>56</v>
      </c>
      <c r="G1065" s="3" t="s">
        <v>57</v>
      </c>
      <c r="H1065" s="4">
        <v>46290.563498495372</v>
      </c>
      <c r="I1065" s="4">
        <v>46290.590301273151</v>
      </c>
      <c r="J1065" s="3">
        <f>ROUND((I1065-H1065)*1440,0)</f>
        <v>39</v>
      </c>
      <c r="K1065" s="3" t="s">
        <v>981</v>
      </c>
      <c r="L1065" s="3" t="s">
        <v>36</v>
      </c>
      <c r="M1065" s="3" t="s">
        <v>36</v>
      </c>
      <c r="N1065" s="3" t="s">
        <v>23</v>
      </c>
      <c r="O1065" s="3" t="s">
        <v>982</v>
      </c>
    </row>
    <row r="1066" spans="1:15" hidden="1" x14ac:dyDescent="0.75">
      <c r="A1066" s="2">
        <v>46290</v>
      </c>
      <c r="B1066" s="3" t="s">
        <v>1243</v>
      </c>
      <c r="C1066" s="3" t="s">
        <v>1244</v>
      </c>
      <c r="D1066" s="3" t="s">
        <v>304</v>
      </c>
      <c r="E1066" s="3" t="s">
        <v>305</v>
      </c>
      <c r="F1066" s="3" t="s">
        <v>27</v>
      </c>
      <c r="G1066" s="3" t="s">
        <v>28</v>
      </c>
      <c r="H1066" s="4">
        <v>46290.566471759259</v>
      </c>
      <c r="I1066" s="4">
        <v>46290.78230914352</v>
      </c>
      <c r="J1066" s="3">
        <f>ROUND((I1066-H1066)*1440,0)</f>
        <v>311</v>
      </c>
      <c r="K1066" s="3" t="s">
        <v>841</v>
      </c>
      <c r="L1066" s="3" t="s">
        <v>22</v>
      </c>
      <c r="M1066" s="3" t="s">
        <v>22</v>
      </c>
      <c r="N1066" s="3" t="s">
        <v>23</v>
      </c>
      <c r="O1066" s="3" t="s">
        <v>842</v>
      </c>
    </row>
    <row r="1067" spans="1:15" hidden="1" x14ac:dyDescent="0.75">
      <c r="A1067" s="2">
        <v>46290</v>
      </c>
      <c r="B1067" s="3" t="s">
        <v>1123</v>
      </c>
      <c r="C1067" s="3" t="s">
        <v>1124</v>
      </c>
      <c r="D1067" s="3" t="s">
        <v>82</v>
      </c>
      <c r="E1067" s="3" t="s">
        <v>83</v>
      </c>
      <c r="F1067" s="3" t="s">
        <v>400</v>
      </c>
      <c r="G1067" s="3" t="s">
        <v>401</v>
      </c>
      <c r="H1067" s="4">
        <v>46290.56823946759</v>
      </c>
      <c r="I1067" s="4">
        <v>46290.662591666667</v>
      </c>
      <c r="J1067" s="3">
        <f>ROUND((I1067-H1067)*1440,0)</f>
        <v>136</v>
      </c>
      <c r="K1067" s="3" t="s">
        <v>715</v>
      </c>
      <c r="L1067" s="3" t="s">
        <v>36</v>
      </c>
      <c r="M1067" s="3" t="s">
        <v>36</v>
      </c>
      <c r="N1067" s="3" t="s">
        <v>23</v>
      </c>
      <c r="O1067" s="3" t="s">
        <v>716</v>
      </c>
    </row>
    <row r="1068" spans="1:15" hidden="1" x14ac:dyDescent="0.75">
      <c r="A1068" s="2">
        <v>46290</v>
      </c>
      <c r="B1068" s="3" t="s">
        <v>795</v>
      </c>
      <c r="C1068" s="3" t="s">
        <v>796</v>
      </c>
      <c r="D1068" s="3" t="s">
        <v>49</v>
      </c>
      <c r="E1068" s="3" t="s">
        <v>50</v>
      </c>
      <c r="F1068" s="3" t="s">
        <v>56</v>
      </c>
      <c r="G1068" s="3" t="s">
        <v>57</v>
      </c>
      <c r="H1068" s="4">
        <v>46290.568890625</v>
      </c>
      <c r="I1068" s="4">
        <v>46290.658805092593</v>
      </c>
      <c r="J1068" s="3">
        <f>ROUND((I1068-H1068)*1440,0)</f>
        <v>129</v>
      </c>
      <c r="K1068" s="3" t="s">
        <v>617</v>
      </c>
      <c r="L1068" s="3" t="s">
        <v>36</v>
      </c>
      <c r="M1068" s="3" t="s">
        <v>36</v>
      </c>
      <c r="N1068" s="3" t="s">
        <v>23</v>
      </c>
      <c r="O1068" s="3" t="s">
        <v>618</v>
      </c>
    </row>
    <row r="1069" spans="1:15" hidden="1" x14ac:dyDescent="0.75">
      <c r="A1069" s="2">
        <v>46290</v>
      </c>
      <c r="B1069" s="3" t="s">
        <v>1201</v>
      </c>
      <c r="C1069" s="3" t="s">
        <v>1202</v>
      </c>
      <c r="D1069" s="3" t="s">
        <v>304</v>
      </c>
      <c r="E1069" s="3" t="s">
        <v>305</v>
      </c>
      <c r="F1069" s="3" t="s">
        <v>17</v>
      </c>
      <c r="G1069" s="3" t="s">
        <v>18</v>
      </c>
      <c r="H1069" s="4">
        <v>46290.568918634257</v>
      </c>
      <c r="I1069" s="4">
        <v>46290.78684803241</v>
      </c>
      <c r="J1069" s="3">
        <f>ROUND((I1069-H1069)*1440,0)</f>
        <v>314</v>
      </c>
      <c r="K1069" s="3" t="s">
        <v>1055</v>
      </c>
      <c r="L1069" s="3" t="s">
        <v>22</v>
      </c>
      <c r="M1069" s="3" t="s">
        <v>22</v>
      </c>
      <c r="N1069" s="3" t="s">
        <v>23</v>
      </c>
      <c r="O1069" s="3" t="s">
        <v>1056</v>
      </c>
    </row>
    <row r="1070" spans="1:15" hidden="1" x14ac:dyDescent="0.75">
      <c r="A1070" s="2">
        <v>46290</v>
      </c>
      <c r="B1070" s="3" t="s">
        <v>1095</v>
      </c>
      <c r="C1070" s="3" t="s">
        <v>1096</v>
      </c>
      <c r="D1070" s="3" t="s">
        <v>17</v>
      </c>
      <c r="E1070" s="3" t="s">
        <v>18</v>
      </c>
      <c r="F1070" s="3" t="s">
        <v>17</v>
      </c>
      <c r="G1070" s="3" t="s">
        <v>18</v>
      </c>
      <c r="H1070" s="4">
        <v>46290.568968865737</v>
      </c>
      <c r="I1070" s="4">
        <v>46291.01936539352</v>
      </c>
      <c r="J1070" s="3">
        <f>ROUND((I1070-H1070)*1440,0)</f>
        <v>649</v>
      </c>
      <c r="K1070" s="3" t="s">
        <v>887</v>
      </c>
      <c r="L1070" s="3" t="s">
        <v>36</v>
      </c>
      <c r="M1070" s="3" t="s">
        <v>36</v>
      </c>
      <c r="N1070" s="3" t="s">
        <v>23</v>
      </c>
      <c r="O1070" s="3" t="s">
        <v>888</v>
      </c>
    </row>
    <row r="1071" spans="1:15" hidden="1" x14ac:dyDescent="0.75">
      <c r="A1071" s="2">
        <v>46290</v>
      </c>
      <c r="B1071" s="3" t="s">
        <v>1139</v>
      </c>
      <c r="C1071" s="3" t="s">
        <v>1140</v>
      </c>
      <c r="D1071" s="3" t="s">
        <v>17</v>
      </c>
      <c r="E1071" s="3" t="s">
        <v>18</v>
      </c>
      <c r="F1071" s="3" t="s">
        <v>27</v>
      </c>
      <c r="G1071" s="3" t="s">
        <v>28</v>
      </c>
      <c r="H1071" s="4">
        <v>46290.569791898153</v>
      </c>
      <c r="I1071" s="4">
        <v>46290.598337384261</v>
      </c>
      <c r="J1071" s="3">
        <f>ROUND((I1071-H1071)*1440,0)</f>
        <v>41</v>
      </c>
      <c r="K1071" s="3" t="s">
        <v>240</v>
      </c>
      <c r="L1071" s="3" t="s">
        <v>52</v>
      </c>
      <c r="M1071" s="3"/>
      <c r="N1071" s="3" t="s">
        <v>23</v>
      </c>
      <c r="O1071" s="3" t="s">
        <v>241</v>
      </c>
    </row>
    <row r="1072" spans="1:15" hidden="1" x14ac:dyDescent="0.75">
      <c r="A1072" s="2">
        <v>46290</v>
      </c>
      <c r="B1072" s="3" t="s">
        <v>2217</v>
      </c>
      <c r="C1072" s="3" t="s">
        <v>2218</v>
      </c>
      <c r="D1072" s="3" t="s">
        <v>56</v>
      </c>
      <c r="E1072" s="3" t="s">
        <v>57</v>
      </c>
      <c r="F1072" s="3" t="s">
        <v>2219</v>
      </c>
      <c r="G1072" s="3" t="s">
        <v>2220</v>
      </c>
      <c r="H1072" s="4">
        <v>46290.570600578707</v>
      </c>
      <c r="I1072" s="4">
        <v>46290.646437847223</v>
      </c>
      <c r="J1072" s="3">
        <f>ROUND((I1072-H1072)*1440,0)</f>
        <v>109</v>
      </c>
      <c r="K1072" s="3" t="s">
        <v>1049</v>
      </c>
      <c r="L1072" s="3" t="s">
        <v>22</v>
      </c>
      <c r="M1072" s="3" t="s">
        <v>22</v>
      </c>
      <c r="N1072" s="3" t="s">
        <v>23</v>
      </c>
      <c r="O1072" s="3" t="s">
        <v>1050</v>
      </c>
    </row>
    <row r="1073" spans="1:15" hidden="1" x14ac:dyDescent="0.75">
      <c r="A1073" s="2">
        <v>46290</v>
      </c>
      <c r="B1073" s="3" t="s">
        <v>1097</v>
      </c>
      <c r="C1073" s="3" t="s">
        <v>1098</v>
      </c>
      <c r="D1073" s="3" t="s">
        <v>234</v>
      </c>
      <c r="E1073" s="3" t="s">
        <v>235</v>
      </c>
      <c r="F1073" s="3" t="s">
        <v>27</v>
      </c>
      <c r="G1073" s="3" t="s">
        <v>28</v>
      </c>
      <c r="H1073" s="4">
        <v>46290.570984259262</v>
      </c>
      <c r="I1073" s="4">
        <v>46290.604993981477</v>
      </c>
      <c r="J1073" s="3">
        <f>ROUND((I1073-H1073)*1440,0)</f>
        <v>49</v>
      </c>
      <c r="K1073" s="3" t="s">
        <v>1015</v>
      </c>
      <c r="L1073" s="3" t="s">
        <v>77</v>
      </c>
      <c r="M1073" s="3" t="s">
        <v>78</v>
      </c>
      <c r="N1073" s="3" t="s">
        <v>23</v>
      </c>
      <c r="O1073" s="3" t="s">
        <v>1016</v>
      </c>
    </row>
    <row r="1074" spans="1:15" hidden="1" x14ac:dyDescent="0.75">
      <c r="A1074" s="2">
        <v>46290</v>
      </c>
      <c r="B1074" s="3" t="s">
        <v>1131</v>
      </c>
      <c r="C1074" s="3" t="s">
        <v>1132</v>
      </c>
      <c r="D1074" s="3" t="s">
        <v>17</v>
      </c>
      <c r="E1074" s="3" t="s">
        <v>18</v>
      </c>
      <c r="F1074" s="3" t="s">
        <v>304</v>
      </c>
      <c r="G1074" s="3" t="s">
        <v>305</v>
      </c>
      <c r="H1074" s="4">
        <v>46290.572142592588</v>
      </c>
      <c r="I1074" s="4">
        <v>46290.787560185177</v>
      </c>
      <c r="J1074" s="3">
        <f>ROUND((I1074-H1074)*1440,0)</f>
        <v>310</v>
      </c>
      <c r="K1074" s="3" t="s">
        <v>1689</v>
      </c>
      <c r="L1074" s="3" t="s">
        <v>22</v>
      </c>
      <c r="M1074" s="3" t="s">
        <v>22</v>
      </c>
      <c r="N1074" s="3" t="s">
        <v>23</v>
      </c>
      <c r="O1074" s="3" t="s">
        <v>1690</v>
      </c>
    </row>
    <row r="1075" spans="1:15" hidden="1" x14ac:dyDescent="0.75">
      <c r="A1075" s="2">
        <v>46290</v>
      </c>
      <c r="B1075" s="3" t="s">
        <v>1153</v>
      </c>
      <c r="C1075" s="3" t="s">
        <v>1154</v>
      </c>
      <c r="D1075" s="3" t="s">
        <v>17</v>
      </c>
      <c r="E1075" s="3" t="s">
        <v>18</v>
      </c>
      <c r="F1075" s="3"/>
      <c r="G1075" s="3"/>
      <c r="H1075" s="4">
        <v>46290.572929050933</v>
      </c>
      <c r="I1075" s="4">
        <v>46290.628909259263</v>
      </c>
      <c r="J1075" s="3">
        <f>ROUND((I1075-H1075)*1440,0)</f>
        <v>81</v>
      </c>
      <c r="K1075" s="3" t="s">
        <v>1261</v>
      </c>
      <c r="L1075" s="3" t="s">
        <v>77</v>
      </c>
      <c r="M1075" s="3" t="s">
        <v>78</v>
      </c>
      <c r="N1075" s="3" t="s">
        <v>443</v>
      </c>
      <c r="O1075" s="3" t="s">
        <v>1262</v>
      </c>
    </row>
    <row r="1076" spans="1:15" hidden="1" x14ac:dyDescent="0.75">
      <c r="A1076" s="2">
        <v>46290</v>
      </c>
      <c r="B1076" s="3" t="s">
        <v>1149</v>
      </c>
      <c r="C1076" s="3" t="s">
        <v>1150</v>
      </c>
      <c r="D1076" s="3" t="s">
        <v>82</v>
      </c>
      <c r="E1076" s="3" t="s">
        <v>83</v>
      </c>
      <c r="F1076" s="3" t="s">
        <v>17</v>
      </c>
      <c r="G1076" s="3" t="s">
        <v>18</v>
      </c>
      <c r="H1076" s="4">
        <v>46290.574739467593</v>
      </c>
      <c r="I1076" s="4">
        <v>46290.664416319443</v>
      </c>
      <c r="J1076" s="3">
        <f>ROUND((I1076-H1076)*1440,0)</f>
        <v>129</v>
      </c>
      <c r="K1076" s="3" t="s">
        <v>1215</v>
      </c>
      <c r="L1076" s="3" t="s">
        <v>22</v>
      </c>
      <c r="M1076" s="3" t="s">
        <v>22</v>
      </c>
      <c r="N1076" s="3" t="s">
        <v>23</v>
      </c>
      <c r="O1076" s="3" t="s">
        <v>1216</v>
      </c>
    </row>
    <row r="1077" spans="1:15" hidden="1" x14ac:dyDescent="0.75">
      <c r="A1077" s="2">
        <v>46290</v>
      </c>
      <c r="B1077" s="3" t="s">
        <v>1141</v>
      </c>
      <c r="C1077" s="3" t="s">
        <v>1142</v>
      </c>
      <c r="D1077" s="3" t="s">
        <v>17</v>
      </c>
      <c r="E1077" s="3" t="s">
        <v>18</v>
      </c>
      <c r="F1077" s="3" t="s">
        <v>615</v>
      </c>
      <c r="G1077" s="3" t="s">
        <v>616</v>
      </c>
      <c r="H1077" s="4">
        <v>46290.575710879632</v>
      </c>
      <c r="I1077" s="4">
        <v>46290.729967013889</v>
      </c>
      <c r="J1077" s="3">
        <f>ROUND((I1077-H1077)*1440,0)</f>
        <v>222</v>
      </c>
      <c r="K1077" s="3" t="s">
        <v>1165</v>
      </c>
      <c r="L1077" s="3" t="s">
        <v>22</v>
      </c>
      <c r="M1077" s="3" t="s">
        <v>22</v>
      </c>
      <c r="N1077" s="3" t="s">
        <v>45</v>
      </c>
      <c r="O1077" s="3" t="s">
        <v>1166</v>
      </c>
    </row>
    <row r="1078" spans="1:15" hidden="1" x14ac:dyDescent="0.75">
      <c r="A1078" s="2">
        <v>46290</v>
      </c>
      <c r="B1078" s="3" t="s">
        <v>1137</v>
      </c>
      <c r="C1078" s="3" t="s">
        <v>1138</v>
      </c>
      <c r="D1078" s="3" t="s">
        <v>56</v>
      </c>
      <c r="E1078" s="3" t="s">
        <v>57</v>
      </c>
      <c r="F1078" s="3" t="s">
        <v>304</v>
      </c>
      <c r="G1078" s="3" t="s">
        <v>305</v>
      </c>
      <c r="H1078" s="4">
        <v>46290.576593749996</v>
      </c>
      <c r="I1078" s="4">
        <v>46290.78020173611</v>
      </c>
      <c r="J1078" s="3">
        <f>ROUND((I1078-H1078)*1440,0)</f>
        <v>293</v>
      </c>
      <c r="K1078" s="3" t="s">
        <v>276</v>
      </c>
      <c r="L1078" s="3" t="s">
        <v>22</v>
      </c>
      <c r="M1078" s="3" t="s">
        <v>22</v>
      </c>
      <c r="N1078" s="3" t="s">
        <v>23</v>
      </c>
      <c r="O1078" s="3" t="s">
        <v>277</v>
      </c>
    </row>
    <row r="1079" spans="1:15" hidden="1" x14ac:dyDescent="0.75">
      <c r="A1079" s="2">
        <v>46290</v>
      </c>
      <c r="B1079" s="3" t="s">
        <v>2221</v>
      </c>
      <c r="C1079" s="3" t="s">
        <v>2222</v>
      </c>
      <c r="D1079" s="3" t="s">
        <v>208</v>
      </c>
      <c r="E1079" s="3" t="s">
        <v>209</v>
      </c>
      <c r="F1079" s="3" t="s">
        <v>17</v>
      </c>
      <c r="G1079" s="3" t="s">
        <v>18</v>
      </c>
      <c r="H1079" s="4">
        <v>46290.576774074078</v>
      </c>
      <c r="I1079" s="4">
        <v>46290.59372222222</v>
      </c>
      <c r="J1079" s="3">
        <f>ROUND((I1079-H1079)*1440,0)</f>
        <v>24</v>
      </c>
      <c r="K1079" s="3" t="s">
        <v>703</v>
      </c>
      <c r="L1079" s="3" t="s">
        <v>36</v>
      </c>
      <c r="M1079" s="3" t="s">
        <v>36</v>
      </c>
      <c r="N1079" s="3" t="s">
        <v>23</v>
      </c>
      <c r="O1079" s="3" t="s">
        <v>704</v>
      </c>
    </row>
    <row r="1080" spans="1:15" hidden="1" x14ac:dyDescent="0.75">
      <c r="A1080" s="2">
        <v>46290</v>
      </c>
      <c r="B1080" s="3" t="s">
        <v>1173</v>
      </c>
      <c r="C1080" s="3" t="s">
        <v>1174</v>
      </c>
      <c r="D1080" s="3" t="s">
        <v>27</v>
      </c>
      <c r="E1080" s="3" t="s">
        <v>28</v>
      </c>
      <c r="F1080" s="3" t="s">
        <v>158</v>
      </c>
      <c r="G1080" s="3" t="s">
        <v>159</v>
      </c>
      <c r="H1080" s="4">
        <v>46290.577548032408</v>
      </c>
      <c r="I1080" s="4">
        <v>46290.62783391204</v>
      </c>
      <c r="J1080" s="3">
        <f>ROUND((I1080-H1080)*1440,0)</f>
        <v>72</v>
      </c>
      <c r="K1080" s="3" t="s">
        <v>1229</v>
      </c>
      <c r="L1080" s="3" t="s">
        <v>77</v>
      </c>
      <c r="M1080" s="3" t="s">
        <v>78</v>
      </c>
      <c r="N1080" s="3" t="s">
        <v>23</v>
      </c>
      <c r="O1080" s="3" t="s">
        <v>1230</v>
      </c>
    </row>
    <row r="1081" spans="1:15" hidden="1" x14ac:dyDescent="0.75">
      <c r="A1081" s="2">
        <v>46290</v>
      </c>
      <c r="B1081" s="3" t="s">
        <v>1187</v>
      </c>
      <c r="C1081" s="3" t="s">
        <v>1188</v>
      </c>
      <c r="D1081" s="3" t="s">
        <v>56</v>
      </c>
      <c r="E1081" s="3" t="s">
        <v>57</v>
      </c>
      <c r="F1081" s="3" t="s">
        <v>142</v>
      </c>
      <c r="G1081" s="3" t="s">
        <v>143</v>
      </c>
      <c r="H1081" s="4">
        <v>46290.579509027782</v>
      </c>
      <c r="I1081" s="4">
        <v>46290.682578009262</v>
      </c>
      <c r="J1081" s="3">
        <f>ROUND((I1081-H1081)*1440,0)</f>
        <v>148</v>
      </c>
      <c r="K1081" s="3" t="s">
        <v>1389</v>
      </c>
      <c r="L1081" s="3" t="s">
        <v>36</v>
      </c>
      <c r="M1081" s="3" t="s">
        <v>36</v>
      </c>
      <c r="N1081" s="3" t="s">
        <v>23</v>
      </c>
      <c r="O1081" s="3" t="s">
        <v>1390</v>
      </c>
    </row>
    <row r="1082" spans="1:15" hidden="1" x14ac:dyDescent="0.75">
      <c r="A1082" s="2">
        <v>46290</v>
      </c>
      <c r="B1082" s="3" t="s">
        <v>1163</v>
      </c>
      <c r="C1082" s="3" t="s">
        <v>1164</v>
      </c>
      <c r="D1082" s="3" t="s">
        <v>17</v>
      </c>
      <c r="E1082" s="3" t="s">
        <v>18</v>
      </c>
      <c r="F1082" s="3" t="s">
        <v>17</v>
      </c>
      <c r="G1082" s="3" t="s">
        <v>18</v>
      </c>
      <c r="H1082" s="4">
        <v>46290.579546412038</v>
      </c>
      <c r="I1082" s="4">
        <v>46290.958667476851</v>
      </c>
      <c r="J1082" s="3">
        <f>ROUND((I1082-H1082)*1440,0)</f>
        <v>546</v>
      </c>
      <c r="K1082" s="3" t="s">
        <v>883</v>
      </c>
      <c r="L1082" s="3" t="s">
        <v>22</v>
      </c>
      <c r="M1082" s="3" t="s">
        <v>22</v>
      </c>
      <c r="N1082" s="3" t="s">
        <v>23</v>
      </c>
      <c r="O1082" s="3" t="s">
        <v>884</v>
      </c>
    </row>
    <row r="1083" spans="1:15" hidden="1" x14ac:dyDescent="0.75">
      <c r="A1083" s="2">
        <v>46290</v>
      </c>
      <c r="B1083" s="3" t="s">
        <v>1171</v>
      </c>
      <c r="C1083" s="3" t="s">
        <v>1172</v>
      </c>
      <c r="D1083" s="3" t="s">
        <v>615</v>
      </c>
      <c r="E1083" s="3" t="s">
        <v>616</v>
      </c>
      <c r="F1083" s="3" t="s">
        <v>2223</v>
      </c>
      <c r="G1083" s="3" t="s">
        <v>2224</v>
      </c>
      <c r="H1083" s="4">
        <v>46290.579859490739</v>
      </c>
      <c r="I1083" s="4">
        <v>46290.691453356478</v>
      </c>
      <c r="J1083" s="3">
        <f>ROUND((I1083-H1083)*1440,0)</f>
        <v>161</v>
      </c>
      <c r="K1083" s="3" t="s">
        <v>911</v>
      </c>
      <c r="L1083" s="3" t="s">
        <v>36</v>
      </c>
      <c r="M1083" s="3" t="s">
        <v>36</v>
      </c>
      <c r="N1083" s="3" t="s">
        <v>45</v>
      </c>
      <c r="O1083" s="3" t="s">
        <v>912</v>
      </c>
    </row>
    <row r="1084" spans="1:15" hidden="1" x14ac:dyDescent="0.75">
      <c r="A1084" s="2">
        <v>46290</v>
      </c>
      <c r="B1084" s="3" t="s">
        <v>1175</v>
      </c>
      <c r="C1084" s="3" t="s">
        <v>1176</v>
      </c>
      <c r="D1084" s="3" t="s">
        <v>27</v>
      </c>
      <c r="E1084" s="3" t="s">
        <v>28</v>
      </c>
      <c r="F1084" s="3" t="s">
        <v>17</v>
      </c>
      <c r="G1084" s="3" t="s">
        <v>18</v>
      </c>
      <c r="H1084" s="4">
        <v>46290.580304861112</v>
      </c>
      <c r="I1084" s="4">
        <v>46290.616790277767</v>
      </c>
      <c r="J1084" s="3">
        <f>ROUND((I1084-H1084)*1440,0)</f>
        <v>53</v>
      </c>
      <c r="K1084" s="3" t="s">
        <v>629</v>
      </c>
      <c r="L1084" s="3" t="s">
        <v>77</v>
      </c>
      <c r="M1084" s="3" t="s">
        <v>78</v>
      </c>
      <c r="N1084" s="3" t="s">
        <v>23</v>
      </c>
      <c r="O1084" s="3" t="s">
        <v>630</v>
      </c>
    </row>
    <row r="1085" spans="1:15" hidden="1" x14ac:dyDescent="0.75">
      <c r="A1085" s="2">
        <v>46290</v>
      </c>
      <c r="B1085" s="3" t="s">
        <v>1155</v>
      </c>
      <c r="C1085" s="3" t="s">
        <v>1156</v>
      </c>
      <c r="D1085" s="3" t="s">
        <v>56</v>
      </c>
      <c r="E1085" s="3" t="s">
        <v>57</v>
      </c>
      <c r="F1085" s="3" t="s">
        <v>208</v>
      </c>
      <c r="G1085" s="3" t="s">
        <v>209</v>
      </c>
      <c r="H1085" s="4">
        <v>46290.58086736111</v>
      </c>
      <c r="I1085" s="4">
        <v>46290.692945949071</v>
      </c>
      <c r="J1085" s="3">
        <f>ROUND((I1085-H1085)*1440,0)</f>
        <v>161</v>
      </c>
      <c r="K1085" s="3" t="s">
        <v>144</v>
      </c>
      <c r="L1085" s="3" t="s">
        <v>36</v>
      </c>
      <c r="M1085" s="3" t="s">
        <v>36</v>
      </c>
      <c r="N1085" s="3" t="s">
        <v>23</v>
      </c>
      <c r="O1085" s="3" t="s">
        <v>145</v>
      </c>
    </row>
    <row r="1086" spans="1:15" hidden="1" x14ac:dyDescent="0.75">
      <c r="A1086" s="2">
        <v>46290</v>
      </c>
      <c r="B1086" s="3" t="s">
        <v>1133</v>
      </c>
      <c r="C1086" s="3" t="s">
        <v>1134</v>
      </c>
      <c r="D1086" s="3" t="s">
        <v>17</v>
      </c>
      <c r="E1086" s="3" t="s">
        <v>18</v>
      </c>
      <c r="F1086" s="3" t="s">
        <v>122</v>
      </c>
      <c r="G1086" s="3" t="s">
        <v>123</v>
      </c>
      <c r="H1086" s="4">
        <v>46290.581292013892</v>
      </c>
      <c r="I1086" s="4">
        <v>46290.81991377315</v>
      </c>
      <c r="J1086" s="3">
        <f>ROUND((I1086-H1086)*1440,0)</f>
        <v>344</v>
      </c>
      <c r="K1086" s="3" t="s">
        <v>1301</v>
      </c>
      <c r="L1086" s="3" t="s">
        <v>22</v>
      </c>
      <c r="M1086" s="3" t="s">
        <v>22</v>
      </c>
      <c r="N1086" s="3" t="s">
        <v>23</v>
      </c>
      <c r="O1086" s="3" t="s">
        <v>1302</v>
      </c>
    </row>
    <row r="1087" spans="1:15" hidden="1" x14ac:dyDescent="0.75">
      <c r="A1087" s="2">
        <v>46290</v>
      </c>
      <c r="B1087" s="3" t="s">
        <v>1145</v>
      </c>
      <c r="C1087" s="3" t="s">
        <v>1146</v>
      </c>
      <c r="D1087" s="3" t="s">
        <v>82</v>
      </c>
      <c r="E1087" s="3" t="s">
        <v>83</v>
      </c>
      <c r="F1087" s="3" t="s">
        <v>264</v>
      </c>
      <c r="G1087" s="3" t="s">
        <v>265</v>
      </c>
      <c r="H1087" s="4">
        <v>46290.58199525463</v>
      </c>
      <c r="I1087" s="4">
        <v>46290.763864236113</v>
      </c>
      <c r="J1087" s="3">
        <f>ROUND((I1087-H1087)*1440,0)</f>
        <v>262</v>
      </c>
      <c r="K1087" s="3" t="s">
        <v>1257</v>
      </c>
      <c r="L1087" s="3" t="s">
        <v>22</v>
      </c>
      <c r="M1087" s="3" t="s">
        <v>22</v>
      </c>
      <c r="N1087" s="3" t="s">
        <v>23</v>
      </c>
      <c r="O1087" s="3" t="s">
        <v>1258</v>
      </c>
    </row>
    <row r="1088" spans="1:15" hidden="1" x14ac:dyDescent="0.75">
      <c r="A1088" s="2">
        <v>46290</v>
      </c>
      <c r="B1088" s="3" t="s">
        <v>2225</v>
      </c>
      <c r="C1088" s="3" t="s">
        <v>2226</v>
      </c>
      <c r="D1088" s="3" t="s">
        <v>27</v>
      </c>
      <c r="E1088" s="3" t="s">
        <v>28</v>
      </c>
      <c r="F1088" s="3" t="s">
        <v>100</v>
      </c>
      <c r="G1088" s="3" t="s">
        <v>101</v>
      </c>
      <c r="H1088" s="4">
        <v>46290.582658449071</v>
      </c>
      <c r="I1088" s="4">
        <v>46290.676359722223</v>
      </c>
      <c r="J1088" s="3">
        <f>ROUND((I1088-H1088)*1440,0)</f>
        <v>135</v>
      </c>
      <c r="K1088" s="3" t="s">
        <v>322</v>
      </c>
      <c r="L1088" s="3" t="s">
        <v>36</v>
      </c>
      <c r="M1088" s="3" t="s">
        <v>36</v>
      </c>
      <c r="N1088" s="3" t="s">
        <v>45</v>
      </c>
      <c r="O1088" s="3" t="s">
        <v>323</v>
      </c>
    </row>
    <row r="1089" spans="1:15" hidden="1" x14ac:dyDescent="0.75">
      <c r="A1089" s="2">
        <v>46290</v>
      </c>
      <c r="B1089" s="3" t="s">
        <v>1135</v>
      </c>
      <c r="C1089" s="3" t="s">
        <v>1136</v>
      </c>
      <c r="D1089" s="3" t="s">
        <v>17</v>
      </c>
      <c r="E1089" s="3" t="s">
        <v>18</v>
      </c>
      <c r="F1089" s="3" t="s">
        <v>17</v>
      </c>
      <c r="G1089" s="3" t="s">
        <v>18</v>
      </c>
      <c r="H1089" s="4">
        <v>46290.583617245371</v>
      </c>
      <c r="I1089" s="4">
        <v>46290.906438425933</v>
      </c>
      <c r="J1089" s="3">
        <f>ROUND((I1089-H1089)*1440,0)</f>
        <v>465</v>
      </c>
      <c r="K1089" s="3" t="s">
        <v>174</v>
      </c>
      <c r="L1089" s="3" t="s">
        <v>36</v>
      </c>
      <c r="M1089" s="3" t="s">
        <v>36</v>
      </c>
      <c r="N1089" s="3" t="s">
        <v>23</v>
      </c>
      <c r="O1089" s="3" t="s">
        <v>175</v>
      </c>
    </row>
    <row r="1090" spans="1:15" hidden="1" x14ac:dyDescent="0.75">
      <c r="A1090" s="2">
        <v>46290</v>
      </c>
      <c r="B1090" s="3" t="s">
        <v>1167</v>
      </c>
      <c r="C1090" s="3" t="s">
        <v>1168</v>
      </c>
      <c r="D1090" s="3" t="s">
        <v>84</v>
      </c>
      <c r="E1090" s="3" t="s">
        <v>85</v>
      </c>
      <c r="F1090" s="3" t="s">
        <v>56</v>
      </c>
      <c r="G1090" s="3" t="s">
        <v>57</v>
      </c>
      <c r="H1090" s="4">
        <v>46290.584103240741</v>
      </c>
      <c r="I1090" s="4">
        <v>46290.683065393518</v>
      </c>
      <c r="J1090" s="3">
        <f>ROUND((I1090-H1090)*1440,0)</f>
        <v>143</v>
      </c>
      <c r="K1090" s="3" t="s">
        <v>1307</v>
      </c>
      <c r="L1090" s="3" t="s">
        <v>36</v>
      </c>
      <c r="M1090" s="3" t="s">
        <v>36</v>
      </c>
      <c r="N1090" s="3" t="s">
        <v>23</v>
      </c>
      <c r="O1090" s="3" t="s">
        <v>1308</v>
      </c>
    </row>
    <row r="1091" spans="1:15" hidden="1" x14ac:dyDescent="0.75">
      <c r="A1091" s="2">
        <v>46290</v>
      </c>
      <c r="B1091" s="3" t="s">
        <v>1241</v>
      </c>
      <c r="C1091" s="3" t="s">
        <v>1242</v>
      </c>
      <c r="D1091" s="3" t="s">
        <v>17</v>
      </c>
      <c r="E1091" s="3" t="s">
        <v>18</v>
      </c>
      <c r="F1091" s="3" t="s">
        <v>82</v>
      </c>
      <c r="G1091" s="3" t="s">
        <v>83</v>
      </c>
      <c r="H1091" s="4">
        <v>46290.587639583333</v>
      </c>
      <c r="I1091" s="4">
        <v>46290.675451041658</v>
      </c>
      <c r="J1091" s="3">
        <f>ROUND((I1091-H1091)*1440,0)</f>
        <v>126</v>
      </c>
      <c r="K1091" s="3" t="s">
        <v>573</v>
      </c>
      <c r="L1091" s="3" t="s">
        <v>22</v>
      </c>
      <c r="M1091" s="3" t="s">
        <v>22</v>
      </c>
      <c r="N1091" s="3" t="s">
        <v>23</v>
      </c>
      <c r="O1091" s="3" t="s">
        <v>574</v>
      </c>
    </row>
    <row r="1092" spans="1:15" hidden="1" x14ac:dyDescent="0.75">
      <c r="A1092" s="2">
        <v>46290</v>
      </c>
      <c r="B1092" s="3" t="s">
        <v>1179</v>
      </c>
      <c r="C1092" s="3" t="s">
        <v>1180</v>
      </c>
      <c r="D1092" s="3" t="s">
        <v>264</v>
      </c>
      <c r="E1092" s="3" t="s">
        <v>265</v>
      </c>
      <c r="F1092" s="3" t="s">
        <v>56</v>
      </c>
      <c r="G1092" s="3" t="s">
        <v>57</v>
      </c>
      <c r="H1092" s="4">
        <v>46290.588872916669</v>
      </c>
      <c r="I1092" s="4">
        <v>46290.765226504627</v>
      </c>
      <c r="J1092" s="3">
        <f>ROUND((I1092-H1092)*1440,0)</f>
        <v>254</v>
      </c>
      <c r="K1092" s="3" t="s">
        <v>649</v>
      </c>
      <c r="L1092" s="3" t="s">
        <v>22</v>
      </c>
      <c r="M1092" s="3" t="s">
        <v>22</v>
      </c>
      <c r="N1092" s="3" t="s">
        <v>23</v>
      </c>
      <c r="O1092" s="3" t="s">
        <v>650</v>
      </c>
    </row>
    <row r="1093" spans="1:15" hidden="1" x14ac:dyDescent="0.75">
      <c r="A1093" s="2">
        <v>46290</v>
      </c>
      <c r="B1093" s="3" t="s">
        <v>1245</v>
      </c>
      <c r="C1093" s="3" t="s">
        <v>1246</v>
      </c>
      <c r="D1093" s="3" t="s">
        <v>56</v>
      </c>
      <c r="E1093" s="3" t="s">
        <v>57</v>
      </c>
      <c r="F1093" s="3" t="s">
        <v>27</v>
      </c>
      <c r="G1093" s="3" t="s">
        <v>28</v>
      </c>
      <c r="H1093" s="4">
        <v>46290.591014930556</v>
      </c>
      <c r="I1093" s="4">
        <v>46290.710936111107</v>
      </c>
      <c r="J1093" s="3">
        <f>ROUND((I1093-H1093)*1440,0)</f>
        <v>173</v>
      </c>
      <c r="K1093" s="3" t="s">
        <v>392</v>
      </c>
      <c r="L1093" s="3" t="s">
        <v>22</v>
      </c>
      <c r="M1093" s="3" t="s">
        <v>22</v>
      </c>
      <c r="N1093" s="3" t="s">
        <v>23</v>
      </c>
      <c r="O1093" s="3" t="s">
        <v>393</v>
      </c>
    </row>
    <row r="1094" spans="1:15" hidden="1" x14ac:dyDescent="0.75">
      <c r="A1094" s="2">
        <v>46290</v>
      </c>
      <c r="B1094" s="3" t="s">
        <v>1341</v>
      </c>
      <c r="C1094" s="3" t="s">
        <v>1342</v>
      </c>
      <c r="D1094" s="3" t="s">
        <v>82</v>
      </c>
      <c r="E1094" s="3" t="s">
        <v>83</v>
      </c>
      <c r="F1094" s="3" t="s">
        <v>58</v>
      </c>
      <c r="G1094" s="3" t="s">
        <v>59</v>
      </c>
      <c r="H1094" s="4">
        <v>46290.593433680559</v>
      </c>
      <c r="I1094" s="4">
        <v>46290.684439236109</v>
      </c>
      <c r="J1094" s="3">
        <f>ROUND((I1094-H1094)*1440,0)</f>
        <v>131</v>
      </c>
      <c r="K1094" s="3" t="s">
        <v>35</v>
      </c>
      <c r="L1094" s="3" t="s">
        <v>36</v>
      </c>
      <c r="M1094" s="3" t="s">
        <v>36</v>
      </c>
      <c r="N1094" s="3" t="s">
        <v>23</v>
      </c>
      <c r="O1094" s="3" t="s">
        <v>37</v>
      </c>
    </row>
    <row r="1095" spans="1:15" hidden="1" x14ac:dyDescent="0.75">
      <c r="A1095" s="2">
        <v>46290</v>
      </c>
      <c r="B1095" s="3" t="s">
        <v>1217</v>
      </c>
      <c r="C1095" s="3" t="s">
        <v>1218</v>
      </c>
      <c r="D1095" s="3" t="s">
        <v>27</v>
      </c>
      <c r="E1095" s="3" t="s">
        <v>28</v>
      </c>
      <c r="F1095" s="3" t="s">
        <v>142</v>
      </c>
      <c r="G1095" s="3" t="s">
        <v>143</v>
      </c>
      <c r="H1095" s="4">
        <v>46290.593642129628</v>
      </c>
      <c r="I1095" s="4">
        <v>46290.752295833343</v>
      </c>
      <c r="J1095" s="3">
        <f>ROUND((I1095-H1095)*1440,0)</f>
        <v>228</v>
      </c>
      <c r="K1095" s="3" t="s">
        <v>793</v>
      </c>
      <c r="L1095" s="3" t="s">
        <v>77</v>
      </c>
      <c r="M1095" s="3" t="s">
        <v>78</v>
      </c>
      <c r="N1095" s="3" t="s">
        <v>23</v>
      </c>
      <c r="O1095" s="3" t="s">
        <v>794</v>
      </c>
    </row>
    <row r="1096" spans="1:15" hidden="1" x14ac:dyDescent="0.75">
      <c r="A1096" s="2">
        <v>46290</v>
      </c>
      <c r="B1096" s="3" t="s">
        <v>1227</v>
      </c>
      <c r="C1096" s="3" t="s">
        <v>1228</v>
      </c>
      <c r="D1096" s="3" t="s">
        <v>17</v>
      </c>
      <c r="E1096" s="3" t="s">
        <v>18</v>
      </c>
      <c r="F1096" s="3" t="s">
        <v>17</v>
      </c>
      <c r="G1096" s="3" t="s">
        <v>18</v>
      </c>
      <c r="H1096" s="4">
        <v>46290.594363194446</v>
      </c>
      <c r="I1096" s="4">
        <v>46290.947718055562</v>
      </c>
      <c r="J1096" s="3">
        <f>ROUND((I1096-H1096)*1440,0)</f>
        <v>509</v>
      </c>
      <c r="K1096" s="3" t="s">
        <v>160</v>
      </c>
      <c r="L1096" s="3" t="s">
        <v>77</v>
      </c>
      <c r="M1096" s="3" t="s">
        <v>78</v>
      </c>
      <c r="N1096" s="3" t="s">
        <v>23</v>
      </c>
      <c r="O1096" s="3" t="s">
        <v>161</v>
      </c>
    </row>
    <row r="1097" spans="1:15" hidden="1" x14ac:dyDescent="0.75">
      <c r="A1097" s="2">
        <v>46290</v>
      </c>
      <c r="B1097" s="3" t="s">
        <v>1231</v>
      </c>
      <c r="C1097" s="3" t="s">
        <v>1232</v>
      </c>
      <c r="D1097" s="3" t="s">
        <v>82</v>
      </c>
      <c r="E1097" s="3" t="s">
        <v>83</v>
      </c>
      <c r="F1097" s="3" t="s">
        <v>27</v>
      </c>
      <c r="G1097" s="3" t="s">
        <v>28</v>
      </c>
      <c r="H1097" s="4">
        <v>46290.594651157407</v>
      </c>
      <c r="I1097" s="4">
        <v>46290.700797569443</v>
      </c>
      <c r="J1097" s="3">
        <f>ROUND((I1097-H1097)*1440,0)</f>
        <v>153</v>
      </c>
      <c r="K1097" s="3" t="s">
        <v>2127</v>
      </c>
      <c r="L1097" s="3" t="s">
        <v>22</v>
      </c>
      <c r="M1097" s="3" t="s">
        <v>22</v>
      </c>
      <c r="N1097" s="3" t="s">
        <v>23</v>
      </c>
      <c r="O1097" s="3" t="s">
        <v>2128</v>
      </c>
    </row>
    <row r="1098" spans="1:15" hidden="1" x14ac:dyDescent="0.75">
      <c r="A1098" s="2">
        <v>46290</v>
      </c>
      <c r="B1098" s="3" t="s">
        <v>1183</v>
      </c>
      <c r="C1098" s="3" t="s">
        <v>1184</v>
      </c>
      <c r="D1098" s="3" t="s">
        <v>244</v>
      </c>
      <c r="E1098" s="3" t="s">
        <v>245</v>
      </c>
      <c r="F1098" s="3" t="s">
        <v>82</v>
      </c>
      <c r="G1098" s="3" t="s">
        <v>83</v>
      </c>
      <c r="H1098" s="4">
        <v>46290.594861921287</v>
      </c>
      <c r="I1098" s="4">
        <v>46290.691482638889</v>
      </c>
      <c r="J1098" s="3">
        <f>ROUND((I1098-H1098)*1440,0)</f>
        <v>139</v>
      </c>
      <c r="K1098" s="3" t="s">
        <v>819</v>
      </c>
      <c r="L1098" s="3" t="s">
        <v>36</v>
      </c>
      <c r="M1098" s="3" t="s">
        <v>36</v>
      </c>
      <c r="N1098" s="3" t="s">
        <v>23</v>
      </c>
      <c r="O1098" s="3" t="s">
        <v>820</v>
      </c>
    </row>
    <row r="1099" spans="1:15" hidden="1" x14ac:dyDescent="0.75">
      <c r="A1099" s="2">
        <v>46290</v>
      </c>
      <c r="B1099" s="3" t="s">
        <v>1225</v>
      </c>
      <c r="C1099" s="3" t="s">
        <v>1226</v>
      </c>
      <c r="D1099" s="3" t="s">
        <v>106</v>
      </c>
      <c r="E1099" s="3" t="s">
        <v>107</v>
      </c>
      <c r="F1099" s="3" t="s">
        <v>27</v>
      </c>
      <c r="G1099" s="3" t="s">
        <v>28</v>
      </c>
      <c r="H1099" s="4">
        <v>46290.595495370369</v>
      </c>
      <c r="I1099" s="4">
        <v>46290.686748842592</v>
      </c>
      <c r="J1099" s="3">
        <f>ROUND((I1099-H1099)*1440,0)</f>
        <v>131</v>
      </c>
      <c r="K1099" s="3" t="s">
        <v>477</v>
      </c>
      <c r="L1099" s="3" t="s">
        <v>77</v>
      </c>
      <c r="M1099" s="3" t="s">
        <v>78</v>
      </c>
      <c r="N1099" s="3" t="s">
        <v>23</v>
      </c>
      <c r="O1099" s="3" t="s">
        <v>478</v>
      </c>
    </row>
    <row r="1100" spans="1:15" hidden="1" x14ac:dyDescent="0.75">
      <c r="A1100" s="2">
        <v>46290</v>
      </c>
      <c r="B1100" s="3" t="s">
        <v>2227</v>
      </c>
      <c r="C1100" s="3" t="s">
        <v>2228</v>
      </c>
      <c r="D1100" s="3" t="s">
        <v>56</v>
      </c>
      <c r="E1100" s="3" t="s">
        <v>57</v>
      </c>
      <c r="F1100" s="3" t="s">
        <v>2229</v>
      </c>
      <c r="G1100" s="3" t="s">
        <v>2230</v>
      </c>
      <c r="H1100" s="4">
        <v>46290.596543287043</v>
      </c>
      <c r="I1100" s="4">
        <v>46290.678030555559</v>
      </c>
      <c r="J1100" s="3">
        <f>ROUND((I1100-H1100)*1440,0)</f>
        <v>117</v>
      </c>
      <c r="K1100" s="3" t="s">
        <v>2231</v>
      </c>
      <c r="L1100" s="3" t="s">
        <v>36</v>
      </c>
      <c r="M1100" s="3" t="s">
        <v>36</v>
      </c>
      <c r="N1100" s="3" t="s">
        <v>45</v>
      </c>
      <c r="O1100" s="3" t="s">
        <v>2232</v>
      </c>
    </row>
    <row r="1101" spans="1:15" hidden="1" x14ac:dyDescent="0.75">
      <c r="A1101" s="2">
        <v>46290</v>
      </c>
      <c r="B1101" s="3" t="s">
        <v>1189</v>
      </c>
      <c r="C1101" s="3" t="s">
        <v>1190</v>
      </c>
      <c r="D1101" s="3" t="s">
        <v>58</v>
      </c>
      <c r="E1101" s="3" t="s">
        <v>59</v>
      </c>
      <c r="F1101" s="3" t="s">
        <v>615</v>
      </c>
      <c r="G1101" s="3" t="s">
        <v>616</v>
      </c>
      <c r="H1101" s="4">
        <v>46290.596551736111</v>
      </c>
      <c r="I1101" s="4">
        <v>46290.751881018521</v>
      </c>
      <c r="J1101" s="3">
        <f>ROUND((I1101-H1101)*1440,0)</f>
        <v>224</v>
      </c>
      <c r="K1101" s="3" t="s">
        <v>1359</v>
      </c>
      <c r="L1101" s="3" t="s">
        <v>36</v>
      </c>
      <c r="M1101" s="3" t="s">
        <v>36</v>
      </c>
      <c r="N1101" s="3" t="s">
        <v>45</v>
      </c>
      <c r="O1101" s="3" t="s">
        <v>1360</v>
      </c>
    </row>
    <row r="1102" spans="1:15" hidden="1" x14ac:dyDescent="0.75">
      <c r="A1102" s="2">
        <v>46290</v>
      </c>
      <c r="B1102" s="3" t="s">
        <v>1205</v>
      </c>
      <c r="C1102" s="3" t="s">
        <v>1206</v>
      </c>
      <c r="D1102" s="3" t="s">
        <v>82</v>
      </c>
      <c r="E1102" s="3" t="s">
        <v>83</v>
      </c>
      <c r="F1102" s="3" t="s">
        <v>1207</v>
      </c>
      <c r="G1102" s="3" t="s">
        <v>1208</v>
      </c>
      <c r="H1102" s="4">
        <v>46290.598055208327</v>
      </c>
      <c r="I1102" s="4">
        <v>46290.701839120367</v>
      </c>
      <c r="J1102" s="3">
        <f>ROUND((I1102-H1102)*1440,0)</f>
        <v>149</v>
      </c>
      <c r="K1102" s="3" t="s">
        <v>2125</v>
      </c>
      <c r="L1102" s="3" t="s">
        <v>36</v>
      </c>
      <c r="M1102" s="3" t="s">
        <v>36</v>
      </c>
      <c r="N1102" s="3" t="s">
        <v>23</v>
      </c>
      <c r="O1102" s="3" t="s">
        <v>2126</v>
      </c>
    </row>
    <row r="1103" spans="1:15" hidden="1" x14ac:dyDescent="0.75">
      <c r="A1103" s="2">
        <v>46290</v>
      </c>
      <c r="B1103" s="3" t="s">
        <v>1193</v>
      </c>
      <c r="C1103" s="3" t="s">
        <v>1194</v>
      </c>
      <c r="D1103" s="3" t="s">
        <v>17</v>
      </c>
      <c r="E1103" s="3" t="s">
        <v>18</v>
      </c>
      <c r="F1103" s="3" t="s">
        <v>1195</v>
      </c>
      <c r="G1103" s="3" t="s">
        <v>1196</v>
      </c>
      <c r="H1103" s="4">
        <v>46290.598211111108</v>
      </c>
      <c r="I1103" s="4">
        <v>46290.792011226848</v>
      </c>
      <c r="J1103" s="3">
        <f>ROUND((I1103-H1103)*1440,0)</f>
        <v>279</v>
      </c>
      <c r="K1103" s="3" t="s">
        <v>961</v>
      </c>
      <c r="L1103" s="3" t="s">
        <v>36</v>
      </c>
      <c r="M1103" s="3" t="s">
        <v>36</v>
      </c>
      <c r="N1103" s="3" t="s">
        <v>23</v>
      </c>
      <c r="O1103" s="3" t="s">
        <v>962</v>
      </c>
    </row>
    <row r="1104" spans="1:15" hidden="1" x14ac:dyDescent="0.75">
      <c r="A1104" s="2">
        <v>46290</v>
      </c>
      <c r="B1104" s="3" t="s">
        <v>1151</v>
      </c>
      <c r="C1104" s="3" t="s">
        <v>1152</v>
      </c>
      <c r="D1104" s="3" t="s">
        <v>182</v>
      </c>
      <c r="E1104" s="3" t="s">
        <v>183</v>
      </c>
      <c r="F1104" s="3" t="s">
        <v>17</v>
      </c>
      <c r="G1104" s="3" t="s">
        <v>18</v>
      </c>
      <c r="H1104" s="4">
        <v>46290.599343518523</v>
      </c>
      <c r="I1104" s="4">
        <v>46290.673538773153</v>
      </c>
      <c r="J1104" s="3">
        <f>ROUND((I1104-H1104)*1440,0)</f>
        <v>107</v>
      </c>
      <c r="K1104" s="3" t="s">
        <v>356</v>
      </c>
      <c r="L1104" s="3" t="s">
        <v>77</v>
      </c>
      <c r="M1104" s="3" t="s">
        <v>78</v>
      </c>
      <c r="N1104" s="3" t="s">
        <v>23</v>
      </c>
      <c r="O1104" s="3" t="s">
        <v>357</v>
      </c>
    </row>
    <row r="1105" spans="1:15" hidden="1" x14ac:dyDescent="0.75">
      <c r="A1105" s="2">
        <v>46290</v>
      </c>
      <c r="B1105" s="3" t="s">
        <v>1213</v>
      </c>
      <c r="C1105" s="3" t="s">
        <v>1214</v>
      </c>
      <c r="D1105" s="3" t="s">
        <v>17</v>
      </c>
      <c r="E1105" s="3" t="s">
        <v>18</v>
      </c>
      <c r="F1105" s="3"/>
      <c r="G1105" s="3"/>
      <c r="H1105" s="4">
        <v>46290.599731018519</v>
      </c>
      <c r="I1105" s="4">
        <v>46290.679078356479</v>
      </c>
      <c r="J1105" s="3">
        <f>ROUND((I1105-H1105)*1440,0)</f>
        <v>114</v>
      </c>
      <c r="K1105" s="3" t="s">
        <v>1237</v>
      </c>
      <c r="L1105" s="3" t="s">
        <v>22</v>
      </c>
      <c r="M1105" s="3" t="s">
        <v>22</v>
      </c>
      <c r="N1105" s="3" t="s">
        <v>443</v>
      </c>
      <c r="O1105" s="3" t="s">
        <v>1238</v>
      </c>
    </row>
    <row r="1106" spans="1:15" hidden="1" x14ac:dyDescent="0.75">
      <c r="A1106" s="2">
        <v>46290</v>
      </c>
      <c r="B1106" s="3" t="s">
        <v>2233</v>
      </c>
      <c r="C1106" s="3" t="s">
        <v>2234</v>
      </c>
      <c r="D1106" s="3" t="s">
        <v>17</v>
      </c>
      <c r="E1106" s="3" t="s">
        <v>18</v>
      </c>
      <c r="F1106" s="3" t="s">
        <v>2235</v>
      </c>
      <c r="G1106" s="3" t="s">
        <v>2236</v>
      </c>
      <c r="H1106" s="4">
        <v>46290.600412731481</v>
      </c>
      <c r="I1106" s="4">
        <v>46290.658250925917</v>
      </c>
      <c r="J1106" s="3">
        <f>ROUND((I1106-H1106)*1440,0)</f>
        <v>83</v>
      </c>
      <c r="K1106" s="3" t="s">
        <v>1761</v>
      </c>
      <c r="L1106" s="3" t="s">
        <v>22</v>
      </c>
      <c r="M1106" s="3" t="s">
        <v>22</v>
      </c>
      <c r="N1106" s="3" t="s">
        <v>45</v>
      </c>
      <c r="O1106" s="3" t="s">
        <v>1762</v>
      </c>
    </row>
    <row r="1107" spans="1:15" hidden="1" x14ac:dyDescent="0.75">
      <c r="A1107" s="2">
        <v>46290</v>
      </c>
      <c r="B1107" s="3" t="s">
        <v>2237</v>
      </c>
      <c r="C1107" s="3" t="s">
        <v>2238</v>
      </c>
      <c r="D1107" s="3" t="s">
        <v>27</v>
      </c>
      <c r="E1107" s="3" t="s">
        <v>28</v>
      </c>
      <c r="F1107" s="3"/>
      <c r="G1107" s="3"/>
      <c r="H1107" s="4">
        <v>46290.601934375001</v>
      </c>
      <c r="I1107" s="4">
        <v>46290.704452083337</v>
      </c>
      <c r="J1107" s="3">
        <f>ROUND((I1107-H1107)*1440,0)</f>
        <v>148</v>
      </c>
      <c r="K1107" s="3" t="s">
        <v>1147</v>
      </c>
      <c r="L1107" s="3" t="s">
        <v>22</v>
      </c>
      <c r="M1107" s="3" t="s">
        <v>22</v>
      </c>
      <c r="N1107" s="3" t="s">
        <v>23</v>
      </c>
      <c r="O1107" s="3" t="s">
        <v>1148</v>
      </c>
    </row>
    <row r="1108" spans="1:15" hidden="1" x14ac:dyDescent="0.75">
      <c r="A1108" s="2">
        <v>46290</v>
      </c>
      <c r="B1108" s="3" t="s">
        <v>1565</v>
      </c>
      <c r="C1108" s="3" t="s">
        <v>1566</v>
      </c>
      <c r="D1108" s="3" t="s">
        <v>208</v>
      </c>
      <c r="E1108" s="3" t="s">
        <v>209</v>
      </c>
      <c r="F1108" s="3" t="s">
        <v>82</v>
      </c>
      <c r="G1108" s="3" t="s">
        <v>83</v>
      </c>
      <c r="H1108" s="4">
        <v>46290.603954861108</v>
      </c>
      <c r="I1108" s="4">
        <v>46290.693855555553</v>
      </c>
      <c r="J1108" s="3">
        <f>ROUND((I1108-H1108)*1440,0)</f>
        <v>129</v>
      </c>
      <c r="K1108" s="3" t="s">
        <v>1089</v>
      </c>
      <c r="L1108" s="3" t="s">
        <v>36</v>
      </c>
      <c r="M1108" s="3" t="s">
        <v>36</v>
      </c>
      <c r="N1108" s="3" t="s">
        <v>23</v>
      </c>
      <c r="O1108" s="3" t="s">
        <v>1090</v>
      </c>
    </row>
    <row r="1109" spans="1:15" hidden="1" x14ac:dyDescent="0.75">
      <c r="A1109" s="2">
        <v>46290</v>
      </c>
      <c r="B1109" s="3" t="s">
        <v>1535</v>
      </c>
      <c r="C1109" s="3" t="s">
        <v>1536</v>
      </c>
      <c r="D1109" s="3" t="s">
        <v>615</v>
      </c>
      <c r="E1109" s="3" t="s">
        <v>616</v>
      </c>
      <c r="F1109" s="3" t="s">
        <v>17</v>
      </c>
      <c r="G1109" s="3" t="s">
        <v>18</v>
      </c>
      <c r="H1109" s="4">
        <v>46290.605410532407</v>
      </c>
      <c r="I1109" s="4">
        <v>46290.743345023147</v>
      </c>
      <c r="J1109" s="3">
        <f>ROUND((I1109-H1109)*1440,0)</f>
        <v>199</v>
      </c>
      <c r="K1109" s="3" t="s">
        <v>765</v>
      </c>
      <c r="L1109" s="3" t="s">
        <v>43</v>
      </c>
      <c r="M1109" s="3" t="s">
        <v>44</v>
      </c>
      <c r="N1109" s="3" t="s">
        <v>23</v>
      </c>
      <c r="O1109" s="3" t="s">
        <v>766</v>
      </c>
    </row>
    <row r="1110" spans="1:15" hidden="1" x14ac:dyDescent="0.75">
      <c r="A1110" s="2">
        <v>46290</v>
      </c>
      <c r="B1110" s="3" t="s">
        <v>1235</v>
      </c>
      <c r="C1110" s="3" t="s">
        <v>1236</v>
      </c>
      <c r="D1110" s="3" t="s">
        <v>17</v>
      </c>
      <c r="E1110" s="3" t="s">
        <v>18</v>
      </c>
      <c r="F1110" s="3" t="s">
        <v>264</v>
      </c>
      <c r="G1110" s="3" t="s">
        <v>265</v>
      </c>
      <c r="H1110" s="4">
        <v>46290.605926620367</v>
      </c>
      <c r="I1110" s="4">
        <v>46290.812631828703</v>
      </c>
      <c r="J1110" s="3">
        <f>ROUND((I1110-H1110)*1440,0)</f>
        <v>298</v>
      </c>
      <c r="K1110" s="3" t="s">
        <v>430</v>
      </c>
      <c r="L1110" s="3" t="s">
        <v>36</v>
      </c>
      <c r="M1110" s="3" t="s">
        <v>36</v>
      </c>
      <c r="N1110" s="3" t="s">
        <v>23</v>
      </c>
      <c r="O1110" s="3" t="s">
        <v>431</v>
      </c>
    </row>
    <row r="1111" spans="1:15" hidden="1" x14ac:dyDescent="0.75">
      <c r="A1111" s="2">
        <v>46290</v>
      </c>
      <c r="B1111" s="3" t="s">
        <v>1223</v>
      </c>
      <c r="C1111" s="3" t="s">
        <v>1224</v>
      </c>
      <c r="D1111" s="3" t="s">
        <v>56</v>
      </c>
      <c r="E1111" s="3" t="s">
        <v>57</v>
      </c>
      <c r="F1111" s="3" t="s">
        <v>49</v>
      </c>
      <c r="G1111" s="3" t="s">
        <v>50</v>
      </c>
      <c r="H1111" s="4">
        <v>46290.606028703703</v>
      </c>
      <c r="I1111" s="4">
        <v>46290.71300891204</v>
      </c>
      <c r="J1111" s="3">
        <f>ROUND((I1111-H1111)*1440,0)</f>
        <v>154</v>
      </c>
      <c r="K1111" s="3" t="s">
        <v>993</v>
      </c>
      <c r="L1111" s="3" t="s">
        <v>36</v>
      </c>
      <c r="M1111" s="3" t="s">
        <v>36</v>
      </c>
      <c r="N1111" s="3" t="s">
        <v>23</v>
      </c>
      <c r="O1111" s="3" t="s">
        <v>994</v>
      </c>
    </row>
    <row r="1112" spans="1:15" hidden="1" x14ac:dyDescent="0.75">
      <c r="A1112" s="2">
        <v>46290</v>
      </c>
      <c r="B1112" s="3" t="s">
        <v>1253</v>
      </c>
      <c r="C1112" s="3" t="s">
        <v>1254</v>
      </c>
      <c r="D1112" s="3" t="s">
        <v>56</v>
      </c>
      <c r="E1112" s="3" t="s">
        <v>57</v>
      </c>
      <c r="F1112" s="3" t="s">
        <v>683</v>
      </c>
      <c r="G1112" s="3" t="s">
        <v>684</v>
      </c>
      <c r="H1112" s="4">
        <v>46290.608369444453</v>
      </c>
      <c r="I1112" s="4">
        <v>46290.669488194442</v>
      </c>
      <c r="J1112" s="3">
        <f>ROUND((I1112-H1112)*1440,0)</f>
        <v>88</v>
      </c>
      <c r="K1112" s="3" t="s">
        <v>1363</v>
      </c>
      <c r="L1112" s="3" t="s">
        <v>36</v>
      </c>
      <c r="M1112" s="3" t="s">
        <v>36</v>
      </c>
      <c r="N1112" s="3" t="s">
        <v>23</v>
      </c>
      <c r="O1112" s="3" t="s">
        <v>1364</v>
      </c>
    </row>
    <row r="1113" spans="1:15" hidden="1" x14ac:dyDescent="0.75">
      <c r="A1113" s="2">
        <v>46290</v>
      </c>
      <c r="B1113" s="3" t="s">
        <v>1267</v>
      </c>
      <c r="C1113" s="3" t="s">
        <v>1268</v>
      </c>
      <c r="D1113" s="3" t="s">
        <v>17</v>
      </c>
      <c r="E1113" s="3" t="s">
        <v>18</v>
      </c>
      <c r="F1113" s="3" t="s">
        <v>1269</v>
      </c>
      <c r="G1113" s="3" t="s">
        <v>1270</v>
      </c>
      <c r="H1113" s="4">
        <v>46290.61049201389</v>
      </c>
      <c r="I1113" s="4">
        <v>46290.680918402781</v>
      </c>
      <c r="J1113" s="3">
        <f>ROUND((I1113-H1113)*1440,0)</f>
        <v>101</v>
      </c>
      <c r="K1113" s="3" t="s">
        <v>783</v>
      </c>
      <c r="L1113" s="3" t="s">
        <v>77</v>
      </c>
      <c r="M1113" s="3" t="s">
        <v>78</v>
      </c>
      <c r="N1113" s="3" t="s">
        <v>45</v>
      </c>
      <c r="O1113" s="3" t="s">
        <v>784</v>
      </c>
    </row>
    <row r="1114" spans="1:15" hidden="1" x14ac:dyDescent="0.75">
      <c r="A1114" s="2">
        <v>46290</v>
      </c>
      <c r="B1114" s="3" t="s">
        <v>1197</v>
      </c>
      <c r="C1114" s="3" t="s">
        <v>1198</v>
      </c>
      <c r="D1114" s="3" t="s">
        <v>27</v>
      </c>
      <c r="E1114" s="3" t="s">
        <v>28</v>
      </c>
      <c r="F1114" s="3" t="s">
        <v>122</v>
      </c>
      <c r="G1114" s="3" t="s">
        <v>123</v>
      </c>
      <c r="H1114" s="4">
        <v>46290.611444328701</v>
      </c>
      <c r="I1114" s="4">
        <v>46290.858268402779</v>
      </c>
      <c r="J1114" s="3">
        <f>ROUND((I1114-H1114)*1440,0)</f>
        <v>355</v>
      </c>
      <c r="K1114" s="3" t="s">
        <v>943</v>
      </c>
      <c r="L1114" s="3" t="s">
        <v>43</v>
      </c>
      <c r="M1114" s="3" t="s">
        <v>44</v>
      </c>
      <c r="N1114" s="3" t="s">
        <v>23</v>
      </c>
      <c r="O1114" s="3" t="s">
        <v>944</v>
      </c>
    </row>
    <row r="1115" spans="1:15" hidden="1" x14ac:dyDescent="0.75">
      <c r="A1115" s="2">
        <v>46290</v>
      </c>
      <c r="B1115" s="3" t="s">
        <v>1239</v>
      </c>
      <c r="C1115" s="3" t="s">
        <v>1240</v>
      </c>
      <c r="D1115" s="3" t="s">
        <v>27</v>
      </c>
      <c r="E1115" s="3" t="s">
        <v>28</v>
      </c>
      <c r="F1115" s="3" t="s">
        <v>280</v>
      </c>
      <c r="G1115" s="3" t="s">
        <v>281</v>
      </c>
      <c r="H1115" s="4">
        <v>46290.61229675926</v>
      </c>
      <c r="I1115" s="4">
        <v>46290.736439583343</v>
      </c>
      <c r="J1115" s="3">
        <f>ROUND((I1115-H1115)*1440,0)</f>
        <v>179</v>
      </c>
      <c r="K1115" s="3" t="s">
        <v>1469</v>
      </c>
      <c r="L1115" s="3" t="s">
        <v>36</v>
      </c>
      <c r="M1115" s="3" t="s">
        <v>36</v>
      </c>
      <c r="N1115" s="3" t="s">
        <v>23</v>
      </c>
      <c r="O1115" s="3" t="s">
        <v>1470</v>
      </c>
    </row>
    <row r="1116" spans="1:15" hidden="1" x14ac:dyDescent="0.75">
      <c r="A1116" s="2">
        <v>46290</v>
      </c>
      <c r="B1116" s="3" t="s">
        <v>1263</v>
      </c>
      <c r="C1116" s="3" t="s">
        <v>1264</v>
      </c>
      <c r="D1116" s="3" t="s">
        <v>27</v>
      </c>
      <c r="E1116" s="3" t="s">
        <v>28</v>
      </c>
      <c r="F1116" s="3" t="s">
        <v>1101</v>
      </c>
      <c r="G1116" s="3" t="s">
        <v>1102</v>
      </c>
      <c r="H1116" s="4">
        <v>46290.614107638889</v>
      </c>
      <c r="I1116" s="4">
        <v>46290.630937499998</v>
      </c>
      <c r="J1116" s="3">
        <f>ROUND((I1116-H1116)*1440,0)</f>
        <v>24</v>
      </c>
      <c r="K1116" s="3" t="s">
        <v>739</v>
      </c>
      <c r="L1116" s="3" t="s">
        <v>77</v>
      </c>
      <c r="M1116" s="3" t="s">
        <v>78</v>
      </c>
      <c r="N1116" s="3" t="s">
        <v>45</v>
      </c>
      <c r="O1116" s="3" t="s">
        <v>740</v>
      </c>
    </row>
    <row r="1117" spans="1:15" hidden="1" x14ac:dyDescent="0.75">
      <c r="A1117" s="2">
        <v>46290</v>
      </c>
      <c r="B1117" s="3" t="s">
        <v>33</v>
      </c>
      <c r="C1117" s="3" t="s">
        <v>34</v>
      </c>
      <c r="D1117" s="3" t="s">
        <v>17</v>
      </c>
      <c r="E1117" s="3" t="s">
        <v>18</v>
      </c>
      <c r="F1117" s="3" t="s">
        <v>17</v>
      </c>
      <c r="G1117" s="3" t="s">
        <v>18</v>
      </c>
      <c r="H1117" s="4">
        <v>46290.614257175926</v>
      </c>
      <c r="I1117" s="4">
        <v>46291.094887962972</v>
      </c>
      <c r="J1117" s="3">
        <f>ROUND((I1117-H1117)*1440,0)</f>
        <v>692</v>
      </c>
      <c r="K1117" s="3" t="s">
        <v>537</v>
      </c>
      <c r="L1117" s="3" t="s">
        <v>36</v>
      </c>
      <c r="M1117" s="3" t="s">
        <v>36</v>
      </c>
      <c r="N1117" s="3" t="s">
        <v>23</v>
      </c>
      <c r="O1117" s="3" t="s">
        <v>538</v>
      </c>
    </row>
    <row r="1118" spans="1:15" hidden="1" x14ac:dyDescent="0.75">
      <c r="A1118" s="2">
        <v>46290</v>
      </c>
      <c r="B1118" s="3" t="s">
        <v>1649</v>
      </c>
      <c r="C1118" s="3" t="s">
        <v>1650</v>
      </c>
      <c r="D1118" s="3" t="s">
        <v>615</v>
      </c>
      <c r="E1118" s="3" t="s">
        <v>616</v>
      </c>
      <c r="F1118" s="3" t="s">
        <v>56</v>
      </c>
      <c r="G1118" s="3" t="s">
        <v>57</v>
      </c>
      <c r="H1118" s="4">
        <v>46290.614523611112</v>
      </c>
      <c r="I1118" s="4">
        <v>46290.915192708337</v>
      </c>
      <c r="J1118" s="3">
        <f>ROUND((I1118-H1118)*1440,0)</f>
        <v>433</v>
      </c>
      <c r="K1118" s="3" t="s">
        <v>813</v>
      </c>
      <c r="L1118" s="3" t="s">
        <v>36</v>
      </c>
      <c r="M1118" s="3" t="s">
        <v>36</v>
      </c>
      <c r="N1118" s="3" t="s">
        <v>23</v>
      </c>
      <c r="O1118" s="3" t="s">
        <v>814</v>
      </c>
    </row>
    <row r="1119" spans="1:15" hidden="1" x14ac:dyDescent="0.75">
      <c r="A1119" s="2">
        <v>46290</v>
      </c>
      <c r="B1119" s="3" t="s">
        <v>1255</v>
      </c>
      <c r="C1119" s="3" t="s">
        <v>1256</v>
      </c>
      <c r="D1119" s="3" t="s">
        <v>27</v>
      </c>
      <c r="E1119" s="3" t="s">
        <v>28</v>
      </c>
      <c r="F1119" s="3" t="s">
        <v>264</v>
      </c>
      <c r="G1119" s="3" t="s">
        <v>265</v>
      </c>
      <c r="H1119" s="4">
        <v>46290.61462083333</v>
      </c>
      <c r="I1119" s="4">
        <v>46290.833407060178</v>
      </c>
      <c r="J1119" s="3">
        <f>ROUND((I1119-H1119)*1440,0)</f>
        <v>315</v>
      </c>
      <c r="K1119" s="3" t="s">
        <v>1199</v>
      </c>
      <c r="L1119" s="3" t="s">
        <v>22</v>
      </c>
      <c r="M1119" s="3" t="s">
        <v>22</v>
      </c>
      <c r="N1119" s="3" t="s">
        <v>23</v>
      </c>
      <c r="O1119" s="3" t="s">
        <v>1200</v>
      </c>
    </row>
    <row r="1120" spans="1:15" hidden="1" x14ac:dyDescent="0.75">
      <c r="A1120" s="2">
        <v>46290</v>
      </c>
      <c r="B1120" s="3" t="s">
        <v>1303</v>
      </c>
      <c r="C1120" s="3" t="s">
        <v>1304</v>
      </c>
      <c r="D1120" s="3" t="s">
        <v>49</v>
      </c>
      <c r="E1120" s="3" t="s">
        <v>50</v>
      </c>
      <c r="F1120" s="3" t="s">
        <v>27</v>
      </c>
      <c r="G1120" s="3" t="s">
        <v>28</v>
      </c>
      <c r="H1120" s="4">
        <v>46290.614666203714</v>
      </c>
      <c r="I1120" s="4">
        <v>46290.649628472223</v>
      </c>
      <c r="J1120" s="3">
        <f>ROUND((I1120-H1120)*1440,0)</f>
        <v>50</v>
      </c>
      <c r="K1120" s="3" t="s">
        <v>1023</v>
      </c>
      <c r="L1120" s="3" t="s">
        <v>77</v>
      </c>
      <c r="M1120" s="3" t="s">
        <v>78</v>
      </c>
      <c r="N1120" s="3" t="s">
        <v>23</v>
      </c>
      <c r="O1120" s="3" t="s">
        <v>1024</v>
      </c>
    </row>
    <row r="1121" spans="1:15" hidden="1" x14ac:dyDescent="0.75">
      <c r="A1121" s="2">
        <v>46290</v>
      </c>
      <c r="B1121" s="3" t="s">
        <v>1259</v>
      </c>
      <c r="C1121" s="3" t="s">
        <v>1260</v>
      </c>
      <c r="D1121" s="3" t="s">
        <v>17</v>
      </c>
      <c r="E1121" s="3" t="s">
        <v>18</v>
      </c>
      <c r="F1121" s="3" t="s">
        <v>94</v>
      </c>
      <c r="G1121" s="3" t="s">
        <v>95</v>
      </c>
      <c r="H1121" s="4">
        <v>46290.615162499998</v>
      </c>
      <c r="I1121" s="4">
        <v>46290.663552777783</v>
      </c>
      <c r="J1121" s="3">
        <f>ROUND((I1121-H1121)*1440,0)</f>
        <v>70</v>
      </c>
      <c r="K1121" s="3" t="s">
        <v>1997</v>
      </c>
      <c r="L1121" s="3" t="s">
        <v>77</v>
      </c>
      <c r="M1121" s="3" t="s">
        <v>78</v>
      </c>
      <c r="N1121" s="3" t="s">
        <v>23</v>
      </c>
      <c r="O1121" s="3" t="s">
        <v>1998</v>
      </c>
    </row>
    <row r="1122" spans="1:15" hidden="1" x14ac:dyDescent="0.75">
      <c r="A1122" s="2">
        <v>46290</v>
      </c>
      <c r="B1122" s="3" t="s">
        <v>1283</v>
      </c>
      <c r="C1122" s="3" t="s">
        <v>1284</v>
      </c>
      <c r="D1122" s="3" t="s">
        <v>1101</v>
      </c>
      <c r="E1122" s="3" t="s">
        <v>1102</v>
      </c>
      <c r="F1122" s="3" t="s">
        <v>158</v>
      </c>
      <c r="G1122" s="3" t="s">
        <v>159</v>
      </c>
      <c r="H1122" s="4">
        <v>46290.615315393523</v>
      </c>
      <c r="I1122" s="4">
        <v>46290.660751504627</v>
      </c>
      <c r="J1122" s="3">
        <f>ROUND((I1122-H1122)*1440,0)</f>
        <v>65</v>
      </c>
      <c r="K1122" s="3" t="s">
        <v>1501</v>
      </c>
      <c r="L1122" s="3" t="s">
        <v>77</v>
      </c>
      <c r="M1122" s="3" t="s">
        <v>78</v>
      </c>
      <c r="N1122" s="3" t="s">
        <v>23</v>
      </c>
      <c r="O1122" s="3" t="s">
        <v>1502</v>
      </c>
    </row>
    <row r="1123" spans="1:15" hidden="1" x14ac:dyDescent="0.75">
      <c r="A1123" s="2">
        <v>46290</v>
      </c>
      <c r="B1123" s="3" t="s">
        <v>1275</v>
      </c>
      <c r="C1123" s="3" t="s">
        <v>1276</v>
      </c>
      <c r="D1123" s="3" t="s">
        <v>17</v>
      </c>
      <c r="E1123" s="3" t="s">
        <v>18</v>
      </c>
      <c r="F1123" s="3" t="s">
        <v>56</v>
      </c>
      <c r="G1123" s="3" t="s">
        <v>57</v>
      </c>
      <c r="H1123" s="4">
        <v>46290.616002662027</v>
      </c>
      <c r="I1123" s="4">
        <v>46290.893652314808</v>
      </c>
      <c r="J1123" s="3">
        <f>ROUND((I1123-H1123)*1440,0)</f>
        <v>400</v>
      </c>
      <c r="K1123" s="3" t="s">
        <v>134</v>
      </c>
      <c r="L1123" s="3" t="s">
        <v>36</v>
      </c>
      <c r="M1123" s="3" t="s">
        <v>36</v>
      </c>
      <c r="N1123" s="3" t="s">
        <v>23</v>
      </c>
      <c r="O1123" s="3" t="s">
        <v>135</v>
      </c>
    </row>
    <row r="1124" spans="1:15" hidden="1" x14ac:dyDescent="0.75">
      <c r="A1124" s="2">
        <v>46290</v>
      </c>
      <c r="B1124" s="3" t="s">
        <v>1297</v>
      </c>
      <c r="C1124" s="3" t="s">
        <v>1298</v>
      </c>
      <c r="D1124" s="3" t="s">
        <v>334</v>
      </c>
      <c r="E1124" s="3" t="s">
        <v>335</v>
      </c>
      <c r="F1124" s="3" t="s">
        <v>27</v>
      </c>
      <c r="G1124" s="3" t="s">
        <v>28</v>
      </c>
      <c r="H1124" s="4">
        <v>46290.6161931713</v>
      </c>
      <c r="I1124" s="4">
        <v>46290.700589351851</v>
      </c>
      <c r="J1124" s="3">
        <f>ROUND((I1124-H1124)*1440,0)</f>
        <v>122</v>
      </c>
      <c r="K1124" s="3" t="s">
        <v>368</v>
      </c>
      <c r="L1124" s="3" t="s">
        <v>77</v>
      </c>
      <c r="M1124" s="3" t="s">
        <v>78</v>
      </c>
      <c r="N1124" s="3" t="s">
        <v>23</v>
      </c>
      <c r="O1124" s="3" t="s">
        <v>369</v>
      </c>
    </row>
    <row r="1125" spans="1:15" hidden="1" x14ac:dyDescent="0.75">
      <c r="A1125" s="2">
        <v>46290</v>
      </c>
      <c r="B1125" s="3" t="s">
        <v>1311</v>
      </c>
      <c r="C1125" s="3" t="s">
        <v>1312</v>
      </c>
      <c r="D1125" s="3" t="s">
        <v>719</v>
      </c>
      <c r="E1125" s="3" t="s">
        <v>720</v>
      </c>
      <c r="F1125" s="3" t="s">
        <v>84</v>
      </c>
      <c r="G1125" s="3" t="s">
        <v>85</v>
      </c>
      <c r="H1125" s="4">
        <v>46290.616737152777</v>
      </c>
      <c r="I1125" s="4">
        <v>46290.725871180563</v>
      </c>
      <c r="J1125" s="3">
        <f>ROUND((I1125-H1125)*1440,0)</f>
        <v>157</v>
      </c>
      <c r="K1125" s="3" t="s">
        <v>130</v>
      </c>
      <c r="L1125" s="3" t="s">
        <v>36</v>
      </c>
      <c r="M1125" s="3" t="s">
        <v>36</v>
      </c>
      <c r="N1125" s="3" t="s">
        <v>45</v>
      </c>
      <c r="O1125" s="3" t="s">
        <v>131</v>
      </c>
    </row>
    <row r="1126" spans="1:15" hidden="1" x14ac:dyDescent="0.75">
      <c r="A1126" s="2">
        <v>46290</v>
      </c>
      <c r="B1126" s="3" t="s">
        <v>1285</v>
      </c>
      <c r="C1126" s="3" t="s">
        <v>1286</v>
      </c>
      <c r="D1126" s="3" t="s">
        <v>68</v>
      </c>
      <c r="E1126" s="3" t="s">
        <v>69</v>
      </c>
      <c r="F1126" s="3" t="s">
        <v>17</v>
      </c>
      <c r="G1126" s="3" t="s">
        <v>18</v>
      </c>
      <c r="H1126" s="4">
        <v>46290.617389120373</v>
      </c>
      <c r="I1126" s="4">
        <v>46290.712887152768</v>
      </c>
      <c r="J1126" s="3">
        <f>ROUND((I1126-H1126)*1440,0)</f>
        <v>138</v>
      </c>
      <c r="K1126" s="3" t="s">
        <v>2185</v>
      </c>
      <c r="L1126" s="3" t="s">
        <v>43</v>
      </c>
      <c r="M1126" s="3" t="s">
        <v>44</v>
      </c>
      <c r="N1126" s="3" t="s">
        <v>23</v>
      </c>
      <c r="O1126" s="3" t="s">
        <v>2186</v>
      </c>
    </row>
    <row r="1127" spans="1:15" hidden="1" x14ac:dyDescent="0.75">
      <c r="A1127" s="2">
        <v>46290</v>
      </c>
      <c r="B1127" s="3" t="s">
        <v>1277</v>
      </c>
      <c r="C1127" s="3" t="s">
        <v>1278</v>
      </c>
      <c r="D1127" s="3" t="s">
        <v>56</v>
      </c>
      <c r="E1127" s="3" t="s">
        <v>57</v>
      </c>
      <c r="F1127" s="3" t="s">
        <v>182</v>
      </c>
      <c r="G1127" s="3" t="s">
        <v>183</v>
      </c>
      <c r="H1127" s="4">
        <v>46290.61771273148</v>
      </c>
      <c r="I1127" s="4">
        <v>46290.677518865741</v>
      </c>
      <c r="J1127" s="3">
        <f>ROUND((I1127-H1127)*1440,0)</f>
        <v>86</v>
      </c>
      <c r="K1127" s="3" t="s">
        <v>76</v>
      </c>
      <c r="L1127" s="3" t="s">
        <v>77</v>
      </c>
      <c r="M1127" s="3" t="s">
        <v>78</v>
      </c>
      <c r="N1127" s="3" t="s">
        <v>23</v>
      </c>
      <c r="O1127" s="3" t="s">
        <v>79</v>
      </c>
    </row>
    <row r="1128" spans="1:15" hidden="1" x14ac:dyDescent="0.75">
      <c r="A1128" s="2">
        <v>46290</v>
      </c>
      <c r="B1128" s="3" t="s">
        <v>1251</v>
      </c>
      <c r="C1128" s="3" t="s">
        <v>1252</v>
      </c>
      <c r="D1128" s="3" t="s">
        <v>82</v>
      </c>
      <c r="E1128" s="3" t="s">
        <v>83</v>
      </c>
      <c r="F1128" s="3" t="s">
        <v>244</v>
      </c>
      <c r="G1128" s="3" t="s">
        <v>245</v>
      </c>
      <c r="H1128" s="4">
        <v>46290.618211574067</v>
      </c>
      <c r="I1128" s="4">
        <v>46290.715646990742</v>
      </c>
      <c r="J1128" s="3">
        <f>ROUND((I1128-H1128)*1440,0)</f>
        <v>140</v>
      </c>
      <c r="K1128" s="3" t="s">
        <v>789</v>
      </c>
      <c r="L1128" s="3" t="s">
        <v>36</v>
      </c>
      <c r="M1128" s="3" t="s">
        <v>36</v>
      </c>
      <c r="N1128" s="3" t="s">
        <v>45</v>
      </c>
      <c r="O1128" s="3" t="s">
        <v>790</v>
      </c>
    </row>
    <row r="1129" spans="1:15" hidden="1" x14ac:dyDescent="0.75">
      <c r="A1129" s="2">
        <v>46290</v>
      </c>
      <c r="B1129" s="3" t="s">
        <v>1453</v>
      </c>
      <c r="C1129" s="3" t="s">
        <v>1454</v>
      </c>
      <c r="D1129" s="3" t="s">
        <v>122</v>
      </c>
      <c r="E1129" s="3" t="s">
        <v>123</v>
      </c>
      <c r="F1129" s="3" t="s">
        <v>27</v>
      </c>
      <c r="G1129" s="3" t="s">
        <v>28</v>
      </c>
      <c r="H1129" s="4">
        <v>46290.619460648151</v>
      </c>
      <c r="I1129" s="4">
        <v>46290.839444444442</v>
      </c>
      <c r="J1129" s="3">
        <f>ROUND((I1129-H1129)*1440,0)</f>
        <v>317</v>
      </c>
      <c r="K1129" s="3" t="s">
        <v>661</v>
      </c>
      <c r="L1129" s="3" t="s">
        <v>22</v>
      </c>
      <c r="M1129" s="3" t="s">
        <v>22</v>
      </c>
      <c r="N1129" s="3" t="s">
        <v>23</v>
      </c>
      <c r="O1129" s="3" t="s">
        <v>662</v>
      </c>
    </row>
    <row r="1130" spans="1:15" hidden="1" x14ac:dyDescent="0.75">
      <c r="A1130" s="2">
        <v>46290</v>
      </c>
      <c r="B1130" s="3" t="s">
        <v>1279</v>
      </c>
      <c r="C1130" s="3" t="s">
        <v>1280</v>
      </c>
      <c r="D1130" s="3" t="s">
        <v>27</v>
      </c>
      <c r="E1130" s="3" t="s">
        <v>28</v>
      </c>
      <c r="F1130" s="3" t="s">
        <v>82</v>
      </c>
      <c r="G1130" s="3" t="s">
        <v>83</v>
      </c>
      <c r="H1130" s="4">
        <v>46290.619887847221</v>
      </c>
      <c r="I1130" s="4">
        <v>46290.725386921287</v>
      </c>
      <c r="J1130" s="3">
        <f>ROUND((I1130-H1130)*1440,0)</f>
        <v>152</v>
      </c>
      <c r="K1130" s="3" t="s">
        <v>64</v>
      </c>
      <c r="L1130" s="3" t="s">
        <v>43</v>
      </c>
      <c r="M1130" s="3" t="s">
        <v>44</v>
      </c>
      <c r="N1130" s="3" t="s">
        <v>23</v>
      </c>
      <c r="O1130" s="3" t="s">
        <v>65</v>
      </c>
    </row>
    <row r="1131" spans="1:15" hidden="1" x14ac:dyDescent="0.75">
      <c r="A1131" s="2">
        <v>46290</v>
      </c>
      <c r="B1131" s="3" t="s">
        <v>1287</v>
      </c>
      <c r="C1131" s="3" t="s">
        <v>1288</v>
      </c>
      <c r="D1131" s="3" t="s">
        <v>68</v>
      </c>
      <c r="E1131" s="3" t="s">
        <v>69</v>
      </c>
      <c r="F1131" s="3" t="s">
        <v>158</v>
      </c>
      <c r="G1131" s="3" t="s">
        <v>159</v>
      </c>
      <c r="H1131" s="4">
        <v>46290.619922453698</v>
      </c>
      <c r="I1131" s="4">
        <v>46290.702103819443</v>
      </c>
      <c r="J1131" s="3">
        <f>ROUND((I1131-H1131)*1440,0)</f>
        <v>118</v>
      </c>
      <c r="K1131" s="3" t="s">
        <v>51</v>
      </c>
      <c r="L1131" s="3" t="s">
        <v>52</v>
      </c>
      <c r="M1131" s="3"/>
      <c r="N1131" s="3" t="s">
        <v>23</v>
      </c>
      <c r="O1131" s="3" t="s">
        <v>53</v>
      </c>
    </row>
    <row r="1132" spans="1:15" hidden="1" x14ac:dyDescent="0.75">
      <c r="A1132" s="2">
        <v>46290</v>
      </c>
      <c r="B1132" s="3" t="s">
        <v>983</v>
      </c>
      <c r="C1132" s="3" t="s">
        <v>984</v>
      </c>
      <c r="D1132" s="3"/>
      <c r="E1132" s="3"/>
      <c r="F1132" s="3" t="s">
        <v>244</v>
      </c>
      <c r="G1132" s="3" t="s">
        <v>245</v>
      </c>
      <c r="H1132" s="4">
        <v>46290.620403472232</v>
      </c>
      <c r="I1132" s="4">
        <v>46290.685002314807</v>
      </c>
      <c r="J1132" s="3">
        <f>ROUND((I1132-H1132)*1440,0)</f>
        <v>93</v>
      </c>
      <c r="K1132" s="3" t="s">
        <v>873</v>
      </c>
      <c r="L1132" s="3" t="s">
        <v>36</v>
      </c>
      <c r="M1132" s="3" t="s">
        <v>36</v>
      </c>
      <c r="N1132" s="3" t="s">
        <v>45</v>
      </c>
      <c r="O1132" s="3" t="s">
        <v>874</v>
      </c>
    </row>
    <row r="1133" spans="1:15" hidden="1" x14ac:dyDescent="0.75">
      <c r="A1133" s="2">
        <v>46290</v>
      </c>
      <c r="B1133" s="3" t="s">
        <v>1477</v>
      </c>
      <c r="C1133" s="3" t="s">
        <v>1478</v>
      </c>
      <c r="D1133" s="3" t="s">
        <v>82</v>
      </c>
      <c r="E1133" s="3" t="s">
        <v>83</v>
      </c>
      <c r="F1133" s="3" t="s">
        <v>615</v>
      </c>
      <c r="G1133" s="3" t="s">
        <v>616</v>
      </c>
      <c r="H1133" s="4">
        <v>46290.623267476847</v>
      </c>
      <c r="I1133" s="4">
        <v>46290.725178356479</v>
      </c>
      <c r="J1133" s="3">
        <f>ROUND((I1133-H1133)*1440,0)</f>
        <v>147</v>
      </c>
      <c r="K1133" s="3" t="s">
        <v>665</v>
      </c>
      <c r="L1133" s="3" t="s">
        <v>36</v>
      </c>
      <c r="M1133" s="3" t="s">
        <v>36</v>
      </c>
      <c r="N1133" s="3" t="s">
        <v>45</v>
      </c>
      <c r="O1133" s="3" t="s">
        <v>666</v>
      </c>
    </row>
    <row r="1134" spans="1:15" hidden="1" x14ac:dyDescent="0.75">
      <c r="A1134" s="2">
        <v>46290</v>
      </c>
      <c r="B1134" s="3" t="s">
        <v>1289</v>
      </c>
      <c r="C1134" s="3" t="s">
        <v>1290</v>
      </c>
      <c r="D1134" s="3" t="s">
        <v>19</v>
      </c>
      <c r="E1134" s="3" t="s">
        <v>20</v>
      </c>
      <c r="F1134" s="3"/>
      <c r="G1134" s="3"/>
      <c r="H1134" s="4">
        <v>46290.62545486111</v>
      </c>
      <c r="I1134" s="4">
        <v>46290.651714004627</v>
      </c>
      <c r="J1134" s="3">
        <f>ROUND((I1134-H1134)*1440,0)</f>
        <v>38</v>
      </c>
      <c r="K1134" s="3" t="s">
        <v>384</v>
      </c>
      <c r="L1134" s="3" t="s">
        <v>36</v>
      </c>
      <c r="M1134" s="3" t="s">
        <v>36</v>
      </c>
      <c r="N1134" s="3" t="s">
        <v>443</v>
      </c>
      <c r="O1134" s="3" t="s">
        <v>385</v>
      </c>
    </row>
    <row r="1135" spans="1:15" hidden="1" x14ac:dyDescent="0.75">
      <c r="A1135" s="2">
        <v>46290</v>
      </c>
      <c r="B1135" s="3" t="s">
        <v>1291</v>
      </c>
      <c r="C1135" s="3" t="s">
        <v>1292</v>
      </c>
      <c r="D1135" s="3" t="s">
        <v>27</v>
      </c>
      <c r="E1135" s="3" t="s">
        <v>28</v>
      </c>
      <c r="F1135" s="3" t="s">
        <v>228</v>
      </c>
      <c r="G1135" s="3" t="s">
        <v>229</v>
      </c>
      <c r="H1135" s="4">
        <v>46290.625511342587</v>
      </c>
      <c r="I1135" s="4">
        <v>46290.680855902778</v>
      </c>
      <c r="J1135" s="3">
        <f>ROUND((I1135-H1135)*1440,0)</f>
        <v>80</v>
      </c>
      <c r="K1135" s="3" t="s">
        <v>847</v>
      </c>
      <c r="L1135" s="3" t="s">
        <v>77</v>
      </c>
      <c r="M1135" s="3" t="s">
        <v>78</v>
      </c>
      <c r="N1135" s="3" t="s">
        <v>23</v>
      </c>
      <c r="O1135" s="3" t="s">
        <v>848</v>
      </c>
    </row>
    <row r="1136" spans="1:15" hidden="1" x14ac:dyDescent="0.75">
      <c r="A1136" s="2">
        <v>46290</v>
      </c>
      <c r="B1136" s="3" t="s">
        <v>1415</v>
      </c>
      <c r="C1136" s="3" t="s">
        <v>1416</v>
      </c>
      <c r="D1136" s="3" t="s">
        <v>94</v>
      </c>
      <c r="E1136" s="3" t="s">
        <v>95</v>
      </c>
      <c r="F1136" s="3" t="s">
        <v>27</v>
      </c>
      <c r="G1136" s="3" t="s">
        <v>28</v>
      </c>
      <c r="H1136" s="4">
        <v>46290.626088078701</v>
      </c>
      <c r="I1136" s="4">
        <v>46290.688194097223</v>
      </c>
      <c r="J1136" s="3">
        <f>ROUND((I1136-H1136)*1440,0)</f>
        <v>89</v>
      </c>
      <c r="K1136" s="3" t="s">
        <v>260</v>
      </c>
      <c r="L1136" s="3" t="s">
        <v>52</v>
      </c>
      <c r="M1136" s="3"/>
      <c r="N1136" s="3" t="s">
        <v>23</v>
      </c>
      <c r="O1136" s="3" t="s">
        <v>261</v>
      </c>
    </row>
    <row r="1137" spans="1:15" hidden="1" x14ac:dyDescent="0.75">
      <c r="A1137" s="2">
        <v>46290</v>
      </c>
      <c r="B1137" s="3" t="s">
        <v>1169</v>
      </c>
      <c r="C1137" s="3" t="s">
        <v>1170</v>
      </c>
      <c r="D1137" s="3" t="s">
        <v>27</v>
      </c>
      <c r="E1137" s="3" t="s">
        <v>28</v>
      </c>
      <c r="F1137" s="3" t="s">
        <v>459</v>
      </c>
      <c r="G1137" s="3" t="s">
        <v>460</v>
      </c>
      <c r="H1137" s="4">
        <v>46290.627838425928</v>
      </c>
      <c r="I1137" s="4">
        <v>46290.862620717591</v>
      </c>
      <c r="J1137" s="3">
        <f>ROUND((I1137-H1137)*1440,0)</f>
        <v>338</v>
      </c>
      <c r="K1137" s="3" t="s">
        <v>2239</v>
      </c>
      <c r="L1137" s="3" t="s">
        <v>43</v>
      </c>
      <c r="M1137" s="3" t="s">
        <v>44</v>
      </c>
      <c r="N1137" s="3" t="s">
        <v>23</v>
      </c>
      <c r="O1137" s="3" t="s">
        <v>2240</v>
      </c>
    </row>
    <row r="1138" spans="1:15" hidden="1" x14ac:dyDescent="0.75">
      <c r="A1138" s="2">
        <v>46290</v>
      </c>
      <c r="B1138" s="3" t="s">
        <v>1325</v>
      </c>
      <c r="C1138" s="3" t="s">
        <v>1326</v>
      </c>
      <c r="D1138" s="3" t="s">
        <v>683</v>
      </c>
      <c r="E1138" s="3" t="s">
        <v>684</v>
      </c>
      <c r="F1138" s="3" t="s">
        <v>17</v>
      </c>
      <c r="G1138" s="3" t="s">
        <v>18</v>
      </c>
      <c r="H1138" s="4">
        <v>46290.629075578698</v>
      </c>
      <c r="I1138" s="4">
        <v>46290.772699768517</v>
      </c>
      <c r="J1138" s="3">
        <f>ROUND((I1138-H1138)*1440,0)</f>
        <v>207</v>
      </c>
      <c r="K1138" s="3" t="s">
        <v>515</v>
      </c>
      <c r="L1138" s="3" t="s">
        <v>36</v>
      </c>
      <c r="M1138" s="3" t="s">
        <v>36</v>
      </c>
      <c r="N1138" s="3" t="s">
        <v>23</v>
      </c>
      <c r="O1138" s="3" t="s">
        <v>516</v>
      </c>
    </row>
    <row r="1139" spans="1:15" hidden="1" x14ac:dyDescent="0.75">
      <c r="A1139" s="2">
        <v>46290</v>
      </c>
      <c r="B1139" s="3" t="s">
        <v>1449</v>
      </c>
      <c r="C1139" s="3" t="s">
        <v>1450</v>
      </c>
      <c r="D1139" s="3" t="s">
        <v>719</v>
      </c>
      <c r="E1139" s="3" t="s">
        <v>720</v>
      </c>
      <c r="F1139" s="3" t="s">
        <v>27</v>
      </c>
      <c r="G1139" s="3" t="s">
        <v>28</v>
      </c>
      <c r="H1139" s="4">
        <v>46290.629093171287</v>
      </c>
      <c r="I1139" s="4">
        <v>46290.748890277777</v>
      </c>
      <c r="J1139" s="3">
        <f>ROUND((I1139-H1139)*1440,0)</f>
        <v>173</v>
      </c>
      <c r="K1139" s="3" t="s">
        <v>31</v>
      </c>
      <c r="L1139" s="3" t="s">
        <v>22</v>
      </c>
      <c r="M1139" s="3" t="s">
        <v>22</v>
      </c>
      <c r="N1139" s="3" t="s">
        <v>23</v>
      </c>
      <c r="O1139" s="3" t="s">
        <v>32</v>
      </c>
    </row>
    <row r="1140" spans="1:15" hidden="1" x14ac:dyDescent="0.75">
      <c r="A1140" s="2">
        <v>46290</v>
      </c>
      <c r="B1140" s="3" t="s">
        <v>1295</v>
      </c>
      <c r="C1140" s="3" t="s">
        <v>1296</v>
      </c>
      <c r="D1140" s="3" t="s">
        <v>158</v>
      </c>
      <c r="E1140" s="3" t="s">
        <v>159</v>
      </c>
      <c r="F1140" s="3" t="s">
        <v>68</v>
      </c>
      <c r="G1140" s="3" t="s">
        <v>69</v>
      </c>
      <c r="H1140" s="4">
        <v>46290.629424421299</v>
      </c>
      <c r="I1140" s="4">
        <v>46290.710016203702</v>
      </c>
      <c r="J1140" s="3">
        <f>ROUND((I1140-H1140)*1440,0)</f>
        <v>116</v>
      </c>
      <c r="K1140" s="3" t="s">
        <v>1211</v>
      </c>
      <c r="L1140" s="3" t="s">
        <v>36</v>
      </c>
      <c r="M1140" s="3" t="s">
        <v>36</v>
      </c>
      <c r="N1140" s="3" t="s">
        <v>23</v>
      </c>
      <c r="O1140" s="3" t="s">
        <v>1212</v>
      </c>
    </row>
    <row r="1141" spans="1:15" hidden="1" x14ac:dyDescent="0.75">
      <c r="A1141" s="2">
        <v>46290</v>
      </c>
      <c r="B1141" s="3" t="s">
        <v>1435</v>
      </c>
      <c r="C1141" s="3" t="s">
        <v>1436</v>
      </c>
      <c r="D1141" s="3" t="s">
        <v>19</v>
      </c>
      <c r="E1141" s="3" t="s">
        <v>20</v>
      </c>
      <c r="F1141" s="3" t="s">
        <v>27</v>
      </c>
      <c r="G1141" s="3" t="s">
        <v>28</v>
      </c>
      <c r="H1141" s="4">
        <v>46290.630270486108</v>
      </c>
      <c r="I1141" s="4">
        <v>46290.746032291667</v>
      </c>
      <c r="J1141" s="3">
        <f>ROUND((I1141-H1141)*1440,0)</f>
        <v>167</v>
      </c>
      <c r="K1141" s="3" t="s">
        <v>150</v>
      </c>
      <c r="L1141" s="3" t="s">
        <v>36</v>
      </c>
      <c r="M1141" s="3" t="s">
        <v>36</v>
      </c>
      <c r="N1141" s="3" t="s">
        <v>23</v>
      </c>
      <c r="O1141" s="3" t="s">
        <v>151</v>
      </c>
    </row>
    <row r="1142" spans="1:15" hidden="1" x14ac:dyDescent="0.75">
      <c r="A1142" s="2">
        <v>46290</v>
      </c>
      <c r="B1142" s="3" t="s">
        <v>1425</v>
      </c>
      <c r="C1142" s="3" t="s">
        <v>1426</v>
      </c>
      <c r="D1142" s="3" t="s">
        <v>56</v>
      </c>
      <c r="E1142" s="3" t="s">
        <v>57</v>
      </c>
      <c r="F1142" s="3" t="s">
        <v>17</v>
      </c>
      <c r="G1142" s="3" t="s">
        <v>18</v>
      </c>
      <c r="H1142" s="4">
        <v>46290.631652199067</v>
      </c>
      <c r="I1142" s="4">
        <v>46290.824675347219</v>
      </c>
      <c r="J1142" s="3">
        <f>ROUND((I1142-H1142)*1440,0)</f>
        <v>278</v>
      </c>
      <c r="K1142" s="3" t="s">
        <v>1651</v>
      </c>
      <c r="L1142" s="3" t="s">
        <v>36</v>
      </c>
      <c r="M1142" s="3" t="s">
        <v>36</v>
      </c>
      <c r="N1142" s="3" t="s">
        <v>23</v>
      </c>
      <c r="O1142" s="3" t="s">
        <v>1652</v>
      </c>
    </row>
    <row r="1143" spans="1:15" hidden="1" x14ac:dyDescent="0.75">
      <c r="A1143" s="2">
        <v>46290</v>
      </c>
      <c r="B1143" s="3" t="s">
        <v>2241</v>
      </c>
      <c r="C1143" s="3" t="s">
        <v>2242</v>
      </c>
      <c r="D1143" s="3" t="s">
        <v>82</v>
      </c>
      <c r="E1143" s="3" t="s">
        <v>83</v>
      </c>
      <c r="F1143" s="3" t="s">
        <v>1569</v>
      </c>
      <c r="G1143" s="3" t="s">
        <v>1570</v>
      </c>
      <c r="H1143" s="4">
        <v>46290.631744675928</v>
      </c>
      <c r="I1143" s="4">
        <v>46290.685219328698</v>
      </c>
      <c r="J1143" s="3">
        <f>ROUND((I1143-H1143)*1440,0)</f>
        <v>77</v>
      </c>
      <c r="K1143" s="3" t="s">
        <v>1751</v>
      </c>
      <c r="L1143" s="3" t="s">
        <v>36</v>
      </c>
      <c r="M1143" s="3" t="s">
        <v>36</v>
      </c>
      <c r="N1143" s="3" t="s">
        <v>45</v>
      </c>
      <c r="O1143" s="3" t="s">
        <v>1752</v>
      </c>
    </row>
    <row r="1144" spans="1:15" hidden="1" x14ac:dyDescent="0.75">
      <c r="A1144" s="2">
        <v>46290</v>
      </c>
      <c r="B1144" s="3" t="s">
        <v>2243</v>
      </c>
      <c r="C1144" s="3" t="s">
        <v>2244</v>
      </c>
      <c r="D1144" s="3" t="s">
        <v>27</v>
      </c>
      <c r="E1144" s="3" t="s">
        <v>28</v>
      </c>
      <c r="F1144" s="3"/>
      <c r="G1144" s="3"/>
      <c r="H1144" s="4">
        <v>46290.632544791668</v>
      </c>
      <c r="I1144" s="4">
        <v>46290.727223495371</v>
      </c>
      <c r="J1144" s="3">
        <f>ROUND((I1144-H1144)*1440,0)</f>
        <v>136</v>
      </c>
      <c r="K1144" s="3" t="s">
        <v>951</v>
      </c>
      <c r="L1144" s="3" t="s">
        <v>36</v>
      </c>
      <c r="M1144" s="3" t="s">
        <v>36</v>
      </c>
      <c r="N1144" s="3" t="s">
        <v>443</v>
      </c>
      <c r="O1144" s="3" t="s">
        <v>952</v>
      </c>
    </row>
    <row r="1145" spans="1:15" hidden="1" x14ac:dyDescent="0.75">
      <c r="A1145" s="2">
        <v>46290</v>
      </c>
      <c r="B1145" s="3" t="s">
        <v>1273</v>
      </c>
      <c r="C1145" s="3" t="s">
        <v>1274</v>
      </c>
      <c r="D1145" s="3" t="s">
        <v>56</v>
      </c>
      <c r="E1145" s="3" t="s">
        <v>57</v>
      </c>
      <c r="F1145" s="3" t="s">
        <v>82</v>
      </c>
      <c r="G1145" s="3" t="s">
        <v>83</v>
      </c>
      <c r="H1145" s="4">
        <v>46290.632656828697</v>
      </c>
      <c r="I1145" s="4">
        <v>46290.655889930553</v>
      </c>
      <c r="J1145" s="3">
        <f>ROUND((I1145-H1145)*1440,0)</f>
        <v>33</v>
      </c>
      <c r="K1145" s="3" t="s">
        <v>102</v>
      </c>
      <c r="L1145" s="3" t="s">
        <v>36</v>
      </c>
      <c r="M1145" s="3" t="s">
        <v>36</v>
      </c>
      <c r="N1145" s="3" t="s">
        <v>23</v>
      </c>
      <c r="O1145" s="3" t="s">
        <v>103</v>
      </c>
    </row>
    <row r="1146" spans="1:15" hidden="1" x14ac:dyDescent="0.75">
      <c r="A1146" s="2">
        <v>46290</v>
      </c>
      <c r="B1146" s="3" t="s">
        <v>1313</v>
      </c>
      <c r="C1146" s="3" t="s">
        <v>1314</v>
      </c>
      <c r="D1146" s="3" t="s">
        <v>17</v>
      </c>
      <c r="E1146" s="3" t="s">
        <v>18</v>
      </c>
      <c r="F1146" s="3" t="s">
        <v>304</v>
      </c>
      <c r="G1146" s="3" t="s">
        <v>305</v>
      </c>
      <c r="H1146" s="4">
        <v>46290.63395127315</v>
      </c>
      <c r="I1146" s="4">
        <v>46290.850046296298</v>
      </c>
      <c r="J1146" s="3">
        <f>ROUND((I1146-H1146)*1440,0)</f>
        <v>311</v>
      </c>
      <c r="K1146" s="3" t="s">
        <v>426</v>
      </c>
      <c r="L1146" s="3" t="s">
        <v>22</v>
      </c>
      <c r="M1146" s="3" t="s">
        <v>22</v>
      </c>
      <c r="N1146" s="3" t="s">
        <v>23</v>
      </c>
      <c r="O1146" s="3" t="s">
        <v>427</v>
      </c>
    </row>
    <row r="1147" spans="1:15" hidden="1" x14ac:dyDescent="0.75">
      <c r="A1147" s="2">
        <v>46290</v>
      </c>
      <c r="B1147" s="3" t="s">
        <v>1345</v>
      </c>
      <c r="C1147" s="3" t="s">
        <v>1346</v>
      </c>
      <c r="D1147" s="3" t="s">
        <v>977</v>
      </c>
      <c r="E1147" s="3" t="s">
        <v>978</v>
      </c>
      <c r="F1147" s="3" t="s">
        <v>17</v>
      </c>
      <c r="G1147" s="3" t="s">
        <v>18</v>
      </c>
      <c r="H1147" s="4">
        <v>46290.634523842593</v>
      </c>
      <c r="I1147" s="4">
        <v>46290.697473958331</v>
      </c>
      <c r="J1147" s="3">
        <f>ROUND((I1147-H1147)*1440,0)</f>
        <v>91</v>
      </c>
      <c r="K1147" s="3" t="s">
        <v>1037</v>
      </c>
      <c r="L1147" s="3" t="s">
        <v>77</v>
      </c>
      <c r="M1147" s="3" t="s">
        <v>78</v>
      </c>
      <c r="N1147" s="3" t="s">
        <v>23</v>
      </c>
      <c r="O1147" s="3" t="s">
        <v>1038</v>
      </c>
    </row>
    <row r="1148" spans="1:15" hidden="1" x14ac:dyDescent="0.75">
      <c r="A1148" s="2">
        <v>46290</v>
      </c>
      <c r="B1148" s="3" t="s">
        <v>2245</v>
      </c>
      <c r="C1148" s="3" t="s">
        <v>2246</v>
      </c>
      <c r="D1148" s="3" t="s">
        <v>56</v>
      </c>
      <c r="E1148" s="3" t="s">
        <v>57</v>
      </c>
      <c r="F1148" s="3"/>
      <c r="G1148" s="3"/>
      <c r="H1148" s="4">
        <v>46290.635065972223</v>
      </c>
      <c r="I1148" s="4">
        <v>46290.695644560183</v>
      </c>
      <c r="J1148" s="3">
        <f>ROUND((I1148-H1148)*1440,0)</f>
        <v>87</v>
      </c>
      <c r="K1148" s="3" t="s">
        <v>164</v>
      </c>
      <c r="L1148" s="3" t="s">
        <v>36</v>
      </c>
      <c r="M1148" s="3" t="s">
        <v>36</v>
      </c>
      <c r="N1148" s="3" t="s">
        <v>443</v>
      </c>
      <c r="O1148" s="3" t="s">
        <v>165</v>
      </c>
    </row>
    <row r="1149" spans="1:15" hidden="1" x14ac:dyDescent="0.75">
      <c r="A1149" s="2">
        <v>46290</v>
      </c>
      <c r="B1149" s="3" t="s">
        <v>1339</v>
      </c>
      <c r="C1149" s="3" t="s">
        <v>1340</v>
      </c>
      <c r="D1149" s="3" t="s">
        <v>158</v>
      </c>
      <c r="E1149" s="3" t="s">
        <v>159</v>
      </c>
      <c r="F1149" s="3" t="s">
        <v>27</v>
      </c>
      <c r="G1149" s="3" t="s">
        <v>28</v>
      </c>
      <c r="H1149" s="4">
        <v>46290.635135763892</v>
      </c>
      <c r="I1149" s="4">
        <v>46290.679789467591</v>
      </c>
      <c r="J1149" s="3">
        <f>ROUND((I1149-H1149)*1440,0)</f>
        <v>64</v>
      </c>
      <c r="K1149" s="3" t="s">
        <v>939</v>
      </c>
      <c r="L1149" s="3" t="s">
        <v>77</v>
      </c>
      <c r="M1149" s="3" t="s">
        <v>78</v>
      </c>
      <c r="N1149" s="3" t="s">
        <v>23</v>
      </c>
      <c r="O1149" s="3" t="s">
        <v>940</v>
      </c>
    </row>
    <row r="1150" spans="1:15" hidden="1" x14ac:dyDescent="0.75">
      <c r="A1150" s="2">
        <v>46290</v>
      </c>
      <c r="B1150" s="3" t="s">
        <v>1489</v>
      </c>
      <c r="C1150" s="3" t="s">
        <v>1490</v>
      </c>
      <c r="D1150" s="3" t="s">
        <v>27</v>
      </c>
      <c r="E1150" s="3" t="s">
        <v>28</v>
      </c>
      <c r="F1150" s="3" t="s">
        <v>304</v>
      </c>
      <c r="G1150" s="3" t="s">
        <v>305</v>
      </c>
      <c r="H1150" s="4">
        <v>46290.637127083333</v>
      </c>
      <c r="I1150" s="4">
        <v>46290.872910416663</v>
      </c>
      <c r="J1150" s="3">
        <f>ROUND((I1150-H1150)*1440,0)</f>
        <v>340</v>
      </c>
      <c r="K1150" s="3" t="s">
        <v>557</v>
      </c>
      <c r="L1150" s="3" t="s">
        <v>22</v>
      </c>
      <c r="M1150" s="3" t="s">
        <v>22</v>
      </c>
      <c r="N1150" s="3" t="s">
        <v>23</v>
      </c>
      <c r="O1150" s="3" t="s">
        <v>558</v>
      </c>
    </row>
    <row r="1151" spans="1:15" hidden="1" x14ac:dyDescent="0.75">
      <c r="A1151" s="2">
        <v>46290</v>
      </c>
      <c r="B1151" s="3" t="s">
        <v>1305</v>
      </c>
      <c r="C1151" s="3" t="s">
        <v>1306</v>
      </c>
      <c r="D1151" s="3" t="s">
        <v>84</v>
      </c>
      <c r="E1151" s="3" t="s">
        <v>85</v>
      </c>
      <c r="F1151" s="3" t="s">
        <v>68</v>
      </c>
      <c r="G1151" s="3" t="s">
        <v>69</v>
      </c>
      <c r="H1151" s="4">
        <v>46290.637147685193</v>
      </c>
      <c r="I1151" s="4">
        <v>46290.72881886574</v>
      </c>
      <c r="J1151" s="3">
        <f>ROUND((I1151-H1151)*1440,0)</f>
        <v>132</v>
      </c>
      <c r="K1151" s="3" t="s">
        <v>60</v>
      </c>
      <c r="L1151" s="3" t="s">
        <v>36</v>
      </c>
      <c r="M1151" s="3" t="s">
        <v>36</v>
      </c>
      <c r="N1151" s="3" t="s">
        <v>23</v>
      </c>
      <c r="O1151" s="3" t="s">
        <v>61</v>
      </c>
    </row>
    <row r="1152" spans="1:15" hidden="1" x14ac:dyDescent="0.75">
      <c r="A1152" s="2">
        <v>46290</v>
      </c>
      <c r="B1152" s="3" t="s">
        <v>2247</v>
      </c>
      <c r="C1152" s="3" t="s">
        <v>2248</v>
      </c>
      <c r="D1152" s="3" t="s">
        <v>82</v>
      </c>
      <c r="E1152" s="3" t="s">
        <v>83</v>
      </c>
      <c r="F1152" s="3" t="s">
        <v>82</v>
      </c>
      <c r="G1152" s="3" t="s">
        <v>83</v>
      </c>
      <c r="H1152" s="4">
        <v>46290.638493981482</v>
      </c>
      <c r="I1152" s="4">
        <v>46290.83900497685</v>
      </c>
      <c r="J1152" s="3">
        <f>ROUND((I1152-H1152)*1440,0)</f>
        <v>289</v>
      </c>
      <c r="K1152" s="3" t="s">
        <v>697</v>
      </c>
      <c r="L1152" s="3" t="s">
        <v>77</v>
      </c>
      <c r="M1152" s="3" t="s">
        <v>78</v>
      </c>
      <c r="N1152" s="3" t="s">
        <v>23</v>
      </c>
      <c r="O1152" s="3" t="s">
        <v>698</v>
      </c>
    </row>
    <row r="1153" spans="1:15" hidden="1" x14ac:dyDescent="0.75">
      <c r="A1153" s="2">
        <v>46290</v>
      </c>
      <c r="B1153" s="3" t="s">
        <v>2249</v>
      </c>
      <c r="C1153" s="3" t="s">
        <v>2250</v>
      </c>
      <c r="D1153" s="3" t="s">
        <v>56</v>
      </c>
      <c r="E1153" s="3" t="s">
        <v>57</v>
      </c>
      <c r="F1153" s="3" t="s">
        <v>56</v>
      </c>
      <c r="G1153" s="3" t="s">
        <v>57</v>
      </c>
      <c r="H1153" s="4">
        <v>46290.639365509262</v>
      </c>
      <c r="I1153" s="4">
        <v>46290.902337731481</v>
      </c>
      <c r="J1153" s="3">
        <f>ROUND((I1153-H1153)*1440,0)</f>
        <v>379</v>
      </c>
      <c r="K1153" s="3" t="s">
        <v>252</v>
      </c>
      <c r="L1153" s="3" t="s">
        <v>36</v>
      </c>
      <c r="M1153" s="3" t="s">
        <v>36</v>
      </c>
      <c r="N1153" s="3" t="s">
        <v>23</v>
      </c>
      <c r="O1153" s="3" t="s">
        <v>253</v>
      </c>
    </row>
    <row r="1154" spans="1:15" hidden="1" x14ac:dyDescent="0.75">
      <c r="A1154" s="2">
        <v>46290</v>
      </c>
      <c r="B1154" s="3" t="s">
        <v>1319</v>
      </c>
      <c r="C1154" s="3" t="s">
        <v>1320</v>
      </c>
      <c r="D1154" s="3" t="s">
        <v>122</v>
      </c>
      <c r="E1154" s="3" t="s">
        <v>123</v>
      </c>
      <c r="F1154" s="3" t="s">
        <v>17</v>
      </c>
      <c r="G1154" s="3" t="s">
        <v>18</v>
      </c>
      <c r="H1154" s="4">
        <v>46290.639929050929</v>
      </c>
      <c r="I1154" s="4">
        <v>46290.854075115742</v>
      </c>
      <c r="J1154" s="3">
        <f>ROUND((I1154-H1154)*1440,0)</f>
        <v>308</v>
      </c>
      <c r="K1154" s="3" t="s">
        <v>657</v>
      </c>
      <c r="L1154" s="3" t="s">
        <v>22</v>
      </c>
      <c r="M1154" s="3" t="s">
        <v>22</v>
      </c>
      <c r="N1154" s="3" t="s">
        <v>23</v>
      </c>
      <c r="O1154" s="3" t="s">
        <v>658</v>
      </c>
    </row>
    <row r="1155" spans="1:15" hidden="1" x14ac:dyDescent="0.75">
      <c r="A1155" s="2">
        <v>46290</v>
      </c>
      <c r="B1155" s="3" t="s">
        <v>1329</v>
      </c>
      <c r="C1155" s="3" t="s">
        <v>1330</v>
      </c>
      <c r="D1155" s="3" t="s">
        <v>27</v>
      </c>
      <c r="E1155" s="3" t="s">
        <v>28</v>
      </c>
      <c r="F1155" s="3" t="s">
        <v>19</v>
      </c>
      <c r="G1155" s="3" t="s">
        <v>20</v>
      </c>
      <c r="H1155" s="4">
        <v>46290.640304166664</v>
      </c>
      <c r="I1155" s="4">
        <v>46290.75061087963</v>
      </c>
      <c r="J1155" s="3">
        <f>ROUND((I1155-H1155)*1440,0)</f>
        <v>159</v>
      </c>
      <c r="K1155" s="3" t="s">
        <v>21</v>
      </c>
      <c r="L1155" s="3" t="s">
        <v>22</v>
      </c>
      <c r="M1155" s="3" t="s">
        <v>22</v>
      </c>
      <c r="N1155" s="3" t="s">
        <v>23</v>
      </c>
      <c r="O1155" s="3" t="s">
        <v>24</v>
      </c>
    </row>
    <row r="1156" spans="1:15" hidden="1" x14ac:dyDescent="0.75">
      <c r="A1156" s="2">
        <v>46290</v>
      </c>
      <c r="B1156" s="3" t="s">
        <v>2251</v>
      </c>
      <c r="C1156" s="3" t="s">
        <v>2252</v>
      </c>
      <c r="D1156" s="3" t="s">
        <v>2199</v>
      </c>
      <c r="E1156" s="3" t="s">
        <v>2200</v>
      </c>
      <c r="F1156" s="3" t="s">
        <v>56</v>
      </c>
      <c r="G1156" s="3" t="s">
        <v>57</v>
      </c>
      <c r="H1156" s="4">
        <v>46290.641315856483</v>
      </c>
      <c r="I1156" s="4">
        <v>46290.74019733796</v>
      </c>
      <c r="J1156" s="3">
        <f>ROUND((I1156-H1156)*1440,0)</f>
        <v>142</v>
      </c>
      <c r="K1156" s="3" t="s">
        <v>1281</v>
      </c>
      <c r="L1156" s="3" t="s">
        <v>22</v>
      </c>
      <c r="M1156" s="3" t="s">
        <v>22</v>
      </c>
      <c r="N1156" s="3" t="s">
        <v>23</v>
      </c>
      <c r="O1156" s="3" t="s">
        <v>1282</v>
      </c>
    </row>
    <row r="1157" spans="1:15" hidden="1" x14ac:dyDescent="0.75">
      <c r="A1157" s="2">
        <v>46290</v>
      </c>
      <c r="B1157" s="3" t="s">
        <v>2253</v>
      </c>
      <c r="C1157" s="3" t="s">
        <v>2254</v>
      </c>
      <c r="D1157" s="3" t="s">
        <v>56</v>
      </c>
      <c r="E1157" s="3" t="s">
        <v>57</v>
      </c>
      <c r="F1157" s="3" t="s">
        <v>56</v>
      </c>
      <c r="G1157" s="3" t="s">
        <v>57</v>
      </c>
      <c r="H1157" s="4">
        <v>46290.641368634257</v>
      </c>
      <c r="I1157" s="4">
        <v>46290.898157754629</v>
      </c>
      <c r="J1157" s="3">
        <f>ROUND((I1157-H1157)*1440,0)</f>
        <v>370</v>
      </c>
      <c r="K1157" s="3" t="s">
        <v>775</v>
      </c>
      <c r="L1157" s="3" t="s">
        <v>36</v>
      </c>
      <c r="M1157" s="3" t="s">
        <v>36</v>
      </c>
      <c r="N1157" s="3" t="s">
        <v>23</v>
      </c>
      <c r="O1157" s="3" t="s">
        <v>776</v>
      </c>
    </row>
    <row r="1158" spans="1:15" hidden="1" x14ac:dyDescent="0.75">
      <c r="A1158" s="2">
        <v>46290</v>
      </c>
      <c r="B1158" s="3" t="s">
        <v>1379</v>
      </c>
      <c r="C1158" s="3" t="s">
        <v>1380</v>
      </c>
      <c r="D1158" s="3" t="s">
        <v>280</v>
      </c>
      <c r="E1158" s="3" t="s">
        <v>281</v>
      </c>
      <c r="F1158" s="3" t="s">
        <v>17</v>
      </c>
      <c r="G1158" s="3" t="s">
        <v>18</v>
      </c>
      <c r="H1158" s="4">
        <v>46290.641710648153</v>
      </c>
      <c r="I1158" s="4">
        <v>46290.758472453701</v>
      </c>
      <c r="J1158" s="3">
        <f>ROUND((I1158-H1158)*1440,0)</f>
        <v>168</v>
      </c>
      <c r="K1158" s="3" t="s">
        <v>955</v>
      </c>
      <c r="L1158" s="3" t="s">
        <v>77</v>
      </c>
      <c r="M1158" s="3" t="s">
        <v>78</v>
      </c>
      <c r="N1158" s="3" t="s">
        <v>23</v>
      </c>
      <c r="O1158" s="3" t="s">
        <v>956</v>
      </c>
    </row>
    <row r="1159" spans="1:15" hidden="1" x14ac:dyDescent="0.75">
      <c r="A1159" s="2">
        <v>46290</v>
      </c>
      <c r="B1159" s="3" t="s">
        <v>1347</v>
      </c>
      <c r="C1159" s="3" t="s">
        <v>1348</v>
      </c>
      <c r="D1159" s="3" t="s">
        <v>56</v>
      </c>
      <c r="E1159" s="3" t="s">
        <v>57</v>
      </c>
      <c r="F1159" s="3" t="s">
        <v>615</v>
      </c>
      <c r="G1159" s="3" t="s">
        <v>616</v>
      </c>
      <c r="H1159" s="4">
        <v>46290.643567708343</v>
      </c>
      <c r="I1159" s="4">
        <v>46290.735519907408</v>
      </c>
      <c r="J1159" s="3">
        <f>ROUND((I1159-H1159)*1440,0)</f>
        <v>132</v>
      </c>
      <c r="K1159" s="3" t="s">
        <v>376</v>
      </c>
      <c r="L1159" s="3" t="s">
        <v>36</v>
      </c>
      <c r="M1159" s="3" t="s">
        <v>36</v>
      </c>
      <c r="N1159" s="3" t="s">
        <v>45</v>
      </c>
      <c r="O1159" s="3" t="s">
        <v>377</v>
      </c>
    </row>
    <row r="1160" spans="1:15" hidden="1" x14ac:dyDescent="0.75">
      <c r="A1160" s="2">
        <v>46290</v>
      </c>
      <c r="B1160" s="3" t="s">
        <v>1349</v>
      </c>
      <c r="C1160" s="3" t="s">
        <v>1350</v>
      </c>
      <c r="D1160" s="3" t="s">
        <v>1101</v>
      </c>
      <c r="E1160" s="3" t="s">
        <v>1102</v>
      </c>
      <c r="F1160" s="3" t="s">
        <v>17</v>
      </c>
      <c r="G1160" s="3" t="s">
        <v>18</v>
      </c>
      <c r="H1160" s="4">
        <v>46290.644246180556</v>
      </c>
      <c r="I1160" s="4">
        <v>46290.671154166666</v>
      </c>
      <c r="J1160" s="3">
        <f>ROUND((I1160-H1160)*1440,0)</f>
        <v>39</v>
      </c>
      <c r="K1160" s="3" t="s">
        <v>96</v>
      </c>
      <c r="L1160" s="3" t="s">
        <v>77</v>
      </c>
      <c r="M1160" s="3" t="s">
        <v>78</v>
      </c>
      <c r="N1160" s="3" t="s">
        <v>23</v>
      </c>
      <c r="O1160" s="3" t="s">
        <v>97</v>
      </c>
    </row>
    <row r="1161" spans="1:15" hidden="1" x14ac:dyDescent="0.75">
      <c r="A1161" s="2">
        <v>46290</v>
      </c>
      <c r="B1161" s="3" t="s">
        <v>1333</v>
      </c>
      <c r="C1161" s="3" t="s">
        <v>1334</v>
      </c>
      <c r="D1161" s="3" t="s">
        <v>27</v>
      </c>
      <c r="E1161" s="3" t="s">
        <v>28</v>
      </c>
      <c r="F1161" s="3" t="s">
        <v>17</v>
      </c>
      <c r="G1161" s="3" t="s">
        <v>18</v>
      </c>
      <c r="H1161" s="4">
        <v>46290.645660879629</v>
      </c>
      <c r="I1161" s="4">
        <v>46290.67949988426</v>
      </c>
      <c r="J1161" s="3">
        <f>ROUND((I1161-H1161)*1440,0)</f>
        <v>49</v>
      </c>
      <c r="K1161" s="3" t="s">
        <v>2193</v>
      </c>
      <c r="L1161" s="3" t="s">
        <v>77</v>
      </c>
      <c r="M1161" s="3" t="s">
        <v>78</v>
      </c>
      <c r="N1161" s="3" t="s">
        <v>23</v>
      </c>
      <c r="O1161" s="3" t="s">
        <v>2194</v>
      </c>
    </row>
    <row r="1162" spans="1:15" hidden="1" x14ac:dyDescent="0.75">
      <c r="A1162" s="2">
        <v>46290</v>
      </c>
      <c r="B1162" s="3" t="s">
        <v>2255</v>
      </c>
      <c r="C1162" s="3" t="s">
        <v>2256</v>
      </c>
      <c r="D1162" s="3" t="s">
        <v>56</v>
      </c>
      <c r="E1162" s="3" t="s">
        <v>57</v>
      </c>
      <c r="F1162" s="3"/>
      <c r="G1162" s="3"/>
      <c r="H1162" s="4">
        <v>46290.647425462957</v>
      </c>
      <c r="I1162" s="4">
        <v>46290.666976504632</v>
      </c>
      <c r="J1162" s="3">
        <f>ROUND((I1162-H1162)*1440,0)</f>
        <v>28</v>
      </c>
      <c r="K1162" s="3" t="s">
        <v>310</v>
      </c>
      <c r="L1162" s="3" t="s">
        <v>36</v>
      </c>
      <c r="M1162" s="3" t="s">
        <v>36</v>
      </c>
      <c r="N1162" s="3" t="s">
        <v>443</v>
      </c>
      <c r="O1162" s="3" t="s">
        <v>311</v>
      </c>
    </row>
    <row r="1163" spans="1:15" hidden="1" x14ac:dyDescent="0.75">
      <c r="A1163" s="2">
        <v>46290</v>
      </c>
      <c r="B1163" s="3" t="s">
        <v>1395</v>
      </c>
      <c r="C1163" s="3" t="s">
        <v>1396</v>
      </c>
      <c r="D1163" s="3" t="s">
        <v>218</v>
      </c>
      <c r="E1163" s="3" t="s">
        <v>219</v>
      </c>
      <c r="F1163" s="3" t="s">
        <v>27</v>
      </c>
      <c r="G1163" s="3" t="s">
        <v>28</v>
      </c>
      <c r="H1163" s="4">
        <v>46290.647775694437</v>
      </c>
      <c r="I1163" s="4">
        <v>46290.706694328706</v>
      </c>
      <c r="J1163" s="3">
        <f>ROUND((I1163-H1163)*1440,0)</f>
        <v>85</v>
      </c>
      <c r="K1163" s="3" t="s">
        <v>1115</v>
      </c>
      <c r="L1163" s="3" t="s">
        <v>77</v>
      </c>
      <c r="M1163" s="3" t="s">
        <v>78</v>
      </c>
      <c r="N1163" s="3" t="s">
        <v>23</v>
      </c>
      <c r="O1163" s="3" t="s">
        <v>1116</v>
      </c>
    </row>
    <row r="1164" spans="1:15" hidden="1" x14ac:dyDescent="0.75">
      <c r="A1164" s="2">
        <v>46290</v>
      </c>
      <c r="B1164" s="3" t="s">
        <v>1361</v>
      </c>
      <c r="C1164" s="3" t="s">
        <v>1362</v>
      </c>
      <c r="D1164" s="3" t="s">
        <v>56</v>
      </c>
      <c r="E1164" s="3" t="s">
        <v>57</v>
      </c>
      <c r="F1164" s="3" t="s">
        <v>334</v>
      </c>
      <c r="G1164" s="3" t="s">
        <v>335</v>
      </c>
      <c r="H1164" s="4">
        <v>46290.650937500002</v>
      </c>
      <c r="I1164" s="4">
        <v>46290.770219560189</v>
      </c>
      <c r="J1164" s="3">
        <f>ROUND((I1164-H1164)*1440,0)</f>
        <v>172</v>
      </c>
      <c r="K1164" s="3" t="s">
        <v>438</v>
      </c>
      <c r="L1164" s="3" t="s">
        <v>36</v>
      </c>
      <c r="M1164" s="3" t="s">
        <v>36</v>
      </c>
      <c r="N1164" s="3" t="s">
        <v>23</v>
      </c>
      <c r="O1164" s="3" t="s">
        <v>439</v>
      </c>
    </row>
    <row r="1165" spans="1:15" hidden="1" x14ac:dyDescent="0.75">
      <c r="A1165" s="2">
        <v>46290</v>
      </c>
      <c r="B1165" s="3" t="s">
        <v>1357</v>
      </c>
      <c r="C1165" s="3" t="s">
        <v>1358</v>
      </c>
      <c r="D1165" s="3" t="s">
        <v>615</v>
      </c>
      <c r="E1165" s="3" t="s">
        <v>616</v>
      </c>
      <c r="F1165" s="3" t="s">
        <v>82</v>
      </c>
      <c r="G1165" s="3" t="s">
        <v>83</v>
      </c>
      <c r="H1165" s="4">
        <v>46290.651826620371</v>
      </c>
      <c r="I1165" s="4">
        <v>46290.846107754631</v>
      </c>
      <c r="J1165" s="3">
        <f>ROUND((I1165-H1165)*1440,0)</f>
        <v>280</v>
      </c>
      <c r="K1165" s="3" t="s">
        <v>493</v>
      </c>
      <c r="L1165" s="3" t="s">
        <v>36</v>
      </c>
      <c r="M1165" s="3" t="s">
        <v>36</v>
      </c>
      <c r="N1165" s="3" t="s">
        <v>23</v>
      </c>
      <c r="O1165" s="3" t="s">
        <v>494</v>
      </c>
    </row>
    <row r="1166" spans="1:15" hidden="1" x14ac:dyDescent="0.75">
      <c r="A1166" s="2">
        <v>46290</v>
      </c>
      <c r="B1166" s="3" t="s">
        <v>1393</v>
      </c>
      <c r="C1166" s="3" t="s">
        <v>1394</v>
      </c>
      <c r="D1166" s="3" t="s">
        <v>68</v>
      </c>
      <c r="E1166" s="3" t="s">
        <v>69</v>
      </c>
      <c r="F1166" s="3" t="s">
        <v>116</v>
      </c>
      <c r="G1166" s="3" t="s">
        <v>117</v>
      </c>
      <c r="H1166" s="4">
        <v>46290.652093634257</v>
      </c>
      <c r="I1166" s="4">
        <v>46290.749338657413</v>
      </c>
      <c r="J1166" s="3">
        <f>ROUND((I1166-H1166)*1440,0)</f>
        <v>140</v>
      </c>
      <c r="K1166" s="3" t="s">
        <v>380</v>
      </c>
      <c r="L1166" s="3" t="s">
        <v>36</v>
      </c>
      <c r="M1166" s="3" t="s">
        <v>36</v>
      </c>
      <c r="N1166" s="3" t="s">
        <v>45</v>
      </c>
      <c r="O1166" s="3" t="s">
        <v>381</v>
      </c>
    </row>
    <row r="1167" spans="1:15" hidden="1" x14ac:dyDescent="0.75">
      <c r="A1167" s="2">
        <v>46290</v>
      </c>
      <c r="B1167" s="3" t="s">
        <v>1331</v>
      </c>
      <c r="C1167" s="3" t="s">
        <v>1332</v>
      </c>
      <c r="D1167" s="3" t="s">
        <v>17</v>
      </c>
      <c r="E1167" s="3" t="s">
        <v>18</v>
      </c>
      <c r="F1167" s="3" t="s">
        <v>182</v>
      </c>
      <c r="G1167" s="3" t="s">
        <v>183</v>
      </c>
      <c r="H1167" s="4">
        <v>46290.652510879627</v>
      </c>
      <c r="I1167" s="4">
        <v>46290.725480555557</v>
      </c>
      <c r="J1167" s="3">
        <f>ROUND((I1167-H1167)*1440,0)</f>
        <v>105</v>
      </c>
      <c r="K1167" s="3" t="s">
        <v>553</v>
      </c>
      <c r="L1167" s="3" t="s">
        <v>77</v>
      </c>
      <c r="M1167" s="3" t="s">
        <v>78</v>
      </c>
      <c r="N1167" s="3" t="s">
        <v>23</v>
      </c>
      <c r="O1167" s="3" t="s">
        <v>554</v>
      </c>
    </row>
    <row r="1168" spans="1:15" hidden="1" x14ac:dyDescent="0.75">
      <c r="A1168" s="2">
        <v>46290</v>
      </c>
      <c r="B1168" s="3" t="s">
        <v>1299</v>
      </c>
      <c r="C1168" s="3" t="s">
        <v>1300</v>
      </c>
      <c r="D1168" s="3" t="s">
        <v>304</v>
      </c>
      <c r="E1168" s="3" t="s">
        <v>305</v>
      </c>
      <c r="F1168" s="3" t="s">
        <v>17</v>
      </c>
      <c r="G1168" s="3" t="s">
        <v>18</v>
      </c>
      <c r="H1168" s="4">
        <v>46290.652630902783</v>
      </c>
      <c r="I1168" s="4">
        <v>46290.868526273152</v>
      </c>
      <c r="J1168" s="3">
        <f>ROUND((I1168-H1168)*1440,0)</f>
        <v>311</v>
      </c>
      <c r="K1168" s="3" t="s">
        <v>747</v>
      </c>
      <c r="L1168" s="3" t="s">
        <v>22</v>
      </c>
      <c r="M1168" s="3" t="s">
        <v>22</v>
      </c>
      <c r="N1168" s="3" t="s">
        <v>23</v>
      </c>
      <c r="O1168" s="3" t="s">
        <v>748</v>
      </c>
    </row>
    <row r="1169" spans="1:15" hidden="1" x14ac:dyDescent="0.75">
      <c r="A1169" s="2">
        <v>46290</v>
      </c>
      <c r="B1169" s="3" t="s">
        <v>1405</v>
      </c>
      <c r="C1169" s="3" t="s">
        <v>1406</v>
      </c>
      <c r="D1169" s="3" t="s">
        <v>27</v>
      </c>
      <c r="E1169" s="3" t="s">
        <v>28</v>
      </c>
      <c r="F1169" s="3"/>
      <c r="G1169" s="3"/>
      <c r="H1169" s="4">
        <v>46290.65428865741</v>
      </c>
      <c r="I1169" s="4">
        <v>46290.679185416673</v>
      </c>
      <c r="J1169" s="3">
        <f>ROUND((I1169-H1169)*1440,0)</f>
        <v>36</v>
      </c>
      <c r="K1169" s="3" t="s">
        <v>947</v>
      </c>
      <c r="L1169" s="3" t="s">
        <v>22</v>
      </c>
      <c r="M1169" s="3" t="s">
        <v>22</v>
      </c>
      <c r="N1169" s="3" t="s">
        <v>443</v>
      </c>
      <c r="O1169" s="3" t="s">
        <v>948</v>
      </c>
    </row>
    <row r="1170" spans="1:15" hidden="1" x14ac:dyDescent="0.75">
      <c r="A1170" s="2">
        <v>46290</v>
      </c>
      <c r="B1170" s="3" t="s">
        <v>1407</v>
      </c>
      <c r="C1170" s="3" t="s">
        <v>1408</v>
      </c>
      <c r="D1170" s="3" t="s">
        <v>196</v>
      </c>
      <c r="E1170" s="3" t="s">
        <v>197</v>
      </c>
      <c r="F1170" s="3" t="s">
        <v>27</v>
      </c>
      <c r="G1170" s="3" t="s">
        <v>28</v>
      </c>
      <c r="H1170" s="4">
        <v>46290.654680902779</v>
      </c>
      <c r="I1170" s="4">
        <v>46290.702709375</v>
      </c>
      <c r="J1170" s="3">
        <f>ROUND((I1170-H1170)*1440,0)</f>
        <v>69</v>
      </c>
      <c r="K1170" s="3" t="s">
        <v>90</v>
      </c>
      <c r="L1170" s="3" t="s">
        <v>77</v>
      </c>
      <c r="M1170" s="3" t="s">
        <v>78</v>
      </c>
      <c r="N1170" s="3" t="s">
        <v>23</v>
      </c>
      <c r="O1170" s="3" t="s">
        <v>91</v>
      </c>
    </row>
    <row r="1171" spans="1:15" hidden="1" x14ac:dyDescent="0.75">
      <c r="A1171" s="2">
        <v>46290</v>
      </c>
      <c r="B1171" s="3" t="s">
        <v>1387</v>
      </c>
      <c r="C1171" s="3" t="s">
        <v>1388</v>
      </c>
      <c r="D1171" s="3" t="s">
        <v>17</v>
      </c>
      <c r="E1171" s="3" t="s">
        <v>18</v>
      </c>
      <c r="F1171" s="3" t="s">
        <v>56</v>
      </c>
      <c r="G1171" s="3" t="s">
        <v>57</v>
      </c>
      <c r="H1171" s="4">
        <v>46290.654692476863</v>
      </c>
      <c r="I1171" s="4">
        <v>46290.872828703701</v>
      </c>
      <c r="J1171" s="3">
        <f>ROUND((I1171-H1171)*1440,0)</f>
        <v>314</v>
      </c>
      <c r="K1171" s="3" t="s">
        <v>673</v>
      </c>
      <c r="L1171" s="3" t="s">
        <v>36</v>
      </c>
      <c r="M1171" s="3" t="s">
        <v>36</v>
      </c>
      <c r="N1171" s="3" t="s">
        <v>23</v>
      </c>
      <c r="O1171" s="3" t="s">
        <v>674</v>
      </c>
    </row>
    <row r="1172" spans="1:15" hidden="1" x14ac:dyDescent="0.75">
      <c r="A1172" s="2">
        <v>46290</v>
      </c>
      <c r="B1172" s="3" t="s">
        <v>1433</v>
      </c>
      <c r="C1172" s="3" t="s">
        <v>1434</v>
      </c>
      <c r="D1172" s="3" t="s">
        <v>17</v>
      </c>
      <c r="E1172" s="3" t="s">
        <v>18</v>
      </c>
      <c r="F1172" s="3" t="s">
        <v>719</v>
      </c>
      <c r="G1172" s="3" t="s">
        <v>720</v>
      </c>
      <c r="H1172" s="4">
        <v>46290.655415856483</v>
      </c>
      <c r="I1172" s="4">
        <v>46290.758003935189</v>
      </c>
      <c r="J1172" s="3">
        <f>ROUND((I1172-H1172)*1440,0)</f>
        <v>148</v>
      </c>
      <c r="K1172" s="3" t="s">
        <v>154</v>
      </c>
      <c r="L1172" s="3" t="s">
        <v>36</v>
      </c>
      <c r="M1172" s="3" t="s">
        <v>36</v>
      </c>
      <c r="N1172" s="3" t="s">
        <v>23</v>
      </c>
      <c r="O1172" s="3" t="s">
        <v>155</v>
      </c>
    </row>
    <row r="1173" spans="1:15" hidden="1" x14ac:dyDescent="0.75">
      <c r="A1173" s="2">
        <v>46290</v>
      </c>
      <c r="B1173" s="3" t="s">
        <v>1383</v>
      </c>
      <c r="C1173" s="3" t="s">
        <v>1384</v>
      </c>
      <c r="D1173" s="3" t="s">
        <v>106</v>
      </c>
      <c r="E1173" s="3" t="s">
        <v>107</v>
      </c>
      <c r="F1173" s="3" t="s">
        <v>17</v>
      </c>
      <c r="G1173" s="3" t="s">
        <v>18</v>
      </c>
      <c r="H1173" s="4">
        <v>46290.65580659722</v>
      </c>
      <c r="I1173" s="4">
        <v>46290.739666782407</v>
      </c>
      <c r="J1173" s="3">
        <f>ROUND((I1173-H1173)*1440,0)</f>
        <v>121</v>
      </c>
      <c r="K1173" s="3" t="s">
        <v>931</v>
      </c>
      <c r="L1173" s="3" t="s">
        <v>77</v>
      </c>
      <c r="M1173" s="3" t="s">
        <v>78</v>
      </c>
      <c r="N1173" s="3" t="s">
        <v>23</v>
      </c>
      <c r="O1173" s="3" t="s">
        <v>932</v>
      </c>
    </row>
    <row r="1174" spans="1:15" hidden="1" x14ac:dyDescent="0.75">
      <c r="A1174" s="2">
        <v>46290</v>
      </c>
      <c r="B1174" s="3" t="s">
        <v>1385</v>
      </c>
      <c r="C1174" s="3" t="s">
        <v>1386</v>
      </c>
      <c r="D1174" s="3" t="s">
        <v>56</v>
      </c>
      <c r="E1174" s="3" t="s">
        <v>57</v>
      </c>
      <c r="F1174" s="3" t="s">
        <v>17</v>
      </c>
      <c r="G1174" s="3" t="s">
        <v>18</v>
      </c>
      <c r="H1174" s="4">
        <v>46290.656429976851</v>
      </c>
      <c r="I1174" s="4">
        <v>46290.760765046303</v>
      </c>
      <c r="J1174" s="3">
        <f>ROUND((I1174-H1174)*1440,0)</f>
        <v>150</v>
      </c>
      <c r="K1174" s="3" t="s">
        <v>755</v>
      </c>
      <c r="L1174" s="3" t="s">
        <v>43</v>
      </c>
      <c r="M1174" s="3" t="s">
        <v>44</v>
      </c>
      <c r="N1174" s="3" t="s">
        <v>23</v>
      </c>
      <c r="O1174" s="3" t="s">
        <v>756</v>
      </c>
    </row>
    <row r="1175" spans="1:15" hidden="1" x14ac:dyDescent="0.75">
      <c r="A1175" s="2">
        <v>46290</v>
      </c>
      <c r="B1175" s="3" t="s">
        <v>1373</v>
      </c>
      <c r="C1175" s="3" t="s">
        <v>1374</v>
      </c>
      <c r="D1175" s="3" t="s">
        <v>27</v>
      </c>
      <c r="E1175" s="3" t="s">
        <v>28</v>
      </c>
      <c r="F1175" s="3" t="s">
        <v>1375</v>
      </c>
      <c r="G1175" s="3" t="s">
        <v>1376</v>
      </c>
      <c r="H1175" s="4">
        <v>46290.656785763887</v>
      </c>
      <c r="I1175" s="4">
        <v>46290.726026620367</v>
      </c>
      <c r="J1175" s="3">
        <f>ROUND((I1175-H1175)*1440,0)</f>
        <v>100</v>
      </c>
      <c r="K1175" s="3" t="s">
        <v>1911</v>
      </c>
      <c r="L1175" s="3" t="s">
        <v>77</v>
      </c>
      <c r="M1175" s="3" t="s">
        <v>78</v>
      </c>
      <c r="N1175" s="3" t="s">
        <v>45</v>
      </c>
      <c r="O1175" s="3" t="s">
        <v>1912</v>
      </c>
    </row>
    <row r="1176" spans="1:15" hidden="1" x14ac:dyDescent="0.75">
      <c r="A1176" s="2">
        <v>46290</v>
      </c>
      <c r="B1176" s="3" t="s">
        <v>1465</v>
      </c>
      <c r="C1176" s="3" t="s">
        <v>1466</v>
      </c>
      <c r="D1176" s="3" t="s">
        <v>17</v>
      </c>
      <c r="E1176" s="3" t="s">
        <v>18</v>
      </c>
      <c r="F1176" s="3" t="s">
        <v>17</v>
      </c>
      <c r="G1176" s="3" t="s">
        <v>18</v>
      </c>
      <c r="H1176" s="4">
        <v>46290.659166666657</v>
      </c>
      <c r="I1176" s="4">
        <v>46291.025460648147</v>
      </c>
      <c r="J1176" s="3">
        <f>ROUND((I1176-H1176)*1440,0)</f>
        <v>527</v>
      </c>
      <c r="K1176" s="3" t="s">
        <v>1143</v>
      </c>
      <c r="L1176" s="3" t="s">
        <v>22</v>
      </c>
      <c r="M1176" s="3" t="s">
        <v>22</v>
      </c>
      <c r="N1176" s="3" t="s">
        <v>23</v>
      </c>
      <c r="O1176" s="3" t="s">
        <v>1144</v>
      </c>
    </row>
    <row r="1177" spans="1:15" hidden="1" x14ac:dyDescent="0.75">
      <c r="A1177" s="2">
        <v>46290</v>
      </c>
      <c r="B1177" s="3" t="s">
        <v>1427</v>
      </c>
      <c r="C1177" s="3" t="s">
        <v>1428</v>
      </c>
      <c r="D1177" s="3" t="s">
        <v>56</v>
      </c>
      <c r="E1177" s="3" t="s">
        <v>57</v>
      </c>
      <c r="F1177" s="3"/>
      <c r="G1177" s="3"/>
      <c r="H1177" s="4">
        <v>46290.659618750004</v>
      </c>
      <c r="I1177" s="4">
        <v>46290.679756018522</v>
      </c>
      <c r="J1177" s="3">
        <f>ROUND((I1177-H1177)*1440,0)</f>
        <v>29</v>
      </c>
      <c r="K1177" s="3" t="s">
        <v>296</v>
      </c>
      <c r="L1177" s="3" t="s">
        <v>77</v>
      </c>
      <c r="M1177" s="3" t="s">
        <v>78</v>
      </c>
      <c r="N1177" s="3" t="s">
        <v>443</v>
      </c>
      <c r="O1177" s="3" t="s">
        <v>297</v>
      </c>
    </row>
    <row r="1178" spans="1:15" hidden="1" x14ac:dyDescent="0.75">
      <c r="A1178" s="2">
        <v>46290</v>
      </c>
      <c r="B1178" s="3" t="s">
        <v>1507</v>
      </c>
      <c r="C1178" s="3" t="s">
        <v>1508</v>
      </c>
      <c r="D1178" s="3" t="s">
        <v>100</v>
      </c>
      <c r="E1178" s="3" t="s">
        <v>101</v>
      </c>
      <c r="F1178" s="3" t="s">
        <v>27</v>
      </c>
      <c r="G1178" s="3" t="s">
        <v>28</v>
      </c>
      <c r="H1178" s="4">
        <v>46290.659851736113</v>
      </c>
      <c r="I1178" s="4">
        <v>46290.755649189807</v>
      </c>
      <c r="J1178" s="3">
        <f>ROUND((I1178-H1178)*1440,0)</f>
        <v>138</v>
      </c>
      <c r="K1178" s="3" t="s">
        <v>230</v>
      </c>
      <c r="L1178" s="3" t="s">
        <v>77</v>
      </c>
      <c r="M1178" s="3" t="s">
        <v>78</v>
      </c>
      <c r="N1178" s="3" t="s">
        <v>23</v>
      </c>
      <c r="O1178" s="3" t="s">
        <v>231</v>
      </c>
    </row>
    <row r="1179" spans="1:15" hidden="1" x14ac:dyDescent="0.75">
      <c r="A1179" s="2">
        <v>46290</v>
      </c>
      <c r="B1179" s="3" t="s">
        <v>1351</v>
      </c>
      <c r="C1179" s="3" t="s">
        <v>1352</v>
      </c>
      <c r="D1179" s="3" t="s">
        <v>56</v>
      </c>
      <c r="E1179" s="3" t="s">
        <v>57</v>
      </c>
      <c r="F1179" s="3"/>
      <c r="G1179" s="3"/>
      <c r="H1179" s="4">
        <v>46290.66041261574</v>
      </c>
      <c r="I1179" s="4">
        <v>46290.680180555559</v>
      </c>
      <c r="J1179" s="3">
        <f>ROUND((I1179-H1179)*1440,0)</f>
        <v>28</v>
      </c>
      <c r="K1179" s="3" t="s">
        <v>210</v>
      </c>
      <c r="L1179" s="3" t="s">
        <v>36</v>
      </c>
      <c r="M1179" s="3" t="s">
        <v>36</v>
      </c>
      <c r="N1179" s="3" t="s">
        <v>443</v>
      </c>
      <c r="O1179" s="3" t="s">
        <v>211</v>
      </c>
    </row>
    <row r="1180" spans="1:15" hidden="1" x14ac:dyDescent="0.75">
      <c r="A1180" s="2">
        <v>46290</v>
      </c>
      <c r="B1180" s="3" t="s">
        <v>2257</v>
      </c>
      <c r="C1180" s="3" t="s">
        <v>2258</v>
      </c>
      <c r="D1180" s="3" t="s">
        <v>56</v>
      </c>
      <c r="E1180" s="3" t="s">
        <v>57</v>
      </c>
      <c r="F1180" s="3" t="s">
        <v>56</v>
      </c>
      <c r="G1180" s="3" t="s">
        <v>57</v>
      </c>
      <c r="H1180" s="4">
        <v>46290.661418171287</v>
      </c>
      <c r="I1180" s="4">
        <v>46290.936488194442</v>
      </c>
      <c r="J1180" s="3">
        <f>ROUND((I1180-H1180)*1440,0)</f>
        <v>396</v>
      </c>
      <c r="K1180" s="3" t="s">
        <v>1571</v>
      </c>
      <c r="L1180" s="3" t="s">
        <v>36</v>
      </c>
      <c r="M1180" s="3" t="s">
        <v>36</v>
      </c>
      <c r="N1180" s="3" t="s">
        <v>23</v>
      </c>
      <c r="O1180" s="3" t="s">
        <v>1572</v>
      </c>
    </row>
    <row r="1181" spans="1:15" hidden="1" x14ac:dyDescent="0.75">
      <c r="A1181" s="2">
        <v>46290</v>
      </c>
      <c r="B1181" s="3" t="s">
        <v>1419</v>
      </c>
      <c r="C1181" s="3" t="s">
        <v>1420</v>
      </c>
      <c r="D1181" s="3" t="s">
        <v>56</v>
      </c>
      <c r="E1181" s="3" t="s">
        <v>57</v>
      </c>
      <c r="F1181" s="3" t="s">
        <v>148</v>
      </c>
      <c r="G1181" s="3" t="s">
        <v>149</v>
      </c>
      <c r="H1181" s="4">
        <v>46290.662215277778</v>
      </c>
      <c r="I1181" s="4">
        <v>46290.772892939807</v>
      </c>
      <c r="J1181" s="3">
        <f>ROUND((I1181-H1181)*1440,0)</f>
        <v>159</v>
      </c>
      <c r="K1181" s="3" t="s">
        <v>981</v>
      </c>
      <c r="L1181" s="3" t="s">
        <v>36</v>
      </c>
      <c r="M1181" s="3" t="s">
        <v>36</v>
      </c>
      <c r="N1181" s="3" t="s">
        <v>23</v>
      </c>
      <c r="O1181" s="3" t="s">
        <v>982</v>
      </c>
    </row>
    <row r="1182" spans="1:15" hidden="1" x14ac:dyDescent="0.75">
      <c r="A1182" s="2">
        <v>46290</v>
      </c>
      <c r="B1182" s="3" t="s">
        <v>1495</v>
      </c>
      <c r="C1182" s="3" t="s">
        <v>1496</v>
      </c>
      <c r="D1182" s="3" t="s">
        <v>1005</v>
      </c>
      <c r="E1182" s="3" t="s">
        <v>1006</v>
      </c>
      <c r="F1182" s="3" t="s">
        <v>27</v>
      </c>
      <c r="G1182" s="3" t="s">
        <v>28</v>
      </c>
      <c r="H1182" s="4">
        <v>46290.662437268518</v>
      </c>
      <c r="I1182" s="4">
        <v>46290.744731944447</v>
      </c>
      <c r="J1182" s="3">
        <f>ROUND((I1182-H1182)*1440,0)</f>
        <v>119</v>
      </c>
      <c r="K1182" s="3" t="s">
        <v>236</v>
      </c>
      <c r="L1182" s="3" t="s">
        <v>77</v>
      </c>
      <c r="M1182" s="3" t="s">
        <v>78</v>
      </c>
      <c r="N1182" s="3" t="s">
        <v>23</v>
      </c>
      <c r="O1182" s="3" t="s">
        <v>237</v>
      </c>
    </row>
    <row r="1183" spans="1:15" hidden="1" x14ac:dyDescent="0.75">
      <c r="A1183" s="2">
        <v>46290</v>
      </c>
      <c r="B1183" s="3" t="s">
        <v>2259</v>
      </c>
      <c r="C1183" s="3" t="s">
        <v>2260</v>
      </c>
      <c r="D1183" s="3" t="s">
        <v>56</v>
      </c>
      <c r="E1183" s="3" t="s">
        <v>57</v>
      </c>
      <c r="F1183" s="3" t="s">
        <v>56</v>
      </c>
      <c r="G1183" s="3" t="s">
        <v>57</v>
      </c>
      <c r="H1183" s="4">
        <v>46290.664340393523</v>
      </c>
      <c r="I1183" s="4">
        <v>46290.889600462957</v>
      </c>
      <c r="J1183" s="3">
        <f>ROUND((I1183-H1183)*1440,0)</f>
        <v>324</v>
      </c>
      <c r="K1183" s="3" t="s">
        <v>645</v>
      </c>
      <c r="L1183" s="3" t="s">
        <v>36</v>
      </c>
      <c r="M1183" s="3" t="s">
        <v>36</v>
      </c>
      <c r="N1183" s="3" t="s">
        <v>23</v>
      </c>
      <c r="O1183" s="3" t="s">
        <v>646</v>
      </c>
    </row>
    <row r="1184" spans="1:15" hidden="1" x14ac:dyDescent="0.75">
      <c r="A1184" s="2">
        <v>46290</v>
      </c>
      <c r="B1184" s="3" t="s">
        <v>1423</v>
      </c>
      <c r="C1184" s="3" t="s">
        <v>1424</v>
      </c>
      <c r="D1184" s="3" t="s">
        <v>1031</v>
      </c>
      <c r="E1184" s="3" t="s">
        <v>1032</v>
      </c>
      <c r="F1184" s="3" t="s">
        <v>27</v>
      </c>
      <c r="G1184" s="3" t="s">
        <v>28</v>
      </c>
      <c r="H1184" s="4">
        <v>46290.665805208337</v>
      </c>
      <c r="I1184" s="4">
        <v>46290.746176273147</v>
      </c>
      <c r="J1184" s="3">
        <f>ROUND((I1184-H1184)*1440,0)</f>
        <v>116</v>
      </c>
      <c r="K1184" s="3" t="s">
        <v>1033</v>
      </c>
      <c r="L1184" s="3" t="s">
        <v>77</v>
      </c>
      <c r="M1184" s="3" t="s">
        <v>78</v>
      </c>
      <c r="N1184" s="3" t="s">
        <v>23</v>
      </c>
      <c r="O1184" s="3" t="s">
        <v>1034</v>
      </c>
    </row>
    <row r="1185" spans="1:15" hidden="1" x14ac:dyDescent="0.75">
      <c r="A1185" s="2">
        <v>46290</v>
      </c>
      <c r="B1185" s="3" t="s">
        <v>1315</v>
      </c>
      <c r="C1185" s="3" t="s">
        <v>1316</v>
      </c>
      <c r="D1185" s="3" t="s">
        <v>17</v>
      </c>
      <c r="E1185" s="3" t="s">
        <v>18</v>
      </c>
      <c r="F1185" s="3" t="s">
        <v>19</v>
      </c>
      <c r="G1185" s="3" t="s">
        <v>20</v>
      </c>
      <c r="H1185" s="4">
        <v>46290.666377430563</v>
      </c>
      <c r="I1185" s="4">
        <v>46290.758411342591</v>
      </c>
      <c r="J1185" s="3">
        <f>ROUND((I1185-H1185)*1440,0)</f>
        <v>133</v>
      </c>
      <c r="K1185" s="3" t="s">
        <v>336</v>
      </c>
      <c r="L1185" s="3" t="s">
        <v>36</v>
      </c>
      <c r="M1185" s="3" t="s">
        <v>36</v>
      </c>
      <c r="N1185" s="3" t="s">
        <v>23</v>
      </c>
      <c r="O1185" s="3" t="s">
        <v>337</v>
      </c>
    </row>
    <row r="1186" spans="1:15" hidden="1" x14ac:dyDescent="0.75">
      <c r="A1186" s="2">
        <v>46290</v>
      </c>
      <c r="B1186" s="3" t="s">
        <v>823</v>
      </c>
      <c r="C1186" s="3" t="s">
        <v>824</v>
      </c>
      <c r="D1186" s="3" t="s">
        <v>74</v>
      </c>
      <c r="E1186" s="3" t="s">
        <v>75</v>
      </c>
      <c r="F1186" s="3" t="s">
        <v>56</v>
      </c>
      <c r="G1186" s="3" t="s">
        <v>57</v>
      </c>
      <c r="H1186" s="4">
        <v>46290.667359837957</v>
      </c>
      <c r="I1186" s="4">
        <v>46290.750724074067</v>
      </c>
      <c r="J1186" s="3">
        <f>ROUND((I1186-H1186)*1440,0)</f>
        <v>120</v>
      </c>
      <c r="K1186" s="3" t="s">
        <v>529</v>
      </c>
      <c r="L1186" s="3" t="s">
        <v>77</v>
      </c>
      <c r="M1186" s="3" t="s">
        <v>78</v>
      </c>
      <c r="N1186" s="3" t="s">
        <v>23</v>
      </c>
      <c r="O1186" s="3" t="s">
        <v>530</v>
      </c>
    </row>
    <row r="1187" spans="1:15" hidden="1" x14ac:dyDescent="0.75">
      <c r="A1187" s="2">
        <v>46290</v>
      </c>
      <c r="B1187" s="3" t="s">
        <v>1353</v>
      </c>
      <c r="C1187" s="3" t="s">
        <v>1354</v>
      </c>
      <c r="D1187" s="3" t="s">
        <v>56</v>
      </c>
      <c r="E1187" s="3" t="s">
        <v>57</v>
      </c>
      <c r="F1187" s="3" t="s">
        <v>56</v>
      </c>
      <c r="G1187" s="3" t="s">
        <v>57</v>
      </c>
      <c r="H1187" s="4">
        <v>46290.6693443287</v>
      </c>
      <c r="I1187" s="4">
        <v>46291.000980324083</v>
      </c>
      <c r="J1187" s="3">
        <f>ROUND((I1187-H1187)*1440,0)</f>
        <v>478</v>
      </c>
      <c r="K1187" s="3" t="s">
        <v>907</v>
      </c>
      <c r="L1187" s="3" t="s">
        <v>36</v>
      </c>
      <c r="M1187" s="3" t="s">
        <v>36</v>
      </c>
      <c r="N1187" s="3" t="s">
        <v>23</v>
      </c>
      <c r="O1187" s="3" t="s">
        <v>908</v>
      </c>
    </row>
    <row r="1188" spans="1:15" hidden="1" x14ac:dyDescent="0.75">
      <c r="A1188" s="2">
        <v>46290</v>
      </c>
      <c r="B1188" s="3" t="s">
        <v>2261</v>
      </c>
      <c r="C1188" s="3" t="s">
        <v>2262</v>
      </c>
      <c r="D1188" s="3" t="s">
        <v>196</v>
      </c>
      <c r="E1188" s="3" t="s">
        <v>197</v>
      </c>
      <c r="F1188" s="3" t="s">
        <v>27</v>
      </c>
      <c r="G1188" s="3" t="s">
        <v>28</v>
      </c>
      <c r="H1188" s="4">
        <v>46290.670517592589</v>
      </c>
      <c r="I1188" s="4">
        <v>46290.724923263893</v>
      </c>
      <c r="J1188" s="3">
        <f>ROUND((I1188-H1188)*1440,0)</f>
        <v>78</v>
      </c>
      <c r="K1188" s="3" t="s">
        <v>2263</v>
      </c>
      <c r="L1188" s="3" t="s">
        <v>77</v>
      </c>
      <c r="M1188" s="3" t="s">
        <v>78</v>
      </c>
      <c r="N1188" s="3" t="s">
        <v>23</v>
      </c>
      <c r="O1188" s="3" t="s">
        <v>2264</v>
      </c>
    </row>
    <row r="1189" spans="1:15" hidden="1" x14ac:dyDescent="0.75">
      <c r="A1189" s="2">
        <v>46290</v>
      </c>
      <c r="B1189" s="3" t="s">
        <v>1335</v>
      </c>
      <c r="C1189" s="3" t="s">
        <v>1336</v>
      </c>
      <c r="D1189" s="3" t="s">
        <v>17</v>
      </c>
      <c r="E1189" s="3" t="s">
        <v>18</v>
      </c>
      <c r="F1189" s="3"/>
      <c r="G1189" s="3"/>
      <c r="H1189" s="4">
        <v>46290.670866898137</v>
      </c>
      <c r="I1189" s="4">
        <v>46290.744915393523</v>
      </c>
      <c r="J1189" s="3">
        <f>ROUND((I1189-H1189)*1440,0)</f>
        <v>107</v>
      </c>
      <c r="K1189" s="3" t="s">
        <v>1317</v>
      </c>
      <c r="L1189" s="3" t="s">
        <v>36</v>
      </c>
      <c r="M1189" s="3" t="s">
        <v>36</v>
      </c>
      <c r="N1189" s="3" t="s">
        <v>443</v>
      </c>
      <c r="O1189" s="3" t="s">
        <v>1318</v>
      </c>
    </row>
    <row r="1190" spans="1:15" hidden="1" x14ac:dyDescent="0.75">
      <c r="A1190" s="2">
        <v>46290</v>
      </c>
      <c r="B1190" s="3" t="s">
        <v>1401</v>
      </c>
      <c r="C1190" s="3" t="s">
        <v>1402</v>
      </c>
      <c r="D1190" s="3" t="s">
        <v>82</v>
      </c>
      <c r="E1190" s="3" t="s">
        <v>83</v>
      </c>
      <c r="F1190" s="3" t="s">
        <v>84</v>
      </c>
      <c r="G1190" s="3" t="s">
        <v>85</v>
      </c>
      <c r="H1190" s="4">
        <v>46290.671049999997</v>
      </c>
      <c r="I1190" s="4">
        <v>46290.76983391204</v>
      </c>
      <c r="J1190" s="3">
        <f>ROUND((I1190-H1190)*1440,0)</f>
        <v>142</v>
      </c>
      <c r="K1190" s="3" t="s">
        <v>198</v>
      </c>
      <c r="L1190" s="3" t="s">
        <v>36</v>
      </c>
      <c r="M1190" s="3" t="s">
        <v>36</v>
      </c>
      <c r="N1190" s="3" t="s">
        <v>45</v>
      </c>
      <c r="O1190" s="3" t="s">
        <v>199</v>
      </c>
    </row>
    <row r="1191" spans="1:15" hidden="1" x14ac:dyDescent="0.75">
      <c r="A1191" s="2">
        <v>46290</v>
      </c>
      <c r="B1191" s="3" t="s">
        <v>1371</v>
      </c>
      <c r="C1191" s="3" t="s">
        <v>1372</v>
      </c>
      <c r="D1191" s="3" t="s">
        <v>56</v>
      </c>
      <c r="E1191" s="3" t="s">
        <v>57</v>
      </c>
      <c r="F1191" s="3" t="s">
        <v>19</v>
      </c>
      <c r="G1191" s="3" t="s">
        <v>20</v>
      </c>
      <c r="H1191" s="4">
        <v>46290.671237499999</v>
      </c>
      <c r="I1191" s="4">
        <v>46290.837232754631</v>
      </c>
      <c r="J1191" s="3">
        <f>ROUND((I1191-H1191)*1440,0)</f>
        <v>239</v>
      </c>
      <c r="K1191" s="3" t="s">
        <v>1045</v>
      </c>
      <c r="L1191" s="3" t="s">
        <v>36</v>
      </c>
      <c r="M1191" s="3" t="s">
        <v>36</v>
      </c>
      <c r="N1191" s="3" t="s">
        <v>23</v>
      </c>
      <c r="O1191" s="3" t="s">
        <v>1046</v>
      </c>
    </row>
    <row r="1192" spans="1:15" hidden="1" x14ac:dyDescent="0.75">
      <c r="A1192" s="2">
        <v>46290</v>
      </c>
      <c r="B1192" s="3" t="s">
        <v>1391</v>
      </c>
      <c r="C1192" s="3" t="s">
        <v>1392</v>
      </c>
      <c r="D1192" s="3" t="s">
        <v>56</v>
      </c>
      <c r="E1192" s="3" t="s">
        <v>57</v>
      </c>
      <c r="F1192" s="3" t="s">
        <v>17</v>
      </c>
      <c r="G1192" s="3" t="s">
        <v>18</v>
      </c>
      <c r="H1192" s="4">
        <v>46290.671769675922</v>
      </c>
      <c r="I1192" s="4">
        <v>46290.96178287037</v>
      </c>
      <c r="J1192" s="3">
        <f>ROUND((I1192-H1192)*1440,0)</f>
        <v>418</v>
      </c>
      <c r="K1192" s="3" t="s">
        <v>112</v>
      </c>
      <c r="L1192" s="3" t="s">
        <v>36</v>
      </c>
      <c r="M1192" s="3" t="s">
        <v>36</v>
      </c>
      <c r="N1192" s="3" t="s">
        <v>23</v>
      </c>
      <c r="O1192" s="3" t="s">
        <v>113</v>
      </c>
    </row>
    <row r="1193" spans="1:15" hidden="1" x14ac:dyDescent="0.75">
      <c r="A1193" s="2">
        <v>46290</v>
      </c>
      <c r="B1193" s="3" t="s">
        <v>1417</v>
      </c>
      <c r="C1193" s="3" t="s">
        <v>1418</v>
      </c>
      <c r="D1193" s="3" t="s">
        <v>56</v>
      </c>
      <c r="E1193" s="3" t="s">
        <v>57</v>
      </c>
      <c r="F1193" s="3" t="s">
        <v>19</v>
      </c>
      <c r="G1193" s="3" t="s">
        <v>20</v>
      </c>
      <c r="H1193" s="4">
        <v>46290.672639467593</v>
      </c>
      <c r="I1193" s="4">
        <v>46290.697534259263</v>
      </c>
      <c r="J1193" s="3">
        <f>ROUND((I1193-H1193)*1440,0)</f>
        <v>36</v>
      </c>
      <c r="K1193" s="3" t="s">
        <v>1715</v>
      </c>
      <c r="L1193" s="3" t="s">
        <v>36</v>
      </c>
      <c r="M1193" s="3" t="s">
        <v>36</v>
      </c>
      <c r="N1193" s="3" t="s">
        <v>23</v>
      </c>
      <c r="O1193" s="3" t="s">
        <v>1716</v>
      </c>
    </row>
    <row r="1194" spans="1:15" hidden="1" x14ac:dyDescent="0.75">
      <c r="A1194" s="2">
        <v>46290</v>
      </c>
      <c r="B1194" s="3" t="s">
        <v>1411</v>
      </c>
      <c r="C1194" s="3" t="s">
        <v>1412</v>
      </c>
      <c r="D1194" s="3" t="s">
        <v>27</v>
      </c>
      <c r="E1194" s="3" t="s">
        <v>28</v>
      </c>
      <c r="F1194" s="3" t="s">
        <v>977</v>
      </c>
      <c r="G1194" s="3" t="s">
        <v>978</v>
      </c>
      <c r="H1194" s="4">
        <v>46290.673356944448</v>
      </c>
      <c r="I1194" s="4">
        <v>46290.756240740739</v>
      </c>
      <c r="J1194" s="3">
        <f>ROUND((I1194-H1194)*1440,0)</f>
        <v>119</v>
      </c>
      <c r="K1194" s="3" t="s">
        <v>743</v>
      </c>
      <c r="L1194" s="3" t="s">
        <v>77</v>
      </c>
      <c r="M1194" s="3" t="s">
        <v>78</v>
      </c>
      <c r="N1194" s="3" t="s">
        <v>45</v>
      </c>
      <c r="O1194" s="3" t="s">
        <v>744</v>
      </c>
    </row>
    <row r="1195" spans="1:15" hidden="1" x14ac:dyDescent="0.75">
      <c r="A1195" s="2">
        <v>46290</v>
      </c>
      <c r="B1195" s="3" t="s">
        <v>1429</v>
      </c>
      <c r="C1195" s="3" t="s">
        <v>1430</v>
      </c>
      <c r="D1195" s="3" t="s">
        <v>148</v>
      </c>
      <c r="E1195" s="3" t="s">
        <v>149</v>
      </c>
      <c r="F1195" s="3" t="s">
        <v>27</v>
      </c>
      <c r="G1195" s="3" t="s">
        <v>28</v>
      </c>
      <c r="H1195" s="4">
        <v>46290.673460763886</v>
      </c>
      <c r="I1195" s="4">
        <v>46290.73924224537</v>
      </c>
      <c r="J1195" s="3">
        <f>ROUND((I1195-H1195)*1440,0)</f>
        <v>95</v>
      </c>
      <c r="K1195" s="3" t="s">
        <v>224</v>
      </c>
      <c r="L1195" s="3" t="s">
        <v>77</v>
      </c>
      <c r="M1195" s="3" t="s">
        <v>78</v>
      </c>
      <c r="N1195" s="3" t="s">
        <v>23</v>
      </c>
      <c r="O1195" s="3" t="s">
        <v>225</v>
      </c>
    </row>
    <row r="1196" spans="1:15" hidden="1" x14ac:dyDescent="0.75">
      <c r="A1196" s="2">
        <v>46290</v>
      </c>
      <c r="B1196" s="3" t="s">
        <v>1509</v>
      </c>
      <c r="C1196" s="3" t="s">
        <v>1510</v>
      </c>
      <c r="D1196" s="3" t="s">
        <v>270</v>
      </c>
      <c r="E1196" s="3" t="s">
        <v>271</v>
      </c>
      <c r="F1196" s="3" t="s">
        <v>27</v>
      </c>
      <c r="G1196" s="3" t="s">
        <v>28</v>
      </c>
      <c r="H1196" s="4">
        <v>46290.67445972222</v>
      </c>
      <c r="I1196" s="4">
        <v>46290.821444791669</v>
      </c>
      <c r="J1196" s="3">
        <f>ROUND((I1196-H1196)*1440,0)</f>
        <v>212</v>
      </c>
      <c r="K1196" s="3" t="s">
        <v>70</v>
      </c>
      <c r="L1196" s="3" t="s">
        <v>36</v>
      </c>
      <c r="M1196" s="3" t="s">
        <v>36</v>
      </c>
      <c r="N1196" s="3" t="s">
        <v>23</v>
      </c>
      <c r="O1196" s="3" t="s">
        <v>71</v>
      </c>
    </row>
    <row r="1197" spans="1:15" hidden="1" x14ac:dyDescent="0.75">
      <c r="A1197" s="2">
        <v>46290</v>
      </c>
      <c r="B1197" s="3" t="s">
        <v>1451</v>
      </c>
      <c r="C1197" s="3" t="s">
        <v>1452</v>
      </c>
      <c r="D1197" s="3" t="s">
        <v>56</v>
      </c>
      <c r="E1197" s="3" t="s">
        <v>57</v>
      </c>
      <c r="F1197" s="3" t="s">
        <v>106</v>
      </c>
      <c r="G1197" s="3" t="s">
        <v>107</v>
      </c>
      <c r="H1197" s="4">
        <v>46290.674563078697</v>
      </c>
      <c r="I1197" s="4">
        <v>46290.808730787037</v>
      </c>
      <c r="J1197" s="3">
        <f>ROUND((I1197-H1197)*1440,0)</f>
        <v>193</v>
      </c>
      <c r="K1197" s="3" t="s">
        <v>406</v>
      </c>
      <c r="L1197" s="3" t="s">
        <v>36</v>
      </c>
      <c r="M1197" s="3" t="s">
        <v>36</v>
      </c>
      <c r="N1197" s="3" t="s">
        <v>23</v>
      </c>
      <c r="O1197" s="3" t="s">
        <v>407</v>
      </c>
    </row>
    <row r="1198" spans="1:15" hidden="1" x14ac:dyDescent="0.75">
      <c r="A1198" s="2">
        <v>46290</v>
      </c>
      <c r="B1198" s="3" t="s">
        <v>1897</v>
      </c>
      <c r="C1198" s="3" t="s">
        <v>1898</v>
      </c>
      <c r="D1198" s="3" t="s">
        <v>94</v>
      </c>
      <c r="E1198" s="3" t="s">
        <v>95</v>
      </c>
      <c r="F1198" s="3" t="s">
        <v>27</v>
      </c>
      <c r="G1198" s="3" t="s">
        <v>28</v>
      </c>
      <c r="H1198" s="4">
        <v>46290.675180902777</v>
      </c>
      <c r="I1198" s="4">
        <v>46290.734022222219</v>
      </c>
      <c r="J1198" s="3">
        <f>ROUND((I1198-H1198)*1440,0)</f>
        <v>85</v>
      </c>
      <c r="K1198" s="3" t="s">
        <v>935</v>
      </c>
      <c r="L1198" s="3" t="s">
        <v>36</v>
      </c>
      <c r="M1198" s="3" t="s">
        <v>36</v>
      </c>
      <c r="N1198" s="3" t="s">
        <v>23</v>
      </c>
      <c r="O1198" s="3" t="s">
        <v>936</v>
      </c>
    </row>
    <row r="1199" spans="1:15" hidden="1" x14ac:dyDescent="0.75">
      <c r="A1199" s="2">
        <v>46290</v>
      </c>
      <c r="B1199" s="3" t="s">
        <v>1443</v>
      </c>
      <c r="C1199" s="3" t="s">
        <v>1444</v>
      </c>
      <c r="D1199" s="3" t="s">
        <v>56</v>
      </c>
      <c r="E1199" s="3" t="s">
        <v>57</v>
      </c>
      <c r="F1199" s="3" t="s">
        <v>320</v>
      </c>
      <c r="G1199" s="3" t="s">
        <v>321</v>
      </c>
      <c r="H1199" s="4">
        <v>46290.676160995368</v>
      </c>
      <c r="I1199" s="4">
        <v>46290.744220486107</v>
      </c>
      <c r="J1199" s="3">
        <f>ROUND((I1199-H1199)*1440,0)</f>
        <v>98</v>
      </c>
      <c r="K1199" s="3" t="s">
        <v>1343</v>
      </c>
      <c r="L1199" s="3" t="s">
        <v>36</v>
      </c>
      <c r="M1199" s="3" t="s">
        <v>36</v>
      </c>
      <c r="N1199" s="3" t="s">
        <v>23</v>
      </c>
      <c r="O1199" s="3" t="s">
        <v>1344</v>
      </c>
    </row>
    <row r="1200" spans="1:15" hidden="1" x14ac:dyDescent="0.75">
      <c r="A1200" s="2">
        <v>46290</v>
      </c>
      <c r="B1200" s="3" t="s">
        <v>1431</v>
      </c>
      <c r="C1200" s="3" t="s">
        <v>1432</v>
      </c>
      <c r="D1200" s="3" t="s">
        <v>334</v>
      </c>
      <c r="E1200" s="3" t="s">
        <v>335</v>
      </c>
      <c r="F1200" s="3" t="s">
        <v>17</v>
      </c>
      <c r="G1200" s="3" t="s">
        <v>18</v>
      </c>
      <c r="H1200" s="4">
        <v>46290.677134837963</v>
      </c>
      <c r="I1200" s="4">
        <v>46290.753466898153</v>
      </c>
      <c r="J1200" s="3">
        <f>ROUND((I1200-H1200)*1440,0)</f>
        <v>110</v>
      </c>
      <c r="K1200" s="3" t="s">
        <v>801</v>
      </c>
      <c r="L1200" s="3" t="s">
        <v>77</v>
      </c>
      <c r="M1200" s="3" t="s">
        <v>78</v>
      </c>
      <c r="N1200" s="3" t="s">
        <v>23</v>
      </c>
      <c r="O1200" s="3" t="s">
        <v>802</v>
      </c>
    </row>
    <row r="1201" spans="1:15" hidden="1" x14ac:dyDescent="0.75">
      <c r="A1201" s="2">
        <v>46290</v>
      </c>
      <c r="B1201" s="3" t="s">
        <v>1455</v>
      </c>
      <c r="C1201" s="3" t="s">
        <v>1456</v>
      </c>
      <c r="D1201" s="3" t="s">
        <v>17</v>
      </c>
      <c r="E1201" s="3" t="s">
        <v>18</v>
      </c>
      <c r="F1201" s="3" t="s">
        <v>1113</v>
      </c>
      <c r="G1201" s="3" t="s">
        <v>1114</v>
      </c>
      <c r="H1201" s="4">
        <v>46290.67860983796</v>
      </c>
      <c r="I1201" s="4">
        <v>46290.833392476852</v>
      </c>
      <c r="J1201" s="3">
        <f>ROUND((I1201-H1201)*1440,0)</f>
        <v>223</v>
      </c>
      <c r="K1201" s="3" t="s">
        <v>629</v>
      </c>
      <c r="L1201" s="3" t="s">
        <v>77</v>
      </c>
      <c r="M1201" s="3" t="s">
        <v>78</v>
      </c>
      <c r="N1201" s="3" t="s">
        <v>23</v>
      </c>
      <c r="O1201" s="3" t="s">
        <v>630</v>
      </c>
    </row>
    <row r="1202" spans="1:15" hidden="1" x14ac:dyDescent="0.75">
      <c r="A1202" s="2">
        <v>46290</v>
      </c>
      <c r="B1202" s="3" t="s">
        <v>1439</v>
      </c>
      <c r="C1202" s="3" t="s">
        <v>1440</v>
      </c>
      <c r="D1202" s="3" t="s">
        <v>56</v>
      </c>
      <c r="E1202" s="3" t="s">
        <v>57</v>
      </c>
      <c r="F1202" s="3"/>
      <c r="G1202" s="3"/>
      <c r="H1202" s="4">
        <v>46290.679372800929</v>
      </c>
      <c r="I1202" s="4">
        <v>46290.740785300928</v>
      </c>
      <c r="J1202" s="3">
        <f>ROUND((I1202-H1202)*1440,0)</f>
        <v>88</v>
      </c>
      <c r="K1202" s="3" t="s">
        <v>178</v>
      </c>
      <c r="L1202" s="3" t="s">
        <v>43</v>
      </c>
      <c r="M1202" s="3" t="s">
        <v>44</v>
      </c>
      <c r="N1202" s="3" t="s">
        <v>443</v>
      </c>
      <c r="O1202" s="3" t="s">
        <v>179</v>
      </c>
    </row>
    <row r="1203" spans="1:15" hidden="1" x14ac:dyDescent="0.75">
      <c r="A1203" s="2">
        <v>46290</v>
      </c>
      <c r="B1203" s="3" t="s">
        <v>1447</v>
      </c>
      <c r="C1203" s="3" t="s">
        <v>1448</v>
      </c>
      <c r="D1203" s="3" t="s">
        <v>158</v>
      </c>
      <c r="E1203" s="3" t="s">
        <v>159</v>
      </c>
      <c r="F1203" s="3" t="s">
        <v>82</v>
      </c>
      <c r="G1203" s="3" t="s">
        <v>83</v>
      </c>
      <c r="H1203" s="4">
        <v>46290.679395949082</v>
      </c>
      <c r="I1203" s="4">
        <v>46290.753882407407</v>
      </c>
      <c r="J1203" s="3">
        <f>ROUND((I1203-H1203)*1440,0)</f>
        <v>107</v>
      </c>
      <c r="K1203" s="3" t="s">
        <v>1105</v>
      </c>
      <c r="L1203" s="3" t="s">
        <v>36</v>
      </c>
      <c r="M1203" s="3" t="s">
        <v>36</v>
      </c>
      <c r="N1203" s="3" t="s">
        <v>23</v>
      </c>
      <c r="O1203" s="3" t="s">
        <v>1106</v>
      </c>
    </row>
    <row r="1204" spans="1:15" hidden="1" x14ac:dyDescent="0.75">
      <c r="A1204" s="2">
        <v>46290</v>
      </c>
      <c r="B1204" s="3" t="s">
        <v>2265</v>
      </c>
      <c r="C1204" s="3" t="s">
        <v>2266</v>
      </c>
      <c r="D1204" s="3" t="s">
        <v>158</v>
      </c>
      <c r="E1204" s="3" t="s">
        <v>159</v>
      </c>
      <c r="F1204" s="3"/>
      <c r="G1204" s="3"/>
      <c r="H1204" s="4">
        <v>46290.680329282397</v>
      </c>
      <c r="I1204" s="4">
        <v>46290.721110648148</v>
      </c>
      <c r="J1204" s="3">
        <f>ROUND((I1204-H1204)*1440,0)</f>
        <v>59</v>
      </c>
      <c r="K1204" s="3" t="s">
        <v>1229</v>
      </c>
      <c r="L1204" s="3" t="s">
        <v>77</v>
      </c>
      <c r="M1204" s="3" t="s">
        <v>78</v>
      </c>
      <c r="N1204" s="3" t="s">
        <v>45</v>
      </c>
      <c r="O1204" s="3" t="s">
        <v>1230</v>
      </c>
    </row>
    <row r="1205" spans="1:15" hidden="1" x14ac:dyDescent="0.75">
      <c r="A1205" s="2">
        <v>46290</v>
      </c>
      <c r="B1205" s="3" t="s">
        <v>781</v>
      </c>
      <c r="C1205" s="3" t="s">
        <v>782</v>
      </c>
      <c r="D1205" s="3" t="s">
        <v>17</v>
      </c>
      <c r="E1205" s="3" t="s">
        <v>18</v>
      </c>
      <c r="F1205" s="3"/>
      <c r="G1205" s="3"/>
      <c r="H1205" s="4">
        <v>46290.68108761574</v>
      </c>
      <c r="I1205" s="4">
        <v>46290.754818634261</v>
      </c>
      <c r="J1205" s="3">
        <f>ROUND((I1205-H1205)*1440,0)</f>
        <v>106</v>
      </c>
      <c r="K1205" s="3" t="s">
        <v>807</v>
      </c>
      <c r="L1205" s="3" t="s">
        <v>77</v>
      </c>
      <c r="M1205" s="3" t="s">
        <v>78</v>
      </c>
      <c r="N1205" s="3" t="s">
        <v>45</v>
      </c>
      <c r="O1205" s="3" t="s">
        <v>808</v>
      </c>
    </row>
    <row r="1206" spans="1:15" hidden="1" x14ac:dyDescent="0.75">
      <c r="A1206" s="2">
        <v>46290</v>
      </c>
      <c r="B1206" s="3" t="s">
        <v>1481</v>
      </c>
      <c r="C1206" s="3" t="s">
        <v>1482</v>
      </c>
      <c r="D1206" s="3" t="s">
        <v>27</v>
      </c>
      <c r="E1206" s="3" t="s">
        <v>28</v>
      </c>
      <c r="F1206" s="3" t="s">
        <v>737</v>
      </c>
      <c r="G1206" s="3" t="s">
        <v>738</v>
      </c>
      <c r="H1206" s="4">
        <v>46290.68211238426</v>
      </c>
      <c r="I1206" s="4">
        <v>46290.728903587973</v>
      </c>
      <c r="J1206" s="3">
        <f>ROUND((I1206-H1206)*1440,0)</f>
        <v>67</v>
      </c>
      <c r="K1206" s="3" t="s">
        <v>1015</v>
      </c>
      <c r="L1206" s="3" t="s">
        <v>77</v>
      </c>
      <c r="M1206" s="3" t="s">
        <v>78</v>
      </c>
      <c r="N1206" s="3" t="s">
        <v>45</v>
      </c>
      <c r="O1206" s="3" t="s">
        <v>1016</v>
      </c>
    </row>
    <row r="1207" spans="1:15" hidden="1" x14ac:dyDescent="0.75">
      <c r="A1207" s="2">
        <v>46290</v>
      </c>
      <c r="B1207" s="3" t="s">
        <v>1457</v>
      </c>
      <c r="C1207" s="3" t="s">
        <v>1458</v>
      </c>
      <c r="D1207" s="3" t="s">
        <v>17</v>
      </c>
      <c r="E1207" s="3" t="s">
        <v>18</v>
      </c>
      <c r="F1207" s="3" t="s">
        <v>264</v>
      </c>
      <c r="G1207" s="3" t="s">
        <v>265</v>
      </c>
      <c r="H1207" s="4">
        <v>46290.682181249998</v>
      </c>
      <c r="I1207" s="4">
        <v>46290.888812731479</v>
      </c>
      <c r="J1207" s="3">
        <f>ROUND((I1207-H1207)*1440,0)</f>
        <v>298</v>
      </c>
      <c r="K1207" s="3" t="s">
        <v>653</v>
      </c>
      <c r="L1207" s="3" t="s">
        <v>22</v>
      </c>
      <c r="M1207" s="3" t="s">
        <v>22</v>
      </c>
      <c r="N1207" s="3" t="s">
        <v>23</v>
      </c>
      <c r="O1207" s="3" t="s">
        <v>654</v>
      </c>
    </row>
    <row r="1208" spans="1:15" hidden="1" x14ac:dyDescent="0.75">
      <c r="A1208" s="2">
        <v>46290</v>
      </c>
      <c r="B1208" s="3" t="s">
        <v>1493</v>
      </c>
      <c r="C1208" s="3" t="s">
        <v>1494</v>
      </c>
      <c r="D1208" s="3" t="s">
        <v>208</v>
      </c>
      <c r="E1208" s="3" t="s">
        <v>209</v>
      </c>
      <c r="F1208" s="3" t="s">
        <v>1101</v>
      </c>
      <c r="G1208" s="3" t="s">
        <v>1102</v>
      </c>
      <c r="H1208" s="4">
        <v>46290.687594328701</v>
      </c>
      <c r="I1208" s="4">
        <v>46290.71360949074</v>
      </c>
      <c r="J1208" s="3">
        <f>ROUND((I1208-H1208)*1440,0)</f>
        <v>37</v>
      </c>
      <c r="K1208" s="3" t="s">
        <v>372</v>
      </c>
      <c r="L1208" s="3" t="s">
        <v>77</v>
      </c>
      <c r="M1208" s="3" t="s">
        <v>78</v>
      </c>
      <c r="N1208" s="3" t="s">
        <v>45</v>
      </c>
      <c r="O1208" s="3" t="s">
        <v>373</v>
      </c>
    </row>
    <row r="1209" spans="1:15" hidden="1" x14ac:dyDescent="0.75">
      <c r="A1209" s="2">
        <v>46290</v>
      </c>
      <c r="B1209" s="3" t="s">
        <v>1479</v>
      </c>
      <c r="C1209" s="3" t="s">
        <v>1480</v>
      </c>
      <c r="D1209" s="3" t="s">
        <v>17</v>
      </c>
      <c r="E1209" s="3" t="s">
        <v>18</v>
      </c>
      <c r="F1209" s="3" t="s">
        <v>615</v>
      </c>
      <c r="G1209" s="3" t="s">
        <v>616</v>
      </c>
      <c r="H1209" s="4">
        <v>46290.688441203703</v>
      </c>
      <c r="I1209" s="4">
        <v>46290.90786053241</v>
      </c>
      <c r="J1209" s="3">
        <f>ROUND((I1209-H1209)*1440,0)</f>
        <v>316</v>
      </c>
      <c r="K1209" s="3" t="s">
        <v>1881</v>
      </c>
      <c r="L1209" s="3" t="s">
        <v>36</v>
      </c>
      <c r="M1209" s="3" t="s">
        <v>36</v>
      </c>
      <c r="N1209" s="3" t="s">
        <v>23</v>
      </c>
      <c r="O1209" s="3" t="s">
        <v>1882</v>
      </c>
    </row>
    <row r="1210" spans="1:15" hidden="1" x14ac:dyDescent="0.75">
      <c r="A1210" s="2">
        <v>46290</v>
      </c>
      <c r="B1210" s="3" t="s">
        <v>2267</v>
      </c>
      <c r="C1210" s="3" t="s">
        <v>2268</v>
      </c>
      <c r="D1210" s="3" t="s">
        <v>17</v>
      </c>
      <c r="E1210" s="3" t="s">
        <v>18</v>
      </c>
      <c r="F1210" s="3" t="s">
        <v>2269</v>
      </c>
      <c r="G1210" s="3" t="s">
        <v>2270</v>
      </c>
      <c r="H1210" s="4">
        <v>46290.689101504628</v>
      </c>
      <c r="I1210" s="4">
        <v>46290.782619907397</v>
      </c>
      <c r="J1210" s="3">
        <f>ROUND((I1210-H1210)*1440,0)</f>
        <v>135</v>
      </c>
      <c r="K1210" s="3" t="s">
        <v>691</v>
      </c>
      <c r="L1210" s="3" t="s">
        <v>22</v>
      </c>
      <c r="M1210" s="3" t="s">
        <v>22</v>
      </c>
      <c r="N1210" s="3" t="s">
        <v>45</v>
      </c>
      <c r="O1210" s="3" t="s">
        <v>692</v>
      </c>
    </row>
    <row r="1211" spans="1:15" hidden="1" x14ac:dyDescent="0.75">
      <c r="A1211" s="2">
        <v>46290</v>
      </c>
      <c r="B1211" s="3" t="s">
        <v>1467</v>
      </c>
      <c r="C1211" s="3" t="s">
        <v>1468</v>
      </c>
      <c r="D1211" s="3" t="s">
        <v>172</v>
      </c>
      <c r="E1211" s="3" t="s">
        <v>173</v>
      </c>
      <c r="F1211" s="3" t="s">
        <v>68</v>
      </c>
      <c r="G1211" s="3" t="s">
        <v>69</v>
      </c>
      <c r="H1211" s="4">
        <v>46290.689616435193</v>
      </c>
      <c r="I1211" s="4">
        <v>46290.794488657397</v>
      </c>
      <c r="J1211" s="3">
        <f>ROUND((I1211-H1211)*1440,0)</f>
        <v>151</v>
      </c>
      <c r="K1211" s="3" t="s">
        <v>246</v>
      </c>
      <c r="L1211" s="3" t="s">
        <v>36</v>
      </c>
      <c r="M1211" s="3" t="s">
        <v>36</v>
      </c>
      <c r="N1211" s="3" t="s">
        <v>23</v>
      </c>
      <c r="O1211" s="3" t="s">
        <v>247</v>
      </c>
    </row>
    <row r="1212" spans="1:15" hidden="1" x14ac:dyDescent="0.75">
      <c r="A1212" s="2">
        <v>46290</v>
      </c>
      <c r="B1212" s="3" t="s">
        <v>1497</v>
      </c>
      <c r="C1212" s="3" t="s">
        <v>1498</v>
      </c>
      <c r="D1212" s="3" t="s">
        <v>56</v>
      </c>
      <c r="E1212" s="3" t="s">
        <v>57</v>
      </c>
      <c r="F1212" s="3" t="s">
        <v>74</v>
      </c>
      <c r="G1212" s="3" t="s">
        <v>75</v>
      </c>
      <c r="H1212" s="4">
        <v>46290.689901041667</v>
      </c>
      <c r="I1212" s="4">
        <v>46290.784224421302</v>
      </c>
      <c r="J1212" s="3">
        <f>ROUND((I1212-H1212)*1440,0)</f>
        <v>136</v>
      </c>
      <c r="K1212" s="3" t="s">
        <v>220</v>
      </c>
      <c r="L1212" s="3" t="s">
        <v>77</v>
      </c>
      <c r="M1212" s="3" t="s">
        <v>78</v>
      </c>
      <c r="N1212" s="3" t="s">
        <v>23</v>
      </c>
      <c r="O1212" s="3" t="s">
        <v>221</v>
      </c>
    </row>
    <row r="1213" spans="1:15" hidden="1" x14ac:dyDescent="0.75">
      <c r="A1213" s="2">
        <v>46290</v>
      </c>
      <c r="B1213" s="3" t="s">
        <v>1459</v>
      </c>
      <c r="C1213" s="3" t="s">
        <v>1460</v>
      </c>
      <c r="D1213" s="3" t="s">
        <v>56</v>
      </c>
      <c r="E1213" s="3" t="s">
        <v>57</v>
      </c>
      <c r="F1213" s="3" t="s">
        <v>1207</v>
      </c>
      <c r="G1213" s="3" t="s">
        <v>1208</v>
      </c>
      <c r="H1213" s="4">
        <v>46290.691194560182</v>
      </c>
      <c r="I1213" s="4">
        <v>46290.796434606476</v>
      </c>
      <c r="J1213" s="3">
        <f>ROUND((I1213-H1213)*1440,0)</f>
        <v>152</v>
      </c>
      <c r="K1213" s="3" t="s">
        <v>442</v>
      </c>
      <c r="L1213" s="3" t="s">
        <v>36</v>
      </c>
      <c r="M1213" s="3" t="s">
        <v>36</v>
      </c>
      <c r="N1213" s="3" t="s">
        <v>23</v>
      </c>
      <c r="O1213" s="3" t="s">
        <v>444</v>
      </c>
    </row>
    <row r="1214" spans="1:15" hidden="1" x14ac:dyDescent="0.75">
      <c r="A1214" s="2">
        <v>46290</v>
      </c>
      <c r="B1214" s="3" t="s">
        <v>1463</v>
      </c>
      <c r="C1214" s="3" t="s">
        <v>1464</v>
      </c>
      <c r="D1214" s="3" t="s">
        <v>27</v>
      </c>
      <c r="E1214" s="3" t="s">
        <v>28</v>
      </c>
      <c r="F1214" s="3" t="s">
        <v>1269</v>
      </c>
      <c r="G1214" s="3" t="s">
        <v>1270</v>
      </c>
      <c r="H1214" s="4">
        <v>46290.691475925923</v>
      </c>
      <c r="I1214" s="4">
        <v>46290.781025925928</v>
      </c>
      <c r="J1214" s="3">
        <f>ROUND((I1214-H1214)*1440,0)</f>
        <v>129</v>
      </c>
      <c r="K1214" s="3" t="s">
        <v>240</v>
      </c>
      <c r="L1214" s="3" t="s">
        <v>52</v>
      </c>
      <c r="M1214" s="3"/>
      <c r="N1214" s="3" t="s">
        <v>45</v>
      </c>
      <c r="O1214" s="3" t="s">
        <v>241</v>
      </c>
    </row>
    <row r="1215" spans="1:15" hidden="1" x14ac:dyDescent="0.75">
      <c r="A1215" s="2">
        <v>46290</v>
      </c>
      <c r="B1215" s="3" t="s">
        <v>1397</v>
      </c>
      <c r="C1215" s="3" t="s">
        <v>1398</v>
      </c>
      <c r="D1215" s="3" t="s">
        <v>17</v>
      </c>
      <c r="E1215" s="3" t="s">
        <v>18</v>
      </c>
      <c r="F1215" s="3" t="s">
        <v>56</v>
      </c>
      <c r="G1215" s="3" t="s">
        <v>57</v>
      </c>
      <c r="H1215" s="4">
        <v>46290.69282488426</v>
      </c>
      <c r="I1215" s="4">
        <v>46290.788071759263</v>
      </c>
      <c r="J1215" s="3">
        <f>ROUND((I1215-H1215)*1440,0)</f>
        <v>137</v>
      </c>
      <c r="K1215" s="3" t="s">
        <v>188</v>
      </c>
      <c r="L1215" s="3" t="s">
        <v>22</v>
      </c>
      <c r="M1215" s="3" t="s">
        <v>22</v>
      </c>
      <c r="N1215" s="3" t="s">
        <v>23</v>
      </c>
      <c r="O1215" s="3" t="s">
        <v>189</v>
      </c>
    </row>
    <row r="1216" spans="1:15" hidden="1" x14ac:dyDescent="0.75">
      <c r="A1216" s="2">
        <v>46290</v>
      </c>
      <c r="B1216" s="3" t="s">
        <v>1437</v>
      </c>
      <c r="C1216" s="3" t="s">
        <v>1438</v>
      </c>
      <c r="D1216" s="3" t="s">
        <v>56</v>
      </c>
      <c r="E1216" s="3" t="s">
        <v>57</v>
      </c>
      <c r="F1216" s="3" t="s">
        <v>683</v>
      </c>
      <c r="G1216" s="3" t="s">
        <v>684</v>
      </c>
      <c r="H1216" s="4">
        <v>46290.693855439808</v>
      </c>
      <c r="I1216" s="4">
        <v>46290.753203009263</v>
      </c>
      <c r="J1216" s="3">
        <f>ROUND((I1216-H1216)*1440,0)</f>
        <v>85</v>
      </c>
      <c r="K1216" s="3" t="s">
        <v>272</v>
      </c>
      <c r="L1216" s="3" t="s">
        <v>36</v>
      </c>
      <c r="M1216" s="3" t="s">
        <v>36</v>
      </c>
      <c r="N1216" s="3" t="s">
        <v>23</v>
      </c>
      <c r="O1216" s="3" t="s">
        <v>273</v>
      </c>
    </row>
    <row r="1217" spans="1:15" hidden="1" x14ac:dyDescent="0.75">
      <c r="A1217" s="2">
        <v>46290</v>
      </c>
      <c r="B1217" s="3" t="s">
        <v>2271</v>
      </c>
      <c r="C1217" s="3" t="s">
        <v>2272</v>
      </c>
      <c r="D1217" s="3" t="s">
        <v>56</v>
      </c>
      <c r="E1217" s="3" t="s">
        <v>57</v>
      </c>
      <c r="F1217" s="3" t="s">
        <v>56</v>
      </c>
      <c r="G1217" s="3" t="s">
        <v>57</v>
      </c>
      <c r="H1217" s="4">
        <v>46290.695421180557</v>
      </c>
      <c r="I1217" s="4">
        <v>46290.926743171287</v>
      </c>
      <c r="J1217" s="3">
        <f>ROUND((I1217-H1217)*1440,0)</f>
        <v>333</v>
      </c>
      <c r="K1217" s="3" t="s">
        <v>641</v>
      </c>
      <c r="L1217" s="3" t="s">
        <v>36</v>
      </c>
      <c r="M1217" s="3" t="s">
        <v>36</v>
      </c>
      <c r="N1217" s="3" t="s">
        <v>23</v>
      </c>
      <c r="O1217" s="3" t="s">
        <v>642</v>
      </c>
    </row>
    <row r="1218" spans="1:15" hidden="1" x14ac:dyDescent="0.75">
      <c r="A1218" s="2">
        <v>46290</v>
      </c>
      <c r="B1218" s="3" t="s">
        <v>1485</v>
      </c>
      <c r="C1218" s="3" t="s">
        <v>1486</v>
      </c>
      <c r="D1218" s="3" t="s">
        <v>82</v>
      </c>
      <c r="E1218" s="3" t="s">
        <v>83</v>
      </c>
      <c r="F1218" s="3" t="s">
        <v>615</v>
      </c>
      <c r="G1218" s="3" t="s">
        <v>616</v>
      </c>
      <c r="H1218" s="4">
        <v>46290.695862152781</v>
      </c>
      <c r="I1218" s="4">
        <v>46290.798526851853</v>
      </c>
      <c r="J1218" s="3">
        <f>ROUND((I1218-H1218)*1440,0)</f>
        <v>148</v>
      </c>
      <c r="K1218" s="3" t="s">
        <v>2273</v>
      </c>
      <c r="L1218" s="3" t="s">
        <v>36</v>
      </c>
      <c r="M1218" s="3" t="s">
        <v>36</v>
      </c>
      <c r="N1218" s="3" t="s">
        <v>23</v>
      </c>
      <c r="O1218" s="3" t="s">
        <v>2274</v>
      </c>
    </row>
    <row r="1219" spans="1:15" hidden="1" x14ac:dyDescent="0.75">
      <c r="A1219" s="2">
        <v>46290</v>
      </c>
      <c r="B1219" s="3" t="s">
        <v>1445</v>
      </c>
      <c r="C1219" s="3" t="s">
        <v>1446</v>
      </c>
      <c r="D1219" s="3" t="s">
        <v>56</v>
      </c>
      <c r="E1219" s="3" t="s">
        <v>57</v>
      </c>
      <c r="F1219" s="3" t="s">
        <v>615</v>
      </c>
      <c r="G1219" s="3" t="s">
        <v>616</v>
      </c>
      <c r="H1219" s="4">
        <v>46290.696182754633</v>
      </c>
      <c r="I1219" s="4">
        <v>46291.416480324071</v>
      </c>
      <c r="J1219" s="3">
        <f>ROUND((I1219-H1219)*1440,0)</f>
        <v>1037</v>
      </c>
      <c r="K1219" s="3" t="s">
        <v>1505</v>
      </c>
      <c r="L1219" s="3" t="s">
        <v>36</v>
      </c>
      <c r="M1219" s="3" t="s">
        <v>36</v>
      </c>
      <c r="N1219" s="3" t="s">
        <v>23</v>
      </c>
      <c r="O1219" s="3" t="s">
        <v>1506</v>
      </c>
    </row>
    <row r="1220" spans="1:15" hidden="1" x14ac:dyDescent="0.75">
      <c r="A1220" s="2">
        <v>46290</v>
      </c>
      <c r="B1220" s="3" t="s">
        <v>1513</v>
      </c>
      <c r="C1220" s="3" t="s">
        <v>1514</v>
      </c>
      <c r="D1220" s="3" t="s">
        <v>82</v>
      </c>
      <c r="E1220" s="3" t="s">
        <v>83</v>
      </c>
      <c r="F1220" s="3" t="s">
        <v>234</v>
      </c>
      <c r="G1220" s="3" t="s">
        <v>235</v>
      </c>
      <c r="H1220" s="4">
        <v>46290.696718634259</v>
      </c>
      <c r="I1220" s="4">
        <v>46290.801856018523</v>
      </c>
      <c r="J1220" s="3">
        <f>ROUND((I1220-H1220)*1440,0)</f>
        <v>151</v>
      </c>
      <c r="K1220" s="3" t="s">
        <v>422</v>
      </c>
      <c r="L1220" s="3" t="s">
        <v>77</v>
      </c>
      <c r="M1220" s="3" t="s">
        <v>78</v>
      </c>
      <c r="N1220" s="3" t="s">
        <v>23</v>
      </c>
      <c r="O1220" s="3" t="s">
        <v>423</v>
      </c>
    </row>
    <row r="1221" spans="1:15" hidden="1" x14ac:dyDescent="0.75">
      <c r="A1221" s="2">
        <v>46290</v>
      </c>
      <c r="B1221" s="3" t="s">
        <v>1511</v>
      </c>
      <c r="C1221" s="3" t="s">
        <v>1512</v>
      </c>
      <c r="D1221" s="3" t="s">
        <v>84</v>
      </c>
      <c r="E1221" s="3" t="s">
        <v>85</v>
      </c>
      <c r="F1221" s="3" t="s">
        <v>719</v>
      </c>
      <c r="G1221" s="3" t="s">
        <v>720</v>
      </c>
      <c r="H1221" s="4">
        <v>46290.697943865744</v>
      </c>
      <c r="I1221" s="4">
        <v>46290.800292708343</v>
      </c>
      <c r="J1221" s="3">
        <f>ROUND((I1221-H1221)*1440,0)</f>
        <v>147</v>
      </c>
      <c r="K1221" s="3" t="s">
        <v>1185</v>
      </c>
      <c r="L1221" s="3" t="s">
        <v>36</v>
      </c>
      <c r="M1221" s="3" t="s">
        <v>36</v>
      </c>
      <c r="N1221" s="3" t="s">
        <v>23</v>
      </c>
      <c r="O1221" s="3" t="s">
        <v>1186</v>
      </c>
    </row>
    <row r="1222" spans="1:15" hidden="1" x14ac:dyDescent="0.75">
      <c r="A1222" s="2">
        <v>46290</v>
      </c>
      <c r="B1222" s="3" t="s">
        <v>1603</v>
      </c>
      <c r="C1222" s="3" t="s">
        <v>1604</v>
      </c>
      <c r="D1222" s="3" t="s">
        <v>182</v>
      </c>
      <c r="E1222" s="3" t="s">
        <v>183</v>
      </c>
      <c r="F1222" s="3" t="s">
        <v>27</v>
      </c>
      <c r="G1222" s="3" t="s">
        <v>28</v>
      </c>
      <c r="H1222" s="4">
        <v>46290.697953356481</v>
      </c>
      <c r="I1222" s="4">
        <v>46290.792146759261</v>
      </c>
      <c r="J1222" s="3">
        <f>ROUND((I1222-H1222)*1440,0)</f>
        <v>136</v>
      </c>
      <c r="K1222" s="3" t="s">
        <v>2187</v>
      </c>
      <c r="L1222" s="3" t="s">
        <v>77</v>
      </c>
      <c r="M1222" s="3" t="s">
        <v>78</v>
      </c>
      <c r="N1222" s="3" t="s">
        <v>23</v>
      </c>
      <c r="O1222" s="3" t="s">
        <v>2188</v>
      </c>
    </row>
    <row r="1223" spans="1:15" hidden="1" x14ac:dyDescent="0.75">
      <c r="A1223" s="2">
        <v>46290</v>
      </c>
      <c r="B1223" s="3" t="s">
        <v>1515</v>
      </c>
      <c r="C1223" s="3" t="s">
        <v>1516</v>
      </c>
      <c r="D1223" s="3"/>
      <c r="E1223" s="3"/>
      <c r="F1223" s="3" t="s">
        <v>17</v>
      </c>
      <c r="G1223" s="3" t="s">
        <v>18</v>
      </c>
      <c r="H1223" s="4">
        <v>46290.698217592602</v>
      </c>
      <c r="I1223" s="4">
        <v>46290.740735416657</v>
      </c>
      <c r="J1223" s="3">
        <f>ROUND((I1223-H1223)*1440,0)</f>
        <v>61</v>
      </c>
      <c r="K1223" s="3" t="s">
        <v>184</v>
      </c>
      <c r="L1223" s="3" t="s">
        <v>77</v>
      </c>
      <c r="M1223" s="3" t="s">
        <v>78</v>
      </c>
      <c r="N1223" s="3" t="s">
        <v>23</v>
      </c>
      <c r="O1223" s="3" t="s">
        <v>185</v>
      </c>
    </row>
    <row r="1224" spans="1:15" hidden="1" x14ac:dyDescent="0.75">
      <c r="A1224" s="2">
        <v>46290</v>
      </c>
      <c r="B1224" s="3" t="s">
        <v>1483</v>
      </c>
      <c r="C1224" s="3" t="s">
        <v>1484</v>
      </c>
      <c r="D1224" s="3" t="s">
        <v>56</v>
      </c>
      <c r="E1224" s="3" t="s">
        <v>57</v>
      </c>
      <c r="F1224" s="3" t="s">
        <v>158</v>
      </c>
      <c r="G1224" s="3" t="s">
        <v>159</v>
      </c>
      <c r="H1224" s="4">
        <v>46290.699494560176</v>
      </c>
      <c r="I1224" s="4">
        <v>46290.784801967588</v>
      </c>
      <c r="J1224" s="3">
        <f>ROUND((I1224-H1224)*1440,0)</f>
        <v>123</v>
      </c>
      <c r="K1224" s="3" t="s">
        <v>2147</v>
      </c>
      <c r="L1224" s="3" t="s">
        <v>77</v>
      </c>
      <c r="M1224" s="3" t="s">
        <v>78</v>
      </c>
      <c r="N1224" s="3" t="s">
        <v>23</v>
      </c>
      <c r="O1224" s="3" t="s">
        <v>2148</v>
      </c>
    </row>
    <row r="1225" spans="1:15" hidden="1" x14ac:dyDescent="0.75">
      <c r="A1225" s="2">
        <v>46290</v>
      </c>
      <c r="B1225" s="3" t="s">
        <v>1473</v>
      </c>
      <c r="C1225" s="3" t="s">
        <v>1474</v>
      </c>
      <c r="D1225" s="3" t="s">
        <v>56</v>
      </c>
      <c r="E1225" s="3" t="s">
        <v>57</v>
      </c>
      <c r="F1225" s="3" t="s">
        <v>208</v>
      </c>
      <c r="G1225" s="3" t="s">
        <v>209</v>
      </c>
      <c r="H1225" s="4">
        <v>46290.701313078702</v>
      </c>
      <c r="I1225" s="4">
        <v>46290.804131828707</v>
      </c>
      <c r="J1225" s="3">
        <f>ROUND((I1225-H1225)*1440,0)</f>
        <v>148</v>
      </c>
      <c r="K1225" s="3" t="s">
        <v>292</v>
      </c>
      <c r="L1225" s="3" t="s">
        <v>36</v>
      </c>
      <c r="M1225" s="3" t="s">
        <v>36</v>
      </c>
      <c r="N1225" s="3" t="s">
        <v>23</v>
      </c>
      <c r="O1225" s="3" t="s">
        <v>293</v>
      </c>
    </row>
    <row r="1226" spans="1:15" hidden="1" x14ac:dyDescent="0.75">
      <c r="A1226" s="2">
        <v>46290</v>
      </c>
      <c r="B1226" s="3" t="s">
        <v>1487</v>
      </c>
      <c r="C1226" s="3" t="s">
        <v>1488</v>
      </c>
      <c r="D1226" s="3" t="s">
        <v>68</v>
      </c>
      <c r="E1226" s="3" t="s">
        <v>69</v>
      </c>
      <c r="F1226" s="3" t="s">
        <v>68</v>
      </c>
      <c r="G1226" s="3" t="s">
        <v>69</v>
      </c>
      <c r="H1226" s="4">
        <v>46290.701696990742</v>
      </c>
      <c r="I1226" s="4">
        <v>46290.950010763889</v>
      </c>
      <c r="J1226" s="3">
        <f>ROUND((I1226-H1226)*1440,0)</f>
        <v>358</v>
      </c>
      <c r="K1226" s="3" t="s">
        <v>985</v>
      </c>
      <c r="L1226" s="3" t="s">
        <v>36</v>
      </c>
      <c r="M1226" s="3" t="s">
        <v>36</v>
      </c>
      <c r="N1226" s="3" t="s">
        <v>23</v>
      </c>
      <c r="O1226" s="3" t="s">
        <v>986</v>
      </c>
    </row>
    <row r="1227" spans="1:15" hidden="1" x14ac:dyDescent="0.75">
      <c r="A1227" s="2">
        <v>46290</v>
      </c>
      <c r="B1227" s="3" t="s">
        <v>1551</v>
      </c>
      <c r="C1227" s="3" t="s">
        <v>1552</v>
      </c>
      <c r="D1227" s="3" t="s">
        <v>977</v>
      </c>
      <c r="E1227" s="3" t="s">
        <v>978</v>
      </c>
      <c r="F1227" s="3" t="s">
        <v>27</v>
      </c>
      <c r="G1227" s="3" t="s">
        <v>28</v>
      </c>
      <c r="H1227" s="4">
        <v>46290.701879166663</v>
      </c>
      <c r="I1227" s="4">
        <v>46290.78752233796</v>
      </c>
      <c r="J1227" s="3">
        <f>ROUND((I1227-H1227)*1440,0)</f>
        <v>123</v>
      </c>
      <c r="K1227" s="3" t="s">
        <v>891</v>
      </c>
      <c r="L1227" s="3" t="s">
        <v>77</v>
      </c>
      <c r="M1227" s="3" t="s">
        <v>78</v>
      </c>
      <c r="N1227" s="3" t="s">
        <v>23</v>
      </c>
      <c r="O1227" s="3" t="s">
        <v>892</v>
      </c>
    </row>
    <row r="1228" spans="1:15" hidden="1" x14ac:dyDescent="0.75">
      <c r="A1228" s="2">
        <v>46290</v>
      </c>
      <c r="B1228" s="3" t="s">
        <v>1579</v>
      </c>
      <c r="C1228" s="3" t="s">
        <v>1580</v>
      </c>
      <c r="D1228" s="3" t="s">
        <v>68</v>
      </c>
      <c r="E1228" s="3" t="s">
        <v>69</v>
      </c>
      <c r="F1228" s="3" t="s">
        <v>27</v>
      </c>
      <c r="G1228" s="3" t="s">
        <v>28</v>
      </c>
      <c r="H1228" s="4">
        <v>46290.702962615738</v>
      </c>
      <c r="I1228" s="4">
        <v>46290.816512847217</v>
      </c>
      <c r="J1228" s="3">
        <f>ROUND((I1228-H1228)*1440,0)</f>
        <v>164</v>
      </c>
      <c r="K1228" s="3" t="s">
        <v>721</v>
      </c>
      <c r="L1228" s="3" t="s">
        <v>22</v>
      </c>
      <c r="M1228" s="3" t="s">
        <v>22</v>
      </c>
      <c r="N1228" s="3" t="s">
        <v>23</v>
      </c>
      <c r="O1228" s="3" t="s">
        <v>722</v>
      </c>
    </row>
    <row r="1229" spans="1:15" hidden="1" x14ac:dyDescent="0.75">
      <c r="A1229" s="2">
        <v>46290</v>
      </c>
      <c r="B1229" s="3" t="s">
        <v>1519</v>
      </c>
      <c r="C1229" s="3" t="s">
        <v>1520</v>
      </c>
      <c r="D1229" s="3" t="s">
        <v>270</v>
      </c>
      <c r="E1229" s="3" t="s">
        <v>271</v>
      </c>
      <c r="F1229" s="3" t="s">
        <v>17</v>
      </c>
      <c r="G1229" s="3" t="s">
        <v>18</v>
      </c>
      <c r="H1229" s="4">
        <v>46290.704593287039</v>
      </c>
      <c r="I1229" s="4">
        <v>46290.84105787037</v>
      </c>
      <c r="J1229" s="3">
        <f>ROUND((I1229-H1229)*1440,0)</f>
        <v>197</v>
      </c>
      <c r="K1229" s="3" t="s">
        <v>1517</v>
      </c>
      <c r="L1229" s="3" t="s">
        <v>77</v>
      </c>
      <c r="M1229" s="3" t="s">
        <v>78</v>
      </c>
      <c r="N1229" s="3" t="s">
        <v>23</v>
      </c>
      <c r="O1229" s="3" t="s">
        <v>1518</v>
      </c>
    </row>
    <row r="1230" spans="1:15" hidden="1" x14ac:dyDescent="0.75">
      <c r="A1230" s="2">
        <v>46290</v>
      </c>
      <c r="B1230" s="3" t="s">
        <v>1955</v>
      </c>
      <c r="C1230" s="3" t="s">
        <v>1956</v>
      </c>
      <c r="D1230" s="3" t="s">
        <v>56</v>
      </c>
      <c r="E1230" s="3" t="s">
        <v>57</v>
      </c>
      <c r="F1230" s="3" t="s">
        <v>56</v>
      </c>
      <c r="G1230" s="3" t="s">
        <v>57</v>
      </c>
      <c r="H1230" s="4">
        <v>46290.705403472217</v>
      </c>
      <c r="I1230" s="4">
        <v>46290.942589699072</v>
      </c>
      <c r="J1230" s="3">
        <f>ROUND((I1230-H1230)*1440,0)</f>
        <v>342</v>
      </c>
      <c r="K1230" s="3" t="s">
        <v>501</v>
      </c>
      <c r="L1230" s="3" t="s">
        <v>77</v>
      </c>
      <c r="M1230" s="3" t="s">
        <v>78</v>
      </c>
      <c r="N1230" s="3" t="s">
        <v>23</v>
      </c>
      <c r="O1230" s="3" t="s">
        <v>502</v>
      </c>
    </row>
    <row r="1231" spans="1:15" hidden="1" x14ac:dyDescent="0.75">
      <c r="A1231" s="2">
        <v>46290</v>
      </c>
      <c r="B1231" s="3" t="s">
        <v>1525</v>
      </c>
      <c r="C1231" s="3" t="s">
        <v>1526</v>
      </c>
      <c r="D1231" s="3" t="s">
        <v>400</v>
      </c>
      <c r="E1231" s="3" t="s">
        <v>401</v>
      </c>
      <c r="F1231" s="3" t="s">
        <v>82</v>
      </c>
      <c r="G1231" s="3" t="s">
        <v>83</v>
      </c>
      <c r="H1231" s="4">
        <v>46290.709923379633</v>
      </c>
      <c r="I1231" s="4">
        <v>46290.798516550924</v>
      </c>
      <c r="J1231" s="3">
        <f>ROUND((I1231-H1231)*1440,0)</f>
        <v>128</v>
      </c>
      <c r="K1231" s="3" t="s">
        <v>715</v>
      </c>
      <c r="L1231" s="3" t="s">
        <v>36</v>
      </c>
      <c r="M1231" s="3" t="s">
        <v>36</v>
      </c>
      <c r="N1231" s="3" t="s">
        <v>23</v>
      </c>
      <c r="O1231" s="3" t="s">
        <v>716</v>
      </c>
    </row>
    <row r="1232" spans="1:15" hidden="1" x14ac:dyDescent="0.75">
      <c r="A1232" s="2">
        <v>46290</v>
      </c>
      <c r="B1232" s="3" t="s">
        <v>1521</v>
      </c>
      <c r="C1232" s="3" t="s">
        <v>1522</v>
      </c>
      <c r="D1232" s="3" t="s">
        <v>94</v>
      </c>
      <c r="E1232" s="3" t="s">
        <v>95</v>
      </c>
      <c r="F1232" s="3" t="s">
        <v>56</v>
      </c>
      <c r="G1232" s="3" t="s">
        <v>57</v>
      </c>
      <c r="H1232" s="4">
        <v>46290.710269444447</v>
      </c>
      <c r="I1232" s="4">
        <v>46290.774717592591</v>
      </c>
      <c r="J1232" s="3">
        <f>ROUND((I1232-H1232)*1440,0)</f>
        <v>93</v>
      </c>
      <c r="K1232" s="3" t="s">
        <v>1723</v>
      </c>
      <c r="L1232" s="3" t="s">
        <v>36</v>
      </c>
      <c r="M1232" s="3" t="s">
        <v>36</v>
      </c>
      <c r="N1232" s="3" t="s">
        <v>23</v>
      </c>
      <c r="O1232" s="3" t="s">
        <v>1724</v>
      </c>
    </row>
    <row r="1233" spans="1:15" hidden="1" x14ac:dyDescent="0.75">
      <c r="A1233" s="2">
        <v>46290</v>
      </c>
      <c r="B1233" s="3" t="s">
        <v>1499</v>
      </c>
      <c r="C1233" s="3" t="s">
        <v>1500</v>
      </c>
      <c r="D1233" s="3" t="s">
        <v>615</v>
      </c>
      <c r="E1233" s="3" t="s">
        <v>616</v>
      </c>
      <c r="F1233" s="3" t="s">
        <v>615</v>
      </c>
      <c r="G1233" s="3" t="s">
        <v>616</v>
      </c>
      <c r="H1233" s="4">
        <v>46290.711293518521</v>
      </c>
      <c r="I1233" s="4">
        <v>46290.822950231479</v>
      </c>
      <c r="J1233" s="3">
        <f>ROUND((I1233-H1233)*1440,0)</f>
        <v>161</v>
      </c>
      <c r="K1233" s="3" t="s">
        <v>923</v>
      </c>
      <c r="L1233" s="3" t="s">
        <v>52</v>
      </c>
      <c r="M1233" s="3"/>
      <c r="N1233" s="3" t="s">
        <v>45</v>
      </c>
      <c r="O1233" s="3" t="s">
        <v>924</v>
      </c>
    </row>
    <row r="1234" spans="1:15" hidden="1" x14ac:dyDescent="0.75">
      <c r="A1234" s="2">
        <v>46290</v>
      </c>
      <c r="B1234" s="3" t="s">
        <v>1523</v>
      </c>
      <c r="C1234" s="3" t="s">
        <v>1524</v>
      </c>
      <c r="D1234" s="3" t="s">
        <v>27</v>
      </c>
      <c r="E1234" s="3" t="s">
        <v>28</v>
      </c>
      <c r="F1234" s="3" t="s">
        <v>100</v>
      </c>
      <c r="G1234" s="3" t="s">
        <v>101</v>
      </c>
      <c r="H1234" s="4">
        <v>46290.711610879633</v>
      </c>
      <c r="I1234" s="4">
        <v>46290.802665162038</v>
      </c>
      <c r="J1234" s="3">
        <f>ROUND((I1234-H1234)*1440,0)</f>
        <v>131</v>
      </c>
      <c r="K1234" s="3" t="s">
        <v>969</v>
      </c>
      <c r="L1234" s="3" t="s">
        <v>36</v>
      </c>
      <c r="M1234" s="3" t="s">
        <v>36</v>
      </c>
      <c r="N1234" s="3" t="s">
        <v>45</v>
      </c>
      <c r="O1234" s="3" t="s">
        <v>970</v>
      </c>
    </row>
    <row r="1235" spans="1:15" hidden="1" x14ac:dyDescent="0.75">
      <c r="A1235" s="2">
        <v>46290</v>
      </c>
      <c r="B1235" s="3" t="s">
        <v>1491</v>
      </c>
      <c r="C1235" s="3" t="s">
        <v>1492</v>
      </c>
      <c r="D1235" s="3" t="s">
        <v>17</v>
      </c>
      <c r="E1235" s="3" t="s">
        <v>18</v>
      </c>
      <c r="F1235" s="3" t="s">
        <v>82</v>
      </c>
      <c r="G1235" s="3" t="s">
        <v>83</v>
      </c>
      <c r="H1235" s="4">
        <v>46290.715327662037</v>
      </c>
      <c r="I1235" s="4">
        <v>46290.800108796298</v>
      </c>
      <c r="J1235" s="3">
        <f>ROUND((I1235-H1235)*1440,0)</f>
        <v>122</v>
      </c>
      <c r="K1235" s="3" t="s">
        <v>2209</v>
      </c>
      <c r="L1235" s="3" t="s">
        <v>22</v>
      </c>
      <c r="M1235" s="3" t="s">
        <v>22</v>
      </c>
      <c r="N1235" s="3" t="s">
        <v>23</v>
      </c>
      <c r="O1235" s="3" t="s">
        <v>2210</v>
      </c>
    </row>
    <row r="1236" spans="1:15" hidden="1" x14ac:dyDescent="0.75">
      <c r="A1236" s="2">
        <v>46290</v>
      </c>
      <c r="B1236" s="3" t="s">
        <v>1759</v>
      </c>
      <c r="C1236" s="3" t="s">
        <v>1760</v>
      </c>
      <c r="D1236" s="3" t="s">
        <v>615</v>
      </c>
      <c r="E1236" s="3" t="s">
        <v>616</v>
      </c>
      <c r="F1236" s="3" t="s">
        <v>17</v>
      </c>
      <c r="G1236" s="3" t="s">
        <v>18</v>
      </c>
      <c r="H1236" s="4">
        <v>46290.715546874999</v>
      </c>
      <c r="I1236" s="4">
        <v>46290.885162152779</v>
      </c>
      <c r="J1236" s="3">
        <f>ROUND((I1236-H1236)*1440,0)</f>
        <v>244</v>
      </c>
      <c r="K1236" s="3" t="s">
        <v>1129</v>
      </c>
      <c r="L1236" s="3" t="s">
        <v>22</v>
      </c>
      <c r="M1236" s="3" t="s">
        <v>22</v>
      </c>
      <c r="N1236" s="3" t="s">
        <v>23</v>
      </c>
      <c r="O1236" s="3" t="s">
        <v>1130</v>
      </c>
    </row>
    <row r="1237" spans="1:15" hidden="1" x14ac:dyDescent="0.75">
      <c r="A1237" s="2">
        <v>46290</v>
      </c>
      <c r="B1237" s="3" t="s">
        <v>1527</v>
      </c>
      <c r="C1237" s="3" t="s">
        <v>1528</v>
      </c>
      <c r="D1237" s="3" t="s">
        <v>82</v>
      </c>
      <c r="E1237" s="3" t="s">
        <v>83</v>
      </c>
      <c r="F1237" s="3" t="s">
        <v>116</v>
      </c>
      <c r="G1237" s="3" t="s">
        <v>117</v>
      </c>
      <c r="H1237" s="4">
        <v>46290.718106250002</v>
      </c>
      <c r="I1237" s="4">
        <v>46290.812923958343</v>
      </c>
      <c r="J1237" s="3">
        <f>ROUND((I1237-H1237)*1440,0)</f>
        <v>137</v>
      </c>
      <c r="K1237" s="3" t="s">
        <v>1125</v>
      </c>
      <c r="L1237" s="3" t="s">
        <v>36</v>
      </c>
      <c r="M1237" s="3" t="s">
        <v>36</v>
      </c>
      <c r="N1237" s="3" t="s">
        <v>45</v>
      </c>
      <c r="O1237" s="3" t="s">
        <v>1126</v>
      </c>
    </row>
    <row r="1238" spans="1:15" hidden="1" x14ac:dyDescent="0.75">
      <c r="A1238" s="2">
        <v>46290</v>
      </c>
      <c r="B1238" s="3" t="s">
        <v>2275</v>
      </c>
      <c r="C1238" s="3" t="s">
        <v>2276</v>
      </c>
      <c r="D1238" s="3" t="s">
        <v>82</v>
      </c>
      <c r="E1238" s="3" t="s">
        <v>83</v>
      </c>
      <c r="F1238" s="3" t="s">
        <v>56</v>
      </c>
      <c r="G1238" s="3" t="s">
        <v>57</v>
      </c>
      <c r="H1238" s="4">
        <v>46290.719436805557</v>
      </c>
      <c r="I1238" s="4">
        <v>46290.902330555553</v>
      </c>
      <c r="J1238" s="3">
        <f>ROUND((I1238-H1238)*1440,0)</f>
        <v>263</v>
      </c>
      <c r="K1238" s="3" t="s">
        <v>102</v>
      </c>
      <c r="L1238" s="3" t="s">
        <v>36</v>
      </c>
      <c r="M1238" s="3" t="s">
        <v>36</v>
      </c>
      <c r="N1238" s="3" t="s">
        <v>23</v>
      </c>
      <c r="O1238" s="3" t="s">
        <v>103</v>
      </c>
    </row>
    <row r="1239" spans="1:15" hidden="1" x14ac:dyDescent="0.75">
      <c r="A1239" s="2">
        <v>46290</v>
      </c>
      <c r="B1239" s="3" t="s">
        <v>1529</v>
      </c>
      <c r="C1239" s="3" t="s">
        <v>1530</v>
      </c>
      <c r="D1239" s="3" t="s">
        <v>56</v>
      </c>
      <c r="E1239" s="3" t="s">
        <v>57</v>
      </c>
      <c r="F1239" s="3" t="s">
        <v>100</v>
      </c>
      <c r="G1239" s="3" t="s">
        <v>101</v>
      </c>
      <c r="H1239" s="4">
        <v>46290.721463425929</v>
      </c>
      <c r="I1239" s="4">
        <v>46290.756164004633</v>
      </c>
      <c r="J1239" s="3">
        <f>ROUND((I1239-H1239)*1440,0)</f>
        <v>50</v>
      </c>
      <c r="K1239" s="3" t="s">
        <v>1989</v>
      </c>
      <c r="L1239" s="3" t="s">
        <v>36</v>
      </c>
      <c r="M1239" s="3" t="s">
        <v>36</v>
      </c>
      <c r="N1239" s="3" t="s">
        <v>45</v>
      </c>
      <c r="O1239" s="3" t="s">
        <v>1990</v>
      </c>
    </row>
    <row r="1240" spans="1:15" hidden="1" x14ac:dyDescent="0.75">
      <c r="A1240" s="2">
        <v>46290</v>
      </c>
      <c r="B1240" s="3" t="s">
        <v>1667</v>
      </c>
      <c r="C1240" s="3" t="s">
        <v>1668</v>
      </c>
      <c r="D1240" s="3" t="s">
        <v>122</v>
      </c>
      <c r="E1240" s="3" t="s">
        <v>123</v>
      </c>
      <c r="F1240" s="3" t="s">
        <v>27</v>
      </c>
      <c r="G1240" s="3" t="s">
        <v>28</v>
      </c>
      <c r="H1240" s="4">
        <v>46290.721475115737</v>
      </c>
      <c r="I1240" s="4">
        <v>46290.954132060193</v>
      </c>
      <c r="J1240" s="3">
        <f>ROUND((I1240-H1240)*1440,0)</f>
        <v>335</v>
      </c>
      <c r="K1240" s="3" t="s">
        <v>547</v>
      </c>
      <c r="L1240" s="3" t="s">
        <v>22</v>
      </c>
      <c r="M1240" s="3" t="s">
        <v>22</v>
      </c>
      <c r="N1240" s="3" t="s">
        <v>23</v>
      </c>
      <c r="O1240" s="3" t="s">
        <v>548</v>
      </c>
    </row>
    <row r="1241" spans="1:15" hidden="1" x14ac:dyDescent="0.75">
      <c r="A1241" s="2">
        <v>46290</v>
      </c>
      <c r="B1241" s="3" t="s">
        <v>1675</v>
      </c>
      <c r="C1241" s="3" t="s">
        <v>1676</v>
      </c>
      <c r="D1241" s="3"/>
      <c r="E1241" s="3"/>
      <c r="F1241" s="3" t="s">
        <v>17</v>
      </c>
      <c r="G1241" s="3" t="s">
        <v>18</v>
      </c>
      <c r="H1241" s="4">
        <v>46290.722184953702</v>
      </c>
      <c r="I1241" s="4">
        <v>46290.809793055552</v>
      </c>
      <c r="J1241" s="3">
        <f>ROUND((I1241-H1241)*1440,0)</f>
        <v>126</v>
      </c>
      <c r="K1241" s="3" t="s">
        <v>192</v>
      </c>
      <c r="L1241" s="3" t="s">
        <v>36</v>
      </c>
      <c r="M1241" s="3" t="s">
        <v>36</v>
      </c>
      <c r="N1241" s="3" t="s">
        <v>23</v>
      </c>
      <c r="O1241" s="3" t="s">
        <v>193</v>
      </c>
    </row>
    <row r="1242" spans="1:15" hidden="1" x14ac:dyDescent="0.75">
      <c r="A1242" s="2">
        <v>46290</v>
      </c>
      <c r="B1242" s="3" t="s">
        <v>1709</v>
      </c>
      <c r="C1242" s="3" t="s">
        <v>1710</v>
      </c>
      <c r="D1242" s="3" t="s">
        <v>158</v>
      </c>
      <c r="E1242" s="3" t="s">
        <v>159</v>
      </c>
      <c r="F1242" s="3" t="s">
        <v>27</v>
      </c>
      <c r="G1242" s="3" t="s">
        <v>28</v>
      </c>
      <c r="H1242" s="4">
        <v>46290.723660416668</v>
      </c>
      <c r="I1242" s="4">
        <v>46290.771222569441</v>
      </c>
      <c r="J1242" s="3">
        <f>ROUND((I1242-H1242)*1440,0)</f>
        <v>68</v>
      </c>
      <c r="K1242" s="3" t="s">
        <v>1501</v>
      </c>
      <c r="L1242" s="3" t="s">
        <v>77</v>
      </c>
      <c r="M1242" s="3" t="s">
        <v>78</v>
      </c>
      <c r="N1242" s="3" t="s">
        <v>23</v>
      </c>
      <c r="O1242" s="3" t="s">
        <v>1502</v>
      </c>
    </row>
    <row r="1243" spans="1:15" hidden="1" x14ac:dyDescent="0.75">
      <c r="A1243" s="2">
        <v>46290</v>
      </c>
      <c r="B1243" s="3" t="s">
        <v>1531</v>
      </c>
      <c r="C1243" s="3" t="s">
        <v>1532</v>
      </c>
      <c r="D1243" s="3" t="s">
        <v>304</v>
      </c>
      <c r="E1243" s="3" t="s">
        <v>305</v>
      </c>
      <c r="F1243" s="3" t="s">
        <v>17</v>
      </c>
      <c r="G1243" s="3" t="s">
        <v>18</v>
      </c>
      <c r="H1243" s="4">
        <v>46290.724372569442</v>
      </c>
      <c r="I1243" s="4">
        <v>46290.935522685177</v>
      </c>
      <c r="J1243" s="3">
        <f>ROUND((I1243-H1243)*1440,0)</f>
        <v>304</v>
      </c>
      <c r="K1243" s="3" t="s">
        <v>581</v>
      </c>
      <c r="L1243" s="3" t="s">
        <v>22</v>
      </c>
      <c r="M1243" s="3" t="s">
        <v>22</v>
      </c>
      <c r="N1243" s="3" t="s">
        <v>23</v>
      </c>
      <c r="O1243" s="3" t="s">
        <v>582</v>
      </c>
    </row>
    <row r="1244" spans="1:15" hidden="1" x14ac:dyDescent="0.75">
      <c r="A1244" s="2">
        <v>46290</v>
      </c>
      <c r="B1244" s="3" t="s">
        <v>2277</v>
      </c>
      <c r="C1244" s="3" t="s">
        <v>2278</v>
      </c>
      <c r="D1244" s="3" t="s">
        <v>82</v>
      </c>
      <c r="E1244" s="3" t="s">
        <v>83</v>
      </c>
      <c r="F1244" s="3"/>
      <c r="G1244" s="3"/>
      <c r="H1244" s="4">
        <v>46290.724457638891</v>
      </c>
      <c r="I1244" s="4">
        <v>46290.781443981483</v>
      </c>
      <c r="J1244" s="3">
        <f>ROUND((I1244-H1244)*1440,0)</f>
        <v>82</v>
      </c>
      <c r="K1244" s="3" t="s">
        <v>595</v>
      </c>
      <c r="L1244" s="3" t="s">
        <v>22</v>
      </c>
      <c r="M1244" s="3" t="s">
        <v>22</v>
      </c>
      <c r="N1244" s="3" t="s">
        <v>443</v>
      </c>
      <c r="O1244" s="3" t="s">
        <v>596</v>
      </c>
    </row>
    <row r="1245" spans="1:15" hidden="1" x14ac:dyDescent="0.75">
      <c r="A1245" s="2">
        <v>46290</v>
      </c>
      <c r="B1245" s="3" t="s">
        <v>1533</v>
      </c>
      <c r="C1245" s="3" t="s">
        <v>1534</v>
      </c>
      <c r="D1245" s="3" t="s">
        <v>128</v>
      </c>
      <c r="E1245" s="3" t="s">
        <v>129</v>
      </c>
      <c r="F1245" s="3" t="s">
        <v>56</v>
      </c>
      <c r="G1245" s="3" t="s">
        <v>57</v>
      </c>
      <c r="H1245" s="4">
        <v>46290.725907291657</v>
      </c>
      <c r="I1245" s="4">
        <v>46290.82296041667</v>
      </c>
      <c r="J1245" s="3">
        <f>ROUND((I1245-H1245)*1440,0)</f>
        <v>140</v>
      </c>
      <c r="K1245" s="3" t="s">
        <v>1069</v>
      </c>
      <c r="L1245" s="3" t="s">
        <v>36</v>
      </c>
      <c r="M1245" s="3" t="s">
        <v>36</v>
      </c>
      <c r="N1245" s="3" t="s">
        <v>23</v>
      </c>
      <c r="O1245" s="3" t="s">
        <v>1070</v>
      </c>
    </row>
    <row r="1246" spans="1:15" hidden="1" x14ac:dyDescent="0.75">
      <c r="A1246" s="2">
        <v>46290</v>
      </c>
      <c r="B1246" s="3" t="s">
        <v>1587</v>
      </c>
      <c r="C1246" s="3" t="s">
        <v>1588</v>
      </c>
      <c r="D1246" s="3" t="s">
        <v>56</v>
      </c>
      <c r="E1246" s="3" t="s">
        <v>57</v>
      </c>
      <c r="F1246" s="3" t="s">
        <v>128</v>
      </c>
      <c r="G1246" s="3" t="s">
        <v>129</v>
      </c>
      <c r="H1246" s="4">
        <v>46290.727412152781</v>
      </c>
      <c r="I1246" s="4">
        <v>46290.836647569442</v>
      </c>
      <c r="J1246" s="3">
        <f>ROUND((I1246-H1246)*1440,0)</f>
        <v>157</v>
      </c>
      <c r="K1246" s="3" t="s">
        <v>2215</v>
      </c>
      <c r="L1246" s="3" t="s">
        <v>36</v>
      </c>
      <c r="M1246" s="3" t="s">
        <v>36</v>
      </c>
      <c r="N1246" s="3" t="s">
        <v>23</v>
      </c>
      <c r="O1246" s="3" t="s">
        <v>2216</v>
      </c>
    </row>
    <row r="1247" spans="1:15" hidden="1" x14ac:dyDescent="0.75">
      <c r="A1247" s="2">
        <v>46290</v>
      </c>
      <c r="B1247" s="3" t="s">
        <v>1589</v>
      </c>
      <c r="C1247" s="3" t="s">
        <v>1590</v>
      </c>
      <c r="D1247" s="3" t="s">
        <v>270</v>
      </c>
      <c r="E1247" s="3" t="s">
        <v>271</v>
      </c>
      <c r="F1247" s="3" t="s">
        <v>56</v>
      </c>
      <c r="G1247" s="3" t="s">
        <v>57</v>
      </c>
      <c r="H1247" s="4">
        <v>46290.727858680562</v>
      </c>
      <c r="I1247" s="4">
        <v>46290.813195486109</v>
      </c>
      <c r="J1247" s="3">
        <f>ROUND((I1247-H1247)*1440,0)</f>
        <v>123</v>
      </c>
      <c r="K1247" s="3" t="s">
        <v>138</v>
      </c>
      <c r="L1247" s="3" t="s">
        <v>36</v>
      </c>
      <c r="M1247" s="3" t="s">
        <v>36</v>
      </c>
      <c r="N1247" s="3" t="s">
        <v>23</v>
      </c>
      <c r="O1247" s="3" t="s">
        <v>139</v>
      </c>
    </row>
    <row r="1248" spans="1:15" hidden="1" x14ac:dyDescent="0.75">
      <c r="A1248" s="2">
        <v>46290</v>
      </c>
      <c r="B1248" s="3" t="s">
        <v>1719</v>
      </c>
      <c r="C1248" s="3" t="s">
        <v>1720</v>
      </c>
      <c r="D1248" s="3" t="s">
        <v>17</v>
      </c>
      <c r="E1248" s="3" t="s">
        <v>18</v>
      </c>
      <c r="F1248" s="3" t="s">
        <v>27</v>
      </c>
      <c r="G1248" s="3" t="s">
        <v>28</v>
      </c>
      <c r="H1248" s="4">
        <v>46290.729081018508</v>
      </c>
      <c r="I1248" s="4">
        <v>46290.757026273153</v>
      </c>
      <c r="J1248" s="3">
        <f>ROUND((I1248-H1248)*1440,0)</f>
        <v>40</v>
      </c>
      <c r="K1248" s="3" t="s">
        <v>356</v>
      </c>
      <c r="L1248" s="3" t="s">
        <v>77</v>
      </c>
      <c r="M1248" s="3" t="s">
        <v>78</v>
      </c>
      <c r="N1248" s="3" t="s">
        <v>23</v>
      </c>
      <c r="O1248" s="3" t="s">
        <v>357</v>
      </c>
    </row>
    <row r="1249" spans="1:15" hidden="1" x14ac:dyDescent="0.75">
      <c r="A1249" s="2">
        <v>46290</v>
      </c>
      <c r="B1249" s="3" t="s">
        <v>1555</v>
      </c>
      <c r="C1249" s="3" t="s">
        <v>1556</v>
      </c>
      <c r="D1249" s="3" t="s">
        <v>17</v>
      </c>
      <c r="E1249" s="3" t="s">
        <v>18</v>
      </c>
      <c r="F1249" s="3"/>
      <c r="G1249" s="3"/>
      <c r="H1249" s="4">
        <v>46290.729984953701</v>
      </c>
      <c r="I1249" s="4">
        <v>46290.854530324083</v>
      </c>
      <c r="J1249" s="3">
        <f>ROUND((I1249-H1249)*1440,0)</f>
        <v>179</v>
      </c>
      <c r="K1249" s="3" t="s">
        <v>96</v>
      </c>
      <c r="L1249" s="3" t="s">
        <v>77</v>
      </c>
      <c r="M1249" s="3" t="s">
        <v>78</v>
      </c>
      <c r="N1249" s="3" t="s">
        <v>443</v>
      </c>
      <c r="O1249" s="3" t="s">
        <v>97</v>
      </c>
    </row>
    <row r="1250" spans="1:15" hidden="1" x14ac:dyDescent="0.75">
      <c r="A1250" s="2">
        <v>46290</v>
      </c>
      <c r="B1250" s="3" t="s">
        <v>1559</v>
      </c>
      <c r="C1250" s="3" t="s">
        <v>1560</v>
      </c>
      <c r="D1250" s="3" t="s">
        <v>27</v>
      </c>
      <c r="E1250" s="3" t="s">
        <v>28</v>
      </c>
      <c r="F1250" s="3" t="s">
        <v>158</v>
      </c>
      <c r="G1250" s="3" t="s">
        <v>159</v>
      </c>
      <c r="H1250" s="4">
        <v>46290.730529282409</v>
      </c>
      <c r="I1250" s="4">
        <v>46290.780279861108</v>
      </c>
      <c r="J1250" s="3">
        <f>ROUND((I1250-H1250)*1440,0)</f>
        <v>72</v>
      </c>
      <c r="K1250" s="3" t="s">
        <v>1023</v>
      </c>
      <c r="L1250" s="3" t="s">
        <v>77</v>
      </c>
      <c r="M1250" s="3" t="s">
        <v>78</v>
      </c>
      <c r="N1250" s="3" t="s">
        <v>23</v>
      </c>
      <c r="O1250" s="3" t="s">
        <v>1024</v>
      </c>
    </row>
    <row r="1251" spans="1:15" hidden="1" x14ac:dyDescent="0.75">
      <c r="A1251" s="2">
        <v>46290</v>
      </c>
      <c r="B1251" s="3" t="s">
        <v>723</v>
      </c>
      <c r="C1251" s="3" t="s">
        <v>724</v>
      </c>
      <c r="D1251" s="3"/>
      <c r="E1251" s="3"/>
      <c r="F1251" s="3" t="s">
        <v>82</v>
      </c>
      <c r="G1251" s="3" t="s">
        <v>83</v>
      </c>
      <c r="H1251" s="4">
        <v>46290.733738425923</v>
      </c>
      <c r="I1251" s="4">
        <v>46290.768868402767</v>
      </c>
      <c r="J1251" s="3">
        <f>ROUND((I1251-H1251)*1440,0)</f>
        <v>51</v>
      </c>
      <c r="K1251" s="3" t="s">
        <v>1191</v>
      </c>
      <c r="L1251" s="3" t="s">
        <v>36</v>
      </c>
      <c r="M1251" s="3" t="s">
        <v>36</v>
      </c>
      <c r="N1251" s="3" t="s">
        <v>23</v>
      </c>
      <c r="O1251" s="3" t="s">
        <v>1192</v>
      </c>
    </row>
    <row r="1252" spans="1:15" hidden="1" x14ac:dyDescent="0.75">
      <c r="A1252" s="2">
        <v>46290</v>
      </c>
      <c r="B1252" s="3" t="s">
        <v>1539</v>
      </c>
      <c r="C1252" s="3" t="s">
        <v>1540</v>
      </c>
      <c r="D1252" s="3" t="s">
        <v>182</v>
      </c>
      <c r="E1252" s="3" t="s">
        <v>183</v>
      </c>
      <c r="F1252" s="3" t="s">
        <v>56</v>
      </c>
      <c r="G1252" s="3" t="s">
        <v>57</v>
      </c>
      <c r="H1252" s="4">
        <v>46290.735035763893</v>
      </c>
      <c r="I1252" s="4">
        <v>46290.790526041666</v>
      </c>
      <c r="J1252" s="3">
        <f>ROUND((I1252-H1252)*1440,0)</f>
        <v>80</v>
      </c>
      <c r="K1252" s="3" t="s">
        <v>76</v>
      </c>
      <c r="L1252" s="3" t="s">
        <v>77</v>
      </c>
      <c r="M1252" s="3" t="s">
        <v>78</v>
      </c>
      <c r="N1252" s="3" t="s">
        <v>23</v>
      </c>
      <c r="O1252" s="3" t="s">
        <v>79</v>
      </c>
    </row>
    <row r="1253" spans="1:15" hidden="1" x14ac:dyDescent="0.75">
      <c r="A1253" s="2">
        <v>46290</v>
      </c>
      <c r="B1253" s="3" t="s">
        <v>1541</v>
      </c>
      <c r="C1253" s="3" t="s">
        <v>1542</v>
      </c>
      <c r="D1253" s="3" t="s">
        <v>615</v>
      </c>
      <c r="E1253" s="3" t="s">
        <v>616</v>
      </c>
      <c r="F1253" s="3" t="s">
        <v>1543</v>
      </c>
      <c r="G1253" s="3" t="s">
        <v>1544</v>
      </c>
      <c r="H1253" s="4">
        <v>46290.735663888889</v>
      </c>
      <c r="I1253" s="4">
        <v>46290.742744212963</v>
      </c>
      <c r="J1253" s="3">
        <f>ROUND((I1253-H1253)*1440,0)</f>
        <v>10</v>
      </c>
      <c r="K1253" s="3" t="s">
        <v>2171</v>
      </c>
      <c r="L1253" s="3" t="s">
        <v>36</v>
      </c>
      <c r="M1253" s="3" t="s">
        <v>36</v>
      </c>
      <c r="N1253" s="3" t="s">
        <v>45</v>
      </c>
      <c r="O1253" s="3" t="s">
        <v>2172</v>
      </c>
    </row>
    <row r="1254" spans="1:15" hidden="1" x14ac:dyDescent="0.75">
      <c r="A1254" s="2">
        <v>46290</v>
      </c>
      <c r="B1254" s="3" t="s">
        <v>1613</v>
      </c>
      <c r="C1254" s="3" t="s">
        <v>1614</v>
      </c>
      <c r="D1254" s="3" t="s">
        <v>122</v>
      </c>
      <c r="E1254" s="3" t="s">
        <v>123</v>
      </c>
      <c r="F1254" s="3" t="s">
        <v>56</v>
      </c>
      <c r="G1254" s="3" t="s">
        <v>57</v>
      </c>
      <c r="H1254" s="4">
        <v>46290.73698321759</v>
      </c>
      <c r="I1254" s="4">
        <v>46290.946803356477</v>
      </c>
      <c r="J1254" s="3">
        <f>ROUND((I1254-H1254)*1440,0)</f>
        <v>302</v>
      </c>
      <c r="K1254" s="3" t="s">
        <v>497</v>
      </c>
      <c r="L1254" s="3" t="s">
        <v>22</v>
      </c>
      <c r="M1254" s="3" t="s">
        <v>22</v>
      </c>
      <c r="N1254" s="3" t="s">
        <v>23</v>
      </c>
      <c r="O1254" s="3" t="s">
        <v>498</v>
      </c>
    </row>
    <row r="1255" spans="1:15" hidden="1" x14ac:dyDescent="0.75">
      <c r="A1255" s="2">
        <v>46290</v>
      </c>
      <c r="B1255" s="3" t="s">
        <v>1561</v>
      </c>
      <c r="C1255" s="3" t="s">
        <v>1562</v>
      </c>
      <c r="D1255" s="3" t="s">
        <v>58</v>
      </c>
      <c r="E1255" s="3" t="s">
        <v>59</v>
      </c>
      <c r="F1255" s="3" t="s">
        <v>82</v>
      </c>
      <c r="G1255" s="3" t="s">
        <v>83</v>
      </c>
      <c r="H1255" s="4">
        <v>46290.738888310188</v>
      </c>
      <c r="I1255" s="4">
        <v>46290.824962615741</v>
      </c>
      <c r="J1255" s="3">
        <f>ROUND((I1255-H1255)*1440,0)</f>
        <v>124</v>
      </c>
      <c r="K1255" s="3" t="s">
        <v>489</v>
      </c>
      <c r="L1255" s="3" t="s">
        <v>36</v>
      </c>
      <c r="M1255" s="3" t="s">
        <v>36</v>
      </c>
      <c r="N1255" s="3" t="s">
        <v>23</v>
      </c>
      <c r="O1255" s="3" t="s">
        <v>490</v>
      </c>
    </row>
    <row r="1256" spans="1:15" hidden="1" x14ac:dyDescent="0.75">
      <c r="A1256" s="2">
        <v>46290</v>
      </c>
      <c r="B1256" s="3" t="s">
        <v>1577</v>
      </c>
      <c r="C1256" s="3" t="s">
        <v>1578</v>
      </c>
      <c r="D1256" s="3"/>
      <c r="E1256" s="3"/>
      <c r="F1256" s="3" t="s">
        <v>17</v>
      </c>
      <c r="G1256" s="3" t="s">
        <v>18</v>
      </c>
      <c r="H1256" s="4">
        <v>46290.740276041673</v>
      </c>
      <c r="I1256" s="4">
        <v>46290.798821990742</v>
      </c>
      <c r="J1256" s="3">
        <f>ROUND((I1256-H1256)*1440,0)</f>
        <v>84</v>
      </c>
      <c r="K1256" s="3" t="s">
        <v>637</v>
      </c>
      <c r="L1256" s="3" t="s">
        <v>22</v>
      </c>
      <c r="M1256" s="3" t="s">
        <v>22</v>
      </c>
      <c r="N1256" s="3" t="s">
        <v>23</v>
      </c>
      <c r="O1256" s="3" t="s">
        <v>638</v>
      </c>
    </row>
    <row r="1257" spans="1:15" hidden="1" x14ac:dyDescent="0.75">
      <c r="A1257" s="2">
        <v>46290</v>
      </c>
      <c r="B1257" s="3" t="s">
        <v>1547</v>
      </c>
      <c r="C1257" s="3" t="s">
        <v>1548</v>
      </c>
      <c r="D1257" s="3" t="s">
        <v>27</v>
      </c>
      <c r="E1257" s="3" t="s">
        <v>28</v>
      </c>
      <c r="F1257" s="3" t="s">
        <v>49</v>
      </c>
      <c r="G1257" s="3" t="s">
        <v>50</v>
      </c>
      <c r="H1257" s="4">
        <v>46290.741172569447</v>
      </c>
      <c r="I1257" s="4">
        <v>46290.787086458331</v>
      </c>
      <c r="J1257" s="3">
        <f>ROUND((I1257-H1257)*1440,0)</f>
        <v>66</v>
      </c>
      <c r="K1257" s="3" t="s">
        <v>1293</v>
      </c>
      <c r="L1257" s="3" t="s">
        <v>77</v>
      </c>
      <c r="M1257" s="3" t="s">
        <v>78</v>
      </c>
      <c r="N1257" s="3" t="s">
        <v>23</v>
      </c>
      <c r="O1257" s="3" t="s">
        <v>1294</v>
      </c>
    </row>
    <row r="1258" spans="1:15" hidden="1" x14ac:dyDescent="0.75">
      <c r="A1258" s="2">
        <v>46290</v>
      </c>
      <c r="B1258" s="3" t="s">
        <v>1549</v>
      </c>
      <c r="C1258" s="3" t="s">
        <v>1550</v>
      </c>
      <c r="D1258" s="3" t="s">
        <v>459</v>
      </c>
      <c r="E1258" s="3" t="s">
        <v>460</v>
      </c>
      <c r="F1258" s="3" t="s">
        <v>17</v>
      </c>
      <c r="G1258" s="3" t="s">
        <v>18</v>
      </c>
      <c r="H1258" s="4">
        <v>46290.741475462957</v>
      </c>
      <c r="I1258" s="4">
        <v>46290.948640046299</v>
      </c>
      <c r="J1258" s="3">
        <f>ROUND((I1258-H1258)*1440,0)</f>
        <v>298</v>
      </c>
      <c r="K1258" s="3" t="s">
        <v>567</v>
      </c>
      <c r="L1258" s="3" t="s">
        <v>22</v>
      </c>
      <c r="M1258" s="3" t="s">
        <v>22</v>
      </c>
      <c r="N1258" s="3" t="s">
        <v>23</v>
      </c>
      <c r="O1258" s="3" t="s">
        <v>568</v>
      </c>
    </row>
    <row r="1259" spans="1:15" hidden="1" x14ac:dyDescent="0.75">
      <c r="A1259" s="2">
        <v>46290</v>
      </c>
      <c r="B1259" s="3" t="s">
        <v>1625</v>
      </c>
      <c r="C1259" s="3" t="s">
        <v>1626</v>
      </c>
      <c r="D1259" s="3" t="s">
        <v>304</v>
      </c>
      <c r="E1259" s="3" t="s">
        <v>305</v>
      </c>
      <c r="F1259" s="3" t="s">
        <v>56</v>
      </c>
      <c r="G1259" s="3" t="s">
        <v>57</v>
      </c>
      <c r="H1259" s="4">
        <v>46290.742105787038</v>
      </c>
      <c r="I1259" s="4">
        <v>46290.935515277779</v>
      </c>
      <c r="J1259" s="3">
        <f>ROUND((I1259-H1259)*1440,0)</f>
        <v>279</v>
      </c>
      <c r="K1259" s="3" t="s">
        <v>124</v>
      </c>
      <c r="L1259" s="3" t="s">
        <v>22</v>
      </c>
      <c r="M1259" s="3" t="s">
        <v>22</v>
      </c>
      <c r="N1259" s="3" t="s">
        <v>23</v>
      </c>
      <c r="O1259" s="3" t="s">
        <v>125</v>
      </c>
    </row>
    <row r="1260" spans="1:15" hidden="1" x14ac:dyDescent="0.75">
      <c r="A1260" s="2">
        <v>46290</v>
      </c>
      <c r="B1260" s="3" t="s">
        <v>1545</v>
      </c>
      <c r="C1260" s="3" t="s">
        <v>1546</v>
      </c>
      <c r="D1260" s="3" t="s">
        <v>94</v>
      </c>
      <c r="E1260" s="3" t="s">
        <v>95</v>
      </c>
      <c r="F1260" s="3" t="s">
        <v>17</v>
      </c>
      <c r="G1260" s="3" t="s">
        <v>18</v>
      </c>
      <c r="H1260" s="4">
        <v>46290.743774884257</v>
      </c>
      <c r="I1260" s="4">
        <v>46290.791052893517</v>
      </c>
      <c r="J1260" s="3">
        <f>ROUND((I1260-H1260)*1440,0)</f>
        <v>68</v>
      </c>
      <c r="K1260" s="3" t="s">
        <v>1997</v>
      </c>
      <c r="L1260" s="3" t="s">
        <v>77</v>
      </c>
      <c r="M1260" s="3" t="s">
        <v>78</v>
      </c>
      <c r="N1260" s="3" t="s">
        <v>23</v>
      </c>
      <c r="O1260" s="3" t="s">
        <v>1998</v>
      </c>
    </row>
    <row r="1261" spans="1:15" hidden="1" x14ac:dyDescent="0.75">
      <c r="A1261" s="2">
        <v>46290</v>
      </c>
      <c r="B1261" s="3" t="s">
        <v>1553</v>
      </c>
      <c r="C1261" s="3" t="s">
        <v>1554</v>
      </c>
      <c r="D1261" s="3" t="s">
        <v>27</v>
      </c>
      <c r="E1261" s="3" t="s">
        <v>28</v>
      </c>
      <c r="F1261" s="3" t="s">
        <v>182</v>
      </c>
      <c r="G1261" s="3" t="s">
        <v>183</v>
      </c>
      <c r="H1261" s="4">
        <v>46290.7438744213</v>
      </c>
      <c r="I1261" s="4">
        <v>46290.830431481481</v>
      </c>
      <c r="J1261" s="3">
        <f>ROUND((I1261-H1261)*1440,0)</f>
        <v>125</v>
      </c>
      <c r="K1261" s="3" t="s">
        <v>939</v>
      </c>
      <c r="L1261" s="3" t="s">
        <v>77</v>
      </c>
      <c r="M1261" s="3" t="s">
        <v>78</v>
      </c>
      <c r="N1261" s="3" t="s">
        <v>23</v>
      </c>
      <c r="O1261" s="3" t="s">
        <v>940</v>
      </c>
    </row>
    <row r="1262" spans="1:15" hidden="1" x14ac:dyDescent="0.75">
      <c r="A1262" s="2">
        <v>46290</v>
      </c>
      <c r="B1262" s="3" t="s">
        <v>1693</v>
      </c>
      <c r="C1262" s="3" t="s">
        <v>1694</v>
      </c>
      <c r="D1262" s="3" t="s">
        <v>264</v>
      </c>
      <c r="E1262" s="3" t="s">
        <v>265</v>
      </c>
      <c r="F1262" s="3" t="s">
        <v>27</v>
      </c>
      <c r="G1262" s="3" t="s">
        <v>28</v>
      </c>
      <c r="H1262" s="4">
        <v>46290.7445912037</v>
      </c>
      <c r="I1262" s="4">
        <v>46290.943789583333</v>
      </c>
      <c r="J1262" s="3">
        <f>ROUND((I1262-H1262)*1440,0)</f>
        <v>287</v>
      </c>
      <c r="K1262" s="3" t="s">
        <v>561</v>
      </c>
      <c r="L1262" s="3" t="s">
        <v>43</v>
      </c>
      <c r="M1262" s="3" t="s">
        <v>44</v>
      </c>
      <c r="N1262" s="3" t="s">
        <v>23</v>
      </c>
      <c r="O1262" s="3" t="s">
        <v>562</v>
      </c>
    </row>
    <row r="1263" spans="1:15" hidden="1" x14ac:dyDescent="0.75">
      <c r="A1263" s="2">
        <v>46290</v>
      </c>
      <c r="B1263" s="3" t="s">
        <v>1471</v>
      </c>
      <c r="C1263" s="3" t="s">
        <v>1472</v>
      </c>
      <c r="D1263" s="3" t="s">
        <v>1101</v>
      </c>
      <c r="E1263" s="3" t="s">
        <v>1102</v>
      </c>
      <c r="F1263" s="3" t="s">
        <v>208</v>
      </c>
      <c r="G1263" s="3" t="s">
        <v>209</v>
      </c>
      <c r="H1263" s="4">
        <v>46290.744769097233</v>
      </c>
      <c r="I1263" s="4">
        <v>46290.784001273147</v>
      </c>
      <c r="J1263" s="3">
        <f>ROUND((I1263-H1263)*1440,0)</f>
        <v>56</v>
      </c>
      <c r="K1263" s="3" t="s">
        <v>739</v>
      </c>
      <c r="L1263" s="3" t="s">
        <v>77</v>
      </c>
      <c r="M1263" s="3" t="s">
        <v>78</v>
      </c>
      <c r="N1263" s="3" t="s">
        <v>23</v>
      </c>
      <c r="O1263" s="3" t="s">
        <v>740</v>
      </c>
    </row>
    <row r="1264" spans="1:15" hidden="1" x14ac:dyDescent="0.75">
      <c r="A1264" s="2">
        <v>46290</v>
      </c>
      <c r="B1264" s="3" t="s">
        <v>1575</v>
      </c>
      <c r="C1264" s="3" t="s">
        <v>1576</v>
      </c>
      <c r="D1264" s="3" t="s">
        <v>27</v>
      </c>
      <c r="E1264" s="3" t="s">
        <v>28</v>
      </c>
      <c r="F1264" s="3" t="s">
        <v>106</v>
      </c>
      <c r="G1264" s="3" t="s">
        <v>107</v>
      </c>
      <c r="H1264" s="4">
        <v>46290.745389699077</v>
      </c>
      <c r="I1264" s="4">
        <v>46290.836082291673</v>
      </c>
      <c r="J1264" s="3">
        <f>ROUND((I1264-H1264)*1440,0)</f>
        <v>131</v>
      </c>
      <c r="K1264" s="3" t="s">
        <v>477</v>
      </c>
      <c r="L1264" s="3" t="s">
        <v>77</v>
      </c>
      <c r="M1264" s="3" t="s">
        <v>78</v>
      </c>
      <c r="N1264" s="3" t="s">
        <v>23</v>
      </c>
      <c r="O1264" s="3" t="s">
        <v>478</v>
      </c>
    </row>
    <row r="1265" spans="1:15" hidden="1" x14ac:dyDescent="0.75">
      <c r="A1265" s="2">
        <v>46290</v>
      </c>
      <c r="B1265" s="3" t="s">
        <v>1563</v>
      </c>
      <c r="C1265" s="3" t="s">
        <v>1564</v>
      </c>
      <c r="D1265" s="3" t="s">
        <v>82</v>
      </c>
      <c r="E1265" s="3" t="s">
        <v>83</v>
      </c>
      <c r="F1265" s="3" t="s">
        <v>158</v>
      </c>
      <c r="G1265" s="3" t="s">
        <v>159</v>
      </c>
      <c r="H1265" s="4">
        <v>46290.745505671293</v>
      </c>
      <c r="I1265" s="4">
        <v>46290.819299421288</v>
      </c>
      <c r="J1265" s="3">
        <f>ROUND((I1265-H1265)*1440,0)</f>
        <v>106</v>
      </c>
      <c r="K1265" s="3" t="s">
        <v>1873</v>
      </c>
      <c r="L1265" s="3" t="s">
        <v>36</v>
      </c>
      <c r="M1265" s="3" t="s">
        <v>36</v>
      </c>
      <c r="N1265" s="3" t="s">
        <v>23</v>
      </c>
      <c r="O1265" s="3" t="s">
        <v>1874</v>
      </c>
    </row>
    <row r="1266" spans="1:15" hidden="1" x14ac:dyDescent="0.75">
      <c r="A1266" s="2">
        <v>46290</v>
      </c>
      <c r="B1266" s="3" t="s">
        <v>1601</v>
      </c>
      <c r="C1266" s="3" t="s">
        <v>1602</v>
      </c>
      <c r="D1266" s="3" t="s">
        <v>19</v>
      </c>
      <c r="E1266" s="3" t="s">
        <v>20</v>
      </c>
      <c r="F1266" s="3" t="s">
        <v>56</v>
      </c>
      <c r="G1266" s="3" t="s">
        <v>57</v>
      </c>
      <c r="H1266" s="4">
        <v>46290.746088078697</v>
      </c>
      <c r="I1266" s="4">
        <v>46290.772453356483</v>
      </c>
      <c r="J1266" s="3">
        <f>ROUND((I1266-H1266)*1440,0)</f>
        <v>38</v>
      </c>
      <c r="K1266" s="3" t="s">
        <v>1715</v>
      </c>
      <c r="L1266" s="3" t="s">
        <v>36</v>
      </c>
      <c r="M1266" s="3" t="s">
        <v>36</v>
      </c>
      <c r="N1266" s="3" t="s">
        <v>23</v>
      </c>
      <c r="O1266" s="3" t="s">
        <v>1716</v>
      </c>
    </row>
    <row r="1267" spans="1:15" hidden="1" x14ac:dyDescent="0.75">
      <c r="A1267" s="2">
        <v>46290</v>
      </c>
      <c r="B1267" s="3" t="s">
        <v>1699</v>
      </c>
      <c r="C1267" s="3" t="s">
        <v>1700</v>
      </c>
      <c r="D1267" s="3" t="s">
        <v>56</v>
      </c>
      <c r="E1267" s="3" t="s">
        <v>57</v>
      </c>
      <c r="F1267" s="3" t="s">
        <v>270</v>
      </c>
      <c r="G1267" s="3" t="s">
        <v>271</v>
      </c>
      <c r="H1267" s="4">
        <v>46290.74659166667</v>
      </c>
      <c r="I1267" s="4">
        <v>46290.841536111111</v>
      </c>
      <c r="J1267" s="3">
        <f>ROUND((I1267-H1267)*1440,0)</f>
        <v>137</v>
      </c>
      <c r="K1267" s="3" t="s">
        <v>1307</v>
      </c>
      <c r="L1267" s="3" t="s">
        <v>36</v>
      </c>
      <c r="M1267" s="3" t="s">
        <v>36</v>
      </c>
      <c r="N1267" s="3" t="s">
        <v>45</v>
      </c>
      <c r="O1267" s="3" t="s">
        <v>1308</v>
      </c>
    </row>
    <row r="1268" spans="1:15" hidden="1" x14ac:dyDescent="0.75">
      <c r="A1268" s="2">
        <v>46290</v>
      </c>
      <c r="B1268" s="3" t="s">
        <v>1585</v>
      </c>
      <c r="C1268" s="3" t="s">
        <v>1586</v>
      </c>
      <c r="D1268" s="3" t="s">
        <v>100</v>
      </c>
      <c r="E1268" s="3" t="s">
        <v>101</v>
      </c>
      <c r="F1268" s="3" t="s">
        <v>56</v>
      </c>
      <c r="G1268" s="3" t="s">
        <v>57</v>
      </c>
      <c r="H1268" s="4">
        <v>46290.751577546303</v>
      </c>
      <c r="I1268" s="4">
        <v>46290.786717361108</v>
      </c>
      <c r="J1268" s="3">
        <f>ROUND((I1268-H1268)*1440,0)</f>
        <v>51</v>
      </c>
      <c r="K1268" s="3" t="s">
        <v>911</v>
      </c>
      <c r="L1268" s="3" t="s">
        <v>36</v>
      </c>
      <c r="M1268" s="3" t="s">
        <v>36</v>
      </c>
      <c r="N1268" s="3" t="s">
        <v>23</v>
      </c>
      <c r="O1268" s="3" t="s">
        <v>912</v>
      </c>
    </row>
    <row r="1269" spans="1:15" hidden="1" x14ac:dyDescent="0.75">
      <c r="A1269" s="2">
        <v>46290</v>
      </c>
      <c r="B1269" s="3" t="s">
        <v>328</v>
      </c>
      <c r="C1269" s="3" t="s">
        <v>329</v>
      </c>
      <c r="D1269" s="3"/>
      <c r="E1269" s="3"/>
      <c r="F1269" s="3" t="s">
        <v>17</v>
      </c>
      <c r="G1269" s="3" t="s">
        <v>18</v>
      </c>
      <c r="H1269" s="4">
        <v>46290.754165740742</v>
      </c>
      <c r="I1269" s="4">
        <v>46290.980703703703</v>
      </c>
      <c r="J1269" s="3">
        <f>ROUND((I1269-H1269)*1440,0)</f>
        <v>326</v>
      </c>
      <c r="K1269" s="3" t="s">
        <v>1537</v>
      </c>
      <c r="L1269" s="3" t="s">
        <v>43</v>
      </c>
      <c r="M1269" s="3" t="s">
        <v>44</v>
      </c>
      <c r="N1269" s="3" t="s">
        <v>23</v>
      </c>
      <c r="O1269" s="3" t="s">
        <v>1538</v>
      </c>
    </row>
    <row r="1270" spans="1:15" hidden="1" x14ac:dyDescent="0.75">
      <c r="A1270" s="2">
        <v>46290</v>
      </c>
      <c r="B1270" s="3" t="s">
        <v>2279</v>
      </c>
      <c r="C1270" s="3" t="s">
        <v>2280</v>
      </c>
      <c r="D1270" s="3" t="s">
        <v>2229</v>
      </c>
      <c r="E1270" s="3" t="s">
        <v>2230</v>
      </c>
      <c r="F1270" s="3" t="s">
        <v>264</v>
      </c>
      <c r="G1270" s="3" t="s">
        <v>265</v>
      </c>
      <c r="H1270" s="4">
        <v>46290.754484375</v>
      </c>
      <c r="I1270" s="4">
        <v>46290.91856701389</v>
      </c>
      <c r="J1270" s="3">
        <f>ROUND((I1270-H1270)*1440,0)</f>
        <v>236</v>
      </c>
      <c r="K1270" s="3" t="s">
        <v>2231</v>
      </c>
      <c r="L1270" s="3" t="s">
        <v>36</v>
      </c>
      <c r="M1270" s="3" t="s">
        <v>36</v>
      </c>
      <c r="N1270" s="3" t="s">
        <v>23</v>
      </c>
      <c r="O1270" s="3" t="s">
        <v>2232</v>
      </c>
    </row>
    <row r="1271" spans="1:15" hidden="1" x14ac:dyDescent="0.75">
      <c r="A1271" s="2">
        <v>46290</v>
      </c>
      <c r="B1271" s="3" t="s">
        <v>1941</v>
      </c>
      <c r="C1271" s="3" t="s">
        <v>1942</v>
      </c>
      <c r="D1271" s="3" t="s">
        <v>208</v>
      </c>
      <c r="E1271" s="3" t="s">
        <v>209</v>
      </c>
      <c r="F1271" s="3" t="s">
        <v>56</v>
      </c>
      <c r="G1271" s="3" t="s">
        <v>57</v>
      </c>
      <c r="H1271" s="4">
        <v>46290.755468750001</v>
      </c>
      <c r="I1271" s="4">
        <v>46290.868785763887</v>
      </c>
      <c r="J1271" s="3">
        <f>ROUND((I1271-H1271)*1440,0)</f>
        <v>163</v>
      </c>
      <c r="K1271" s="3" t="s">
        <v>144</v>
      </c>
      <c r="L1271" s="3" t="s">
        <v>36</v>
      </c>
      <c r="M1271" s="3" t="s">
        <v>36</v>
      </c>
      <c r="N1271" s="3" t="s">
        <v>23</v>
      </c>
      <c r="O1271" s="3" t="s">
        <v>145</v>
      </c>
    </row>
    <row r="1272" spans="1:15" hidden="1" x14ac:dyDescent="0.75">
      <c r="A1272" s="2">
        <v>46290</v>
      </c>
      <c r="B1272" s="3" t="s">
        <v>1631</v>
      </c>
      <c r="C1272" s="3" t="s">
        <v>1632</v>
      </c>
      <c r="D1272" s="3"/>
      <c r="E1272" s="3"/>
      <c r="F1272" s="3" t="s">
        <v>17</v>
      </c>
      <c r="G1272" s="3" t="s">
        <v>18</v>
      </c>
      <c r="H1272" s="4">
        <v>46290.755733217593</v>
      </c>
      <c r="I1272" s="4">
        <v>46290.846053935187</v>
      </c>
      <c r="J1272" s="3">
        <f>ROUND((I1272-H1272)*1440,0)</f>
        <v>130</v>
      </c>
      <c r="K1272" s="3" t="s">
        <v>1119</v>
      </c>
      <c r="L1272" s="3" t="s">
        <v>43</v>
      </c>
      <c r="M1272" s="3" t="s">
        <v>44</v>
      </c>
      <c r="N1272" s="3" t="s">
        <v>23</v>
      </c>
      <c r="O1272" s="3" t="s">
        <v>1120</v>
      </c>
    </row>
    <row r="1273" spans="1:15" hidden="1" x14ac:dyDescent="0.75">
      <c r="A1273" s="2">
        <v>46290</v>
      </c>
      <c r="B1273" s="3" t="s">
        <v>2281</v>
      </c>
      <c r="C1273" s="3" t="s">
        <v>2282</v>
      </c>
      <c r="D1273" s="3" t="s">
        <v>1367</v>
      </c>
      <c r="E1273" s="3" t="s">
        <v>1368</v>
      </c>
      <c r="F1273" s="3" t="s">
        <v>2283</v>
      </c>
      <c r="G1273" s="3" t="s">
        <v>2284</v>
      </c>
      <c r="H1273" s="4">
        <v>46290.756636226863</v>
      </c>
      <c r="I1273" s="4">
        <v>46290.805689583343</v>
      </c>
      <c r="J1273" s="3">
        <f>ROUND((I1273-H1273)*1440,0)</f>
        <v>71</v>
      </c>
      <c r="K1273" s="3" t="s">
        <v>1369</v>
      </c>
      <c r="L1273" s="3" t="s">
        <v>36</v>
      </c>
      <c r="M1273" s="3" t="s">
        <v>36</v>
      </c>
      <c r="N1273" s="3" t="s">
        <v>23</v>
      </c>
      <c r="O1273" s="3" t="s">
        <v>1370</v>
      </c>
    </row>
    <row r="1274" spans="1:15" hidden="1" x14ac:dyDescent="0.75">
      <c r="A1274" s="2">
        <v>46290</v>
      </c>
      <c r="B1274" s="3" t="s">
        <v>1591</v>
      </c>
      <c r="C1274" s="3" t="s">
        <v>1592</v>
      </c>
      <c r="D1274" s="3" t="s">
        <v>1269</v>
      </c>
      <c r="E1274" s="3" t="s">
        <v>1270</v>
      </c>
      <c r="F1274" s="3" t="s">
        <v>17</v>
      </c>
      <c r="G1274" s="3" t="s">
        <v>18</v>
      </c>
      <c r="H1274" s="4">
        <v>46290.760155208343</v>
      </c>
      <c r="I1274" s="4">
        <v>46290.830438541663</v>
      </c>
      <c r="J1274" s="3">
        <f>ROUND((I1274-H1274)*1440,0)</f>
        <v>101</v>
      </c>
      <c r="K1274" s="3" t="s">
        <v>783</v>
      </c>
      <c r="L1274" s="3" t="s">
        <v>77</v>
      </c>
      <c r="M1274" s="3" t="s">
        <v>78</v>
      </c>
      <c r="N1274" s="3" t="s">
        <v>23</v>
      </c>
      <c r="O1274" s="3" t="s">
        <v>784</v>
      </c>
    </row>
    <row r="1275" spans="1:15" hidden="1" x14ac:dyDescent="0.75">
      <c r="A1275" s="2">
        <v>46290</v>
      </c>
      <c r="B1275" s="3" t="s">
        <v>1637</v>
      </c>
      <c r="C1275" s="3" t="s">
        <v>1638</v>
      </c>
      <c r="D1275" s="3" t="s">
        <v>17</v>
      </c>
      <c r="E1275" s="3" t="s">
        <v>18</v>
      </c>
      <c r="F1275" s="3" t="s">
        <v>737</v>
      </c>
      <c r="G1275" s="3" t="s">
        <v>738</v>
      </c>
      <c r="H1275" s="4">
        <v>46290.760526157414</v>
      </c>
      <c r="I1275" s="4">
        <v>46290.79599525463</v>
      </c>
      <c r="J1275" s="3">
        <f>ROUND((I1275-H1275)*1440,0)</f>
        <v>51</v>
      </c>
      <c r="K1275" s="3" t="s">
        <v>2193</v>
      </c>
      <c r="L1275" s="3" t="s">
        <v>77</v>
      </c>
      <c r="M1275" s="3" t="s">
        <v>78</v>
      </c>
      <c r="N1275" s="3" t="s">
        <v>45</v>
      </c>
      <c r="O1275" s="3" t="s">
        <v>2194</v>
      </c>
    </row>
    <row r="1276" spans="1:15" hidden="1" x14ac:dyDescent="0.75">
      <c r="A1276" s="2">
        <v>46290</v>
      </c>
      <c r="B1276" s="3" t="s">
        <v>1605</v>
      </c>
      <c r="C1276" s="3" t="s">
        <v>1606</v>
      </c>
      <c r="D1276" s="3" t="s">
        <v>27</v>
      </c>
      <c r="E1276" s="3" t="s">
        <v>28</v>
      </c>
      <c r="F1276" s="3" t="s">
        <v>196</v>
      </c>
      <c r="G1276" s="3" t="s">
        <v>197</v>
      </c>
      <c r="H1276" s="4">
        <v>46290.761861458333</v>
      </c>
      <c r="I1276" s="4">
        <v>46290.812188657408</v>
      </c>
      <c r="J1276" s="3">
        <f>ROUND((I1276-H1276)*1440,0)</f>
        <v>72</v>
      </c>
      <c r="K1276" s="3" t="s">
        <v>368</v>
      </c>
      <c r="L1276" s="3" t="s">
        <v>77</v>
      </c>
      <c r="M1276" s="3" t="s">
        <v>78</v>
      </c>
      <c r="N1276" s="3" t="s">
        <v>45</v>
      </c>
      <c r="O1276" s="3" t="s">
        <v>369</v>
      </c>
    </row>
    <row r="1277" spans="1:15" hidden="1" x14ac:dyDescent="0.75">
      <c r="A1277" s="2">
        <v>46290</v>
      </c>
      <c r="B1277" s="3" t="s">
        <v>1611</v>
      </c>
      <c r="C1277" s="3" t="s">
        <v>1612</v>
      </c>
      <c r="D1277" s="3" t="s">
        <v>244</v>
      </c>
      <c r="E1277" s="3" t="s">
        <v>245</v>
      </c>
      <c r="F1277" s="3" t="s">
        <v>82</v>
      </c>
      <c r="G1277" s="3" t="s">
        <v>83</v>
      </c>
      <c r="H1277" s="4">
        <v>46290.76431377315</v>
      </c>
      <c r="I1277" s="4">
        <v>46290.86263935185</v>
      </c>
      <c r="J1277" s="3">
        <f>ROUND((I1277-H1277)*1440,0)</f>
        <v>142</v>
      </c>
      <c r="K1277" s="3" t="s">
        <v>873</v>
      </c>
      <c r="L1277" s="3" t="s">
        <v>36</v>
      </c>
      <c r="M1277" s="3" t="s">
        <v>36</v>
      </c>
      <c r="N1277" s="3" t="s">
        <v>23</v>
      </c>
      <c r="O1277" s="3" t="s">
        <v>874</v>
      </c>
    </row>
    <row r="1278" spans="1:15" hidden="1" x14ac:dyDescent="0.75">
      <c r="A1278" s="2">
        <v>46290</v>
      </c>
      <c r="B1278" s="3" t="s">
        <v>1795</v>
      </c>
      <c r="C1278" s="3" t="s">
        <v>1796</v>
      </c>
      <c r="D1278" s="3" t="s">
        <v>737</v>
      </c>
      <c r="E1278" s="3" t="s">
        <v>738</v>
      </c>
      <c r="F1278" s="3" t="s">
        <v>27</v>
      </c>
      <c r="G1278" s="3" t="s">
        <v>28</v>
      </c>
      <c r="H1278" s="4">
        <v>46290.766058333327</v>
      </c>
      <c r="I1278" s="4">
        <v>46290.808439004628</v>
      </c>
      <c r="J1278" s="3">
        <f>ROUND((I1278-H1278)*1440,0)</f>
        <v>61</v>
      </c>
      <c r="K1278" s="3" t="s">
        <v>1015</v>
      </c>
      <c r="L1278" s="3" t="s">
        <v>77</v>
      </c>
      <c r="M1278" s="3" t="s">
        <v>78</v>
      </c>
      <c r="N1278" s="3" t="s">
        <v>23</v>
      </c>
      <c r="O1278" s="3" t="s">
        <v>1016</v>
      </c>
    </row>
    <row r="1279" spans="1:15" hidden="1" x14ac:dyDescent="0.75">
      <c r="A1279" s="2">
        <v>46290</v>
      </c>
      <c r="B1279" s="3" t="s">
        <v>1609</v>
      </c>
      <c r="C1279" s="3" t="s">
        <v>1610</v>
      </c>
      <c r="D1279" s="3" t="s">
        <v>27</v>
      </c>
      <c r="E1279" s="3" t="s">
        <v>28</v>
      </c>
      <c r="F1279" s="3" t="s">
        <v>82</v>
      </c>
      <c r="G1279" s="3" t="s">
        <v>83</v>
      </c>
      <c r="H1279" s="4">
        <v>46290.76619490741</v>
      </c>
      <c r="I1279" s="4">
        <v>46290.868461458333</v>
      </c>
      <c r="J1279" s="3">
        <f>ROUND((I1279-H1279)*1440,0)</f>
        <v>147</v>
      </c>
      <c r="K1279" s="3" t="s">
        <v>2127</v>
      </c>
      <c r="L1279" s="3" t="s">
        <v>22</v>
      </c>
      <c r="M1279" s="3" t="s">
        <v>22</v>
      </c>
      <c r="N1279" s="3" t="s">
        <v>23</v>
      </c>
      <c r="O1279" s="3" t="s">
        <v>2128</v>
      </c>
    </row>
    <row r="1280" spans="1:15" hidden="1" x14ac:dyDescent="0.75">
      <c r="A1280" s="2">
        <v>46290</v>
      </c>
      <c r="B1280" s="3" t="s">
        <v>1593</v>
      </c>
      <c r="C1280" s="3" t="s">
        <v>1594</v>
      </c>
      <c r="D1280" s="3" t="s">
        <v>49</v>
      </c>
      <c r="E1280" s="3" t="s">
        <v>50</v>
      </c>
      <c r="F1280" s="3" t="s">
        <v>56</v>
      </c>
      <c r="G1280" s="3" t="s">
        <v>57</v>
      </c>
      <c r="H1280" s="4">
        <v>46290.766931365739</v>
      </c>
      <c r="I1280" s="4">
        <v>46290.858179050927</v>
      </c>
      <c r="J1280" s="3">
        <f>ROUND((I1280-H1280)*1440,0)</f>
        <v>131</v>
      </c>
      <c r="K1280" s="3" t="s">
        <v>993</v>
      </c>
      <c r="L1280" s="3" t="s">
        <v>36</v>
      </c>
      <c r="M1280" s="3" t="s">
        <v>36</v>
      </c>
      <c r="N1280" s="3" t="s">
        <v>23</v>
      </c>
      <c r="O1280" s="3" t="s">
        <v>994</v>
      </c>
    </row>
    <row r="1281" spans="1:15" hidden="1" x14ac:dyDescent="0.75">
      <c r="A1281" s="2">
        <v>46290</v>
      </c>
      <c r="B1281" s="3" t="s">
        <v>1599</v>
      </c>
      <c r="C1281" s="3" t="s">
        <v>1600</v>
      </c>
      <c r="D1281" s="3" t="s">
        <v>244</v>
      </c>
      <c r="E1281" s="3" t="s">
        <v>245</v>
      </c>
      <c r="F1281" s="3"/>
      <c r="G1281" s="3"/>
      <c r="H1281" s="4">
        <v>46290.769365509259</v>
      </c>
      <c r="I1281" s="4">
        <v>46290.926856828701</v>
      </c>
      <c r="J1281" s="3">
        <f>ROUND((I1281-H1281)*1440,0)</f>
        <v>227</v>
      </c>
      <c r="K1281" s="3" t="s">
        <v>789</v>
      </c>
      <c r="L1281" s="3" t="s">
        <v>36</v>
      </c>
      <c r="M1281" s="3" t="s">
        <v>36</v>
      </c>
      <c r="N1281" s="3" t="s">
        <v>45</v>
      </c>
      <c r="O1281" s="3" t="s">
        <v>790</v>
      </c>
    </row>
    <row r="1282" spans="1:15" hidden="1" x14ac:dyDescent="0.75">
      <c r="A1282" s="2">
        <v>46290</v>
      </c>
      <c r="B1282" s="3" t="s">
        <v>1865</v>
      </c>
      <c r="C1282" s="3" t="s">
        <v>1866</v>
      </c>
      <c r="D1282" s="3" t="s">
        <v>158</v>
      </c>
      <c r="E1282" s="3" t="s">
        <v>159</v>
      </c>
      <c r="F1282" s="3" t="s">
        <v>27</v>
      </c>
      <c r="G1282" s="3" t="s">
        <v>28</v>
      </c>
      <c r="H1282" s="4">
        <v>46290.769542708331</v>
      </c>
      <c r="I1282" s="4">
        <v>46290.81364270833</v>
      </c>
      <c r="J1282" s="3">
        <f>ROUND((I1282-H1282)*1440,0)</f>
        <v>64</v>
      </c>
      <c r="K1282" s="3" t="s">
        <v>51</v>
      </c>
      <c r="L1282" s="3" t="s">
        <v>52</v>
      </c>
      <c r="M1282" s="3"/>
      <c r="N1282" s="3" t="s">
        <v>23</v>
      </c>
      <c r="O1282" s="3" t="s">
        <v>53</v>
      </c>
    </row>
    <row r="1283" spans="1:15" hidden="1" x14ac:dyDescent="0.75">
      <c r="A1283" s="2">
        <v>46290</v>
      </c>
      <c r="B1283" s="3" t="s">
        <v>1641</v>
      </c>
      <c r="C1283" s="3" t="s">
        <v>1642</v>
      </c>
      <c r="D1283" s="3" t="s">
        <v>27</v>
      </c>
      <c r="E1283" s="3" t="s">
        <v>28</v>
      </c>
      <c r="F1283" s="3" t="s">
        <v>94</v>
      </c>
      <c r="G1283" s="3" t="s">
        <v>95</v>
      </c>
      <c r="H1283" s="4">
        <v>46290.769562037043</v>
      </c>
      <c r="I1283" s="4">
        <v>46290.831871180562</v>
      </c>
      <c r="J1283" s="3">
        <f>ROUND((I1283-H1283)*1440,0)</f>
        <v>90</v>
      </c>
      <c r="K1283" s="3" t="s">
        <v>260</v>
      </c>
      <c r="L1283" s="3" t="s">
        <v>52</v>
      </c>
      <c r="M1283" s="3"/>
      <c r="N1283" s="3" t="s">
        <v>23</v>
      </c>
      <c r="O1283" s="3" t="s">
        <v>261</v>
      </c>
    </row>
    <row r="1284" spans="1:15" hidden="1" x14ac:dyDescent="0.75">
      <c r="A1284" s="2">
        <v>46290</v>
      </c>
      <c r="B1284" s="3" t="s">
        <v>1705</v>
      </c>
      <c r="C1284" s="3" t="s">
        <v>1706</v>
      </c>
      <c r="D1284" s="3" t="s">
        <v>228</v>
      </c>
      <c r="E1284" s="3" t="s">
        <v>229</v>
      </c>
      <c r="F1284" s="3" t="s">
        <v>27</v>
      </c>
      <c r="G1284" s="3" t="s">
        <v>28</v>
      </c>
      <c r="H1284" s="4">
        <v>46290.77040833333</v>
      </c>
      <c r="I1284" s="4">
        <v>46290.830674652767</v>
      </c>
      <c r="J1284" s="3">
        <f>ROUND((I1284-H1284)*1440,0)</f>
        <v>87</v>
      </c>
      <c r="K1284" s="3" t="s">
        <v>847</v>
      </c>
      <c r="L1284" s="3" t="s">
        <v>77</v>
      </c>
      <c r="M1284" s="3" t="s">
        <v>78</v>
      </c>
      <c r="N1284" s="3" t="s">
        <v>23</v>
      </c>
      <c r="O1284" s="3" t="s">
        <v>848</v>
      </c>
    </row>
    <row r="1285" spans="1:15" hidden="1" x14ac:dyDescent="0.75">
      <c r="A1285" s="2">
        <v>46290</v>
      </c>
      <c r="B1285" s="3" t="s">
        <v>1841</v>
      </c>
      <c r="C1285" s="3" t="s">
        <v>1842</v>
      </c>
      <c r="D1285" s="3" t="s">
        <v>304</v>
      </c>
      <c r="E1285" s="3" t="s">
        <v>305</v>
      </c>
      <c r="F1285" s="3" t="s">
        <v>27</v>
      </c>
      <c r="G1285" s="3" t="s">
        <v>28</v>
      </c>
      <c r="H1285" s="4">
        <v>46290.770817476849</v>
      </c>
      <c r="I1285" s="4">
        <v>46290.994612037037</v>
      </c>
      <c r="J1285" s="3">
        <f>ROUND((I1285-H1285)*1440,0)</f>
        <v>322</v>
      </c>
      <c r="K1285" s="3" t="s">
        <v>1181</v>
      </c>
      <c r="L1285" s="3" t="s">
        <v>22</v>
      </c>
      <c r="M1285" s="3" t="s">
        <v>22</v>
      </c>
      <c r="N1285" s="3" t="s">
        <v>23</v>
      </c>
      <c r="O1285" s="3" t="s">
        <v>1182</v>
      </c>
    </row>
    <row r="1286" spans="1:15" hidden="1" x14ac:dyDescent="0.75">
      <c r="A1286" s="2">
        <v>46290</v>
      </c>
      <c r="B1286" s="3" t="s">
        <v>1633</v>
      </c>
      <c r="C1286" s="3" t="s">
        <v>1634</v>
      </c>
      <c r="D1286" s="3" t="s">
        <v>68</v>
      </c>
      <c r="E1286" s="3" t="s">
        <v>69</v>
      </c>
      <c r="F1286" s="3" t="s">
        <v>158</v>
      </c>
      <c r="G1286" s="3" t="s">
        <v>159</v>
      </c>
      <c r="H1286" s="4">
        <v>46290.772223148153</v>
      </c>
      <c r="I1286" s="4">
        <v>46290.858189004633</v>
      </c>
      <c r="J1286" s="3">
        <f>ROUND((I1286-H1286)*1440,0)</f>
        <v>124</v>
      </c>
      <c r="K1286" s="3" t="s">
        <v>1211</v>
      </c>
      <c r="L1286" s="3" t="s">
        <v>36</v>
      </c>
      <c r="M1286" s="3" t="s">
        <v>36</v>
      </c>
      <c r="N1286" s="3" t="s">
        <v>23</v>
      </c>
      <c r="O1286" s="3" t="s">
        <v>1212</v>
      </c>
    </row>
    <row r="1287" spans="1:15" hidden="1" x14ac:dyDescent="0.75">
      <c r="A1287" s="2">
        <v>46290</v>
      </c>
      <c r="B1287" s="3" t="s">
        <v>1659</v>
      </c>
      <c r="C1287" s="3" t="s">
        <v>1660</v>
      </c>
      <c r="D1287" s="3" t="s">
        <v>683</v>
      </c>
      <c r="E1287" s="3" t="s">
        <v>684</v>
      </c>
      <c r="F1287" s="3" t="s">
        <v>56</v>
      </c>
      <c r="G1287" s="3" t="s">
        <v>57</v>
      </c>
      <c r="H1287" s="4">
        <v>46290.773117592587</v>
      </c>
      <c r="I1287" s="4">
        <v>46290.836020138893</v>
      </c>
      <c r="J1287" s="3">
        <f>ROUND((I1287-H1287)*1440,0)</f>
        <v>91</v>
      </c>
      <c r="K1287" s="3" t="s">
        <v>1363</v>
      </c>
      <c r="L1287" s="3" t="s">
        <v>36</v>
      </c>
      <c r="M1287" s="3" t="s">
        <v>36</v>
      </c>
      <c r="N1287" s="3" t="s">
        <v>23</v>
      </c>
      <c r="O1287" s="3" t="s">
        <v>1364</v>
      </c>
    </row>
    <row r="1288" spans="1:15" hidden="1" x14ac:dyDescent="0.75">
      <c r="A1288" s="2">
        <v>46290</v>
      </c>
      <c r="B1288" s="3" t="s">
        <v>1669</v>
      </c>
      <c r="C1288" s="3" t="s">
        <v>1670</v>
      </c>
      <c r="D1288" s="3" t="s">
        <v>84</v>
      </c>
      <c r="E1288" s="3" t="s">
        <v>85</v>
      </c>
      <c r="F1288" s="3" t="s">
        <v>68</v>
      </c>
      <c r="G1288" s="3" t="s">
        <v>69</v>
      </c>
      <c r="H1288" s="4">
        <v>46290.774256018522</v>
      </c>
      <c r="I1288" s="4">
        <v>46290.868535185182</v>
      </c>
      <c r="J1288" s="3">
        <f>ROUND((I1288-H1288)*1440,0)</f>
        <v>136</v>
      </c>
      <c r="K1288" s="3" t="s">
        <v>130</v>
      </c>
      <c r="L1288" s="3" t="s">
        <v>36</v>
      </c>
      <c r="M1288" s="3" t="s">
        <v>36</v>
      </c>
      <c r="N1288" s="3" t="s">
        <v>23</v>
      </c>
      <c r="O1288" s="3" t="s">
        <v>131</v>
      </c>
    </row>
    <row r="1289" spans="1:15" hidden="1" x14ac:dyDescent="0.75">
      <c r="A1289" s="2">
        <v>46290</v>
      </c>
      <c r="B1289" s="3" t="s">
        <v>2285</v>
      </c>
      <c r="C1289" s="3" t="s">
        <v>2286</v>
      </c>
      <c r="D1289" s="3" t="s">
        <v>2219</v>
      </c>
      <c r="E1289" s="3" t="s">
        <v>2220</v>
      </c>
      <c r="F1289" s="3" t="s">
        <v>2287</v>
      </c>
      <c r="G1289" s="3" t="s">
        <v>2288</v>
      </c>
      <c r="H1289" s="4">
        <v>46290.774348842591</v>
      </c>
      <c r="I1289" s="4">
        <v>46290.817718634258</v>
      </c>
      <c r="J1289" s="3">
        <f>ROUND((I1289-H1289)*1440,0)</f>
        <v>62</v>
      </c>
      <c r="K1289" s="3" t="s">
        <v>1049</v>
      </c>
      <c r="L1289" s="3" t="s">
        <v>22</v>
      </c>
      <c r="M1289" s="3" t="s">
        <v>22</v>
      </c>
      <c r="N1289" s="3" t="s">
        <v>23</v>
      </c>
      <c r="O1289" s="3" t="s">
        <v>1050</v>
      </c>
    </row>
    <row r="1290" spans="1:15" hidden="1" x14ac:dyDescent="0.75">
      <c r="A1290" s="2">
        <v>46290</v>
      </c>
      <c r="B1290" s="3" t="s">
        <v>1629</v>
      </c>
      <c r="C1290" s="3" t="s">
        <v>1630</v>
      </c>
      <c r="D1290" s="3" t="s">
        <v>304</v>
      </c>
      <c r="E1290" s="3" t="s">
        <v>305</v>
      </c>
      <c r="F1290" s="3" t="s">
        <v>58</v>
      </c>
      <c r="G1290" s="3" t="s">
        <v>59</v>
      </c>
      <c r="H1290" s="4">
        <v>46290.777315740743</v>
      </c>
      <c r="I1290" s="4">
        <v>46290.991407870373</v>
      </c>
      <c r="J1290" s="3">
        <f>ROUND((I1290-H1290)*1440,0)</f>
        <v>308</v>
      </c>
      <c r="K1290" s="3" t="s">
        <v>388</v>
      </c>
      <c r="L1290" s="3" t="s">
        <v>22</v>
      </c>
      <c r="M1290" s="3" t="s">
        <v>22</v>
      </c>
      <c r="N1290" s="3" t="s">
        <v>23</v>
      </c>
      <c r="O1290" s="3" t="s">
        <v>389</v>
      </c>
    </row>
    <row r="1291" spans="1:15" hidden="1" x14ac:dyDescent="0.75">
      <c r="A1291" s="2">
        <v>46290</v>
      </c>
      <c r="B1291" s="3" t="s">
        <v>1789</v>
      </c>
      <c r="C1291" s="3" t="s">
        <v>1790</v>
      </c>
      <c r="D1291" s="3" t="s">
        <v>1375</v>
      </c>
      <c r="E1291" s="3" t="s">
        <v>1376</v>
      </c>
      <c r="F1291" s="3" t="s">
        <v>27</v>
      </c>
      <c r="G1291" s="3" t="s">
        <v>28</v>
      </c>
      <c r="H1291" s="4">
        <v>46290.779141666673</v>
      </c>
      <c r="I1291" s="4">
        <v>46291.028847569447</v>
      </c>
      <c r="J1291" s="3">
        <f>ROUND((I1291-H1291)*1440,0)</f>
        <v>360</v>
      </c>
      <c r="K1291" s="3" t="s">
        <v>1911</v>
      </c>
      <c r="L1291" s="3" t="s">
        <v>77</v>
      </c>
      <c r="M1291" s="3" t="s">
        <v>78</v>
      </c>
      <c r="N1291" s="3" t="s">
        <v>23</v>
      </c>
      <c r="O1291" s="3" t="s">
        <v>1912</v>
      </c>
    </row>
    <row r="1292" spans="1:15" hidden="1" x14ac:dyDescent="0.75">
      <c r="A1292" s="2">
        <v>46290</v>
      </c>
      <c r="B1292" s="3" t="s">
        <v>1461</v>
      </c>
      <c r="C1292" s="3" t="s">
        <v>1462</v>
      </c>
      <c r="D1292" s="3" t="s">
        <v>82</v>
      </c>
      <c r="E1292" s="3" t="s">
        <v>83</v>
      </c>
      <c r="F1292" s="3" t="s">
        <v>208</v>
      </c>
      <c r="G1292" s="3" t="s">
        <v>209</v>
      </c>
      <c r="H1292" s="4">
        <v>46290.779357407409</v>
      </c>
      <c r="I1292" s="4">
        <v>46290.87252384259</v>
      </c>
      <c r="J1292" s="3">
        <f>ROUND((I1292-H1292)*1440,0)</f>
        <v>134</v>
      </c>
      <c r="K1292" s="3" t="s">
        <v>434</v>
      </c>
      <c r="L1292" s="3" t="s">
        <v>36</v>
      </c>
      <c r="M1292" s="3" t="s">
        <v>36</v>
      </c>
      <c r="N1292" s="3" t="s">
        <v>23</v>
      </c>
      <c r="O1292" s="3" t="s">
        <v>435</v>
      </c>
    </row>
    <row r="1293" spans="1:15" hidden="1" x14ac:dyDescent="0.75">
      <c r="A1293" s="2">
        <v>46290</v>
      </c>
      <c r="B1293" s="3" t="s">
        <v>1755</v>
      </c>
      <c r="C1293" s="3" t="s">
        <v>1756</v>
      </c>
      <c r="D1293" s="3" t="s">
        <v>82</v>
      </c>
      <c r="E1293" s="3" t="s">
        <v>83</v>
      </c>
      <c r="F1293" s="3" t="s">
        <v>615</v>
      </c>
      <c r="G1293" s="3" t="s">
        <v>616</v>
      </c>
      <c r="H1293" s="4">
        <v>46290.78006597222</v>
      </c>
      <c r="I1293" s="4">
        <v>46290.943634143521</v>
      </c>
      <c r="J1293" s="3">
        <f>ROUND((I1293-H1293)*1440,0)</f>
        <v>236</v>
      </c>
      <c r="K1293" s="3" t="s">
        <v>2289</v>
      </c>
      <c r="L1293" s="3" t="s">
        <v>36</v>
      </c>
      <c r="M1293" s="3" t="s">
        <v>36</v>
      </c>
      <c r="N1293" s="3" t="s">
        <v>45</v>
      </c>
      <c r="O1293" s="3" t="s">
        <v>2290</v>
      </c>
    </row>
    <row r="1294" spans="1:15" hidden="1" x14ac:dyDescent="0.75">
      <c r="A1294" s="2">
        <v>46290</v>
      </c>
      <c r="B1294" s="3" t="s">
        <v>1647</v>
      </c>
      <c r="C1294" s="3" t="s">
        <v>1648</v>
      </c>
      <c r="D1294" s="3" t="s">
        <v>264</v>
      </c>
      <c r="E1294" s="3" t="s">
        <v>265</v>
      </c>
      <c r="F1294" s="3" t="s">
        <v>56</v>
      </c>
      <c r="G1294" s="3" t="s">
        <v>57</v>
      </c>
      <c r="H1294" s="4">
        <v>46290.781087037038</v>
      </c>
      <c r="I1294" s="4">
        <v>46290.956515509257</v>
      </c>
      <c r="J1294" s="3">
        <f>ROUND((I1294-H1294)*1440,0)</f>
        <v>253</v>
      </c>
      <c r="K1294" s="3" t="s">
        <v>461</v>
      </c>
      <c r="L1294" s="3" t="s">
        <v>22</v>
      </c>
      <c r="M1294" s="3" t="s">
        <v>22</v>
      </c>
      <c r="N1294" s="3" t="s">
        <v>23</v>
      </c>
      <c r="O1294" s="3" t="s">
        <v>462</v>
      </c>
    </row>
    <row r="1295" spans="1:15" hidden="1" x14ac:dyDescent="0.75">
      <c r="A1295" s="2">
        <v>46290</v>
      </c>
      <c r="B1295" s="3" t="s">
        <v>1645</v>
      </c>
      <c r="C1295" s="3" t="s">
        <v>1646</v>
      </c>
      <c r="D1295" s="3" t="s">
        <v>182</v>
      </c>
      <c r="E1295" s="3" t="s">
        <v>183</v>
      </c>
      <c r="F1295" s="3" t="s">
        <v>17</v>
      </c>
      <c r="G1295" s="3" t="s">
        <v>18</v>
      </c>
      <c r="H1295" s="4">
        <v>46290.781605671298</v>
      </c>
      <c r="I1295" s="4">
        <v>46290.905012152783</v>
      </c>
      <c r="J1295" s="3">
        <f>ROUND((I1295-H1295)*1440,0)</f>
        <v>178</v>
      </c>
      <c r="K1295" s="3" t="s">
        <v>553</v>
      </c>
      <c r="L1295" s="3" t="s">
        <v>77</v>
      </c>
      <c r="M1295" s="3" t="s">
        <v>78</v>
      </c>
      <c r="N1295" s="3" t="s">
        <v>23</v>
      </c>
      <c r="O1295" s="3" t="s">
        <v>554</v>
      </c>
    </row>
    <row r="1296" spans="1:15" hidden="1" x14ac:dyDescent="0.75">
      <c r="A1296" s="2">
        <v>46290</v>
      </c>
      <c r="B1296" s="3" t="s">
        <v>1847</v>
      </c>
      <c r="C1296" s="3" t="s">
        <v>1848</v>
      </c>
      <c r="D1296" s="3" t="s">
        <v>1113</v>
      </c>
      <c r="E1296" s="3" t="s">
        <v>1114</v>
      </c>
      <c r="F1296" s="3" t="s">
        <v>27</v>
      </c>
      <c r="G1296" s="3" t="s">
        <v>28</v>
      </c>
      <c r="H1296" s="4">
        <v>46290.784164699071</v>
      </c>
      <c r="I1296" s="4">
        <v>46291.021489930557</v>
      </c>
      <c r="J1296" s="3">
        <f>ROUND((I1296-H1296)*1440,0)</f>
        <v>342</v>
      </c>
      <c r="K1296" s="3" t="s">
        <v>1161</v>
      </c>
      <c r="L1296" s="3" t="s">
        <v>77</v>
      </c>
      <c r="M1296" s="3" t="s">
        <v>78</v>
      </c>
      <c r="N1296" s="3" t="s">
        <v>23</v>
      </c>
      <c r="O1296" s="3" t="s">
        <v>1162</v>
      </c>
    </row>
    <row r="1297" spans="1:15" hidden="1" x14ac:dyDescent="0.75">
      <c r="A1297" s="2">
        <v>46290</v>
      </c>
      <c r="B1297" s="3" t="s">
        <v>1657</v>
      </c>
      <c r="C1297" s="3" t="s">
        <v>1658</v>
      </c>
      <c r="D1297" s="3" t="s">
        <v>68</v>
      </c>
      <c r="E1297" s="3" t="s">
        <v>69</v>
      </c>
      <c r="F1297" s="3" t="s">
        <v>84</v>
      </c>
      <c r="G1297" s="3" t="s">
        <v>85</v>
      </c>
      <c r="H1297" s="4">
        <v>46290.785477083336</v>
      </c>
      <c r="I1297" s="4">
        <v>46290.885169560177</v>
      </c>
      <c r="J1297" s="3">
        <f>ROUND((I1297-H1297)*1440,0)</f>
        <v>144</v>
      </c>
      <c r="K1297" s="3" t="s">
        <v>60</v>
      </c>
      <c r="L1297" s="3" t="s">
        <v>36</v>
      </c>
      <c r="M1297" s="3" t="s">
        <v>36</v>
      </c>
      <c r="N1297" s="3" t="s">
        <v>45</v>
      </c>
      <c r="O1297" s="3" t="s">
        <v>61</v>
      </c>
    </row>
    <row r="1298" spans="1:15" hidden="1" x14ac:dyDescent="0.75">
      <c r="A1298" s="2">
        <v>46290</v>
      </c>
      <c r="B1298" s="3" t="s">
        <v>1627</v>
      </c>
      <c r="C1298" s="3" t="s">
        <v>1628</v>
      </c>
      <c r="D1298" s="3" t="s">
        <v>17</v>
      </c>
      <c r="E1298" s="3" t="s">
        <v>18</v>
      </c>
      <c r="F1298" s="3"/>
      <c r="G1298" s="3"/>
      <c r="H1298" s="4">
        <v>46290.787385069452</v>
      </c>
      <c r="I1298" s="4">
        <v>46290.814718518523</v>
      </c>
      <c r="J1298" s="3">
        <f>ROUND((I1298-H1298)*1440,0)</f>
        <v>39</v>
      </c>
      <c r="K1298" s="3" t="s">
        <v>1215</v>
      </c>
      <c r="L1298" s="3" t="s">
        <v>22</v>
      </c>
      <c r="M1298" s="3" t="s">
        <v>22</v>
      </c>
      <c r="N1298" s="3" t="s">
        <v>443</v>
      </c>
      <c r="O1298" s="3" t="s">
        <v>1216</v>
      </c>
    </row>
    <row r="1299" spans="1:15" hidden="1" x14ac:dyDescent="0.75">
      <c r="A1299" s="2">
        <v>46290</v>
      </c>
      <c r="B1299" s="3" t="s">
        <v>1619</v>
      </c>
      <c r="C1299" s="3" t="s">
        <v>1620</v>
      </c>
      <c r="D1299" s="3" t="s">
        <v>264</v>
      </c>
      <c r="E1299" s="3" t="s">
        <v>265</v>
      </c>
      <c r="F1299" s="3" t="s">
        <v>17</v>
      </c>
      <c r="G1299" s="3" t="s">
        <v>18</v>
      </c>
      <c r="H1299" s="4">
        <v>46290.78959699074</v>
      </c>
      <c r="I1299" s="4">
        <v>46290.979477777779</v>
      </c>
      <c r="J1299" s="3">
        <f>ROUND((I1299-H1299)*1440,0)</f>
        <v>273</v>
      </c>
      <c r="K1299" s="3" t="s">
        <v>362</v>
      </c>
      <c r="L1299" s="3" t="s">
        <v>43</v>
      </c>
      <c r="M1299" s="3" t="s">
        <v>44</v>
      </c>
      <c r="N1299" s="3" t="s">
        <v>23</v>
      </c>
      <c r="O1299" s="3" t="s">
        <v>363</v>
      </c>
    </row>
    <row r="1300" spans="1:15" hidden="1" x14ac:dyDescent="0.75">
      <c r="A1300" s="2">
        <v>46290</v>
      </c>
      <c r="B1300" s="3" t="s">
        <v>1915</v>
      </c>
      <c r="C1300" s="3" t="s">
        <v>1916</v>
      </c>
      <c r="D1300" s="3" t="s">
        <v>82</v>
      </c>
      <c r="E1300" s="3" t="s">
        <v>83</v>
      </c>
      <c r="F1300" s="3" t="s">
        <v>27</v>
      </c>
      <c r="G1300" s="3" t="s">
        <v>28</v>
      </c>
      <c r="H1300" s="4">
        <v>46290.789834374998</v>
      </c>
      <c r="I1300" s="4">
        <v>46290.902478587966</v>
      </c>
      <c r="J1300" s="3">
        <f>ROUND((I1300-H1300)*1440,0)</f>
        <v>162</v>
      </c>
      <c r="K1300" s="3" t="s">
        <v>573</v>
      </c>
      <c r="L1300" s="3" t="s">
        <v>22</v>
      </c>
      <c r="M1300" s="3" t="s">
        <v>22</v>
      </c>
      <c r="N1300" s="3" t="s">
        <v>23</v>
      </c>
      <c r="O1300" s="3" t="s">
        <v>574</v>
      </c>
    </row>
    <row r="1301" spans="1:15" hidden="1" x14ac:dyDescent="0.75">
      <c r="A1301" s="2">
        <v>46290</v>
      </c>
      <c r="B1301" s="3" t="s">
        <v>1673</v>
      </c>
      <c r="C1301" s="3" t="s">
        <v>1674</v>
      </c>
      <c r="D1301" s="3" t="s">
        <v>615</v>
      </c>
      <c r="E1301" s="3" t="s">
        <v>616</v>
      </c>
      <c r="F1301" s="3" t="s">
        <v>82</v>
      </c>
      <c r="G1301" s="3" t="s">
        <v>83</v>
      </c>
      <c r="H1301" s="4">
        <v>46290.791873379632</v>
      </c>
      <c r="I1301" s="4">
        <v>46290.902661111111</v>
      </c>
      <c r="J1301" s="3">
        <f>ROUND((I1301-H1301)*1440,0)</f>
        <v>160</v>
      </c>
      <c r="K1301" s="3" t="s">
        <v>1165</v>
      </c>
      <c r="L1301" s="3" t="s">
        <v>22</v>
      </c>
      <c r="M1301" s="3" t="s">
        <v>22</v>
      </c>
      <c r="N1301" s="3" t="s">
        <v>23</v>
      </c>
      <c r="O1301" s="3" t="s">
        <v>1166</v>
      </c>
    </row>
    <row r="1302" spans="1:15" hidden="1" x14ac:dyDescent="0.75">
      <c r="A1302" s="2">
        <v>46290</v>
      </c>
      <c r="B1302" s="3" t="s">
        <v>2291</v>
      </c>
      <c r="C1302" s="3" t="s">
        <v>2292</v>
      </c>
      <c r="D1302" s="3" t="s">
        <v>2235</v>
      </c>
      <c r="E1302" s="3" t="s">
        <v>2236</v>
      </c>
      <c r="F1302" s="3" t="s">
        <v>2293</v>
      </c>
      <c r="G1302" s="3" t="s">
        <v>2294</v>
      </c>
      <c r="H1302" s="4">
        <v>46290.792122800929</v>
      </c>
      <c r="I1302" s="4">
        <v>46290.858935763892</v>
      </c>
      <c r="J1302" s="3">
        <f>ROUND((I1302-H1302)*1440,0)</f>
        <v>96</v>
      </c>
      <c r="K1302" s="3" t="s">
        <v>1761</v>
      </c>
      <c r="L1302" s="3" t="s">
        <v>22</v>
      </c>
      <c r="M1302" s="3" t="s">
        <v>22</v>
      </c>
      <c r="N1302" s="3" t="s">
        <v>45</v>
      </c>
      <c r="O1302" s="3" t="s">
        <v>1762</v>
      </c>
    </row>
    <row r="1303" spans="1:15" hidden="1" x14ac:dyDescent="0.75">
      <c r="A1303" s="2">
        <v>46290</v>
      </c>
      <c r="B1303" s="3" t="s">
        <v>1681</v>
      </c>
      <c r="C1303" s="3" t="s">
        <v>1682</v>
      </c>
      <c r="D1303" s="3"/>
      <c r="E1303" s="3"/>
      <c r="F1303" s="3" t="s">
        <v>615</v>
      </c>
      <c r="G1303" s="3" t="s">
        <v>616</v>
      </c>
      <c r="H1303" s="4">
        <v>46290.79272986111</v>
      </c>
      <c r="I1303" s="4">
        <v>46290.804426504626</v>
      </c>
      <c r="J1303" s="3">
        <f>ROUND((I1303-H1303)*1440,0)</f>
        <v>17</v>
      </c>
      <c r="K1303" s="3" t="s">
        <v>2171</v>
      </c>
      <c r="L1303" s="3" t="s">
        <v>36</v>
      </c>
      <c r="M1303" s="3" t="s">
        <v>36</v>
      </c>
      <c r="N1303" s="3" t="s">
        <v>45</v>
      </c>
      <c r="O1303" s="3" t="s">
        <v>2172</v>
      </c>
    </row>
    <row r="1304" spans="1:15" hidden="1" x14ac:dyDescent="0.75">
      <c r="A1304" s="2">
        <v>46290</v>
      </c>
      <c r="B1304" s="3" t="s">
        <v>1703</v>
      </c>
      <c r="C1304" s="3" t="s">
        <v>1704</v>
      </c>
      <c r="D1304" s="3" t="s">
        <v>615</v>
      </c>
      <c r="E1304" s="3" t="s">
        <v>616</v>
      </c>
      <c r="F1304" s="3" t="s">
        <v>56</v>
      </c>
      <c r="G1304" s="3" t="s">
        <v>57</v>
      </c>
      <c r="H1304" s="4">
        <v>46290.794624884264</v>
      </c>
      <c r="I1304" s="4">
        <v>46290.898170370368</v>
      </c>
      <c r="J1304" s="3">
        <f>ROUND((I1304-H1304)*1440,0)</f>
        <v>149</v>
      </c>
      <c r="K1304" s="3" t="s">
        <v>376</v>
      </c>
      <c r="L1304" s="3" t="s">
        <v>36</v>
      </c>
      <c r="M1304" s="3" t="s">
        <v>36</v>
      </c>
      <c r="N1304" s="3" t="s">
        <v>23</v>
      </c>
      <c r="O1304" s="3" t="s">
        <v>377</v>
      </c>
    </row>
    <row r="1305" spans="1:15" hidden="1" x14ac:dyDescent="0.75">
      <c r="A1305" s="2">
        <v>46290</v>
      </c>
      <c r="B1305" s="3" t="s">
        <v>1713</v>
      </c>
      <c r="C1305" s="3" t="s">
        <v>1714</v>
      </c>
      <c r="D1305" s="3" t="s">
        <v>56</v>
      </c>
      <c r="E1305" s="3" t="s">
        <v>57</v>
      </c>
      <c r="F1305" s="3" t="s">
        <v>56</v>
      </c>
      <c r="G1305" s="3" t="s">
        <v>57</v>
      </c>
      <c r="H1305" s="4">
        <v>46290.794664351852</v>
      </c>
      <c r="I1305" s="4">
        <v>46290.944255787042</v>
      </c>
      <c r="J1305" s="3">
        <f>ROUND((I1305-H1305)*1440,0)</f>
        <v>215</v>
      </c>
      <c r="K1305" s="3" t="s">
        <v>617</v>
      </c>
      <c r="L1305" s="3" t="s">
        <v>36</v>
      </c>
      <c r="M1305" s="3" t="s">
        <v>36</v>
      </c>
      <c r="N1305" s="3" t="s">
        <v>23</v>
      </c>
      <c r="O1305" s="3" t="s">
        <v>618</v>
      </c>
    </row>
    <row r="1306" spans="1:15" hidden="1" x14ac:dyDescent="0.75">
      <c r="A1306" s="2">
        <v>46290</v>
      </c>
      <c r="B1306" s="3" t="s">
        <v>1665</v>
      </c>
      <c r="C1306" s="3" t="s">
        <v>1666</v>
      </c>
      <c r="D1306" s="3" t="s">
        <v>27</v>
      </c>
      <c r="E1306" s="3" t="s">
        <v>28</v>
      </c>
      <c r="F1306" s="3" t="s">
        <v>56</v>
      </c>
      <c r="G1306" s="3" t="s">
        <v>57</v>
      </c>
      <c r="H1306" s="4">
        <v>46290.796464814812</v>
      </c>
      <c r="I1306" s="4">
        <v>46290.909707870371</v>
      </c>
      <c r="J1306" s="3">
        <f>ROUND((I1306-H1306)*1440,0)</f>
        <v>163</v>
      </c>
      <c r="K1306" s="3" t="s">
        <v>392</v>
      </c>
      <c r="L1306" s="3" t="s">
        <v>22</v>
      </c>
      <c r="M1306" s="3" t="s">
        <v>22</v>
      </c>
      <c r="N1306" s="3" t="s">
        <v>23</v>
      </c>
      <c r="O1306" s="3" t="s">
        <v>393</v>
      </c>
    </row>
    <row r="1307" spans="1:15" hidden="1" x14ac:dyDescent="0.75">
      <c r="A1307" s="2">
        <v>46290</v>
      </c>
      <c r="B1307" s="3" t="s">
        <v>1655</v>
      </c>
      <c r="C1307" s="3" t="s">
        <v>1656</v>
      </c>
      <c r="D1307" s="3" t="s">
        <v>17</v>
      </c>
      <c r="E1307" s="3" t="s">
        <v>18</v>
      </c>
      <c r="F1307" s="3" t="s">
        <v>148</v>
      </c>
      <c r="G1307" s="3" t="s">
        <v>149</v>
      </c>
      <c r="H1307" s="4">
        <v>46290.797535069447</v>
      </c>
      <c r="I1307" s="4">
        <v>46290.854091666668</v>
      </c>
      <c r="J1307" s="3">
        <f>ROUND((I1307-H1307)*1440,0)</f>
        <v>81</v>
      </c>
      <c r="K1307" s="3" t="s">
        <v>118</v>
      </c>
      <c r="L1307" s="3" t="s">
        <v>36</v>
      </c>
      <c r="M1307" s="3" t="s">
        <v>36</v>
      </c>
      <c r="N1307" s="3" t="s">
        <v>23</v>
      </c>
      <c r="O1307" s="3" t="s">
        <v>119</v>
      </c>
    </row>
    <row r="1308" spans="1:15" hidden="1" x14ac:dyDescent="0.75">
      <c r="A1308" s="2">
        <v>46290</v>
      </c>
      <c r="B1308" s="3" t="s">
        <v>2295</v>
      </c>
      <c r="C1308" s="3" t="s">
        <v>2296</v>
      </c>
      <c r="D1308" s="3"/>
      <c r="E1308" s="3"/>
      <c r="F1308" s="3" t="s">
        <v>2297</v>
      </c>
      <c r="G1308" s="3" t="s">
        <v>2298</v>
      </c>
      <c r="H1308" s="4">
        <v>46290.798538310177</v>
      </c>
      <c r="I1308" s="4">
        <v>46290.831768865741</v>
      </c>
      <c r="J1308" s="3">
        <f>ROUND((I1308-H1308)*1440,0)</f>
        <v>48</v>
      </c>
      <c r="K1308" s="3" t="s">
        <v>1147</v>
      </c>
      <c r="L1308" s="3" t="s">
        <v>22</v>
      </c>
      <c r="M1308" s="3" t="s">
        <v>22</v>
      </c>
      <c r="N1308" s="3" t="s">
        <v>23</v>
      </c>
      <c r="O1308" s="3" t="s">
        <v>1148</v>
      </c>
    </row>
    <row r="1309" spans="1:15" hidden="1" x14ac:dyDescent="0.75">
      <c r="A1309" s="2">
        <v>46290</v>
      </c>
      <c r="B1309" s="3" t="s">
        <v>1733</v>
      </c>
      <c r="C1309" s="3" t="s">
        <v>1734</v>
      </c>
      <c r="D1309" s="3" t="s">
        <v>82</v>
      </c>
      <c r="E1309" s="3" t="s">
        <v>83</v>
      </c>
      <c r="F1309" s="3" t="s">
        <v>172</v>
      </c>
      <c r="G1309" s="3" t="s">
        <v>173</v>
      </c>
      <c r="H1309" s="4">
        <v>46290.798547685183</v>
      </c>
      <c r="I1309" s="4">
        <v>46290.902300925933</v>
      </c>
      <c r="J1309" s="3">
        <f>ROUND((I1309-H1309)*1440,0)</f>
        <v>149</v>
      </c>
      <c r="K1309" s="3" t="s">
        <v>402</v>
      </c>
      <c r="L1309" s="3" t="s">
        <v>36</v>
      </c>
      <c r="M1309" s="3" t="s">
        <v>36</v>
      </c>
      <c r="N1309" s="3" t="s">
        <v>23</v>
      </c>
      <c r="O1309" s="3" t="s">
        <v>403</v>
      </c>
    </row>
    <row r="1310" spans="1:15" hidden="1" x14ac:dyDescent="0.75">
      <c r="A1310" s="2">
        <v>46290</v>
      </c>
      <c r="B1310" s="3" t="s">
        <v>1653</v>
      </c>
      <c r="C1310" s="3" t="s">
        <v>1654</v>
      </c>
      <c r="D1310" s="3" t="s">
        <v>280</v>
      </c>
      <c r="E1310" s="3" t="s">
        <v>281</v>
      </c>
      <c r="F1310" s="3" t="s">
        <v>56</v>
      </c>
      <c r="G1310" s="3" t="s">
        <v>57</v>
      </c>
      <c r="H1310" s="4">
        <v>46290.799348495369</v>
      </c>
      <c r="I1310" s="4">
        <v>46290.862809606479</v>
      </c>
      <c r="J1310" s="3">
        <f>ROUND((I1310-H1310)*1440,0)</f>
        <v>91</v>
      </c>
      <c r="K1310" s="3" t="s">
        <v>1469</v>
      </c>
      <c r="L1310" s="3" t="s">
        <v>36</v>
      </c>
      <c r="M1310" s="3" t="s">
        <v>36</v>
      </c>
      <c r="N1310" s="3" t="s">
        <v>23</v>
      </c>
      <c r="O1310" s="3" t="s">
        <v>1470</v>
      </c>
    </row>
    <row r="1311" spans="1:15" hidden="1" x14ac:dyDescent="0.75">
      <c r="A1311" s="2">
        <v>46290</v>
      </c>
      <c r="B1311" s="3" t="s">
        <v>1929</v>
      </c>
      <c r="C1311" s="3" t="s">
        <v>1930</v>
      </c>
      <c r="D1311" s="3" t="s">
        <v>1101</v>
      </c>
      <c r="E1311" s="3" t="s">
        <v>1102</v>
      </c>
      <c r="F1311" s="3" t="s">
        <v>27</v>
      </c>
      <c r="G1311" s="3" t="s">
        <v>28</v>
      </c>
      <c r="H1311" s="4">
        <v>46290.800343287039</v>
      </c>
      <c r="I1311" s="4">
        <v>46290.819125000002</v>
      </c>
      <c r="J1311" s="3">
        <f>ROUND((I1311-H1311)*1440,0)</f>
        <v>27</v>
      </c>
      <c r="K1311" s="3" t="s">
        <v>372</v>
      </c>
      <c r="L1311" s="3" t="s">
        <v>77</v>
      </c>
      <c r="M1311" s="3" t="s">
        <v>78</v>
      </c>
      <c r="N1311" s="3" t="s">
        <v>23</v>
      </c>
      <c r="O1311" s="3" t="s">
        <v>373</v>
      </c>
    </row>
    <row r="1312" spans="1:15" hidden="1" x14ac:dyDescent="0.75">
      <c r="A1312" s="2">
        <v>46290</v>
      </c>
      <c r="B1312" s="3" t="s">
        <v>1701</v>
      </c>
      <c r="C1312" s="3" t="s">
        <v>1702</v>
      </c>
      <c r="D1312" s="3" t="s">
        <v>58</v>
      </c>
      <c r="E1312" s="3" t="s">
        <v>59</v>
      </c>
      <c r="F1312" s="3" t="s">
        <v>68</v>
      </c>
      <c r="G1312" s="3" t="s">
        <v>69</v>
      </c>
      <c r="H1312" s="4">
        <v>46290.800796875003</v>
      </c>
      <c r="I1312" s="4">
        <v>46290.894221180562</v>
      </c>
      <c r="J1312" s="3">
        <f>ROUND((I1312-H1312)*1440,0)</f>
        <v>135</v>
      </c>
      <c r="K1312" s="3" t="s">
        <v>35</v>
      </c>
      <c r="L1312" s="3" t="s">
        <v>36</v>
      </c>
      <c r="M1312" s="3" t="s">
        <v>36</v>
      </c>
      <c r="N1312" s="3" t="s">
        <v>23</v>
      </c>
      <c r="O1312" s="3" t="s">
        <v>37</v>
      </c>
    </row>
    <row r="1313" spans="1:15" hidden="1" x14ac:dyDescent="0.75">
      <c r="A1313" s="2">
        <v>46290</v>
      </c>
      <c r="B1313" s="3" t="s">
        <v>1803</v>
      </c>
      <c r="C1313" s="3" t="s">
        <v>1804</v>
      </c>
      <c r="D1313" s="3" t="s">
        <v>977</v>
      </c>
      <c r="E1313" s="3" t="s">
        <v>978</v>
      </c>
      <c r="F1313" s="3" t="s">
        <v>27</v>
      </c>
      <c r="G1313" s="3" t="s">
        <v>28</v>
      </c>
      <c r="H1313" s="4">
        <v>46290.801391550929</v>
      </c>
      <c r="I1313" s="4">
        <v>46291.881618981482</v>
      </c>
      <c r="J1313" s="3">
        <f>ROUND((I1313-H1313)*1440,0)</f>
        <v>1556</v>
      </c>
      <c r="K1313" s="3" t="s">
        <v>743</v>
      </c>
      <c r="L1313" s="3" t="s">
        <v>77</v>
      </c>
      <c r="M1313" s="3" t="s">
        <v>78</v>
      </c>
      <c r="N1313" s="3" t="s">
        <v>23</v>
      </c>
      <c r="O1313" s="3" t="s">
        <v>744</v>
      </c>
    </row>
    <row r="1314" spans="1:15" hidden="1" x14ac:dyDescent="0.75">
      <c r="A1314" s="2">
        <v>46290</v>
      </c>
      <c r="B1314" s="3" t="s">
        <v>1833</v>
      </c>
      <c r="C1314" s="3" t="s">
        <v>1834</v>
      </c>
      <c r="D1314" s="3" t="s">
        <v>615</v>
      </c>
      <c r="E1314" s="3" t="s">
        <v>616</v>
      </c>
      <c r="F1314" s="3" t="s">
        <v>82</v>
      </c>
      <c r="G1314" s="3" t="s">
        <v>83</v>
      </c>
      <c r="H1314" s="4">
        <v>46290.802536921299</v>
      </c>
      <c r="I1314" s="4">
        <v>46290.992578703706</v>
      </c>
      <c r="J1314" s="3">
        <f>ROUND((I1314-H1314)*1440,0)</f>
        <v>274</v>
      </c>
      <c r="K1314" s="3" t="s">
        <v>665</v>
      </c>
      <c r="L1314" s="3" t="s">
        <v>36</v>
      </c>
      <c r="M1314" s="3" t="s">
        <v>36</v>
      </c>
      <c r="N1314" s="3" t="s">
        <v>23</v>
      </c>
      <c r="O1314" s="3" t="s">
        <v>666</v>
      </c>
    </row>
    <row r="1315" spans="1:15" hidden="1" x14ac:dyDescent="0.75">
      <c r="A1315" s="2">
        <v>46290</v>
      </c>
      <c r="B1315" s="3" t="s">
        <v>1725</v>
      </c>
      <c r="C1315" s="3" t="s">
        <v>1726</v>
      </c>
      <c r="D1315" s="3" t="s">
        <v>27</v>
      </c>
      <c r="E1315" s="3" t="s">
        <v>28</v>
      </c>
      <c r="F1315" s="3" t="s">
        <v>68</v>
      </c>
      <c r="G1315" s="3" t="s">
        <v>69</v>
      </c>
      <c r="H1315" s="4">
        <v>46290.803632523151</v>
      </c>
      <c r="I1315" s="4">
        <v>46290.91108391204</v>
      </c>
      <c r="J1315" s="3">
        <f>ROUND((I1315-H1315)*1440,0)</f>
        <v>155</v>
      </c>
      <c r="K1315" s="3" t="s">
        <v>314</v>
      </c>
      <c r="L1315" s="3" t="s">
        <v>36</v>
      </c>
      <c r="M1315" s="3" t="s">
        <v>36</v>
      </c>
      <c r="N1315" s="3" t="s">
        <v>23</v>
      </c>
      <c r="O1315" s="3" t="s">
        <v>315</v>
      </c>
    </row>
    <row r="1316" spans="1:15" hidden="1" x14ac:dyDescent="0.75">
      <c r="A1316" s="2">
        <v>46290</v>
      </c>
      <c r="B1316" s="3" t="s">
        <v>1635</v>
      </c>
      <c r="C1316" s="3" t="s">
        <v>1636</v>
      </c>
      <c r="D1316" s="3" t="s">
        <v>82</v>
      </c>
      <c r="E1316" s="3" t="s">
        <v>83</v>
      </c>
      <c r="F1316" s="3" t="s">
        <v>17</v>
      </c>
      <c r="G1316" s="3" t="s">
        <v>18</v>
      </c>
      <c r="H1316" s="4">
        <v>46290.804183449072</v>
      </c>
      <c r="I1316" s="4">
        <v>46290.905116319453</v>
      </c>
      <c r="J1316" s="3">
        <f>ROUND((I1316-H1316)*1440,0)</f>
        <v>145</v>
      </c>
      <c r="K1316" s="3" t="s">
        <v>1685</v>
      </c>
      <c r="L1316" s="3" t="s">
        <v>22</v>
      </c>
      <c r="M1316" s="3" t="s">
        <v>22</v>
      </c>
      <c r="N1316" s="3" t="s">
        <v>23</v>
      </c>
      <c r="O1316" s="3" t="s">
        <v>1686</v>
      </c>
    </row>
    <row r="1317" spans="1:15" hidden="1" x14ac:dyDescent="0.75">
      <c r="A1317" s="2">
        <v>46290</v>
      </c>
      <c r="B1317" s="3" t="s">
        <v>278</v>
      </c>
      <c r="C1317" s="3" t="s">
        <v>279</v>
      </c>
      <c r="D1317" s="3" t="s">
        <v>56</v>
      </c>
      <c r="E1317" s="3" t="s">
        <v>57</v>
      </c>
      <c r="F1317" s="3" t="s">
        <v>27</v>
      </c>
      <c r="G1317" s="3" t="s">
        <v>28</v>
      </c>
      <c r="H1317" s="4">
        <v>46290.804739930558</v>
      </c>
      <c r="I1317" s="4">
        <v>46291.05537962963</v>
      </c>
      <c r="J1317" s="3">
        <f>ROUND((I1317-H1317)*1440,0)</f>
        <v>361</v>
      </c>
      <c r="K1317" s="3" t="s">
        <v>999</v>
      </c>
      <c r="L1317" s="3" t="s">
        <v>36</v>
      </c>
      <c r="M1317" s="3" t="s">
        <v>36</v>
      </c>
      <c r="N1317" s="3" t="s">
        <v>23</v>
      </c>
      <c r="O1317" s="3" t="s">
        <v>1000</v>
      </c>
    </row>
    <row r="1318" spans="1:15" x14ac:dyDescent="0.75">
      <c r="A1318" s="13">
        <v>46290</v>
      </c>
      <c r="B1318" s="14" t="s">
        <v>1679</v>
      </c>
      <c r="C1318" s="14" t="s">
        <v>1680</v>
      </c>
      <c r="D1318" s="14" t="s">
        <v>17</v>
      </c>
      <c r="E1318" s="14" t="s">
        <v>18</v>
      </c>
      <c r="F1318" s="14" t="s">
        <v>82</v>
      </c>
      <c r="G1318" s="14" t="s">
        <v>83</v>
      </c>
      <c r="H1318" s="15">
        <v>46290.805071296287</v>
      </c>
      <c r="I1318" s="15">
        <v>46290.893530555557</v>
      </c>
      <c r="J1318" s="14">
        <f>ROUND((I1318-H1318)*1440,0)</f>
        <v>127</v>
      </c>
      <c r="K1318" s="14" t="s">
        <v>1399</v>
      </c>
      <c r="L1318" s="14" t="s">
        <v>43</v>
      </c>
      <c r="M1318" s="14" t="s">
        <v>44</v>
      </c>
      <c r="N1318" s="14" t="s">
        <v>23</v>
      </c>
      <c r="O1318" s="14" t="s">
        <v>1400</v>
      </c>
    </row>
    <row r="1319" spans="1:15" hidden="1" x14ac:dyDescent="0.75">
      <c r="A1319" s="2">
        <v>46290</v>
      </c>
      <c r="B1319" s="3" t="s">
        <v>1683</v>
      </c>
      <c r="C1319" s="3" t="s">
        <v>1684</v>
      </c>
      <c r="D1319" s="3" t="s">
        <v>17</v>
      </c>
      <c r="E1319" s="3" t="s">
        <v>18</v>
      </c>
      <c r="F1319" s="3" t="s">
        <v>68</v>
      </c>
      <c r="G1319" s="3" t="s">
        <v>69</v>
      </c>
      <c r="H1319" s="4">
        <v>46290.807205902784</v>
      </c>
      <c r="I1319" s="4">
        <v>46290.898237731482</v>
      </c>
      <c r="J1319" s="3">
        <f>ROUND((I1319-H1319)*1440,0)</f>
        <v>131</v>
      </c>
      <c r="K1319" s="3" t="s">
        <v>2185</v>
      </c>
      <c r="L1319" s="3" t="s">
        <v>43</v>
      </c>
      <c r="M1319" s="3" t="s">
        <v>44</v>
      </c>
      <c r="N1319" s="3" t="s">
        <v>23</v>
      </c>
      <c r="O1319" s="3" t="s">
        <v>2186</v>
      </c>
    </row>
    <row r="1320" spans="1:15" hidden="1" x14ac:dyDescent="0.75">
      <c r="A1320" s="2">
        <v>46290</v>
      </c>
      <c r="B1320" s="3" t="s">
        <v>1677</v>
      </c>
      <c r="C1320" s="3" t="s">
        <v>1678</v>
      </c>
      <c r="D1320" s="3" t="s">
        <v>615</v>
      </c>
      <c r="E1320" s="3" t="s">
        <v>616</v>
      </c>
      <c r="F1320" s="3" t="s">
        <v>58</v>
      </c>
      <c r="G1320" s="3" t="s">
        <v>59</v>
      </c>
      <c r="H1320" s="4">
        <v>46290.807663194442</v>
      </c>
      <c r="I1320" s="4">
        <v>46290.977234606478</v>
      </c>
      <c r="J1320" s="3">
        <f>ROUND((I1320-H1320)*1440,0)</f>
        <v>244</v>
      </c>
      <c r="K1320" s="3" t="s">
        <v>1359</v>
      </c>
      <c r="L1320" s="3" t="s">
        <v>36</v>
      </c>
      <c r="M1320" s="3" t="s">
        <v>36</v>
      </c>
      <c r="N1320" s="3" t="s">
        <v>23</v>
      </c>
      <c r="O1320" s="3" t="s">
        <v>1360</v>
      </c>
    </row>
    <row r="1321" spans="1:15" hidden="1" x14ac:dyDescent="0.75">
      <c r="A1321" s="2">
        <v>46290</v>
      </c>
      <c r="B1321" s="3" t="s">
        <v>1697</v>
      </c>
      <c r="C1321" s="3" t="s">
        <v>1698</v>
      </c>
      <c r="D1321" s="3" t="s">
        <v>320</v>
      </c>
      <c r="E1321" s="3" t="s">
        <v>321</v>
      </c>
      <c r="F1321" s="3" t="s">
        <v>56</v>
      </c>
      <c r="G1321" s="3" t="s">
        <v>57</v>
      </c>
      <c r="H1321" s="4">
        <v>46290.808022453697</v>
      </c>
      <c r="I1321" s="4">
        <v>46290.868417939811</v>
      </c>
      <c r="J1321" s="3">
        <f>ROUND((I1321-H1321)*1440,0)</f>
        <v>87</v>
      </c>
      <c r="K1321" s="3" t="s">
        <v>1343</v>
      </c>
      <c r="L1321" s="3" t="s">
        <v>36</v>
      </c>
      <c r="M1321" s="3" t="s">
        <v>36</v>
      </c>
      <c r="N1321" s="3" t="s">
        <v>23</v>
      </c>
      <c r="O1321" s="3" t="s">
        <v>1344</v>
      </c>
    </row>
    <row r="1322" spans="1:15" hidden="1" x14ac:dyDescent="0.75">
      <c r="A1322" s="2">
        <v>46290</v>
      </c>
      <c r="B1322" s="3" t="s">
        <v>1739</v>
      </c>
      <c r="C1322" s="3" t="s">
        <v>1740</v>
      </c>
      <c r="D1322" s="3" t="s">
        <v>116</v>
      </c>
      <c r="E1322" s="3" t="s">
        <v>117</v>
      </c>
      <c r="F1322" s="3" t="s">
        <v>68</v>
      </c>
      <c r="G1322" s="3" t="s">
        <v>69</v>
      </c>
      <c r="H1322" s="4">
        <v>46290.809166203697</v>
      </c>
      <c r="I1322" s="4">
        <v>46290.904925694442</v>
      </c>
      <c r="J1322" s="3">
        <f>ROUND((I1322-H1322)*1440,0)</f>
        <v>138</v>
      </c>
      <c r="K1322" s="3" t="s">
        <v>380</v>
      </c>
      <c r="L1322" s="3" t="s">
        <v>36</v>
      </c>
      <c r="M1322" s="3" t="s">
        <v>36</v>
      </c>
      <c r="N1322" s="3" t="s">
        <v>23</v>
      </c>
      <c r="O1322" s="3" t="s">
        <v>381</v>
      </c>
    </row>
    <row r="1323" spans="1:15" hidden="1" x14ac:dyDescent="0.75">
      <c r="A1323" s="2">
        <v>46290</v>
      </c>
      <c r="B1323" s="3" t="s">
        <v>1947</v>
      </c>
      <c r="C1323" s="3" t="s">
        <v>1948</v>
      </c>
      <c r="D1323" s="3" t="s">
        <v>19</v>
      </c>
      <c r="E1323" s="3" t="s">
        <v>20</v>
      </c>
      <c r="F1323" s="3" t="s">
        <v>27</v>
      </c>
      <c r="G1323" s="3" t="s">
        <v>28</v>
      </c>
      <c r="H1323" s="4">
        <v>46290.810627893523</v>
      </c>
      <c r="I1323" s="4">
        <v>46290.957842824071</v>
      </c>
      <c r="J1323" s="3">
        <f>ROUND((I1323-H1323)*1440,0)</f>
        <v>212</v>
      </c>
      <c r="K1323" s="3" t="s">
        <v>336</v>
      </c>
      <c r="L1323" s="3" t="s">
        <v>36</v>
      </c>
      <c r="M1323" s="3" t="s">
        <v>36</v>
      </c>
      <c r="N1323" s="3" t="s">
        <v>23</v>
      </c>
      <c r="O1323" s="3" t="s">
        <v>337</v>
      </c>
    </row>
    <row r="1324" spans="1:15" hidden="1" x14ac:dyDescent="0.75">
      <c r="A1324" s="2">
        <v>46290</v>
      </c>
      <c r="B1324" s="3" t="s">
        <v>1845</v>
      </c>
      <c r="C1324" s="3" t="s">
        <v>1846</v>
      </c>
      <c r="D1324" s="3" t="s">
        <v>27</v>
      </c>
      <c r="E1324" s="3" t="s">
        <v>28</v>
      </c>
      <c r="F1324" s="3" t="s">
        <v>218</v>
      </c>
      <c r="G1324" s="3" t="s">
        <v>219</v>
      </c>
      <c r="H1324" s="4">
        <v>46290.811510648149</v>
      </c>
      <c r="I1324" s="4">
        <v>46290.872702777779</v>
      </c>
      <c r="J1324" s="3">
        <f>ROUND((I1324-H1324)*1440,0)</f>
        <v>88</v>
      </c>
      <c r="K1324" s="3" t="s">
        <v>1115</v>
      </c>
      <c r="L1324" s="3" t="s">
        <v>77</v>
      </c>
      <c r="M1324" s="3" t="s">
        <v>78</v>
      </c>
      <c r="N1324" s="3" t="s">
        <v>23</v>
      </c>
      <c r="O1324" s="3" t="s">
        <v>1116</v>
      </c>
    </row>
    <row r="1325" spans="1:15" hidden="1" x14ac:dyDescent="0.75">
      <c r="A1325" s="2">
        <v>46290</v>
      </c>
      <c r="B1325" s="3" t="s">
        <v>1731</v>
      </c>
      <c r="C1325" s="3" t="s">
        <v>1732</v>
      </c>
      <c r="D1325" s="3" t="s">
        <v>106</v>
      </c>
      <c r="E1325" s="3" t="s">
        <v>107</v>
      </c>
      <c r="F1325" s="3" t="s">
        <v>56</v>
      </c>
      <c r="G1325" s="3" t="s">
        <v>57</v>
      </c>
      <c r="H1325" s="4">
        <v>46290.811859490743</v>
      </c>
      <c r="I1325" s="4">
        <v>46290.888807175928</v>
      </c>
      <c r="J1325" s="3">
        <f>ROUND((I1325-H1325)*1440,0)</f>
        <v>111</v>
      </c>
      <c r="K1325" s="3" t="s">
        <v>406</v>
      </c>
      <c r="L1325" s="3" t="s">
        <v>36</v>
      </c>
      <c r="M1325" s="3" t="s">
        <v>36</v>
      </c>
      <c r="N1325" s="3" t="s">
        <v>23</v>
      </c>
      <c r="O1325" s="3" t="s">
        <v>407</v>
      </c>
    </row>
    <row r="1326" spans="1:15" hidden="1" x14ac:dyDescent="0.75">
      <c r="A1326" s="2">
        <v>46290</v>
      </c>
      <c r="B1326" s="3" t="s">
        <v>1717</v>
      </c>
      <c r="C1326" s="3" t="s">
        <v>1718</v>
      </c>
      <c r="D1326" s="3" t="s">
        <v>100</v>
      </c>
      <c r="E1326" s="3" t="s">
        <v>101</v>
      </c>
      <c r="F1326" s="3" t="s">
        <v>615</v>
      </c>
      <c r="G1326" s="3" t="s">
        <v>616</v>
      </c>
      <c r="H1326" s="4">
        <v>46290.812251157397</v>
      </c>
      <c r="I1326" s="4">
        <v>46291.522989467587</v>
      </c>
      <c r="J1326" s="3">
        <f>ROUND((I1326-H1326)*1440,0)</f>
        <v>1023</v>
      </c>
      <c r="K1326" s="3" t="s">
        <v>1989</v>
      </c>
      <c r="L1326" s="3" t="s">
        <v>36</v>
      </c>
      <c r="M1326" s="3" t="s">
        <v>36</v>
      </c>
      <c r="N1326" s="3" t="s">
        <v>23</v>
      </c>
      <c r="O1326" s="3" t="s">
        <v>1990</v>
      </c>
    </row>
    <row r="1327" spans="1:15" hidden="1" x14ac:dyDescent="0.75">
      <c r="A1327" s="2">
        <v>46290</v>
      </c>
      <c r="B1327" s="3" t="s">
        <v>1797</v>
      </c>
      <c r="C1327" s="3" t="s">
        <v>1798</v>
      </c>
      <c r="D1327" s="3" t="s">
        <v>17</v>
      </c>
      <c r="E1327" s="3" t="s">
        <v>18</v>
      </c>
      <c r="F1327" s="3" t="s">
        <v>182</v>
      </c>
      <c r="G1327" s="3" t="s">
        <v>183</v>
      </c>
      <c r="H1327" s="4">
        <v>46290.81571909722</v>
      </c>
      <c r="I1327" s="4">
        <v>46290.889035532397</v>
      </c>
      <c r="J1327" s="3">
        <f>ROUND((I1327-H1327)*1440,0)</f>
        <v>106</v>
      </c>
      <c r="K1327" s="3" t="s">
        <v>184</v>
      </c>
      <c r="L1327" s="3" t="s">
        <v>77</v>
      </c>
      <c r="M1327" s="3" t="s">
        <v>78</v>
      </c>
      <c r="N1327" s="3" t="s">
        <v>23</v>
      </c>
      <c r="O1327" s="3" t="s">
        <v>185</v>
      </c>
    </row>
    <row r="1328" spans="1:15" hidden="1" x14ac:dyDescent="0.75">
      <c r="A1328" s="2">
        <v>46290</v>
      </c>
      <c r="B1328" s="3" t="s">
        <v>2299</v>
      </c>
      <c r="C1328" s="3" t="s">
        <v>2300</v>
      </c>
      <c r="D1328" s="3" t="s">
        <v>172</v>
      </c>
      <c r="E1328" s="3" t="s">
        <v>173</v>
      </c>
      <c r="F1328" s="3" t="s">
        <v>82</v>
      </c>
      <c r="G1328" s="3" t="s">
        <v>83</v>
      </c>
      <c r="H1328" s="4">
        <v>46290.818565972222</v>
      </c>
      <c r="I1328" s="4">
        <v>46290.914617476847</v>
      </c>
      <c r="J1328" s="3">
        <f>ROUND((I1328-H1328)*1440,0)</f>
        <v>138</v>
      </c>
      <c r="K1328" s="3" t="s">
        <v>1735</v>
      </c>
      <c r="L1328" s="3" t="s">
        <v>77</v>
      </c>
      <c r="M1328" s="3" t="s">
        <v>78</v>
      </c>
      <c r="N1328" s="3" t="s">
        <v>23</v>
      </c>
      <c r="O1328" s="3" t="s">
        <v>1736</v>
      </c>
    </row>
    <row r="1329" spans="1:15" hidden="1" x14ac:dyDescent="0.75">
      <c r="A1329" s="2">
        <v>46290</v>
      </c>
      <c r="B1329" s="3" t="s">
        <v>1711</v>
      </c>
      <c r="C1329" s="3" t="s">
        <v>1712</v>
      </c>
      <c r="D1329" s="3" t="s">
        <v>84</v>
      </c>
      <c r="E1329" s="3" t="s">
        <v>85</v>
      </c>
      <c r="F1329" s="3" t="s">
        <v>82</v>
      </c>
      <c r="G1329" s="3" t="s">
        <v>83</v>
      </c>
      <c r="H1329" s="4">
        <v>46290.819897222224</v>
      </c>
      <c r="I1329" s="4">
        <v>46290.907954745373</v>
      </c>
      <c r="J1329" s="3">
        <f>ROUND((I1329-H1329)*1440,0)</f>
        <v>127</v>
      </c>
      <c r="K1329" s="3" t="s">
        <v>198</v>
      </c>
      <c r="L1329" s="3" t="s">
        <v>36</v>
      </c>
      <c r="M1329" s="3" t="s">
        <v>36</v>
      </c>
      <c r="N1329" s="3" t="s">
        <v>23</v>
      </c>
      <c r="O1329" s="3" t="s">
        <v>199</v>
      </c>
    </row>
    <row r="1330" spans="1:15" hidden="1" x14ac:dyDescent="0.75">
      <c r="A1330" s="2">
        <v>46290</v>
      </c>
      <c r="B1330" s="3" t="s">
        <v>1743</v>
      </c>
      <c r="C1330" s="3" t="s">
        <v>1744</v>
      </c>
      <c r="D1330" s="3" t="s">
        <v>58</v>
      </c>
      <c r="E1330" s="3" t="s">
        <v>59</v>
      </c>
      <c r="F1330" s="3" t="s">
        <v>56</v>
      </c>
      <c r="G1330" s="3" t="s">
        <v>57</v>
      </c>
      <c r="H1330" s="4">
        <v>46290.823228356479</v>
      </c>
      <c r="I1330" s="4">
        <v>46290.922463773153</v>
      </c>
      <c r="J1330" s="3">
        <f>ROUND((I1330-H1330)*1440,0)</f>
        <v>143</v>
      </c>
      <c r="K1330" s="3" t="s">
        <v>859</v>
      </c>
      <c r="L1330" s="3" t="s">
        <v>36</v>
      </c>
      <c r="M1330" s="3" t="s">
        <v>36</v>
      </c>
      <c r="N1330" s="3" t="s">
        <v>23</v>
      </c>
      <c r="O1330" s="3" t="s">
        <v>860</v>
      </c>
    </row>
    <row r="1331" spans="1:15" hidden="1" x14ac:dyDescent="0.75">
      <c r="A1331" s="2">
        <v>46290</v>
      </c>
      <c r="B1331" s="3" t="s">
        <v>1895</v>
      </c>
      <c r="C1331" s="3" t="s">
        <v>1896</v>
      </c>
      <c r="D1331" s="3" t="s">
        <v>142</v>
      </c>
      <c r="E1331" s="3" t="s">
        <v>143</v>
      </c>
      <c r="F1331" s="3" t="s">
        <v>27</v>
      </c>
      <c r="G1331" s="3" t="s">
        <v>28</v>
      </c>
      <c r="H1331" s="4">
        <v>46290.824264930547</v>
      </c>
      <c r="I1331" s="4">
        <v>46290.981848726849</v>
      </c>
      <c r="J1331" s="3">
        <f>ROUND((I1331-H1331)*1440,0)</f>
        <v>227</v>
      </c>
      <c r="K1331" s="3" t="s">
        <v>793</v>
      </c>
      <c r="L1331" s="3" t="s">
        <v>77</v>
      </c>
      <c r="M1331" s="3" t="s">
        <v>78</v>
      </c>
      <c r="N1331" s="3" t="s">
        <v>23</v>
      </c>
      <c r="O1331" s="3" t="s">
        <v>794</v>
      </c>
    </row>
    <row r="1332" spans="1:15" hidden="1" x14ac:dyDescent="0.75">
      <c r="A1332" s="2">
        <v>46290</v>
      </c>
      <c r="B1332" s="3" t="s">
        <v>1737</v>
      </c>
      <c r="C1332" s="3" t="s">
        <v>1738</v>
      </c>
      <c r="D1332" s="3" t="s">
        <v>148</v>
      </c>
      <c r="E1332" s="3" t="s">
        <v>149</v>
      </c>
      <c r="F1332" s="3" t="s">
        <v>56</v>
      </c>
      <c r="G1332" s="3" t="s">
        <v>57</v>
      </c>
      <c r="H1332" s="4">
        <v>46290.824663888889</v>
      </c>
      <c r="I1332" s="4">
        <v>46290.926649537039</v>
      </c>
      <c r="J1332" s="3">
        <f>ROUND((I1332-H1332)*1440,0)</f>
        <v>147</v>
      </c>
      <c r="K1332" s="3" t="s">
        <v>981</v>
      </c>
      <c r="L1332" s="3" t="s">
        <v>36</v>
      </c>
      <c r="M1332" s="3" t="s">
        <v>36</v>
      </c>
      <c r="N1332" s="3" t="s">
        <v>23</v>
      </c>
      <c r="O1332" s="3" t="s">
        <v>982</v>
      </c>
    </row>
    <row r="1333" spans="1:15" hidden="1" x14ac:dyDescent="0.75">
      <c r="A1333" s="2">
        <v>46290</v>
      </c>
      <c r="B1333" s="3" t="s">
        <v>1643</v>
      </c>
      <c r="C1333" s="3" t="s">
        <v>1644</v>
      </c>
      <c r="D1333" s="3" t="s">
        <v>304</v>
      </c>
      <c r="E1333" s="3" t="s">
        <v>305</v>
      </c>
      <c r="F1333" s="3" t="s">
        <v>17</v>
      </c>
      <c r="G1333" s="3" t="s">
        <v>18</v>
      </c>
      <c r="H1333" s="4">
        <v>46290.825883912039</v>
      </c>
      <c r="I1333" s="4">
        <v>46291.040478240742</v>
      </c>
      <c r="J1333" s="3">
        <f>ROUND((I1333-H1333)*1440,0)</f>
        <v>309</v>
      </c>
      <c r="K1333" s="3" t="s">
        <v>1831</v>
      </c>
      <c r="L1333" s="3" t="s">
        <v>43</v>
      </c>
      <c r="M1333" s="3" t="s">
        <v>44</v>
      </c>
      <c r="N1333" s="3" t="s">
        <v>23</v>
      </c>
      <c r="O1333" s="3" t="s">
        <v>1832</v>
      </c>
    </row>
    <row r="1334" spans="1:15" hidden="1" x14ac:dyDescent="0.75">
      <c r="A1334" s="2">
        <v>46290</v>
      </c>
      <c r="B1334" s="3" t="s">
        <v>1729</v>
      </c>
      <c r="C1334" s="3" t="s">
        <v>1730</v>
      </c>
      <c r="D1334" s="3" t="s">
        <v>58</v>
      </c>
      <c r="E1334" s="3" t="s">
        <v>59</v>
      </c>
      <c r="F1334" s="3" t="s">
        <v>304</v>
      </c>
      <c r="G1334" s="3" t="s">
        <v>305</v>
      </c>
      <c r="H1334" s="4">
        <v>46290.826114699077</v>
      </c>
      <c r="I1334" s="4">
        <v>46291.04833888889</v>
      </c>
      <c r="J1334" s="3">
        <f>ROUND((I1334-H1334)*1440,0)</f>
        <v>320</v>
      </c>
      <c r="K1334" s="3" t="s">
        <v>523</v>
      </c>
      <c r="L1334" s="3" t="s">
        <v>22</v>
      </c>
      <c r="M1334" s="3" t="s">
        <v>22</v>
      </c>
      <c r="N1334" s="3" t="s">
        <v>23</v>
      </c>
      <c r="O1334" s="3" t="s">
        <v>524</v>
      </c>
    </row>
    <row r="1335" spans="1:15" hidden="1" x14ac:dyDescent="0.75">
      <c r="A1335" s="2">
        <v>46290</v>
      </c>
      <c r="B1335" s="3" t="s">
        <v>2301</v>
      </c>
      <c r="C1335" s="3" t="s">
        <v>2302</v>
      </c>
      <c r="D1335" s="3" t="s">
        <v>615</v>
      </c>
      <c r="E1335" s="3" t="s">
        <v>616</v>
      </c>
      <c r="F1335" s="3"/>
      <c r="G1335" s="3"/>
      <c r="H1335" s="4">
        <v>46290.827315856477</v>
      </c>
      <c r="I1335" s="4">
        <v>46290.834114004632</v>
      </c>
      <c r="J1335" s="3">
        <f>ROUND((I1335-H1335)*1440,0)</f>
        <v>10</v>
      </c>
      <c r="K1335" s="3" t="s">
        <v>168</v>
      </c>
      <c r="L1335" s="3" t="s">
        <v>36</v>
      </c>
      <c r="M1335" s="3" t="s">
        <v>36</v>
      </c>
      <c r="N1335" s="3" t="s">
        <v>443</v>
      </c>
      <c r="O1335" s="3" t="s">
        <v>169</v>
      </c>
    </row>
    <row r="1336" spans="1:15" hidden="1" x14ac:dyDescent="0.75">
      <c r="A1336" s="2">
        <v>46290</v>
      </c>
      <c r="B1336" s="3" t="s">
        <v>1741</v>
      </c>
      <c r="C1336" s="3" t="s">
        <v>1742</v>
      </c>
      <c r="D1336" s="3" t="s">
        <v>17</v>
      </c>
      <c r="E1336" s="3" t="s">
        <v>18</v>
      </c>
      <c r="F1336" s="3" t="s">
        <v>304</v>
      </c>
      <c r="G1336" s="3" t="s">
        <v>305</v>
      </c>
      <c r="H1336" s="4">
        <v>46290.828760069453</v>
      </c>
      <c r="I1336" s="4">
        <v>46291.05062141204</v>
      </c>
      <c r="J1336" s="3">
        <f>ROUND((I1336-H1336)*1440,0)</f>
        <v>319</v>
      </c>
      <c r="K1336" s="3" t="s">
        <v>509</v>
      </c>
      <c r="L1336" s="3" t="s">
        <v>22</v>
      </c>
      <c r="M1336" s="3" t="s">
        <v>22</v>
      </c>
      <c r="N1336" s="3" t="s">
        <v>23</v>
      </c>
      <c r="O1336" s="3" t="s">
        <v>510</v>
      </c>
    </row>
    <row r="1337" spans="1:15" hidden="1" x14ac:dyDescent="0.75">
      <c r="A1337" s="2">
        <v>46290</v>
      </c>
      <c r="B1337" s="3" t="s">
        <v>1849</v>
      </c>
      <c r="C1337" s="3" t="s">
        <v>1850</v>
      </c>
      <c r="D1337" s="3"/>
      <c r="E1337" s="3"/>
      <c r="F1337" s="3" t="s">
        <v>17</v>
      </c>
      <c r="G1337" s="3" t="s">
        <v>18</v>
      </c>
      <c r="H1337" s="4">
        <v>46290.82928391204</v>
      </c>
      <c r="I1337" s="4">
        <v>46290.922456712957</v>
      </c>
      <c r="J1337" s="3">
        <f>ROUND((I1337-H1337)*1440,0)</f>
        <v>134</v>
      </c>
      <c r="K1337" s="3" t="s">
        <v>1247</v>
      </c>
      <c r="L1337" s="3" t="s">
        <v>22</v>
      </c>
      <c r="M1337" s="3" t="s">
        <v>22</v>
      </c>
      <c r="N1337" s="3" t="s">
        <v>23</v>
      </c>
      <c r="O1337" s="3" t="s">
        <v>1248</v>
      </c>
    </row>
    <row r="1338" spans="1:15" hidden="1" x14ac:dyDescent="0.75">
      <c r="A1338" s="2">
        <v>46290</v>
      </c>
      <c r="B1338" s="3" t="s">
        <v>62</v>
      </c>
      <c r="C1338" s="3" t="s">
        <v>63</v>
      </c>
      <c r="D1338" s="3" t="s">
        <v>1085</v>
      </c>
      <c r="E1338" s="3" t="s">
        <v>1086</v>
      </c>
      <c r="F1338" s="3" t="s">
        <v>17</v>
      </c>
      <c r="G1338" s="3" t="s">
        <v>18</v>
      </c>
      <c r="H1338" s="4">
        <v>46290.829871643517</v>
      </c>
      <c r="I1338" s="4">
        <v>46291.046087152783</v>
      </c>
      <c r="J1338" s="3">
        <f>ROUND((I1338-H1338)*1440,0)</f>
        <v>311</v>
      </c>
      <c r="K1338" s="3" t="s">
        <v>330</v>
      </c>
      <c r="L1338" s="3" t="s">
        <v>43</v>
      </c>
      <c r="M1338" s="3" t="s">
        <v>44</v>
      </c>
      <c r="N1338" s="3" t="s">
        <v>23</v>
      </c>
      <c r="O1338" s="3" t="s">
        <v>331</v>
      </c>
    </row>
    <row r="1339" spans="1:15" hidden="1" x14ac:dyDescent="0.75">
      <c r="A1339" s="2">
        <v>46290</v>
      </c>
      <c r="B1339" s="3" t="s">
        <v>1793</v>
      </c>
      <c r="C1339" s="3" t="s">
        <v>1794</v>
      </c>
      <c r="D1339" s="3" t="s">
        <v>27</v>
      </c>
      <c r="E1339" s="3" t="s">
        <v>28</v>
      </c>
      <c r="F1339" s="3" t="s">
        <v>158</v>
      </c>
      <c r="G1339" s="3" t="s">
        <v>159</v>
      </c>
      <c r="H1339" s="4">
        <v>46290.83078773148</v>
      </c>
      <c r="I1339" s="4">
        <v>46290.965631597217</v>
      </c>
      <c r="J1339" s="3">
        <f>ROUND((I1339-H1339)*1440,0)</f>
        <v>194</v>
      </c>
      <c r="K1339" s="3" t="s">
        <v>90</v>
      </c>
      <c r="L1339" s="3" t="s">
        <v>77</v>
      </c>
      <c r="M1339" s="3" t="s">
        <v>78</v>
      </c>
      <c r="N1339" s="3" t="s">
        <v>23</v>
      </c>
      <c r="O1339" s="3" t="s">
        <v>91</v>
      </c>
    </row>
    <row r="1340" spans="1:15" hidden="1" x14ac:dyDescent="0.75">
      <c r="A1340" s="2">
        <v>46290</v>
      </c>
      <c r="B1340" s="3" t="s">
        <v>1747</v>
      </c>
      <c r="C1340" s="3" t="s">
        <v>1748</v>
      </c>
      <c r="D1340" s="3" t="s">
        <v>27</v>
      </c>
      <c r="E1340" s="3" t="s">
        <v>28</v>
      </c>
      <c r="F1340" s="3" t="s">
        <v>228</v>
      </c>
      <c r="G1340" s="3" t="s">
        <v>229</v>
      </c>
      <c r="H1340" s="4">
        <v>46290.832323263887</v>
      </c>
      <c r="I1340" s="4">
        <v>46290.888834837962</v>
      </c>
      <c r="J1340" s="3">
        <f>ROUND((I1340-H1340)*1440,0)</f>
        <v>81</v>
      </c>
      <c r="K1340" s="3" t="s">
        <v>236</v>
      </c>
      <c r="L1340" s="3" t="s">
        <v>77</v>
      </c>
      <c r="M1340" s="3" t="s">
        <v>78</v>
      </c>
      <c r="N1340" s="3" t="s">
        <v>23</v>
      </c>
      <c r="O1340" s="3" t="s">
        <v>237</v>
      </c>
    </row>
    <row r="1341" spans="1:15" hidden="1" x14ac:dyDescent="0.75">
      <c r="A1341" s="2">
        <v>46290</v>
      </c>
      <c r="B1341" s="3" t="s">
        <v>2001</v>
      </c>
      <c r="C1341" s="3" t="s">
        <v>2002</v>
      </c>
      <c r="D1341" s="3" t="s">
        <v>158</v>
      </c>
      <c r="E1341" s="3" t="s">
        <v>159</v>
      </c>
      <c r="F1341" s="3" t="s">
        <v>84</v>
      </c>
      <c r="G1341" s="3" t="s">
        <v>85</v>
      </c>
      <c r="H1341" s="4">
        <v>46290.832786805557</v>
      </c>
      <c r="I1341" s="4">
        <v>46290.956711458333</v>
      </c>
      <c r="J1341" s="3">
        <f>ROUND((I1341-H1341)*1440,0)</f>
        <v>178</v>
      </c>
      <c r="K1341" s="3" t="s">
        <v>1023</v>
      </c>
      <c r="L1341" s="3" t="s">
        <v>77</v>
      </c>
      <c r="M1341" s="3" t="s">
        <v>78</v>
      </c>
      <c r="N1341" s="3" t="s">
        <v>45</v>
      </c>
      <c r="O1341" s="3" t="s">
        <v>1024</v>
      </c>
    </row>
    <row r="1342" spans="1:15" hidden="1" x14ac:dyDescent="0.75">
      <c r="A1342" s="2">
        <v>46290</v>
      </c>
      <c r="B1342" s="3" t="s">
        <v>1985</v>
      </c>
      <c r="C1342" s="3" t="s">
        <v>1986</v>
      </c>
      <c r="D1342" s="3" t="s">
        <v>264</v>
      </c>
      <c r="E1342" s="3" t="s">
        <v>265</v>
      </c>
      <c r="F1342" s="3" t="s">
        <v>27</v>
      </c>
      <c r="G1342" s="3" t="s">
        <v>28</v>
      </c>
      <c r="H1342" s="4">
        <v>46290.833678587973</v>
      </c>
      <c r="I1342" s="4">
        <v>46291.030993171298</v>
      </c>
      <c r="J1342" s="3">
        <f>ROUND((I1342-H1342)*1440,0)</f>
        <v>284</v>
      </c>
      <c r="K1342" s="3" t="s">
        <v>1257</v>
      </c>
      <c r="L1342" s="3" t="s">
        <v>22</v>
      </c>
      <c r="M1342" s="3" t="s">
        <v>22</v>
      </c>
      <c r="N1342" s="3" t="s">
        <v>23</v>
      </c>
      <c r="O1342" s="3" t="s">
        <v>1258</v>
      </c>
    </row>
    <row r="1343" spans="1:15" hidden="1" x14ac:dyDescent="0.75">
      <c r="A1343" s="2">
        <v>46290</v>
      </c>
      <c r="B1343" s="3" t="s">
        <v>1883</v>
      </c>
      <c r="C1343" s="3" t="s">
        <v>1884</v>
      </c>
      <c r="D1343" s="3" t="s">
        <v>122</v>
      </c>
      <c r="E1343" s="3" t="s">
        <v>123</v>
      </c>
      <c r="F1343" s="3" t="s">
        <v>27</v>
      </c>
      <c r="G1343" s="3" t="s">
        <v>28</v>
      </c>
      <c r="H1343" s="4">
        <v>46290.833713310189</v>
      </c>
      <c r="I1343" s="4">
        <v>46291.047884722233</v>
      </c>
      <c r="J1343" s="3">
        <f>ROUND((I1343-H1343)*1440,0)</f>
        <v>308</v>
      </c>
      <c r="K1343" s="3" t="s">
        <v>533</v>
      </c>
      <c r="L1343" s="3" t="s">
        <v>43</v>
      </c>
      <c r="M1343" s="3" t="s">
        <v>44</v>
      </c>
      <c r="N1343" s="3" t="s">
        <v>23</v>
      </c>
      <c r="O1343" s="3" t="s">
        <v>534</v>
      </c>
    </row>
    <row r="1344" spans="1:15" hidden="1" x14ac:dyDescent="0.75">
      <c r="A1344" s="2">
        <v>46290</v>
      </c>
      <c r="B1344" s="3" t="s">
        <v>1921</v>
      </c>
      <c r="C1344" s="3" t="s">
        <v>1922</v>
      </c>
      <c r="D1344" s="3" t="s">
        <v>82</v>
      </c>
      <c r="E1344" s="3" t="s">
        <v>83</v>
      </c>
      <c r="F1344" s="3" t="s">
        <v>615</v>
      </c>
      <c r="G1344" s="3" t="s">
        <v>616</v>
      </c>
      <c r="H1344" s="4">
        <v>46290.834979976848</v>
      </c>
      <c r="I1344" s="4">
        <v>46290.935661921299</v>
      </c>
      <c r="J1344" s="3">
        <f>ROUND((I1344-H1344)*1440,0)</f>
        <v>145</v>
      </c>
      <c r="K1344" s="3" t="s">
        <v>282</v>
      </c>
      <c r="L1344" s="3" t="s">
        <v>36</v>
      </c>
      <c r="M1344" s="3" t="s">
        <v>36</v>
      </c>
      <c r="N1344" s="3" t="s">
        <v>45</v>
      </c>
      <c r="O1344" s="3" t="s">
        <v>283</v>
      </c>
    </row>
    <row r="1345" spans="1:15" hidden="1" x14ac:dyDescent="0.75">
      <c r="A1345" s="2">
        <v>46290</v>
      </c>
      <c r="B1345" s="3" t="s">
        <v>1763</v>
      </c>
      <c r="C1345" s="3" t="s">
        <v>1764</v>
      </c>
      <c r="D1345" s="3" t="s">
        <v>17</v>
      </c>
      <c r="E1345" s="3" t="s">
        <v>18</v>
      </c>
      <c r="F1345" s="3" t="s">
        <v>17</v>
      </c>
      <c r="G1345" s="3" t="s">
        <v>18</v>
      </c>
      <c r="H1345" s="4">
        <v>46290.835005324072</v>
      </c>
      <c r="I1345" s="4">
        <v>46291.855868055558</v>
      </c>
      <c r="J1345" s="3">
        <f>ROUND((I1345-H1345)*1440,0)</f>
        <v>1470</v>
      </c>
      <c r="K1345" s="3" t="s">
        <v>801</v>
      </c>
      <c r="L1345" s="3" t="s">
        <v>77</v>
      </c>
      <c r="M1345" s="3" t="s">
        <v>78</v>
      </c>
      <c r="N1345" s="3" t="s">
        <v>23</v>
      </c>
      <c r="O1345" s="3" t="s">
        <v>802</v>
      </c>
    </row>
    <row r="1346" spans="1:15" hidden="1" x14ac:dyDescent="0.75">
      <c r="A1346" s="2">
        <v>46290</v>
      </c>
      <c r="B1346" s="3" t="s">
        <v>1767</v>
      </c>
      <c r="C1346" s="3" t="s">
        <v>1768</v>
      </c>
      <c r="D1346" s="3" t="s">
        <v>56</v>
      </c>
      <c r="E1346" s="3" t="s">
        <v>57</v>
      </c>
      <c r="F1346" s="3" t="s">
        <v>304</v>
      </c>
      <c r="G1346" s="3" t="s">
        <v>305</v>
      </c>
      <c r="H1346" s="4">
        <v>46290.835028935187</v>
      </c>
      <c r="I1346" s="4">
        <v>46291.050024189812</v>
      </c>
      <c r="J1346" s="3">
        <f>ROUND((I1346-H1346)*1440,0)</f>
        <v>310</v>
      </c>
      <c r="K1346" s="3" t="s">
        <v>649</v>
      </c>
      <c r="L1346" s="3" t="s">
        <v>22</v>
      </c>
      <c r="M1346" s="3" t="s">
        <v>22</v>
      </c>
      <c r="N1346" s="3" t="s">
        <v>23</v>
      </c>
      <c r="O1346" s="3" t="s">
        <v>650</v>
      </c>
    </row>
    <row r="1347" spans="1:15" hidden="1" x14ac:dyDescent="0.75">
      <c r="A1347" s="2">
        <v>46290</v>
      </c>
      <c r="B1347" s="3" t="s">
        <v>1757</v>
      </c>
      <c r="C1347" s="3" t="s">
        <v>1758</v>
      </c>
      <c r="D1347" s="3" t="s">
        <v>17</v>
      </c>
      <c r="E1347" s="3" t="s">
        <v>18</v>
      </c>
      <c r="F1347" s="3" t="s">
        <v>17</v>
      </c>
      <c r="G1347" s="3" t="s">
        <v>18</v>
      </c>
      <c r="H1347" s="4">
        <v>46290.835451388892</v>
      </c>
      <c r="I1347" s="4">
        <v>46291.910132523153</v>
      </c>
      <c r="J1347" s="3">
        <f>ROUND((I1347-H1347)*1440,0)</f>
        <v>1548</v>
      </c>
      <c r="K1347" s="3" t="s">
        <v>765</v>
      </c>
      <c r="L1347" s="3" t="s">
        <v>43</v>
      </c>
      <c r="M1347" s="3" t="s">
        <v>44</v>
      </c>
      <c r="N1347" s="3" t="s">
        <v>23</v>
      </c>
      <c r="O1347" s="3" t="s">
        <v>766</v>
      </c>
    </row>
    <row r="1348" spans="1:15" hidden="1" x14ac:dyDescent="0.75">
      <c r="A1348" s="2">
        <v>46290</v>
      </c>
      <c r="B1348" s="3" t="s">
        <v>1775</v>
      </c>
      <c r="C1348" s="3" t="s">
        <v>1776</v>
      </c>
      <c r="D1348" s="3"/>
      <c r="E1348" s="3"/>
      <c r="F1348" s="3" t="s">
        <v>56</v>
      </c>
      <c r="G1348" s="3" t="s">
        <v>57</v>
      </c>
      <c r="H1348" s="4">
        <v>46290.835928356479</v>
      </c>
      <c r="I1348" s="4">
        <v>46290.902900694447</v>
      </c>
      <c r="J1348" s="3">
        <f>ROUND((I1348-H1348)*1440,0)</f>
        <v>96</v>
      </c>
      <c r="K1348" s="3" t="s">
        <v>1441</v>
      </c>
      <c r="L1348" s="3" t="s">
        <v>43</v>
      </c>
      <c r="M1348" s="3" t="s">
        <v>44</v>
      </c>
      <c r="N1348" s="3" t="s">
        <v>23</v>
      </c>
      <c r="O1348" s="3" t="s">
        <v>1442</v>
      </c>
    </row>
    <row r="1349" spans="1:15" hidden="1" x14ac:dyDescent="0.75">
      <c r="A1349" s="2">
        <v>46290</v>
      </c>
      <c r="B1349" s="3" t="s">
        <v>1707</v>
      </c>
      <c r="C1349" s="3" t="s">
        <v>1708</v>
      </c>
      <c r="D1349" s="3" t="s">
        <v>122</v>
      </c>
      <c r="E1349" s="3" t="s">
        <v>123</v>
      </c>
      <c r="F1349" s="3" t="s">
        <v>17</v>
      </c>
      <c r="G1349" s="3" t="s">
        <v>18</v>
      </c>
      <c r="H1349" s="4">
        <v>46290.836539583332</v>
      </c>
      <c r="I1349" s="4">
        <v>46291.056209027767</v>
      </c>
      <c r="J1349" s="3">
        <f>ROUND((I1349-H1349)*1440,0)</f>
        <v>316</v>
      </c>
      <c r="K1349" s="3" t="s">
        <v>469</v>
      </c>
      <c r="L1349" s="3" t="s">
        <v>22</v>
      </c>
      <c r="M1349" s="3" t="s">
        <v>22</v>
      </c>
      <c r="N1349" s="3" t="s">
        <v>23</v>
      </c>
      <c r="O1349" s="3" t="s">
        <v>470</v>
      </c>
    </row>
    <row r="1350" spans="1:15" hidden="1" x14ac:dyDescent="0.75">
      <c r="A1350" s="2">
        <v>46290</v>
      </c>
      <c r="B1350" s="3" t="s">
        <v>1815</v>
      </c>
      <c r="C1350" s="3" t="s">
        <v>1816</v>
      </c>
      <c r="D1350" s="3" t="s">
        <v>56</v>
      </c>
      <c r="E1350" s="3" t="s">
        <v>57</v>
      </c>
      <c r="F1350" s="3" t="s">
        <v>234</v>
      </c>
      <c r="G1350" s="3" t="s">
        <v>235</v>
      </c>
      <c r="H1350" s="4">
        <v>46290.836597337962</v>
      </c>
      <c r="I1350" s="4">
        <v>46290.945305208334</v>
      </c>
      <c r="J1350" s="3">
        <f>ROUND((I1350-H1350)*1440,0)</f>
        <v>157</v>
      </c>
      <c r="K1350" s="3" t="s">
        <v>1715</v>
      </c>
      <c r="L1350" s="3" t="s">
        <v>36</v>
      </c>
      <c r="M1350" s="3" t="s">
        <v>36</v>
      </c>
      <c r="N1350" s="3" t="s">
        <v>23</v>
      </c>
      <c r="O1350" s="3" t="s">
        <v>1716</v>
      </c>
    </row>
    <row r="1351" spans="1:15" hidden="1" x14ac:dyDescent="0.75">
      <c r="A1351" s="2">
        <v>46290</v>
      </c>
      <c r="B1351" s="3" t="s">
        <v>1769</v>
      </c>
      <c r="C1351" s="3" t="s">
        <v>1770</v>
      </c>
      <c r="D1351" s="3" t="s">
        <v>74</v>
      </c>
      <c r="E1351" s="3" t="s">
        <v>75</v>
      </c>
      <c r="F1351" s="3" t="s">
        <v>56</v>
      </c>
      <c r="G1351" s="3" t="s">
        <v>57</v>
      </c>
      <c r="H1351" s="4">
        <v>46290.837192708343</v>
      </c>
      <c r="I1351" s="4">
        <v>46290.922539004627</v>
      </c>
      <c r="J1351" s="3">
        <f>ROUND((I1351-H1351)*1440,0)</f>
        <v>123</v>
      </c>
      <c r="K1351" s="3" t="s">
        <v>220</v>
      </c>
      <c r="L1351" s="3" t="s">
        <v>77</v>
      </c>
      <c r="M1351" s="3" t="s">
        <v>78</v>
      </c>
      <c r="N1351" s="3" t="s">
        <v>23</v>
      </c>
      <c r="O1351" s="3" t="s">
        <v>221</v>
      </c>
    </row>
    <row r="1352" spans="1:15" hidden="1" x14ac:dyDescent="0.75">
      <c r="A1352" s="2">
        <v>46290</v>
      </c>
      <c r="B1352" s="3" t="s">
        <v>1661</v>
      </c>
      <c r="C1352" s="3" t="s">
        <v>1662</v>
      </c>
      <c r="D1352" s="3" t="s">
        <v>208</v>
      </c>
      <c r="E1352" s="3" t="s">
        <v>209</v>
      </c>
      <c r="F1352" s="3" t="s">
        <v>82</v>
      </c>
      <c r="G1352" s="3" t="s">
        <v>83</v>
      </c>
      <c r="H1352" s="4">
        <v>46290.838309143517</v>
      </c>
      <c r="I1352" s="4">
        <v>46290.92682847222</v>
      </c>
      <c r="J1352" s="3">
        <f>ROUND((I1352-H1352)*1440,0)</f>
        <v>127</v>
      </c>
      <c r="K1352" s="3" t="s">
        <v>739</v>
      </c>
      <c r="L1352" s="3" t="s">
        <v>77</v>
      </c>
      <c r="M1352" s="3" t="s">
        <v>78</v>
      </c>
      <c r="N1352" s="3" t="s">
        <v>23</v>
      </c>
      <c r="O1352" s="3" t="s">
        <v>740</v>
      </c>
    </row>
    <row r="1353" spans="1:15" hidden="1" x14ac:dyDescent="0.75">
      <c r="A1353" s="2">
        <v>46290</v>
      </c>
      <c r="B1353" s="3" t="s">
        <v>1801</v>
      </c>
      <c r="C1353" s="3" t="s">
        <v>1802</v>
      </c>
      <c r="D1353" s="3" t="s">
        <v>17</v>
      </c>
      <c r="E1353" s="3" t="s">
        <v>18</v>
      </c>
      <c r="F1353" s="3" t="s">
        <v>27</v>
      </c>
      <c r="G1353" s="3" t="s">
        <v>28</v>
      </c>
      <c r="H1353" s="4">
        <v>46290.83833726852</v>
      </c>
      <c r="I1353" s="4">
        <v>46290.86847361111</v>
      </c>
      <c r="J1353" s="3">
        <f>ROUND((I1353-H1353)*1440,0)</f>
        <v>43</v>
      </c>
      <c r="K1353" s="3" t="s">
        <v>2303</v>
      </c>
      <c r="L1353" s="3" t="s">
        <v>77</v>
      </c>
      <c r="M1353" s="3" t="s">
        <v>78</v>
      </c>
      <c r="N1353" s="3" t="s">
        <v>23</v>
      </c>
      <c r="O1353" s="3" t="s">
        <v>2304</v>
      </c>
    </row>
    <row r="1354" spans="1:15" hidden="1" x14ac:dyDescent="0.75">
      <c r="A1354" s="2">
        <v>46290</v>
      </c>
      <c r="B1354" s="3" t="s">
        <v>1931</v>
      </c>
      <c r="C1354" s="3" t="s">
        <v>1932</v>
      </c>
      <c r="D1354" s="3" t="s">
        <v>304</v>
      </c>
      <c r="E1354" s="3" t="s">
        <v>305</v>
      </c>
      <c r="F1354" s="3" t="s">
        <v>27</v>
      </c>
      <c r="G1354" s="3" t="s">
        <v>28</v>
      </c>
      <c r="H1354" s="4">
        <v>46290.838729282397</v>
      </c>
      <c r="I1354" s="4">
        <v>46291.053751620369</v>
      </c>
      <c r="J1354" s="3">
        <f>ROUND((I1354-H1354)*1440,0)</f>
        <v>310</v>
      </c>
      <c r="K1354" s="3" t="s">
        <v>326</v>
      </c>
      <c r="L1354" s="3" t="s">
        <v>22</v>
      </c>
      <c r="M1354" s="3" t="s">
        <v>22</v>
      </c>
      <c r="N1354" s="3" t="s">
        <v>23</v>
      </c>
      <c r="O1354" s="3" t="s">
        <v>327</v>
      </c>
    </row>
    <row r="1355" spans="1:15" hidden="1" x14ac:dyDescent="0.75">
      <c r="A1355" s="2">
        <v>46290</v>
      </c>
      <c r="B1355" s="3" t="s">
        <v>1965</v>
      </c>
      <c r="C1355" s="3" t="s">
        <v>1966</v>
      </c>
      <c r="D1355" s="3" t="s">
        <v>27</v>
      </c>
      <c r="E1355" s="3" t="s">
        <v>28</v>
      </c>
      <c r="F1355" s="3" t="s">
        <v>719</v>
      </c>
      <c r="G1355" s="3" t="s">
        <v>720</v>
      </c>
      <c r="H1355" s="4">
        <v>46290.838853356479</v>
      </c>
      <c r="I1355" s="4">
        <v>46290.957980208332</v>
      </c>
      <c r="J1355" s="3">
        <f>ROUND((I1355-H1355)*1440,0)</f>
        <v>172</v>
      </c>
      <c r="K1355" s="3" t="s">
        <v>224</v>
      </c>
      <c r="L1355" s="3" t="s">
        <v>77</v>
      </c>
      <c r="M1355" s="3" t="s">
        <v>78</v>
      </c>
      <c r="N1355" s="3" t="s">
        <v>23</v>
      </c>
      <c r="O1355" s="3" t="s">
        <v>225</v>
      </c>
    </row>
    <row r="1356" spans="1:15" hidden="1" x14ac:dyDescent="0.75">
      <c r="A1356" s="2">
        <v>46290</v>
      </c>
      <c r="B1356" s="3" t="s">
        <v>1779</v>
      </c>
      <c r="C1356" s="3" t="s">
        <v>1780</v>
      </c>
      <c r="D1356" s="3" t="s">
        <v>334</v>
      </c>
      <c r="E1356" s="3" t="s">
        <v>335</v>
      </c>
      <c r="F1356" s="3" t="s">
        <v>56</v>
      </c>
      <c r="G1356" s="3" t="s">
        <v>57</v>
      </c>
      <c r="H1356" s="4">
        <v>46290.839417592593</v>
      </c>
      <c r="I1356" s="4">
        <v>46290.939694444452</v>
      </c>
      <c r="J1356" s="3">
        <f>ROUND((I1356-H1356)*1440,0)</f>
        <v>144</v>
      </c>
      <c r="K1356" s="3" t="s">
        <v>438</v>
      </c>
      <c r="L1356" s="3" t="s">
        <v>36</v>
      </c>
      <c r="M1356" s="3" t="s">
        <v>36</v>
      </c>
      <c r="N1356" s="3" t="s">
        <v>23</v>
      </c>
      <c r="O1356" s="3" t="s">
        <v>439</v>
      </c>
    </row>
    <row r="1357" spans="1:15" hidden="1" x14ac:dyDescent="0.75">
      <c r="A1357" s="2">
        <v>46290</v>
      </c>
      <c r="B1357" s="3" t="s">
        <v>1749</v>
      </c>
      <c r="C1357" s="3" t="s">
        <v>1750</v>
      </c>
      <c r="D1357" s="3"/>
      <c r="E1357" s="3"/>
      <c r="F1357" s="3" t="s">
        <v>56</v>
      </c>
      <c r="G1357" s="3" t="s">
        <v>57</v>
      </c>
      <c r="H1357" s="4">
        <v>46290.84017314815</v>
      </c>
      <c r="I1357" s="4">
        <v>46290.909680092591</v>
      </c>
      <c r="J1357" s="3">
        <f>ROUND((I1357-H1357)*1440,0)</f>
        <v>100</v>
      </c>
      <c r="K1357" s="3" t="s">
        <v>164</v>
      </c>
      <c r="L1357" s="3" t="s">
        <v>36</v>
      </c>
      <c r="M1357" s="3" t="s">
        <v>36</v>
      </c>
      <c r="N1357" s="3" t="s">
        <v>23</v>
      </c>
      <c r="O1357" s="3" t="s">
        <v>165</v>
      </c>
    </row>
    <row r="1358" spans="1:15" hidden="1" x14ac:dyDescent="0.75">
      <c r="A1358" s="2">
        <v>46290</v>
      </c>
      <c r="B1358" s="3" t="s">
        <v>1745</v>
      </c>
      <c r="C1358" s="3" t="s">
        <v>1746</v>
      </c>
      <c r="D1358" s="3" t="s">
        <v>17</v>
      </c>
      <c r="E1358" s="3" t="s">
        <v>18</v>
      </c>
      <c r="F1358" s="3"/>
      <c r="G1358" s="3"/>
      <c r="H1358" s="4">
        <v>46290.841036342586</v>
      </c>
      <c r="I1358" s="4">
        <v>46290.915287037038</v>
      </c>
      <c r="J1358" s="3">
        <f>ROUND((I1358-H1358)*1440,0)</f>
        <v>107</v>
      </c>
      <c r="K1358" s="3" t="s">
        <v>931</v>
      </c>
      <c r="L1358" s="3" t="s">
        <v>77</v>
      </c>
      <c r="M1358" s="3" t="s">
        <v>78</v>
      </c>
      <c r="N1358" s="3" t="s">
        <v>45</v>
      </c>
      <c r="O1358" s="3" t="s">
        <v>932</v>
      </c>
    </row>
    <row r="1359" spans="1:15" hidden="1" x14ac:dyDescent="0.75">
      <c r="A1359" s="2">
        <v>46290</v>
      </c>
      <c r="B1359" s="3" t="s">
        <v>1773</v>
      </c>
      <c r="C1359" s="3" t="s">
        <v>1774</v>
      </c>
      <c r="D1359" s="3" t="s">
        <v>683</v>
      </c>
      <c r="E1359" s="3" t="s">
        <v>684</v>
      </c>
      <c r="F1359" s="3" t="s">
        <v>56</v>
      </c>
      <c r="G1359" s="3" t="s">
        <v>57</v>
      </c>
      <c r="H1359" s="4">
        <v>46290.841048726848</v>
      </c>
      <c r="I1359" s="4">
        <v>46290.907349537039</v>
      </c>
      <c r="J1359" s="3">
        <f>ROUND((I1359-H1359)*1440,0)</f>
        <v>95</v>
      </c>
      <c r="K1359" s="3" t="s">
        <v>272</v>
      </c>
      <c r="L1359" s="3" t="s">
        <v>36</v>
      </c>
      <c r="M1359" s="3" t="s">
        <v>36</v>
      </c>
      <c r="N1359" s="3" t="s">
        <v>23</v>
      </c>
      <c r="O1359" s="3" t="s">
        <v>273</v>
      </c>
    </row>
    <row r="1360" spans="1:15" hidden="1" x14ac:dyDescent="0.75">
      <c r="A1360" s="2">
        <v>46290</v>
      </c>
      <c r="B1360" s="3" t="s">
        <v>1813</v>
      </c>
      <c r="C1360" s="3" t="s">
        <v>1814</v>
      </c>
      <c r="D1360" s="3" t="s">
        <v>737</v>
      </c>
      <c r="E1360" s="3" t="s">
        <v>738</v>
      </c>
      <c r="F1360" s="3" t="s">
        <v>17</v>
      </c>
      <c r="G1360" s="3" t="s">
        <v>18</v>
      </c>
      <c r="H1360" s="4">
        <v>46290.841232754632</v>
      </c>
      <c r="I1360" s="4">
        <v>46290.888941203702</v>
      </c>
      <c r="J1360" s="3">
        <f>ROUND((I1360-H1360)*1440,0)</f>
        <v>69</v>
      </c>
      <c r="K1360" s="3" t="s">
        <v>2193</v>
      </c>
      <c r="L1360" s="3" t="s">
        <v>77</v>
      </c>
      <c r="M1360" s="3" t="s">
        <v>78</v>
      </c>
      <c r="N1360" s="3" t="s">
        <v>23</v>
      </c>
      <c r="O1360" s="3" t="s">
        <v>2194</v>
      </c>
    </row>
    <row r="1361" spans="1:15" hidden="1" x14ac:dyDescent="0.75">
      <c r="A1361" s="2">
        <v>46290</v>
      </c>
      <c r="B1361" s="3" t="s">
        <v>2011</v>
      </c>
      <c r="C1361" s="3" t="s">
        <v>2012</v>
      </c>
      <c r="D1361" s="3" t="s">
        <v>1269</v>
      </c>
      <c r="E1361" s="3" t="s">
        <v>1270</v>
      </c>
      <c r="F1361" s="3" t="s">
        <v>27</v>
      </c>
      <c r="G1361" s="3" t="s">
        <v>28</v>
      </c>
      <c r="H1361" s="4">
        <v>46290.842704629627</v>
      </c>
      <c r="I1361" s="4">
        <v>46290.926586921298</v>
      </c>
      <c r="J1361" s="3">
        <f>ROUND((I1361-H1361)*1440,0)</f>
        <v>121</v>
      </c>
      <c r="K1361" s="3" t="s">
        <v>240</v>
      </c>
      <c r="L1361" s="3" t="s">
        <v>52</v>
      </c>
      <c r="M1361" s="3"/>
      <c r="N1361" s="3" t="s">
        <v>23</v>
      </c>
      <c r="O1361" s="3" t="s">
        <v>241</v>
      </c>
    </row>
    <row r="1362" spans="1:15" hidden="1" x14ac:dyDescent="0.75">
      <c r="A1362" s="2">
        <v>46290</v>
      </c>
      <c r="B1362" s="3" t="s">
        <v>1727</v>
      </c>
      <c r="C1362" s="3" t="s">
        <v>1728</v>
      </c>
      <c r="D1362" s="3" t="s">
        <v>19</v>
      </c>
      <c r="E1362" s="3" t="s">
        <v>20</v>
      </c>
      <c r="F1362" s="3" t="s">
        <v>17</v>
      </c>
      <c r="G1362" s="3" t="s">
        <v>18</v>
      </c>
      <c r="H1362" s="4">
        <v>46290.843667592591</v>
      </c>
      <c r="I1362" s="4">
        <v>46290.939902662038</v>
      </c>
      <c r="J1362" s="3">
        <f>ROUND((I1362-H1362)*1440,0)</f>
        <v>139</v>
      </c>
      <c r="K1362" s="3" t="s">
        <v>21</v>
      </c>
      <c r="L1362" s="3" t="s">
        <v>22</v>
      </c>
      <c r="M1362" s="3" t="s">
        <v>22</v>
      </c>
      <c r="N1362" s="3" t="s">
        <v>23</v>
      </c>
      <c r="O1362" s="3" t="s">
        <v>24</v>
      </c>
    </row>
    <row r="1363" spans="1:15" hidden="1" x14ac:dyDescent="0.75">
      <c r="A1363" s="2">
        <v>46290</v>
      </c>
      <c r="B1363" s="3" t="s">
        <v>1821</v>
      </c>
      <c r="C1363" s="3" t="s">
        <v>1822</v>
      </c>
      <c r="D1363" s="3" t="s">
        <v>234</v>
      </c>
      <c r="E1363" s="3" t="s">
        <v>235</v>
      </c>
      <c r="F1363" s="3" t="s">
        <v>82</v>
      </c>
      <c r="G1363" s="3" t="s">
        <v>83</v>
      </c>
      <c r="H1363" s="4">
        <v>46290.846122106479</v>
      </c>
      <c r="I1363" s="4">
        <v>46290.937258333332</v>
      </c>
      <c r="J1363" s="3">
        <f>ROUND((I1363-H1363)*1440,0)</f>
        <v>131</v>
      </c>
      <c r="K1363" s="3" t="s">
        <v>422</v>
      </c>
      <c r="L1363" s="3" t="s">
        <v>77</v>
      </c>
      <c r="M1363" s="3" t="s">
        <v>78</v>
      </c>
      <c r="N1363" s="3" t="s">
        <v>23</v>
      </c>
      <c r="O1363" s="3" t="s">
        <v>423</v>
      </c>
    </row>
    <row r="1364" spans="1:15" hidden="1" x14ac:dyDescent="0.75">
      <c r="A1364" s="2">
        <v>46290</v>
      </c>
      <c r="B1364" s="3" t="s">
        <v>2305</v>
      </c>
      <c r="C1364" s="3" t="s">
        <v>2306</v>
      </c>
      <c r="D1364" s="3"/>
      <c r="E1364" s="3"/>
      <c r="F1364" s="3" t="s">
        <v>82</v>
      </c>
      <c r="G1364" s="3" t="s">
        <v>83</v>
      </c>
      <c r="H1364" s="4">
        <v>46290.84990173611</v>
      </c>
      <c r="I1364" s="4">
        <v>46290.940932175923</v>
      </c>
      <c r="J1364" s="3">
        <f>ROUND((I1364-H1364)*1440,0)</f>
        <v>131</v>
      </c>
      <c r="K1364" s="3" t="s">
        <v>2307</v>
      </c>
      <c r="L1364" s="3" t="s">
        <v>36</v>
      </c>
      <c r="M1364" s="3" t="s">
        <v>36</v>
      </c>
      <c r="N1364" s="3" t="s">
        <v>23</v>
      </c>
      <c r="O1364" s="3" t="s">
        <v>2308</v>
      </c>
    </row>
    <row r="1365" spans="1:15" hidden="1" x14ac:dyDescent="0.75">
      <c r="A1365" s="2">
        <v>46290</v>
      </c>
      <c r="B1365" s="3" t="s">
        <v>47</v>
      </c>
      <c r="C1365" s="3" t="s">
        <v>48</v>
      </c>
      <c r="D1365" s="3" t="s">
        <v>49</v>
      </c>
      <c r="E1365" s="3" t="s">
        <v>50</v>
      </c>
      <c r="F1365" s="3" t="s">
        <v>27</v>
      </c>
      <c r="G1365" s="3" t="s">
        <v>28</v>
      </c>
      <c r="H1365" s="4">
        <v>46290.849948379633</v>
      </c>
      <c r="I1365" s="4">
        <v>46290.884981134259</v>
      </c>
      <c r="J1365" s="3">
        <f>ROUND((I1365-H1365)*1440,0)</f>
        <v>50</v>
      </c>
      <c r="K1365" s="3" t="s">
        <v>1293</v>
      </c>
      <c r="L1365" s="3" t="s">
        <v>77</v>
      </c>
      <c r="M1365" s="3" t="s">
        <v>78</v>
      </c>
      <c r="N1365" s="3" t="s">
        <v>23</v>
      </c>
      <c r="O1365" s="3" t="s">
        <v>1294</v>
      </c>
    </row>
    <row r="1366" spans="1:15" hidden="1" x14ac:dyDescent="0.75">
      <c r="A1366" s="2">
        <v>46290</v>
      </c>
      <c r="B1366" s="3" t="s">
        <v>1265</v>
      </c>
      <c r="C1366" s="3" t="s">
        <v>1266</v>
      </c>
      <c r="D1366" s="3"/>
      <c r="E1366" s="3"/>
      <c r="F1366" s="3" t="s">
        <v>17</v>
      </c>
      <c r="G1366" s="3" t="s">
        <v>18</v>
      </c>
      <c r="H1366" s="4">
        <v>46290.849961921303</v>
      </c>
      <c r="I1366" s="4">
        <v>46290.935056249997</v>
      </c>
      <c r="J1366" s="3">
        <f>ROUND((I1366-H1366)*1440,0)</f>
        <v>123</v>
      </c>
      <c r="K1366" s="3" t="s">
        <v>807</v>
      </c>
      <c r="L1366" s="3" t="s">
        <v>77</v>
      </c>
      <c r="M1366" s="3" t="s">
        <v>78</v>
      </c>
      <c r="N1366" s="3" t="s">
        <v>23</v>
      </c>
      <c r="O1366" s="3" t="s">
        <v>808</v>
      </c>
    </row>
    <row r="1367" spans="1:15" hidden="1" x14ac:dyDescent="0.75">
      <c r="A1367" s="2">
        <v>46290</v>
      </c>
      <c r="B1367" s="3" t="s">
        <v>1781</v>
      </c>
      <c r="C1367" s="3" t="s">
        <v>1782</v>
      </c>
      <c r="D1367" s="3" t="s">
        <v>17</v>
      </c>
      <c r="E1367" s="3" t="s">
        <v>18</v>
      </c>
      <c r="F1367" s="3" t="s">
        <v>122</v>
      </c>
      <c r="G1367" s="3" t="s">
        <v>123</v>
      </c>
      <c r="H1367" s="4">
        <v>46290.853949884258</v>
      </c>
      <c r="I1367" s="4">
        <v>46291.086719791667</v>
      </c>
      <c r="J1367" s="3">
        <f>ROUND((I1367-H1367)*1440,0)</f>
        <v>335</v>
      </c>
      <c r="K1367" s="3" t="s">
        <v>481</v>
      </c>
      <c r="L1367" s="3" t="s">
        <v>22</v>
      </c>
      <c r="M1367" s="3" t="s">
        <v>22</v>
      </c>
      <c r="N1367" s="3" t="s">
        <v>23</v>
      </c>
      <c r="O1367" s="3" t="s">
        <v>482</v>
      </c>
    </row>
    <row r="1368" spans="1:15" hidden="1" x14ac:dyDescent="0.75">
      <c r="A1368" s="2">
        <v>46290</v>
      </c>
      <c r="B1368" s="3" t="s">
        <v>1799</v>
      </c>
      <c r="C1368" s="3" t="s">
        <v>1800</v>
      </c>
      <c r="D1368" s="3" t="s">
        <v>27</v>
      </c>
      <c r="E1368" s="3" t="s">
        <v>28</v>
      </c>
      <c r="F1368" s="3"/>
      <c r="G1368" s="3"/>
      <c r="H1368" s="4">
        <v>46290.853968634263</v>
      </c>
      <c r="I1368" s="4">
        <v>46290.898627662027</v>
      </c>
      <c r="J1368" s="3">
        <f>ROUND((I1368-H1368)*1440,0)</f>
        <v>64</v>
      </c>
      <c r="K1368" s="3" t="s">
        <v>2263</v>
      </c>
      <c r="L1368" s="3" t="s">
        <v>77</v>
      </c>
      <c r="M1368" s="3" t="s">
        <v>78</v>
      </c>
      <c r="N1368" s="3" t="s">
        <v>45</v>
      </c>
      <c r="O1368" s="3" t="s">
        <v>2264</v>
      </c>
    </row>
    <row r="1369" spans="1:15" hidden="1" x14ac:dyDescent="0.75">
      <c r="A1369" s="2">
        <v>46290</v>
      </c>
      <c r="B1369" s="3" t="s">
        <v>1787</v>
      </c>
      <c r="C1369" s="3" t="s">
        <v>1788</v>
      </c>
      <c r="D1369" s="3" t="s">
        <v>17</v>
      </c>
      <c r="E1369" s="3" t="s">
        <v>18</v>
      </c>
      <c r="F1369" s="3" t="s">
        <v>264</v>
      </c>
      <c r="G1369" s="3" t="s">
        <v>265</v>
      </c>
      <c r="H1369" s="4">
        <v>46290.858120717603</v>
      </c>
      <c r="I1369" s="4">
        <v>46291.062042939811</v>
      </c>
      <c r="J1369" s="3">
        <f>ROUND((I1369-H1369)*1440,0)</f>
        <v>294</v>
      </c>
      <c r="K1369" s="3" t="s">
        <v>965</v>
      </c>
      <c r="L1369" s="3" t="s">
        <v>22</v>
      </c>
      <c r="M1369" s="3" t="s">
        <v>22</v>
      </c>
      <c r="N1369" s="3" t="s">
        <v>23</v>
      </c>
      <c r="O1369" s="3" t="s">
        <v>966</v>
      </c>
    </row>
    <row r="1370" spans="1:15" hidden="1" x14ac:dyDescent="0.75">
      <c r="A1370" s="2">
        <v>46290</v>
      </c>
      <c r="B1370" s="3" t="s">
        <v>1907</v>
      </c>
      <c r="C1370" s="3" t="s">
        <v>1908</v>
      </c>
      <c r="D1370" s="3" t="s">
        <v>27</v>
      </c>
      <c r="E1370" s="3" t="s">
        <v>28</v>
      </c>
      <c r="F1370" s="3" t="s">
        <v>122</v>
      </c>
      <c r="G1370" s="3" t="s">
        <v>123</v>
      </c>
      <c r="H1370" s="4">
        <v>46290.858134953713</v>
      </c>
      <c r="I1370" s="4">
        <v>46291.095753935188</v>
      </c>
      <c r="J1370" s="3">
        <f>ROUND((I1370-H1370)*1440,0)</f>
        <v>342</v>
      </c>
      <c r="K1370" s="3" t="s">
        <v>841</v>
      </c>
      <c r="L1370" s="3" t="s">
        <v>22</v>
      </c>
      <c r="M1370" s="3" t="s">
        <v>22</v>
      </c>
      <c r="N1370" s="3" t="s">
        <v>23</v>
      </c>
      <c r="O1370" s="3" t="s">
        <v>842</v>
      </c>
    </row>
    <row r="1371" spans="1:15" hidden="1" x14ac:dyDescent="0.75">
      <c r="A1371" s="2">
        <v>46290</v>
      </c>
      <c r="B1371" s="3" t="s">
        <v>1557</v>
      </c>
      <c r="C1371" s="3" t="s">
        <v>1558</v>
      </c>
      <c r="D1371" s="3"/>
      <c r="E1371" s="3"/>
      <c r="F1371" s="3" t="s">
        <v>615</v>
      </c>
      <c r="G1371" s="3" t="s">
        <v>616</v>
      </c>
      <c r="H1371" s="4">
        <v>46290.858159837961</v>
      </c>
      <c r="I1371" s="4">
        <v>46290.939920486111</v>
      </c>
      <c r="J1371" s="3">
        <f>ROUND((I1371-H1371)*1440,0)</f>
        <v>118</v>
      </c>
      <c r="K1371" s="3" t="s">
        <v>911</v>
      </c>
      <c r="L1371" s="3" t="s">
        <v>36</v>
      </c>
      <c r="M1371" s="3" t="s">
        <v>36</v>
      </c>
      <c r="N1371" s="3" t="s">
        <v>45</v>
      </c>
      <c r="O1371" s="3" t="s">
        <v>912</v>
      </c>
    </row>
    <row r="1372" spans="1:15" hidden="1" x14ac:dyDescent="0.75">
      <c r="A1372" s="2">
        <v>46290</v>
      </c>
      <c r="B1372" s="3" t="s">
        <v>1785</v>
      </c>
      <c r="C1372" s="3" t="s">
        <v>1786</v>
      </c>
      <c r="D1372" s="3" t="s">
        <v>27</v>
      </c>
      <c r="E1372" s="3" t="s">
        <v>28</v>
      </c>
      <c r="F1372" s="3" t="s">
        <v>304</v>
      </c>
      <c r="G1372" s="3" t="s">
        <v>305</v>
      </c>
      <c r="H1372" s="4">
        <v>46290.862616782397</v>
      </c>
      <c r="I1372" s="4">
        <v>46291.097822800933</v>
      </c>
      <c r="J1372" s="3">
        <f>ROUND((I1372-H1372)*1440,0)</f>
        <v>339</v>
      </c>
      <c r="K1372" s="3" t="s">
        <v>769</v>
      </c>
      <c r="L1372" s="3" t="s">
        <v>43</v>
      </c>
      <c r="M1372" s="3" t="s">
        <v>44</v>
      </c>
      <c r="N1372" s="3" t="s">
        <v>23</v>
      </c>
      <c r="O1372" s="3" t="s">
        <v>770</v>
      </c>
    </row>
    <row r="1373" spans="1:15" hidden="1" x14ac:dyDescent="0.75">
      <c r="A1373" s="2">
        <v>46290</v>
      </c>
      <c r="B1373" s="3" t="s">
        <v>1823</v>
      </c>
      <c r="C1373" s="3" t="s">
        <v>1824</v>
      </c>
      <c r="D1373" s="3"/>
      <c r="E1373" s="3"/>
      <c r="F1373" s="3" t="s">
        <v>82</v>
      </c>
      <c r="G1373" s="3" t="s">
        <v>83</v>
      </c>
      <c r="H1373" s="4">
        <v>46290.862630439813</v>
      </c>
      <c r="I1373" s="4">
        <v>46290.946932754632</v>
      </c>
      <c r="J1373" s="3">
        <f>ROUND((I1373-H1373)*1440,0)</f>
        <v>121</v>
      </c>
      <c r="K1373" s="3" t="s">
        <v>1125</v>
      </c>
      <c r="L1373" s="3" t="s">
        <v>36</v>
      </c>
      <c r="M1373" s="3" t="s">
        <v>36</v>
      </c>
      <c r="N1373" s="3" t="s">
        <v>23</v>
      </c>
      <c r="O1373" s="3" t="s">
        <v>1126</v>
      </c>
    </row>
    <row r="1374" spans="1:15" hidden="1" x14ac:dyDescent="0.75">
      <c r="A1374" s="2">
        <v>46290</v>
      </c>
      <c r="B1374" s="3" t="s">
        <v>98</v>
      </c>
      <c r="C1374" s="3" t="s">
        <v>99</v>
      </c>
      <c r="D1374" s="3" t="s">
        <v>100</v>
      </c>
      <c r="E1374" s="3" t="s">
        <v>101</v>
      </c>
      <c r="F1374" s="3" t="s">
        <v>27</v>
      </c>
      <c r="G1374" s="3" t="s">
        <v>28</v>
      </c>
      <c r="H1374" s="4">
        <v>46290.863077314818</v>
      </c>
      <c r="I1374" s="4">
        <v>46290.957036921303</v>
      </c>
      <c r="J1374" s="3">
        <f>ROUND((I1374-H1374)*1440,0)</f>
        <v>135</v>
      </c>
      <c r="K1374" s="3" t="s">
        <v>969</v>
      </c>
      <c r="L1374" s="3" t="s">
        <v>36</v>
      </c>
      <c r="M1374" s="3" t="s">
        <v>36</v>
      </c>
      <c r="N1374" s="3" t="s">
        <v>23</v>
      </c>
      <c r="O1374" s="3" t="s">
        <v>970</v>
      </c>
    </row>
    <row r="1375" spans="1:15" hidden="1" x14ac:dyDescent="0.75">
      <c r="A1375" s="2">
        <v>46290</v>
      </c>
      <c r="B1375" s="3" t="s">
        <v>1817</v>
      </c>
      <c r="C1375" s="3" t="s">
        <v>1818</v>
      </c>
      <c r="D1375" s="3" t="s">
        <v>27</v>
      </c>
      <c r="E1375" s="3" t="s">
        <v>28</v>
      </c>
      <c r="F1375" s="3" t="s">
        <v>897</v>
      </c>
      <c r="G1375" s="3" t="s">
        <v>898</v>
      </c>
      <c r="H1375" s="4">
        <v>46290.86343553241</v>
      </c>
      <c r="I1375" s="4">
        <v>46290.915313078702</v>
      </c>
      <c r="J1375" s="3">
        <f>ROUND((I1375-H1375)*1440,0)</f>
        <v>75</v>
      </c>
      <c r="K1375" s="3" t="s">
        <v>356</v>
      </c>
      <c r="L1375" s="3" t="s">
        <v>77</v>
      </c>
      <c r="M1375" s="3" t="s">
        <v>78</v>
      </c>
      <c r="N1375" s="3" t="s">
        <v>45</v>
      </c>
      <c r="O1375" s="3" t="s">
        <v>357</v>
      </c>
    </row>
    <row r="1376" spans="1:15" hidden="1" x14ac:dyDescent="0.75">
      <c r="A1376" s="2">
        <v>46290</v>
      </c>
      <c r="B1376" s="3" t="s">
        <v>1825</v>
      </c>
      <c r="C1376" s="3" t="s">
        <v>1826</v>
      </c>
      <c r="D1376" s="3" t="s">
        <v>158</v>
      </c>
      <c r="E1376" s="3" t="s">
        <v>159</v>
      </c>
      <c r="F1376" s="3" t="s">
        <v>56</v>
      </c>
      <c r="G1376" s="3" t="s">
        <v>57</v>
      </c>
      <c r="H1376" s="4">
        <v>46290.868407638889</v>
      </c>
      <c r="I1376" s="4">
        <v>46290.952362037038</v>
      </c>
      <c r="J1376" s="3">
        <f>ROUND((I1376-H1376)*1440,0)</f>
        <v>121</v>
      </c>
      <c r="K1376" s="3" t="s">
        <v>2147</v>
      </c>
      <c r="L1376" s="3" t="s">
        <v>77</v>
      </c>
      <c r="M1376" s="3" t="s">
        <v>78</v>
      </c>
      <c r="N1376" s="3" t="s">
        <v>23</v>
      </c>
      <c r="O1376" s="3" t="s">
        <v>2148</v>
      </c>
    </row>
    <row r="1377" spans="1:15" hidden="1" x14ac:dyDescent="0.75">
      <c r="A1377" s="2">
        <v>46290</v>
      </c>
      <c r="B1377" s="3" t="s">
        <v>1837</v>
      </c>
      <c r="C1377" s="3" t="s">
        <v>1838</v>
      </c>
      <c r="D1377" s="3" t="s">
        <v>56</v>
      </c>
      <c r="E1377" s="3" t="s">
        <v>57</v>
      </c>
      <c r="F1377" s="3" t="s">
        <v>977</v>
      </c>
      <c r="G1377" s="3" t="s">
        <v>978</v>
      </c>
      <c r="H1377" s="4">
        <v>46290.86841354167</v>
      </c>
      <c r="I1377" s="4">
        <v>46290.922914699077</v>
      </c>
      <c r="J1377" s="3">
        <f>ROUND((I1377-H1377)*1440,0)</f>
        <v>78</v>
      </c>
      <c r="K1377" s="3" t="s">
        <v>1723</v>
      </c>
      <c r="L1377" s="3" t="s">
        <v>36</v>
      </c>
      <c r="M1377" s="3" t="s">
        <v>36</v>
      </c>
      <c r="N1377" s="3" t="s">
        <v>45</v>
      </c>
      <c r="O1377" s="3" t="s">
        <v>1724</v>
      </c>
    </row>
    <row r="1378" spans="1:15" hidden="1" x14ac:dyDescent="0.75">
      <c r="A1378" s="2">
        <v>46290</v>
      </c>
      <c r="B1378" s="3" t="s">
        <v>1827</v>
      </c>
      <c r="C1378" s="3" t="s">
        <v>1828</v>
      </c>
      <c r="D1378" s="3" t="s">
        <v>27</v>
      </c>
      <c r="E1378" s="3" t="s">
        <v>28</v>
      </c>
      <c r="F1378" s="3" t="s">
        <v>459</v>
      </c>
      <c r="G1378" s="3" t="s">
        <v>460</v>
      </c>
      <c r="H1378" s="4">
        <v>46290.868414351848</v>
      </c>
      <c r="I1378" s="4">
        <v>46291.101774189818</v>
      </c>
      <c r="J1378" s="3">
        <f>ROUND((I1378-H1378)*1440,0)</f>
        <v>336</v>
      </c>
      <c r="K1378" s="3" t="s">
        <v>519</v>
      </c>
      <c r="L1378" s="3" t="s">
        <v>22</v>
      </c>
      <c r="M1378" s="3" t="s">
        <v>22</v>
      </c>
      <c r="N1378" s="3" t="s">
        <v>23</v>
      </c>
      <c r="O1378" s="3" t="s">
        <v>520</v>
      </c>
    </row>
    <row r="1379" spans="1:15" hidden="1" x14ac:dyDescent="0.75">
      <c r="A1379" s="2">
        <v>46290</v>
      </c>
      <c r="B1379" s="3" t="s">
        <v>2309</v>
      </c>
      <c r="C1379" s="3" t="s">
        <v>2310</v>
      </c>
      <c r="D1379" s="3" t="s">
        <v>208</v>
      </c>
      <c r="E1379" s="3" t="s">
        <v>209</v>
      </c>
      <c r="F1379" s="3" t="s">
        <v>56</v>
      </c>
      <c r="G1379" s="3" t="s">
        <v>57</v>
      </c>
      <c r="H1379" s="4">
        <v>46290.868425000001</v>
      </c>
      <c r="I1379" s="4">
        <v>46290.962771296297</v>
      </c>
      <c r="J1379" s="3">
        <f>ROUND((I1379-H1379)*1440,0)</f>
        <v>136</v>
      </c>
      <c r="K1379" s="3" t="s">
        <v>292</v>
      </c>
      <c r="L1379" s="3" t="s">
        <v>36</v>
      </c>
      <c r="M1379" s="3" t="s">
        <v>36</v>
      </c>
      <c r="N1379" s="3" t="s">
        <v>23</v>
      </c>
      <c r="O1379" s="3" t="s">
        <v>293</v>
      </c>
    </row>
    <row r="1380" spans="1:15" hidden="1" x14ac:dyDescent="0.75">
      <c r="A1380" s="2">
        <v>46290</v>
      </c>
      <c r="B1380" s="3" t="s">
        <v>1809</v>
      </c>
      <c r="C1380" s="3" t="s">
        <v>1810</v>
      </c>
      <c r="D1380" s="3" t="s">
        <v>17</v>
      </c>
      <c r="E1380" s="3" t="s">
        <v>18</v>
      </c>
      <c r="F1380" s="3" t="s">
        <v>94</v>
      </c>
      <c r="G1380" s="3" t="s">
        <v>95</v>
      </c>
      <c r="H1380" s="4">
        <v>46290.868430092603</v>
      </c>
      <c r="I1380" s="4">
        <v>46290.91795451389</v>
      </c>
      <c r="J1380" s="3">
        <f>ROUND((I1380-H1380)*1440,0)</f>
        <v>71</v>
      </c>
      <c r="K1380" s="3" t="s">
        <v>1997</v>
      </c>
      <c r="L1380" s="3" t="s">
        <v>77</v>
      </c>
      <c r="M1380" s="3" t="s">
        <v>78</v>
      </c>
      <c r="N1380" s="3" t="s">
        <v>23</v>
      </c>
      <c r="O1380" s="3" t="s">
        <v>1998</v>
      </c>
    </row>
    <row r="1381" spans="1:15" hidden="1" x14ac:dyDescent="0.75">
      <c r="A1381" s="2">
        <v>46290</v>
      </c>
      <c r="B1381" s="3" t="s">
        <v>1639</v>
      </c>
      <c r="C1381" s="3" t="s">
        <v>1640</v>
      </c>
      <c r="D1381" s="3" t="s">
        <v>82</v>
      </c>
      <c r="E1381" s="3" t="s">
        <v>83</v>
      </c>
      <c r="F1381" s="3" t="s">
        <v>208</v>
      </c>
      <c r="G1381" s="3" t="s">
        <v>209</v>
      </c>
      <c r="H1381" s="4">
        <v>46290.868444675929</v>
      </c>
      <c r="I1381" s="4">
        <v>46290.965265856481</v>
      </c>
      <c r="J1381" s="3">
        <f>ROUND((I1381-H1381)*1440,0)</f>
        <v>139</v>
      </c>
      <c r="K1381" s="3" t="s">
        <v>1089</v>
      </c>
      <c r="L1381" s="3" t="s">
        <v>36</v>
      </c>
      <c r="M1381" s="3" t="s">
        <v>36</v>
      </c>
      <c r="N1381" s="3" t="s">
        <v>23</v>
      </c>
      <c r="O1381" s="3" t="s">
        <v>1090</v>
      </c>
    </row>
    <row r="1382" spans="1:15" hidden="1" x14ac:dyDescent="0.75">
      <c r="A1382" s="2">
        <v>46290</v>
      </c>
      <c r="B1382" s="3" t="s">
        <v>1811</v>
      </c>
      <c r="C1382" s="3" t="s">
        <v>1812</v>
      </c>
      <c r="D1382" s="3"/>
      <c r="E1382" s="3"/>
      <c r="F1382" s="3" t="s">
        <v>56</v>
      </c>
      <c r="G1382" s="3" t="s">
        <v>57</v>
      </c>
      <c r="H1382" s="4">
        <v>46290.868467245367</v>
      </c>
      <c r="I1382" s="4">
        <v>46290.961934375002</v>
      </c>
      <c r="J1382" s="3">
        <f>ROUND((I1382-H1382)*1440,0)</f>
        <v>135</v>
      </c>
      <c r="K1382" s="3" t="s">
        <v>2273</v>
      </c>
      <c r="L1382" s="3" t="s">
        <v>36</v>
      </c>
      <c r="M1382" s="3" t="s">
        <v>36</v>
      </c>
      <c r="N1382" s="3" t="s">
        <v>23</v>
      </c>
      <c r="O1382" s="3" t="s">
        <v>2274</v>
      </c>
    </row>
    <row r="1383" spans="1:15" hidden="1" x14ac:dyDescent="0.75">
      <c r="A1383" s="2">
        <v>46290</v>
      </c>
      <c r="B1383" s="3" t="s">
        <v>1753</v>
      </c>
      <c r="C1383" s="3" t="s">
        <v>1754</v>
      </c>
      <c r="D1383" s="3" t="s">
        <v>304</v>
      </c>
      <c r="E1383" s="3" t="s">
        <v>305</v>
      </c>
      <c r="F1383" s="3" t="s">
        <v>1871</v>
      </c>
      <c r="G1383" s="3" t="s">
        <v>1872</v>
      </c>
      <c r="H1383" s="4">
        <v>46290.868625000003</v>
      </c>
      <c r="I1383" s="4">
        <v>46291.102172106483</v>
      </c>
      <c r="J1383" s="3">
        <f>ROUND((I1383-H1383)*1440,0)</f>
        <v>336</v>
      </c>
      <c r="K1383" s="3" t="s">
        <v>1203</v>
      </c>
      <c r="L1383" s="3" t="s">
        <v>22</v>
      </c>
      <c r="M1383" s="3" t="s">
        <v>22</v>
      </c>
      <c r="N1383" s="3" t="s">
        <v>45</v>
      </c>
      <c r="O1383" s="3" t="s">
        <v>1204</v>
      </c>
    </row>
    <row r="1384" spans="1:15" hidden="1" x14ac:dyDescent="0.75">
      <c r="A1384" s="2">
        <v>46290</v>
      </c>
      <c r="B1384" s="3" t="s">
        <v>1913</v>
      </c>
      <c r="C1384" s="3" t="s">
        <v>1914</v>
      </c>
      <c r="D1384" s="3"/>
      <c r="E1384" s="3"/>
      <c r="F1384" s="3" t="s">
        <v>56</v>
      </c>
      <c r="G1384" s="3" t="s">
        <v>57</v>
      </c>
      <c r="H1384" s="4">
        <v>46290.872473958327</v>
      </c>
      <c r="I1384" s="4">
        <v>46290.975239930558</v>
      </c>
      <c r="J1384" s="3">
        <f>ROUND((I1384-H1384)*1440,0)</f>
        <v>148</v>
      </c>
      <c r="K1384" s="3" t="s">
        <v>442</v>
      </c>
      <c r="L1384" s="3" t="s">
        <v>36</v>
      </c>
      <c r="M1384" s="3" t="s">
        <v>36</v>
      </c>
      <c r="N1384" s="3" t="s">
        <v>23</v>
      </c>
      <c r="O1384" s="3" t="s">
        <v>444</v>
      </c>
    </row>
    <row r="1385" spans="1:15" hidden="1" x14ac:dyDescent="0.75">
      <c r="A1385" s="2">
        <v>46290</v>
      </c>
      <c r="B1385" s="3" t="s">
        <v>1843</v>
      </c>
      <c r="C1385" s="3" t="s">
        <v>1844</v>
      </c>
      <c r="D1385" s="3" t="s">
        <v>304</v>
      </c>
      <c r="E1385" s="3" t="s">
        <v>305</v>
      </c>
      <c r="F1385" s="3" t="s">
        <v>56</v>
      </c>
      <c r="G1385" s="3" t="s">
        <v>57</v>
      </c>
      <c r="H1385" s="4">
        <v>46290.87250208333</v>
      </c>
      <c r="I1385" s="4">
        <v>46291.056579976852</v>
      </c>
      <c r="J1385" s="3">
        <f>ROUND((I1385-H1385)*1440,0)</f>
        <v>265</v>
      </c>
      <c r="K1385" s="3" t="s">
        <v>276</v>
      </c>
      <c r="L1385" s="3" t="s">
        <v>22</v>
      </c>
      <c r="M1385" s="3" t="s">
        <v>22</v>
      </c>
      <c r="N1385" s="3" t="s">
        <v>23</v>
      </c>
      <c r="O1385" s="3" t="s">
        <v>277</v>
      </c>
    </row>
    <row r="1386" spans="1:15" hidden="1" x14ac:dyDescent="0.75">
      <c r="A1386" s="2">
        <v>46290</v>
      </c>
      <c r="B1386" s="3" t="s">
        <v>2311</v>
      </c>
      <c r="C1386" s="3" t="s">
        <v>2312</v>
      </c>
      <c r="D1386" s="3" t="s">
        <v>2297</v>
      </c>
      <c r="E1386" s="3" t="s">
        <v>2298</v>
      </c>
      <c r="F1386" s="3" t="s">
        <v>27</v>
      </c>
      <c r="G1386" s="3" t="s">
        <v>28</v>
      </c>
      <c r="H1386" s="4">
        <v>46290.872503819453</v>
      </c>
      <c r="I1386" s="4">
        <v>46290.952392245374</v>
      </c>
      <c r="J1386" s="3">
        <f>ROUND((I1386-H1386)*1440,0)</f>
        <v>115</v>
      </c>
      <c r="K1386" s="3" t="s">
        <v>1147</v>
      </c>
      <c r="L1386" s="3" t="s">
        <v>22</v>
      </c>
      <c r="M1386" s="3" t="s">
        <v>22</v>
      </c>
      <c r="N1386" s="3" t="s">
        <v>23</v>
      </c>
      <c r="O1386" s="3" t="s">
        <v>1148</v>
      </c>
    </row>
    <row r="1387" spans="1:15" hidden="1" x14ac:dyDescent="0.75">
      <c r="A1387" s="2">
        <v>46290</v>
      </c>
      <c r="B1387" s="3" t="s">
        <v>2025</v>
      </c>
      <c r="C1387" s="3" t="s">
        <v>2026</v>
      </c>
      <c r="D1387" s="3" t="s">
        <v>196</v>
      </c>
      <c r="E1387" s="3" t="s">
        <v>197</v>
      </c>
      <c r="F1387" s="3" t="s">
        <v>27</v>
      </c>
      <c r="G1387" s="3" t="s">
        <v>28</v>
      </c>
      <c r="H1387" s="4">
        <v>46290.872553935187</v>
      </c>
      <c r="I1387" s="4">
        <v>46290.922469444442</v>
      </c>
      <c r="J1387" s="3">
        <f>ROUND((I1387-H1387)*1440,0)</f>
        <v>72</v>
      </c>
      <c r="K1387" s="3" t="s">
        <v>368</v>
      </c>
      <c r="L1387" s="3" t="s">
        <v>77</v>
      </c>
      <c r="M1387" s="3" t="s">
        <v>78</v>
      </c>
      <c r="N1387" s="3" t="s">
        <v>23</v>
      </c>
      <c r="O1387" s="3" t="s">
        <v>369</v>
      </c>
    </row>
    <row r="1388" spans="1:15" hidden="1" x14ac:dyDescent="0.75">
      <c r="A1388" s="2">
        <v>46290</v>
      </c>
      <c r="B1388" s="3" t="s">
        <v>1939</v>
      </c>
      <c r="C1388" s="3" t="s">
        <v>1940</v>
      </c>
      <c r="D1388" s="3" t="s">
        <v>27</v>
      </c>
      <c r="E1388" s="3" t="s">
        <v>28</v>
      </c>
      <c r="F1388" s="3" t="s">
        <v>17</v>
      </c>
      <c r="G1388" s="3" t="s">
        <v>18</v>
      </c>
      <c r="H1388" s="4">
        <v>46290.876547685177</v>
      </c>
      <c r="I1388" s="4">
        <v>46290.912729745367</v>
      </c>
      <c r="J1388" s="3">
        <f>ROUND((I1388-H1388)*1440,0)</f>
        <v>52</v>
      </c>
      <c r="K1388" s="3" t="s">
        <v>230</v>
      </c>
      <c r="L1388" s="3" t="s">
        <v>77</v>
      </c>
      <c r="M1388" s="3" t="s">
        <v>78</v>
      </c>
      <c r="N1388" s="3" t="s">
        <v>23</v>
      </c>
      <c r="O1388" s="3" t="s">
        <v>231</v>
      </c>
    </row>
    <row r="1389" spans="1:15" hidden="1" x14ac:dyDescent="0.75">
      <c r="A1389" s="2">
        <v>46290</v>
      </c>
      <c r="B1389" s="3" t="s">
        <v>1867</v>
      </c>
      <c r="C1389" s="3" t="s">
        <v>1868</v>
      </c>
      <c r="D1389" s="3" t="s">
        <v>17</v>
      </c>
      <c r="E1389" s="3" t="s">
        <v>18</v>
      </c>
      <c r="F1389" s="3" t="s">
        <v>56</v>
      </c>
      <c r="G1389" s="3" t="s">
        <v>57</v>
      </c>
      <c r="H1389" s="4">
        <v>46290.876568518521</v>
      </c>
      <c r="I1389" s="4">
        <v>46290.972571296297</v>
      </c>
      <c r="J1389" s="3">
        <f>ROUND((I1389-H1389)*1440,0)</f>
        <v>138</v>
      </c>
      <c r="K1389" s="3" t="s">
        <v>2313</v>
      </c>
      <c r="L1389" s="3" t="s">
        <v>77</v>
      </c>
      <c r="M1389" s="3" t="s">
        <v>78</v>
      </c>
      <c r="N1389" s="3" t="s">
        <v>23</v>
      </c>
      <c r="O1389" s="3" t="s">
        <v>2314</v>
      </c>
    </row>
    <row r="1390" spans="1:15" hidden="1" x14ac:dyDescent="0.75">
      <c r="A1390" s="2">
        <v>46290</v>
      </c>
      <c r="B1390" s="3" t="s">
        <v>1889</v>
      </c>
      <c r="C1390" s="3" t="s">
        <v>1890</v>
      </c>
      <c r="D1390" s="3" t="s">
        <v>142</v>
      </c>
      <c r="E1390" s="3" t="s">
        <v>143</v>
      </c>
      <c r="F1390" s="3" t="s">
        <v>56</v>
      </c>
      <c r="G1390" s="3" t="s">
        <v>57</v>
      </c>
      <c r="H1390" s="4">
        <v>46290.876932060193</v>
      </c>
      <c r="I1390" s="4">
        <v>46290.971736458327</v>
      </c>
      <c r="J1390" s="3">
        <f>ROUND((I1390-H1390)*1440,0)</f>
        <v>137</v>
      </c>
      <c r="K1390" s="3" t="s">
        <v>1389</v>
      </c>
      <c r="L1390" s="3" t="s">
        <v>36</v>
      </c>
      <c r="M1390" s="3" t="s">
        <v>36</v>
      </c>
      <c r="N1390" s="3" t="s">
        <v>23</v>
      </c>
      <c r="O1390" s="3" t="s">
        <v>1390</v>
      </c>
    </row>
    <row r="1391" spans="1:15" hidden="1" x14ac:dyDescent="0.75">
      <c r="A1391" s="2">
        <v>46290</v>
      </c>
      <c r="B1391" s="3" t="s">
        <v>1899</v>
      </c>
      <c r="C1391" s="3" t="s">
        <v>1900</v>
      </c>
      <c r="D1391" s="3"/>
      <c r="E1391" s="3"/>
      <c r="F1391" s="3" t="s">
        <v>56</v>
      </c>
      <c r="G1391" s="3" t="s">
        <v>57</v>
      </c>
      <c r="H1391" s="4">
        <v>46290.876956828703</v>
      </c>
      <c r="I1391" s="4">
        <v>46290.904989236107</v>
      </c>
      <c r="J1391" s="3">
        <f>ROUND((I1391-H1391)*1440,0)</f>
        <v>40</v>
      </c>
      <c r="K1391" s="3" t="s">
        <v>1261</v>
      </c>
      <c r="L1391" s="3" t="s">
        <v>77</v>
      </c>
      <c r="M1391" s="3" t="s">
        <v>78</v>
      </c>
      <c r="N1391" s="3" t="s">
        <v>23</v>
      </c>
      <c r="O1391" s="3" t="s">
        <v>1262</v>
      </c>
    </row>
    <row r="1392" spans="1:15" hidden="1" x14ac:dyDescent="0.75">
      <c r="A1392" s="2">
        <v>46290</v>
      </c>
      <c r="B1392" s="3" t="s">
        <v>1901</v>
      </c>
      <c r="C1392" s="3" t="s">
        <v>1902</v>
      </c>
      <c r="D1392" s="3" t="s">
        <v>27</v>
      </c>
      <c r="E1392" s="3" t="s">
        <v>28</v>
      </c>
      <c r="F1392" s="3" t="s">
        <v>148</v>
      </c>
      <c r="G1392" s="3" t="s">
        <v>149</v>
      </c>
      <c r="H1392" s="4">
        <v>46290.880678819442</v>
      </c>
      <c r="I1392" s="4">
        <v>46290.945340046303</v>
      </c>
      <c r="J1392" s="3">
        <f>ROUND((I1392-H1392)*1440,0)</f>
        <v>93</v>
      </c>
      <c r="K1392" s="3" t="s">
        <v>150</v>
      </c>
      <c r="L1392" s="3" t="s">
        <v>36</v>
      </c>
      <c r="M1392" s="3" t="s">
        <v>36</v>
      </c>
      <c r="N1392" s="3" t="s">
        <v>23</v>
      </c>
      <c r="O1392" s="3" t="s">
        <v>151</v>
      </c>
    </row>
    <row r="1393" spans="1:15" hidden="1" x14ac:dyDescent="0.75">
      <c r="A1393" s="2">
        <v>46290</v>
      </c>
      <c r="B1393" s="3" t="s">
        <v>1851</v>
      </c>
      <c r="C1393" s="3" t="s">
        <v>1852</v>
      </c>
      <c r="D1393" s="3" t="s">
        <v>719</v>
      </c>
      <c r="E1393" s="3" t="s">
        <v>720</v>
      </c>
      <c r="F1393" s="3" t="s">
        <v>84</v>
      </c>
      <c r="G1393" s="3" t="s">
        <v>85</v>
      </c>
      <c r="H1393" s="4">
        <v>46290.880747337957</v>
      </c>
      <c r="I1393" s="4">
        <v>46290.9855650463</v>
      </c>
      <c r="J1393" s="3">
        <f>ROUND((I1393-H1393)*1440,0)</f>
        <v>151</v>
      </c>
      <c r="K1393" s="3" t="s">
        <v>154</v>
      </c>
      <c r="L1393" s="3" t="s">
        <v>36</v>
      </c>
      <c r="M1393" s="3" t="s">
        <v>36</v>
      </c>
      <c r="N1393" s="3" t="s">
        <v>45</v>
      </c>
      <c r="O1393" s="3" t="s">
        <v>155</v>
      </c>
    </row>
    <row r="1394" spans="1:15" hidden="1" x14ac:dyDescent="0.75">
      <c r="A1394" s="2">
        <v>46290</v>
      </c>
      <c r="B1394" s="3" t="s">
        <v>1945</v>
      </c>
      <c r="C1394" s="3" t="s">
        <v>1946</v>
      </c>
      <c r="D1394" s="3"/>
      <c r="E1394" s="3"/>
      <c r="F1394" s="3" t="s">
        <v>17</v>
      </c>
      <c r="G1394" s="3" t="s">
        <v>18</v>
      </c>
      <c r="H1394" s="4">
        <v>46290.880923611112</v>
      </c>
      <c r="I1394" s="4">
        <v>46290.971084143523</v>
      </c>
      <c r="J1394" s="3">
        <f>ROUND((I1394-H1394)*1440,0)</f>
        <v>130</v>
      </c>
      <c r="K1394" s="3" t="s">
        <v>418</v>
      </c>
      <c r="L1394" s="3" t="s">
        <v>36</v>
      </c>
      <c r="M1394" s="3" t="s">
        <v>36</v>
      </c>
      <c r="N1394" s="3" t="s">
        <v>23</v>
      </c>
      <c r="O1394" s="3" t="s">
        <v>419</v>
      </c>
    </row>
    <row r="1395" spans="1:15" hidden="1" x14ac:dyDescent="0.75">
      <c r="A1395" s="2">
        <v>46290</v>
      </c>
      <c r="B1395" s="3" t="s">
        <v>1829</v>
      </c>
      <c r="C1395" s="3" t="s">
        <v>1830</v>
      </c>
      <c r="D1395" s="3" t="s">
        <v>17</v>
      </c>
      <c r="E1395" s="3" t="s">
        <v>18</v>
      </c>
      <c r="F1395" s="3" t="s">
        <v>304</v>
      </c>
      <c r="G1395" s="3" t="s">
        <v>305</v>
      </c>
      <c r="H1395" s="4">
        <v>46290.881023148148</v>
      </c>
      <c r="I1395" s="4">
        <v>46291.101679861109</v>
      </c>
      <c r="J1395" s="3">
        <f>ROUND((I1395-H1395)*1440,0)</f>
        <v>318</v>
      </c>
      <c r="K1395" s="3" t="s">
        <v>473</v>
      </c>
      <c r="L1395" s="3" t="s">
        <v>43</v>
      </c>
      <c r="M1395" s="3" t="s">
        <v>44</v>
      </c>
      <c r="N1395" s="3" t="s">
        <v>23</v>
      </c>
      <c r="O1395" s="3" t="s">
        <v>474</v>
      </c>
    </row>
    <row r="1396" spans="1:15" hidden="1" x14ac:dyDescent="0.75">
      <c r="A1396" s="2">
        <v>46290</v>
      </c>
      <c r="B1396" s="3" t="s">
        <v>1869</v>
      </c>
      <c r="C1396" s="3" t="s">
        <v>1870</v>
      </c>
      <c r="D1396" s="3" t="s">
        <v>82</v>
      </c>
      <c r="E1396" s="3" t="s">
        <v>83</v>
      </c>
      <c r="F1396" s="3" t="s">
        <v>1871</v>
      </c>
      <c r="G1396" s="3" t="s">
        <v>1872</v>
      </c>
      <c r="H1396" s="4">
        <v>46290.881191435183</v>
      </c>
      <c r="I1396" s="4">
        <v>46290.986554745366</v>
      </c>
      <c r="J1396" s="3">
        <f>ROUND((I1396-H1396)*1440,0)</f>
        <v>152</v>
      </c>
      <c r="K1396" s="3" t="s">
        <v>715</v>
      </c>
      <c r="L1396" s="3" t="s">
        <v>36</v>
      </c>
      <c r="M1396" s="3" t="s">
        <v>36</v>
      </c>
      <c r="N1396" s="3" t="s">
        <v>45</v>
      </c>
      <c r="O1396" s="3" t="s">
        <v>716</v>
      </c>
    </row>
    <row r="1397" spans="1:15" hidden="1" x14ac:dyDescent="0.75">
      <c r="A1397" s="2">
        <v>46290</v>
      </c>
      <c r="B1397" s="3" t="s">
        <v>1597</v>
      </c>
      <c r="C1397" s="3" t="s">
        <v>1598</v>
      </c>
      <c r="D1397" s="3" t="s">
        <v>82</v>
      </c>
      <c r="E1397" s="3" t="s">
        <v>83</v>
      </c>
      <c r="F1397" s="3" t="s">
        <v>196</v>
      </c>
      <c r="G1397" s="3" t="s">
        <v>197</v>
      </c>
      <c r="H1397" s="4">
        <v>46290.884842939813</v>
      </c>
      <c r="I1397" s="4">
        <v>46290.954398495371</v>
      </c>
      <c r="J1397" s="3">
        <f>ROUND((I1397-H1397)*1440,0)</f>
        <v>100</v>
      </c>
      <c r="K1397" s="3" t="s">
        <v>1191</v>
      </c>
      <c r="L1397" s="3" t="s">
        <v>36</v>
      </c>
      <c r="M1397" s="3" t="s">
        <v>36</v>
      </c>
      <c r="N1397" s="3" t="s">
        <v>45</v>
      </c>
      <c r="O1397" s="3" t="s">
        <v>1192</v>
      </c>
    </row>
    <row r="1398" spans="1:15" hidden="1" x14ac:dyDescent="0.75">
      <c r="A1398" s="2">
        <v>46290</v>
      </c>
      <c r="B1398" s="3" t="s">
        <v>1949</v>
      </c>
      <c r="C1398" s="3" t="s">
        <v>1950</v>
      </c>
      <c r="D1398" s="3" t="s">
        <v>27</v>
      </c>
      <c r="E1398" s="3" t="s">
        <v>28</v>
      </c>
      <c r="F1398" s="3" t="s">
        <v>158</v>
      </c>
      <c r="G1398" s="3" t="s">
        <v>159</v>
      </c>
      <c r="H1398" s="4">
        <v>46290.884848148147</v>
      </c>
      <c r="I1398" s="4">
        <v>46290.950646296304</v>
      </c>
      <c r="J1398" s="3">
        <f>ROUND((I1398-H1398)*1440,0)</f>
        <v>95</v>
      </c>
      <c r="K1398" s="3" t="s">
        <v>847</v>
      </c>
      <c r="L1398" s="3" t="s">
        <v>77</v>
      </c>
      <c r="M1398" s="3" t="s">
        <v>78</v>
      </c>
      <c r="N1398" s="3" t="s">
        <v>23</v>
      </c>
      <c r="O1398" s="3" t="s">
        <v>848</v>
      </c>
    </row>
    <row r="1399" spans="1:15" hidden="1" x14ac:dyDescent="0.75">
      <c r="A1399" s="2">
        <v>46290</v>
      </c>
      <c r="B1399" s="3" t="s">
        <v>2013</v>
      </c>
      <c r="C1399" s="3" t="s">
        <v>2014</v>
      </c>
      <c r="D1399" s="3"/>
      <c r="E1399" s="3"/>
      <c r="F1399" s="3" t="s">
        <v>27</v>
      </c>
      <c r="G1399" s="3" t="s">
        <v>28</v>
      </c>
      <c r="H1399" s="4">
        <v>46290.884859027778</v>
      </c>
      <c r="I1399" s="4">
        <v>46290.944050115737</v>
      </c>
      <c r="J1399" s="3">
        <f>ROUND((I1399-H1399)*1440,0)</f>
        <v>85</v>
      </c>
      <c r="K1399" s="3" t="s">
        <v>260</v>
      </c>
      <c r="L1399" s="3" t="s">
        <v>52</v>
      </c>
      <c r="M1399" s="3"/>
      <c r="N1399" s="3" t="s">
        <v>23</v>
      </c>
      <c r="O1399" s="3" t="s">
        <v>261</v>
      </c>
    </row>
    <row r="1400" spans="1:15" hidden="1" x14ac:dyDescent="0.75">
      <c r="A1400" s="2">
        <v>46290</v>
      </c>
      <c r="B1400" s="3" t="s">
        <v>1877</v>
      </c>
      <c r="C1400" s="3" t="s">
        <v>1878</v>
      </c>
      <c r="D1400" s="3" t="s">
        <v>68</v>
      </c>
      <c r="E1400" s="3" t="s">
        <v>69</v>
      </c>
      <c r="F1400" s="3" t="s">
        <v>84</v>
      </c>
      <c r="G1400" s="3" t="s">
        <v>85</v>
      </c>
      <c r="H1400" s="4">
        <v>46290.888781944443</v>
      </c>
      <c r="I1400" s="4">
        <v>46290.988712152779</v>
      </c>
      <c r="J1400" s="3">
        <f>ROUND((I1400-H1400)*1440,0)</f>
        <v>144</v>
      </c>
      <c r="K1400" s="3" t="s">
        <v>246</v>
      </c>
      <c r="L1400" s="3" t="s">
        <v>36</v>
      </c>
      <c r="M1400" s="3" t="s">
        <v>36</v>
      </c>
      <c r="N1400" s="3" t="s">
        <v>45</v>
      </c>
      <c r="O1400" s="3" t="s">
        <v>247</v>
      </c>
    </row>
    <row r="1401" spans="1:15" hidden="1" x14ac:dyDescent="0.75">
      <c r="A1401" s="2">
        <v>46290</v>
      </c>
      <c r="B1401" s="3" t="s">
        <v>1607</v>
      </c>
      <c r="C1401" s="3" t="s">
        <v>1608</v>
      </c>
      <c r="D1401" s="3" t="s">
        <v>17</v>
      </c>
      <c r="E1401" s="3" t="s">
        <v>18</v>
      </c>
      <c r="F1401" s="3"/>
      <c r="G1401" s="3"/>
      <c r="H1401" s="4">
        <v>46290.888787152777</v>
      </c>
      <c r="I1401" s="4">
        <v>46290.911077777782</v>
      </c>
      <c r="J1401" s="3">
        <f>ROUND((I1401-H1401)*1440,0)</f>
        <v>32</v>
      </c>
      <c r="K1401" s="3" t="s">
        <v>1037</v>
      </c>
      <c r="L1401" s="3" t="s">
        <v>77</v>
      </c>
      <c r="M1401" s="3" t="s">
        <v>78</v>
      </c>
      <c r="N1401" s="3" t="s">
        <v>45</v>
      </c>
      <c r="O1401" s="3" t="s">
        <v>1038</v>
      </c>
    </row>
    <row r="1402" spans="1:15" hidden="1" x14ac:dyDescent="0.75">
      <c r="A1402" s="2">
        <v>46290</v>
      </c>
      <c r="B1402" s="3" t="s">
        <v>2065</v>
      </c>
      <c r="C1402" s="3" t="s">
        <v>2066</v>
      </c>
      <c r="D1402" s="3" t="s">
        <v>182</v>
      </c>
      <c r="E1402" s="3" t="s">
        <v>183</v>
      </c>
      <c r="F1402" s="3" t="s">
        <v>27</v>
      </c>
      <c r="G1402" s="3" t="s">
        <v>28</v>
      </c>
      <c r="H1402" s="4">
        <v>46290.888800810193</v>
      </c>
      <c r="I1402" s="4">
        <v>46290.985496875001</v>
      </c>
      <c r="J1402" s="3">
        <f>ROUND((I1402-H1402)*1440,0)</f>
        <v>139</v>
      </c>
      <c r="K1402" s="3" t="s">
        <v>939</v>
      </c>
      <c r="L1402" s="3" t="s">
        <v>77</v>
      </c>
      <c r="M1402" s="3" t="s">
        <v>78</v>
      </c>
      <c r="N1402" s="3" t="s">
        <v>23</v>
      </c>
      <c r="O1402" s="3" t="s">
        <v>940</v>
      </c>
    </row>
    <row r="1403" spans="1:15" hidden="1" x14ac:dyDescent="0.75">
      <c r="A1403" s="2">
        <v>46290</v>
      </c>
      <c r="B1403" s="3" t="s">
        <v>2093</v>
      </c>
      <c r="C1403" s="3" t="s">
        <v>2094</v>
      </c>
      <c r="D1403" s="3" t="s">
        <v>82</v>
      </c>
      <c r="E1403" s="3" t="s">
        <v>83</v>
      </c>
      <c r="F1403" s="3" t="s">
        <v>27</v>
      </c>
      <c r="G1403" s="3" t="s">
        <v>28</v>
      </c>
      <c r="H1403" s="4">
        <v>46290.888827430557</v>
      </c>
      <c r="I1403" s="4">
        <v>46290.998014351862</v>
      </c>
      <c r="J1403" s="3">
        <f>ROUND((I1403-H1403)*1440,0)</f>
        <v>157</v>
      </c>
      <c r="K1403" s="3" t="s">
        <v>2209</v>
      </c>
      <c r="L1403" s="3" t="s">
        <v>22</v>
      </c>
      <c r="M1403" s="3" t="s">
        <v>22</v>
      </c>
      <c r="N1403" s="3" t="s">
        <v>23</v>
      </c>
      <c r="O1403" s="3" t="s">
        <v>2210</v>
      </c>
    </row>
    <row r="1404" spans="1:15" hidden="1" x14ac:dyDescent="0.75">
      <c r="A1404" s="2">
        <v>46290</v>
      </c>
      <c r="B1404" s="3" t="s">
        <v>1953</v>
      </c>
      <c r="C1404" s="3" t="s">
        <v>1954</v>
      </c>
      <c r="D1404" s="3"/>
      <c r="E1404" s="3"/>
      <c r="F1404" s="3" t="s">
        <v>17</v>
      </c>
      <c r="G1404" s="3" t="s">
        <v>18</v>
      </c>
      <c r="H1404" s="4">
        <v>46290.888961342593</v>
      </c>
      <c r="I1404" s="4">
        <v>46290.973028819448</v>
      </c>
      <c r="J1404" s="3">
        <f>ROUND((I1404-H1404)*1440,0)</f>
        <v>121</v>
      </c>
      <c r="K1404" s="3" t="s">
        <v>296</v>
      </c>
      <c r="L1404" s="3" t="s">
        <v>77</v>
      </c>
      <c r="M1404" s="3" t="s">
        <v>78</v>
      </c>
      <c r="N1404" s="3" t="s">
        <v>23</v>
      </c>
      <c r="O1404" s="3" t="s">
        <v>297</v>
      </c>
    </row>
    <row r="1405" spans="1:15" hidden="1" x14ac:dyDescent="0.75">
      <c r="A1405" s="2">
        <v>46290</v>
      </c>
      <c r="B1405" s="3" t="s">
        <v>2099</v>
      </c>
      <c r="C1405" s="3" t="s">
        <v>2100</v>
      </c>
      <c r="D1405" s="3"/>
      <c r="E1405" s="3"/>
      <c r="F1405" s="3" t="s">
        <v>27</v>
      </c>
      <c r="G1405" s="3" t="s">
        <v>28</v>
      </c>
      <c r="H1405" s="4">
        <v>46290.893478703707</v>
      </c>
      <c r="I1405" s="4">
        <v>46290.983234375002</v>
      </c>
      <c r="J1405" s="3">
        <f>ROUND((I1405-H1405)*1440,0)</f>
        <v>129</v>
      </c>
      <c r="K1405" s="3" t="s">
        <v>477</v>
      </c>
      <c r="L1405" s="3" t="s">
        <v>77</v>
      </c>
      <c r="M1405" s="3" t="s">
        <v>78</v>
      </c>
      <c r="N1405" s="3" t="s">
        <v>23</v>
      </c>
      <c r="O1405" s="3" t="s">
        <v>478</v>
      </c>
    </row>
    <row r="1406" spans="1:15" hidden="1" x14ac:dyDescent="0.75">
      <c r="A1406" s="2">
        <v>46290</v>
      </c>
      <c r="B1406" s="3" t="s">
        <v>1879</v>
      </c>
      <c r="C1406" s="3" t="s">
        <v>1880</v>
      </c>
      <c r="D1406" s="3" t="s">
        <v>17</v>
      </c>
      <c r="E1406" s="3" t="s">
        <v>18</v>
      </c>
      <c r="F1406" s="3" t="s">
        <v>106</v>
      </c>
      <c r="G1406" s="3" t="s">
        <v>107</v>
      </c>
      <c r="H1406" s="4">
        <v>46290.898160185177</v>
      </c>
      <c r="I1406" s="4">
        <v>46290.970623726847</v>
      </c>
      <c r="J1406" s="3">
        <f>ROUND((I1406-H1406)*1440,0)</f>
        <v>104</v>
      </c>
      <c r="K1406" s="3" t="s">
        <v>192</v>
      </c>
      <c r="L1406" s="3" t="s">
        <v>36</v>
      </c>
      <c r="M1406" s="3" t="s">
        <v>36</v>
      </c>
      <c r="N1406" s="3" t="s">
        <v>23</v>
      </c>
      <c r="O1406" s="3" t="s">
        <v>193</v>
      </c>
    </row>
    <row r="1407" spans="1:15" hidden="1" x14ac:dyDescent="0.75">
      <c r="A1407" s="2">
        <v>46290</v>
      </c>
      <c r="B1407" s="3" t="s">
        <v>1909</v>
      </c>
      <c r="C1407" s="3" t="s">
        <v>1910</v>
      </c>
      <c r="D1407" s="3" t="s">
        <v>17</v>
      </c>
      <c r="E1407" s="3" t="s">
        <v>18</v>
      </c>
      <c r="F1407" s="3" t="s">
        <v>551</v>
      </c>
      <c r="G1407" s="3" t="s">
        <v>552</v>
      </c>
      <c r="H1407" s="4">
        <v>46290.90221388889</v>
      </c>
      <c r="I1407" s="4">
        <v>46291.132613425929</v>
      </c>
      <c r="J1407" s="3">
        <f>ROUND((I1407-H1407)*1440,0)</f>
        <v>332</v>
      </c>
      <c r="K1407" s="3" t="s">
        <v>1177</v>
      </c>
      <c r="L1407" s="3" t="s">
        <v>77</v>
      </c>
      <c r="M1407" s="3" t="s">
        <v>78</v>
      </c>
      <c r="N1407" s="3" t="s">
        <v>23</v>
      </c>
      <c r="O1407" s="3" t="s">
        <v>1178</v>
      </c>
    </row>
    <row r="1408" spans="1:15" hidden="1" x14ac:dyDescent="0.75">
      <c r="A1408" s="2">
        <v>46290</v>
      </c>
      <c r="B1408" s="3" t="s">
        <v>1891</v>
      </c>
      <c r="C1408" s="3" t="s">
        <v>1892</v>
      </c>
      <c r="D1408" s="3"/>
      <c r="E1408" s="3"/>
      <c r="F1408" s="3" t="s">
        <v>84</v>
      </c>
      <c r="G1408" s="3" t="s">
        <v>85</v>
      </c>
      <c r="H1408" s="4">
        <v>46290.902287962963</v>
      </c>
      <c r="I1408" s="4">
        <v>46291.064628125001</v>
      </c>
      <c r="J1408" s="3">
        <f>ROUND((I1408-H1408)*1440,0)</f>
        <v>234</v>
      </c>
      <c r="K1408" s="3" t="s">
        <v>923</v>
      </c>
      <c r="L1408" s="3" t="s">
        <v>52</v>
      </c>
      <c r="M1408" s="3"/>
      <c r="N1408" s="3" t="s">
        <v>45</v>
      </c>
      <c r="O1408" s="3" t="s">
        <v>924</v>
      </c>
    </row>
    <row r="1409" spans="1:15" hidden="1" x14ac:dyDescent="0.75">
      <c r="A1409" s="2">
        <v>46290</v>
      </c>
      <c r="B1409" s="3" t="s">
        <v>1581</v>
      </c>
      <c r="C1409" s="3" t="s">
        <v>1582</v>
      </c>
      <c r="D1409" s="3" t="s">
        <v>1207</v>
      </c>
      <c r="E1409" s="3" t="s">
        <v>1208</v>
      </c>
      <c r="F1409" s="3" t="s">
        <v>82</v>
      </c>
      <c r="G1409" s="3" t="s">
        <v>83</v>
      </c>
      <c r="H1409" s="4">
        <v>46290.902785416663</v>
      </c>
      <c r="I1409" s="4">
        <v>46291.002199421288</v>
      </c>
      <c r="J1409" s="3">
        <f>ROUND((I1409-H1409)*1440,0)</f>
        <v>143</v>
      </c>
      <c r="K1409" s="3" t="s">
        <v>2125</v>
      </c>
      <c r="L1409" s="3" t="s">
        <v>36</v>
      </c>
      <c r="M1409" s="3" t="s">
        <v>36</v>
      </c>
      <c r="N1409" s="3" t="s">
        <v>23</v>
      </c>
      <c r="O1409" s="3" t="s">
        <v>2126</v>
      </c>
    </row>
    <row r="1410" spans="1:15" hidden="1" x14ac:dyDescent="0.75">
      <c r="A1410" s="2">
        <v>46290</v>
      </c>
      <c r="B1410" s="3" t="s">
        <v>1923</v>
      </c>
      <c r="C1410" s="3" t="s">
        <v>1924</v>
      </c>
      <c r="D1410" s="3"/>
      <c r="E1410" s="3"/>
      <c r="F1410" s="3" t="s">
        <v>17</v>
      </c>
      <c r="G1410" s="3" t="s">
        <v>18</v>
      </c>
      <c r="H1410" s="4">
        <v>46290.903082407407</v>
      </c>
      <c r="I1410" s="4">
        <v>46290.964825000003</v>
      </c>
      <c r="J1410" s="3">
        <f>ROUND((I1410-H1410)*1440,0)</f>
        <v>89</v>
      </c>
      <c r="K1410" s="3" t="s">
        <v>1237</v>
      </c>
      <c r="L1410" s="3" t="s">
        <v>22</v>
      </c>
      <c r="M1410" s="3" t="s">
        <v>22</v>
      </c>
      <c r="N1410" s="3" t="s">
        <v>23</v>
      </c>
      <c r="O1410" s="3" t="s">
        <v>1238</v>
      </c>
    </row>
    <row r="1411" spans="1:15" hidden="1" x14ac:dyDescent="0.75">
      <c r="A1411" s="2">
        <v>46290</v>
      </c>
      <c r="B1411" s="3" t="s">
        <v>1925</v>
      </c>
      <c r="C1411" s="3" t="s">
        <v>1926</v>
      </c>
      <c r="D1411" s="3" t="s">
        <v>264</v>
      </c>
      <c r="E1411" s="3" t="s">
        <v>265</v>
      </c>
      <c r="F1411" s="3" t="s">
        <v>82</v>
      </c>
      <c r="G1411" s="3" t="s">
        <v>83</v>
      </c>
      <c r="H1411" s="4">
        <v>46290.904153587973</v>
      </c>
      <c r="I1411" s="4">
        <v>46291.078567939818</v>
      </c>
      <c r="J1411" s="3">
        <f>ROUND((I1411-H1411)*1440,0)</f>
        <v>251</v>
      </c>
      <c r="K1411" s="3" t="s">
        <v>1199</v>
      </c>
      <c r="L1411" s="3" t="s">
        <v>22</v>
      </c>
      <c r="M1411" s="3" t="s">
        <v>22</v>
      </c>
      <c r="N1411" s="3" t="s">
        <v>23</v>
      </c>
      <c r="O1411" s="3" t="s">
        <v>1200</v>
      </c>
    </row>
    <row r="1412" spans="1:15" hidden="1" x14ac:dyDescent="0.75">
      <c r="A1412" s="2">
        <v>46290</v>
      </c>
      <c r="B1412" s="3" t="s">
        <v>2315</v>
      </c>
      <c r="C1412" s="3" t="s">
        <v>2316</v>
      </c>
      <c r="D1412" s="3"/>
      <c r="E1412" s="3"/>
      <c r="F1412" s="3"/>
      <c r="G1412" s="3"/>
      <c r="H1412" s="4">
        <v>46290.90428263889</v>
      </c>
      <c r="I1412" s="4">
        <v>46290.989607291667</v>
      </c>
      <c r="J1412" s="3">
        <f>ROUND((I1412-H1412)*1440,0)</f>
        <v>123</v>
      </c>
      <c r="K1412" s="3" t="s">
        <v>595</v>
      </c>
      <c r="L1412" s="3" t="s">
        <v>22</v>
      </c>
      <c r="M1412" s="3" t="s">
        <v>22</v>
      </c>
      <c r="N1412" s="3" t="s">
        <v>23</v>
      </c>
      <c r="O1412" s="3" t="s">
        <v>596</v>
      </c>
    </row>
    <row r="1413" spans="1:15" hidden="1" x14ac:dyDescent="0.75">
      <c r="A1413" s="2">
        <v>46290</v>
      </c>
      <c r="B1413" s="3" t="s">
        <v>1687</v>
      </c>
      <c r="C1413" s="3" t="s">
        <v>1688</v>
      </c>
      <c r="D1413" s="3"/>
      <c r="E1413" s="3"/>
      <c r="F1413" s="3" t="s">
        <v>264</v>
      </c>
      <c r="G1413" s="3" t="s">
        <v>265</v>
      </c>
      <c r="H1413" s="4">
        <v>46290.904606018521</v>
      </c>
      <c r="I1413" s="4">
        <v>46291.002091898154</v>
      </c>
      <c r="J1413" s="3">
        <f>ROUND((I1413-H1413)*1440,0)</f>
        <v>140</v>
      </c>
      <c r="K1413" s="3" t="s">
        <v>306</v>
      </c>
      <c r="L1413" s="3" t="s">
        <v>22</v>
      </c>
      <c r="M1413" s="3" t="s">
        <v>22</v>
      </c>
      <c r="N1413" s="3" t="s">
        <v>23</v>
      </c>
      <c r="O1413" s="3" t="s">
        <v>307</v>
      </c>
    </row>
    <row r="1414" spans="1:15" hidden="1" x14ac:dyDescent="0.75">
      <c r="A1414" s="2">
        <v>46290</v>
      </c>
      <c r="B1414" s="3" t="s">
        <v>1893</v>
      </c>
      <c r="C1414" s="3" t="s">
        <v>1894</v>
      </c>
      <c r="D1414" s="3" t="s">
        <v>56</v>
      </c>
      <c r="E1414" s="3" t="s">
        <v>57</v>
      </c>
      <c r="F1414" s="3" t="s">
        <v>208</v>
      </c>
      <c r="G1414" s="3" t="s">
        <v>209</v>
      </c>
      <c r="H1414" s="4">
        <v>46290.90563090278</v>
      </c>
      <c r="I1414" s="4">
        <v>46291.016145717593</v>
      </c>
      <c r="J1414" s="3">
        <f>ROUND((I1414-H1414)*1440,0)</f>
        <v>159</v>
      </c>
      <c r="K1414" s="3" t="s">
        <v>1069</v>
      </c>
      <c r="L1414" s="3" t="s">
        <v>36</v>
      </c>
      <c r="M1414" s="3" t="s">
        <v>36</v>
      </c>
      <c r="N1414" s="3" t="s">
        <v>23</v>
      </c>
      <c r="O1414" s="3" t="s">
        <v>1070</v>
      </c>
    </row>
    <row r="1415" spans="1:15" hidden="1" x14ac:dyDescent="0.75">
      <c r="A1415" s="2">
        <v>46290</v>
      </c>
      <c r="B1415" s="3" t="s">
        <v>2317</v>
      </c>
      <c r="C1415" s="3" t="s">
        <v>2318</v>
      </c>
      <c r="D1415" s="3" t="s">
        <v>2269</v>
      </c>
      <c r="E1415" s="3" t="s">
        <v>2270</v>
      </c>
      <c r="F1415" s="3"/>
      <c r="G1415" s="3"/>
      <c r="H1415" s="4">
        <v>46290.906177662036</v>
      </c>
      <c r="I1415" s="4">
        <v>46290.937716203713</v>
      </c>
      <c r="J1415" s="3">
        <f>ROUND((I1415-H1415)*1440,0)</f>
        <v>45</v>
      </c>
      <c r="K1415" s="3" t="s">
        <v>691</v>
      </c>
      <c r="L1415" s="3" t="s">
        <v>22</v>
      </c>
      <c r="M1415" s="3" t="s">
        <v>22</v>
      </c>
      <c r="N1415" s="3" t="s">
        <v>443</v>
      </c>
      <c r="O1415" s="3" t="s">
        <v>692</v>
      </c>
    </row>
    <row r="1416" spans="1:15" hidden="1" x14ac:dyDescent="0.75">
      <c r="A1416" s="2">
        <v>46290</v>
      </c>
      <c r="B1416" s="3" t="s">
        <v>1887</v>
      </c>
      <c r="C1416" s="3" t="s">
        <v>1888</v>
      </c>
      <c r="D1416" s="3" t="s">
        <v>82</v>
      </c>
      <c r="E1416" s="3" t="s">
        <v>83</v>
      </c>
      <c r="F1416" s="3" t="s">
        <v>17</v>
      </c>
      <c r="G1416" s="3" t="s">
        <v>18</v>
      </c>
      <c r="H1416" s="4">
        <v>46290.906892939813</v>
      </c>
      <c r="I1416" s="4">
        <v>46291.805569212956</v>
      </c>
      <c r="J1416" s="3">
        <f>ROUND((I1416-H1416)*1440,0)</f>
        <v>1294</v>
      </c>
      <c r="K1416" s="3" t="s">
        <v>64</v>
      </c>
      <c r="L1416" s="3" t="s">
        <v>43</v>
      </c>
      <c r="M1416" s="3" t="s">
        <v>44</v>
      </c>
      <c r="N1416" s="3" t="s">
        <v>23</v>
      </c>
      <c r="O1416" s="3" t="s">
        <v>65</v>
      </c>
    </row>
    <row r="1417" spans="1:15" hidden="1" x14ac:dyDescent="0.75">
      <c r="A1417" s="2">
        <v>46290</v>
      </c>
      <c r="B1417" s="3" t="s">
        <v>1819</v>
      </c>
      <c r="C1417" s="3" t="s">
        <v>1820</v>
      </c>
      <c r="D1417" s="3"/>
      <c r="E1417" s="3"/>
      <c r="F1417" s="3" t="s">
        <v>615</v>
      </c>
      <c r="G1417" s="3" t="s">
        <v>616</v>
      </c>
      <c r="H1417" s="4">
        <v>46290.908193981479</v>
      </c>
      <c r="I1417" s="4">
        <v>46290.91496898148</v>
      </c>
      <c r="J1417" s="3">
        <f>ROUND((I1417-H1417)*1440,0)</f>
        <v>10</v>
      </c>
      <c r="K1417" s="3" t="s">
        <v>168</v>
      </c>
      <c r="L1417" s="3" t="s">
        <v>36</v>
      </c>
      <c r="M1417" s="3" t="s">
        <v>36</v>
      </c>
      <c r="N1417" s="3" t="s">
        <v>45</v>
      </c>
      <c r="O1417" s="3" t="s">
        <v>169</v>
      </c>
    </row>
    <row r="1418" spans="1:15" hidden="1" x14ac:dyDescent="0.75">
      <c r="A1418" s="2">
        <v>46290</v>
      </c>
      <c r="B1418" s="3" t="s">
        <v>1861</v>
      </c>
      <c r="C1418" s="3" t="s">
        <v>1862</v>
      </c>
      <c r="D1418" s="3" t="s">
        <v>17</v>
      </c>
      <c r="E1418" s="3" t="s">
        <v>18</v>
      </c>
      <c r="F1418" s="3"/>
      <c r="G1418" s="3"/>
      <c r="H1418" s="4">
        <v>46290.909562037043</v>
      </c>
      <c r="I1418" s="4">
        <v>46290.963703472233</v>
      </c>
      <c r="J1418" s="3">
        <f>ROUND((I1418-H1418)*1440,0)</f>
        <v>78</v>
      </c>
      <c r="K1418" s="3" t="s">
        <v>703</v>
      </c>
      <c r="L1418" s="3" t="s">
        <v>36</v>
      </c>
      <c r="M1418" s="3" t="s">
        <v>36</v>
      </c>
      <c r="N1418" s="3" t="s">
        <v>443</v>
      </c>
      <c r="O1418" s="3" t="s">
        <v>704</v>
      </c>
    </row>
    <row r="1419" spans="1:15" hidden="1" x14ac:dyDescent="0.75">
      <c r="A1419" s="2">
        <v>46290</v>
      </c>
      <c r="B1419" s="3" t="s">
        <v>1937</v>
      </c>
      <c r="C1419" s="3" t="s">
        <v>1938</v>
      </c>
      <c r="D1419" s="3" t="s">
        <v>128</v>
      </c>
      <c r="E1419" s="3" t="s">
        <v>129</v>
      </c>
      <c r="F1419" s="3" t="s">
        <v>56</v>
      </c>
      <c r="G1419" s="3" t="s">
        <v>57</v>
      </c>
      <c r="H1419" s="4">
        <v>46290.909604976849</v>
      </c>
      <c r="I1419" s="4">
        <v>46291.005420138892</v>
      </c>
      <c r="J1419" s="3">
        <f>ROUND((I1419-H1419)*1440,0)</f>
        <v>138</v>
      </c>
      <c r="K1419" s="3" t="s">
        <v>2215</v>
      </c>
      <c r="L1419" s="3" t="s">
        <v>36</v>
      </c>
      <c r="M1419" s="3" t="s">
        <v>36</v>
      </c>
      <c r="N1419" s="3" t="s">
        <v>23</v>
      </c>
      <c r="O1419" s="3" t="s">
        <v>2216</v>
      </c>
    </row>
    <row r="1420" spans="1:15" hidden="1" x14ac:dyDescent="0.75">
      <c r="A1420" s="2">
        <v>46290</v>
      </c>
      <c r="B1420" s="3" t="s">
        <v>2319</v>
      </c>
      <c r="C1420" s="3" t="s">
        <v>2320</v>
      </c>
      <c r="D1420" s="3" t="s">
        <v>615</v>
      </c>
      <c r="E1420" s="3" t="s">
        <v>616</v>
      </c>
      <c r="F1420" s="3" t="s">
        <v>82</v>
      </c>
      <c r="G1420" s="3" t="s">
        <v>83</v>
      </c>
      <c r="H1420" s="4">
        <v>46290.909674305563</v>
      </c>
      <c r="I1420" s="4">
        <v>46291.886312847222</v>
      </c>
      <c r="J1420" s="3">
        <f>ROUND((I1420-H1420)*1440,0)</f>
        <v>1406</v>
      </c>
      <c r="K1420" s="3" t="s">
        <v>1881</v>
      </c>
      <c r="L1420" s="3" t="s">
        <v>36</v>
      </c>
      <c r="M1420" s="3" t="s">
        <v>36</v>
      </c>
      <c r="N1420" s="3" t="s">
        <v>23</v>
      </c>
      <c r="O1420" s="3" t="s">
        <v>1882</v>
      </c>
    </row>
    <row r="1421" spans="1:15" hidden="1" x14ac:dyDescent="0.75">
      <c r="A1421" s="2">
        <v>46290</v>
      </c>
      <c r="B1421" s="3" t="s">
        <v>1993</v>
      </c>
      <c r="C1421" s="3" t="s">
        <v>1994</v>
      </c>
      <c r="D1421" s="3" t="s">
        <v>1113</v>
      </c>
      <c r="E1421" s="3" t="s">
        <v>1114</v>
      </c>
      <c r="F1421" s="3" t="s">
        <v>17</v>
      </c>
      <c r="G1421" s="3" t="s">
        <v>18</v>
      </c>
      <c r="H1421" s="4">
        <v>46290.909698379633</v>
      </c>
      <c r="I1421" s="4">
        <v>46291.063369791656</v>
      </c>
      <c r="J1421" s="3">
        <f>ROUND((I1421-H1421)*1440,0)</f>
        <v>221</v>
      </c>
      <c r="K1421" s="3" t="s">
        <v>629</v>
      </c>
      <c r="L1421" s="3" t="s">
        <v>77</v>
      </c>
      <c r="M1421" s="3" t="s">
        <v>78</v>
      </c>
      <c r="N1421" s="3" t="s">
        <v>23</v>
      </c>
      <c r="O1421" s="3" t="s">
        <v>630</v>
      </c>
    </row>
    <row r="1422" spans="1:15" hidden="1" x14ac:dyDescent="0.75">
      <c r="A1422" s="2">
        <v>46290</v>
      </c>
      <c r="B1422" s="3" t="s">
        <v>1919</v>
      </c>
      <c r="C1422" s="3" t="s">
        <v>1920</v>
      </c>
      <c r="D1422" s="3"/>
      <c r="E1422" s="3"/>
      <c r="F1422" s="3" t="s">
        <v>56</v>
      </c>
      <c r="G1422" s="3" t="s">
        <v>57</v>
      </c>
      <c r="H1422" s="4">
        <v>46290.909852083343</v>
      </c>
      <c r="I1422" s="4">
        <v>46290.935053819441</v>
      </c>
      <c r="J1422" s="3">
        <f>ROUND((I1422-H1422)*1440,0)</f>
        <v>36</v>
      </c>
      <c r="K1422" s="3" t="s">
        <v>210</v>
      </c>
      <c r="L1422" s="3" t="s">
        <v>36</v>
      </c>
      <c r="M1422" s="3" t="s">
        <v>36</v>
      </c>
      <c r="N1422" s="3" t="s">
        <v>23</v>
      </c>
      <c r="O1422" s="3" t="s">
        <v>211</v>
      </c>
    </row>
    <row r="1423" spans="1:15" hidden="1" x14ac:dyDescent="0.75">
      <c r="A1423" s="2">
        <v>46290</v>
      </c>
      <c r="B1423" s="3" t="s">
        <v>1927</v>
      </c>
      <c r="C1423" s="3" t="s">
        <v>1928</v>
      </c>
      <c r="D1423" s="3" t="s">
        <v>17</v>
      </c>
      <c r="E1423" s="3" t="s">
        <v>18</v>
      </c>
      <c r="F1423" s="3" t="s">
        <v>29</v>
      </c>
      <c r="G1423" s="3" t="s">
        <v>30</v>
      </c>
      <c r="H1423" s="4">
        <v>46290.910165856483</v>
      </c>
      <c r="I1423" s="4">
        <v>46291.129910185176</v>
      </c>
      <c r="J1423" s="3">
        <f>ROUND((I1423-H1423)*1440,0)</f>
        <v>316</v>
      </c>
      <c r="K1423" s="3" t="s">
        <v>1271</v>
      </c>
      <c r="L1423" s="3" t="s">
        <v>36</v>
      </c>
      <c r="M1423" s="3" t="s">
        <v>36</v>
      </c>
      <c r="N1423" s="3" t="s">
        <v>23</v>
      </c>
      <c r="O1423" s="3" t="s">
        <v>1272</v>
      </c>
    </row>
    <row r="1424" spans="1:15" hidden="1" x14ac:dyDescent="0.75">
      <c r="A1424" s="2">
        <v>46290</v>
      </c>
      <c r="B1424" s="3" t="s">
        <v>1983</v>
      </c>
      <c r="C1424" s="3" t="s">
        <v>1984</v>
      </c>
      <c r="D1424" s="3" t="s">
        <v>17</v>
      </c>
      <c r="E1424" s="3" t="s">
        <v>18</v>
      </c>
      <c r="F1424" s="3" t="s">
        <v>737</v>
      </c>
      <c r="G1424" s="3" t="s">
        <v>738</v>
      </c>
      <c r="H1424" s="4">
        <v>46290.911582060187</v>
      </c>
      <c r="I1424" s="4">
        <v>46290.949961805563</v>
      </c>
      <c r="J1424" s="3">
        <f>ROUND((I1424-H1424)*1440,0)</f>
        <v>55</v>
      </c>
      <c r="K1424" s="3" t="s">
        <v>1517</v>
      </c>
      <c r="L1424" s="3" t="s">
        <v>77</v>
      </c>
      <c r="M1424" s="3" t="s">
        <v>78</v>
      </c>
      <c r="N1424" s="3" t="s">
        <v>45</v>
      </c>
      <c r="O1424" s="3" t="s">
        <v>1518</v>
      </c>
    </row>
    <row r="1425" spans="1:15" hidden="1" x14ac:dyDescent="0.75">
      <c r="A1425" s="2">
        <v>46290</v>
      </c>
      <c r="B1425" s="3" t="s">
        <v>1863</v>
      </c>
      <c r="C1425" s="3" t="s">
        <v>1864</v>
      </c>
      <c r="D1425" s="3" t="s">
        <v>1195</v>
      </c>
      <c r="E1425" s="3" t="s">
        <v>1196</v>
      </c>
      <c r="F1425" s="3" t="s">
        <v>17</v>
      </c>
      <c r="G1425" s="3" t="s">
        <v>18</v>
      </c>
      <c r="H1425" s="4">
        <v>46290.912626157413</v>
      </c>
      <c r="I1425" s="4">
        <v>46291.13680925926</v>
      </c>
      <c r="J1425" s="3">
        <f>ROUND((I1425-H1425)*1440,0)</f>
        <v>323</v>
      </c>
      <c r="K1425" s="3" t="s">
        <v>961</v>
      </c>
      <c r="L1425" s="3" t="s">
        <v>36</v>
      </c>
      <c r="M1425" s="3" t="s">
        <v>36</v>
      </c>
      <c r="N1425" s="3" t="s">
        <v>23</v>
      </c>
      <c r="O1425" s="3" t="s">
        <v>962</v>
      </c>
    </row>
    <row r="1426" spans="1:15" hidden="1" x14ac:dyDescent="0.75">
      <c r="A1426" s="2">
        <v>46290</v>
      </c>
      <c r="B1426" s="3" t="s">
        <v>1885</v>
      </c>
      <c r="C1426" s="3" t="s">
        <v>1886</v>
      </c>
      <c r="D1426" s="3" t="s">
        <v>27</v>
      </c>
      <c r="E1426" s="3" t="s">
        <v>28</v>
      </c>
      <c r="F1426" s="3" t="s">
        <v>334</v>
      </c>
      <c r="G1426" s="3" t="s">
        <v>335</v>
      </c>
      <c r="H1426" s="4">
        <v>46290.91424849537</v>
      </c>
      <c r="I1426" s="4">
        <v>46291.004267939818</v>
      </c>
      <c r="J1426" s="3">
        <f>ROUND((I1426-H1426)*1440,0)</f>
        <v>130</v>
      </c>
      <c r="K1426" s="3" t="s">
        <v>1501</v>
      </c>
      <c r="L1426" s="3" t="s">
        <v>77</v>
      </c>
      <c r="M1426" s="3" t="s">
        <v>78</v>
      </c>
      <c r="N1426" s="3" t="s">
        <v>23</v>
      </c>
      <c r="O1426" s="3" t="s">
        <v>1502</v>
      </c>
    </row>
    <row r="1427" spans="1:15" hidden="1" x14ac:dyDescent="0.75">
      <c r="A1427" s="2">
        <v>46290</v>
      </c>
      <c r="B1427" s="3" t="s">
        <v>1859</v>
      </c>
      <c r="C1427" s="3" t="s">
        <v>1860</v>
      </c>
      <c r="D1427" s="3" t="s">
        <v>304</v>
      </c>
      <c r="E1427" s="3" t="s">
        <v>305</v>
      </c>
      <c r="F1427" s="3" t="s">
        <v>17</v>
      </c>
      <c r="G1427" s="3" t="s">
        <v>18</v>
      </c>
      <c r="H1427" s="4">
        <v>46290.914654166663</v>
      </c>
      <c r="I1427" s="4">
        <v>46291.142105324077</v>
      </c>
      <c r="J1427" s="3">
        <f>ROUND((I1427-H1427)*1440,0)</f>
        <v>328</v>
      </c>
      <c r="K1427" s="3" t="s">
        <v>1689</v>
      </c>
      <c r="L1427" s="3" t="s">
        <v>22</v>
      </c>
      <c r="M1427" s="3" t="s">
        <v>22</v>
      </c>
      <c r="N1427" s="3" t="s">
        <v>23</v>
      </c>
      <c r="O1427" s="3" t="s">
        <v>1690</v>
      </c>
    </row>
    <row r="1428" spans="1:15" hidden="1" x14ac:dyDescent="0.75">
      <c r="A1428" s="2">
        <v>46290</v>
      </c>
      <c r="B1428" s="3" t="s">
        <v>1857</v>
      </c>
      <c r="C1428" s="3" t="s">
        <v>1858</v>
      </c>
      <c r="D1428" s="3" t="s">
        <v>2321</v>
      </c>
      <c r="E1428" s="3" t="s">
        <v>2322</v>
      </c>
      <c r="F1428" s="3" t="s">
        <v>82</v>
      </c>
      <c r="G1428" s="3" t="s">
        <v>83</v>
      </c>
      <c r="H1428" s="4">
        <v>46290.914767361108</v>
      </c>
      <c r="I1428" s="4">
        <v>46290.983184259261</v>
      </c>
      <c r="J1428" s="3">
        <f>ROUND((I1428-H1428)*1440,0)</f>
        <v>99</v>
      </c>
      <c r="K1428" s="3" t="s">
        <v>384</v>
      </c>
      <c r="L1428" s="3" t="s">
        <v>36</v>
      </c>
      <c r="M1428" s="3" t="s">
        <v>36</v>
      </c>
      <c r="N1428" s="3" t="s">
        <v>23</v>
      </c>
      <c r="O1428" s="3" t="s">
        <v>385</v>
      </c>
    </row>
    <row r="1429" spans="1:15" hidden="1" x14ac:dyDescent="0.75">
      <c r="A1429" s="2">
        <v>46290</v>
      </c>
      <c r="B1429" s="3" t="s">
        <v>1975</v>
      </c>
      <c r="C1429" s="3" t="s">
        <v>1976</v>
      </c>
      <c r="D1429" s="3" t="s">
        <v>27</v>
      </c>
      <c r="E1429" s="3" t="s">
        <v>28</v>
      </c>
      <c r="F1429" s="3" t="s">
        <v>304</v>
      </c>
      <c r="G1429" s="3" t="s">
        <v>305</v>
      </c>
      <c r="H1429" s="4">
        <v>46290.922458796304</v>
      </c>
      <c r="I1429" s="4">
        <v>46291.159890162038</v>
      </c>
      <c r="J1429" s="3">
        <f>ROUND((I1429-H1429)*1440,0)</f>
        <v>342</v>
      </c>
      <c r="K1429" s="3" t="s">
        <v>505</v>
      </c>
      <c r="L1429" s="3" t="s">
        <v>43</v>
      </c>
      <c r="M1429" s="3" t="s">
        <v>44</v>
      </c>
      <c r="N1429" s="3" t="s">
        <v>23</v>
      </c>
      <c r="O1429" s="3" t="s">
        <v>506</v>
      </c>
    </row>
    <row r="1430" spans="1:15" hidden="1" x14ac:dyDescent="0.75">
      <c r="A1430" s="2">
        <v>46290</v>
      </c>
      <c r="B1430" s="3" t="s">
        <v>1935</v>
      </c>
      <c r="C1430" s="3" t="s">
        <v>1936</v>
      </c>
      <c r="D1430" s="3" t="s">
        <v>82</v>
      </c>
      <c r="E1430" s="3" t="s">
        <v>83</v>
      </c>
      <c r="F1430" s="3" t="s">
        <v>737</v>
      </c>
      <c r="G1430" s="3" t="s">
        <v>738</v>
      </c>
      <c r="H1430" s="4">
        <v>46290.922461111113</v>
      </c>
      <c r="I1430" s="4">
        <v>46291.013774999999</v>
      </c>
      <c r="J1430" s="3">
        <f>ROUND((I1430-H1430)*1440,0)</f>
        <v>131</v>
      </c>
      <c r="K1430" s="3" t="s">
        <v>697</v>
      </c>
      <c r="L1430" s="3" t="s">
        <v>77</v>
      </c>
      <c r="M1430" s="3" t="s">
        <v>78</v>
      </c>
      <c r="N1430" s="3" t="s">
        <v>45</v>
      </c>
      <c r="O1430" s="3" t="s">
        <v>698</v>
      </c>
    </row>
    <row r="1431" spans="1:15" hidden="1" x14ac:dyDescent="0.75">
      <c r="A1431" s="2">
        <v>46290</v>
      </c>
      <c r="B1431" s="3" t="s">
        <v>1959</v>
      </c>
      <c r="C1431" s="3" t="s">
        <v>1960</v>
      </c>
      <c r="D1431" s="3" t="s">
        <v>82</v>
      </c>
      <c r="E1431" s="3" t="s">
        <v>83</v>
      </c>
      <c r="F1431" s="3" t="s">
        <v>56</v>
      </c>
      <c r="G1431" s="3" t="s">
        <v>57</v>
      </c>
      <c r="H1431" s="4">
        <v>46290.92246134259</v>
      </c>
      <c r="I1431" s="4">
        <v>46290.947894328703</v>
      </c>
      <c r="J1431" s="3">
        <f>ROUND((I1431-H1431)*1440,0)</f>
        <v>37</v>
      </c>
      <c r="K1431" s="3" t="s">
        <v>873</v>
      </c>
      <c r="L1431" s="3" t="s">
        <v>36</v>
      </c>
      <c r="M1431" s="3" t="s">
        <v>36</v>
      </c>
      <c r="N1431" s="3" t="s">
        <v>23</v>
      </c>
      <c r="O1431" s="3" t="s">
        <v>874</v>
      </c>
    </row>
    <row r="1432" spans="1:15" hidden="1" x14ac:dyDescent="0.75">
      <c r="A1432" s="2">
        <v>46290</v>
      </c>
      <c r="B1432" s="3" t="s">
        <v>1963</v>
      </c>
      <c r="C1432" s="3" t="s">
        <v>1964</v>
      </c>
      <c r="D1432" s="3" t="s">
        <v>27</v>
      </c>
      <c r="E1432" s="3" t="s">
        <v>28</v>
      </c>
      <c r="F1432" s="3" t="s">
        <v>228</v>
      </c>
      <c r="G1432" s="3" t="s">
        <v>229</v>
      </c>
      <c r="H1432" s="4">
        <v>46290.922461921298</v>
      </c>
      <c r="I1432" s="4">
        <v>46290.976212615737</v>
      </c>
      <c r="J1432" s="3">
        <f>ROUND((I1432-H1432)*1440,0)</f>
        <v>77</v>
      </c>
      <c r="K1432" s="3" t="s">
        <v>891</v>
      </c>
      <c r="L1432" s="3" t="s">
        <v>77</v>
      </c>
      <c r="M1432" s="3" t="s">
        <v>78</v>
      </c>
      <c r="N1432" s="3" t="s">
        <v>23</v>
      </c>
      <c r="O1432" s="3" t="s">
        <v>892</v>
      </c>
    </row>
    <row r="1433" spans="1:15" hidden="1" x14ac:dyDescent="0.75">
      <c r="A1433" s="2">
        <v>46290</v>
      </c>
      <c r="B1433" s="3" t="s">
        <v>1835</v>
      </c>
      <c r="C1433" s="3" t="s">
        <v>1836</v>
      </c>
      <c r="D1433" s="3" t="s">
        <v>719</v>
      </c>
      <c r="E1433" s="3" t="s">
        <v>720</v>
      </c>
      <c r="F1433" s="3" t="s">
        <v>17</v>
      </c>
      <c r="G1433" s="3" t="s">
        <v>18</v>
      </c>
      <c r="H1433" s="4">
        <v>46290.922464930547</v>
      </c>
      <c r="I1433" s="4">
        <v>46291.027740972233</v>
      </c>
      <c r="J1433" s="3">
        <f>ROUND((I1433-H1433)*1440,0)</f>
        <v>152</v>
      </c>
      <c r="K1433" s="3" t="s">
        <v>1185</v>
      </c>
      <c r="L1433" s="3" t="s">
        <v>36</v>
      </c>
      <c r="M1433" s="3" t="s">
        <v>36</v>
      </c>
      <c r="N1433" s="3" t="s">
        <v>23</v>
      </c>
      <c r="O1433" s="3" t="s">
        <v>1186</v>
      </c>
    </row>
    <row r="1434" spans="1:15" hidden="1" x14ac:dyDescent="0.75">
      <c r="A1434" s="2">
        <v>46290</v>
      </c>
      <c r="B1434" s="3" t="s">
        <v>1971</v>
      </c>
      <c r="C1434" s="3" t="s">
        <v>1972</v>
      </c>
      <c r="D1434" s="3" t="s">
        <v>459</v>
      </c>
      <c r="E1434" s="3" t="s">
        <v>460</v>
      </c>
      <c r="F1434" s="3" t="s">
        <v>27</v>
      </c>
      <c r="G1434" s="3" t="s">
        <v>28</v>
      </c>
      <c r="H1434" s="4">
        <v>46290.922779282409</v>
      </c>
      <c r="I1434" s="4">
        <v>46291.138059722223</v>
      </c>
      <c r="J1434" s="3">
        <f>ROUND((I1434-H1434)*1440,0)</f>
        <v>310</v>
      </c>
      <c r="K1434" s="3" t="s">
        <v>2239</v>
      </c>
      <c r="L1434" s="3" t="s">
        <v>43</v>
      </c>
      <c r="M1434" s="3" t="s">
        <v>44</v>
      </c>
      <c r="N1434" s="3" t="s">
        <v>23</v>
      </c>
      <c r="O1434" s="3" t="s">
        <v>2240</v>
      </c>
    </row>
    <row r="1435" spans="1:15" hidden="1" x14ac:dyDescent="0.75">
      <c r="A1435" s="2">
        <v>46290</v>
      </c>
      <c r="B1435" s="3" t="s">
        <v>2007</v>
      </c>
      <c r="C1435" s="3" t="s">
        <v>2008</v>
      </c>
      <c r="D1435" s="3" t="s">
        <v>27</v>
      </c>
      <c r="E1435" s="3" t="s">
        <v>28</v>
      </c>
      <c r="F1435" s="3" t="s">
        <v>737</v>
      </c>
      <c r="G1435" s="3" t="s">
        <v>738</v>
      </c>
      <c r="H1435" s="4">
        <v>46290.926509375</v>
      </c>
      <c r="I1435" s="4">
        <v>46290.970789467603</v>
      </c>
      <c r="J1435" s="3">
        <f>ROUND((I1435-H1435)*1440,0)</f>
        <v>64</v>
      </c>
      <c r="K1435" s="3" t="s">
        <v>2187</v>
      </c>
      <c r="L1435" s="3" t="s">
        <v>77</v>
      </c>
      <c r="M1435" s="3" t="s">
        <v>78</v>
      </c>
      <c r="N1435" s="3" t="s">
        <v>45</v>
      </c>
      <c r="O1435" s="3" t="s">
        <v>2188</v>
      </c>
    </row>
    <row r="1436" spans="1:15" hidden="1" x14ac:dyDescent="0.75">
      <c r="A1436" s="2">
        <v>46290</v>
      </c>
      <c r="B1436" s="3" t="s">
        <v>1839</v>
      </c>
      <c r="C1436" s="3" t="s">
        <v>1840</v>
      </c>
      <c r="D1436" s="3" t="s">
        <v>208</v>
      </c>
      <c r="E1436" s="3" t="s">
        <v>209</v>
      </c>
      <c r="F1436" s="3" t="s">
        <v>68</v>
      </c>
      <c r="G1436" s="3" t="s">
        <v>69</v>
      </c>
      <c r="H1436" s="4">
        <v>46290.926511226848</v>
      </c>
      <c r="I1436" s="4">
        <v>46291.018850347224</v>
      </c>
      <c r="J1436" s="3">
        <f>ROUND((I1436-H1436)*1440,0)</f>
        <v>133</v>
      </c>
      <c r="K1436" s="3" t="s">
        <v>434</v>
      </c>
      <c r="L1436" s="3" t="s">
        <v>36</v>
      </c>
      <c r="M1436" s="3" t="s">
        <v>36</v>
      </c>
      <c r="N1436" s="3" t="s">
        <v>23</v>
      </c>
      <c r="O1436" s="3" t="s">
        <v>435</v>
      </c>
    </row>
    <row r="1437" spans="1:15" hidden="1" x14ac:dyDescent="0.75">
      <c r="A1437" s="2">
        <v>46290</v>
      </c>
      <c r="B1437" s="3" t="s">
        <v>1875</v>
      </c>
      <c r="C1437" s="3" t="s">
        <v>1876</v>
      </c>
      <c r="D1437" s="3" t="s">
        <v>56</v>
      </c>
      <c r="E1437" s="3" t="s">
        <v>57</v>
      </c>
      <c r="F1437" s="3" t="s">
        <v>182</v>
      </c>
      <c r="G1437" s="3" t="s">
        <v>183</v>
      </c>
      <c r="H1437" s="4">
        <v>46290.926574305558</v>
      </c>
      <c r="I1437" s="4">
        <v>46290.986294675917</v>
      </c>
      <c r="J1437" s="3">
        <f>ROUND((I1437-H1437)*1440,0)</f>
        <v>86</v>
      </c>
      <c r="K1437" s="3" t="s">
        <v>138</v>
      </c>
      <c r="L1437" s="3" t="s">
        <v>36</v>
      </c>
      <c r="M1437" s="3" t="s">
        <v>36</v>
      </c>
      <c r="N1437" s="3" t="s">
        <v>23</v>
      </c>
      <c r="O1437" s="3" t="s">
        <v>139</v>
      </c>
    </row>
    <row r="1438" spans="1:15" hidden="1" x14ac:dyDescent="0.75">
      <c r="A1438" s="2">
        <v>46290</v>
      </c>
      <c r="B1438" s="3" t="s">
        <v>1999</v>
      </c>
      <c r="C1438" s="3" t="s">
        <v>2000</v>
      </c>
      <c r="D1438" s="3"/>
      <c r="E1438" s="3"/>
      <c r="F1438" s="3" t="s">
        <v>56</v>
      </c>
      <c r="G1438" s="3" t="s">
        <v>57</v>
      </c>
      <c r="H1438" s="4">
        <v>46290.926576504629</v>
      </c>
      <c r="I1438" s="4">
        <v>46291.007692708343</v>
      </c>
      <c r="J1438" s="3">
        <f>ROUND((I1438-H1438)*1440,0)</f>
        <v>117</v>
      </c>
      <c r="K1438" s="3" t="s">
        <v>1307</v>
      </c>
      <c r="L1438" s="3" t="s">
        <v>36</v>
      </c>
      <c r="M1438" s="3" t="s">
        <v>36</v>
      </c>
      <c r="N1438" s="3" t="s">
        <v>23</v>
      </c>
      <c r="O1438" s="3" t="s">
        <v>1308</v>
      </c>
    </row>
    <row r="1439" spans="1:15" hidden="1" x14ac:dyDescent="0.75">
      <c r="A1439" s="2">
        <v>46290</v>
      </c>
      <c r="B1439" s="3" t="s">
        <v>1957</v>
      </c>
      <c r="C1439" s="3" t="s">
        <v>1958</v>
      </c>
      <c r="D1439" s="3"/>
      <c r="E1439" s="3"/>
      <c r="F1439" s="3" t="s">
        <v>158</v>
      </c>
      <c r="G1439" s="3" t="s">
        <v>159</v>
      </c>
      <c r="H1439" s="4">
        <v>46290.926601041669</v>
      </c>
      <c r="I1439" s="4">
        <v>46291.06738414352</v>
      </c>
      <c r="J1439" s="3">
        <f>ROUND((I1439-H1439)*1440,0)</f>
        <v>203</v>
      </c>
      <c r="K1439" s="3" t="s">
        <v>2171</v>
      </c>
      <c r="L1439" s="3" t="s">
        <v>36</v>
      </c>
      <c r="M1439" s="3" t="s">
        <v>36</v>
      </c>
      <c r="N1439" s="3" t="s">
        <v>23</v>
      </c>
      <c r="O1439" s="3" t="s">
        <v>2172</v>
      </c>
    </row>
    <row r="1440" spans="1:15" hidden="1" x14ac:dyDescent="0.75">
      <c r="A1440" s="2">
        <v>46290</v>
      </c>
      <c r="B1440" s="3" t="s">
        <v>2019</v>
      </c>
      <c r="C1440" s="3" t="s">
        <v>2020</v>
      </c>
      <c r="D1440" s="3" t="s">
        <v>68</v>
      </c>
      <c r="E1440" s="3" t="s">
        <v>69</v>
      </c>
      <c r="F1440" s="3"/>
      <c r="G1440" s="3"/>
      <c r="H1440" s="4">
        <v>46290.926733680557</v>
      </c>
      <c r="I1440" s="4">
        <v>46290.999857407412</v>
      </c>
      <c r="J1440" s="3">
        <f>ROUND((I1440-H1440)*1440,0)</f>
        <v>105</v>
      </c>
      <c r="K1440" s="3" t="s">
        <v>130</v>
      </c>
      <c r="L1440" s="3" t="s">
        <v>36</v>
      </c>
      <c r="M1440" s="3" t="s">
        <v>36</v>
      </c>
      <c r="N1440" s="3" t="s">
        <v>443</v>
      </c>
      <c r="O1440" s="3" t="s">
        <v>131</v>
      </c>
    </row>
    <row r="1441" spans="1:15" hidden="1" x14ac:dyDescent="0.75">
      <c r="A1441" s="2">
        <v>46290</v>
      </c>
      <c r="B1441" s="3" t="s">
        <v>1969</v>
      </c>
      <c r="C1441" s="3" t="s">
        <v>1970</v>
      </c>
      <c r="D1441" s="3"/>
      <c r="E1441" s="3"/>
      <c r="F1441" s="3" t="s">
        <v>17</v>
      </c>
      <c r="G1441" s="3" t="s">
        <v>18</v>
      </c>
      <c r="H1441" s="4">
        <v>46290.926792361111</v>
      </c>
      <c r="I1441" s="4">
        <v>46290.995454282413</v>
      </c>
      <c r="J1441" s="3">
        <f>ROUND((I1441-H1441)*1440,0)</f>
        <v>99</v>
      </c>
      <c r="K1441" s="3" t="s">
        <v>1233</v>
      </c>
      <c r="L1441" s="3" t="s">
        <v>22</v>
      </c>
      <c r="M1441" s="3" t="s">
        <v>22</v>
      </c>
      <c r="N1441" s="3" t="s">
        <v>23</v>
      </c>
      <c r="O1441" s="3" t="s">
        <v>1234</v>
      </c>
    </row>
    <row r="1442" spans="1:15" hidden="1" x14ac:dyDescent="0.75">
      <c r="A1442" s="2">
        <v>46290</v>
      </c>
      <c r="B1442" s="3" t="s">
        <v>1943</v>
      </c>
      <c r="C1442" s="3" t="s">
        <v>1944</v>
      </c>
      <c r="D1442" s="3" t="s">
        <v>122</v>
      </c>
      <c r="E1442" s="3" t="s">
        <v>123</v>
      </c>
      <c r="F1442" s="3" t="s">
        <v>17</v>
      </c>
      <c r="G1442" s="3" t="s">
        <v>18</v>
      </c>
      <c r="H1442" s="4">
        <v>46290.934724305553</v>
      </c>
      <c r="I1442" s="4">
        <v>46291.159714120367</v>
      </c>
      <c r="J1442" s="3">
        <f>ROUND((I1442-H1442)*1440,0)</f>
        <v>324</v>
      </c>
      <c r="K1442" s="3" t="s">
        <v>1301</v>
      </c>
      <c r="L1442" s="3" t="s">
        <v>22</v>
      </c>
      <c r="M1442" s="3" t="s">
        <v>22</v>
      </c>
      <c r="N1442" s="3" t="s">
        <v>23</v>
      </c>
      <c r="O1442" s="3" t="s">
        <v>1302</v>
      </c>
    </row>
    <row r="1443" spans="1:15" hidden="1" x14ac:dyDescent="0.75">
      <c r="A1443" s="2">
        <v>46290</v>
      </c>
      <c r="B1443" s="3" t="s">
        <v>2081</v>
      </c>
      <c r="C1443" s="3" t="s">
        <v>2082</v>
      </c>
      <c r="D1443" s="3" t="s">
        <v>304</v>
      </c>
      <c r="E1443" s="3" t="s">
        <v>305</v>
      </c>
      <c r="F1443" s="3" t="s">
        <v>17</v>
      </c>
      <c r="G1443" s="3" t="s">
        <v>18</v>
      </c>
      <c r="H1443" s="4">
        <v>46290.934726388892</v>
      </c>
      <c r="I1443" s="4">
        <v>46291.156229398148</v>
      </c>
      <c r="J1443" s="3">
        <f>ROUND((I1443-H1443)*1440,0)</f>
        <v>319</v>
      </c>
      <c r="K1443" s="3" t="s">
        <v>557</v>
      </c>
      <c r="L1443" s="3" t="s">
        <v>22</v>
      </c>
      <c r="M1443" s="3" t="s">
        <v>22</v>
      </c>
      <c r="N1443" s="3" t="s">
        <v>23</v>
      </c>
      <c r="O1443" s="3" t="s">
        <v>558</v>
      </c>
    </row>
    <row r="1444" spans="1:15" hidden="1" x14ac:dyDescent="0.75">
      <c r="A1444" s="2">
        <v>46290</v>
      </c>
      <c r="B1444" s="3" t="s">
        <v>1951</v>
      </c>
      <c r="C1444" s="3" t="s">
        <v>1952</v>
      </c>
      <c r="D1444" s="3" t="s">
        <v>264</v>
      </c>
      <c r="E1444" s="3" t="s">
        <v>265</v>
      </c>
      <c r="F1444" s="3" t="s">
        <v>737</v>
      </c>
      <c r="G1444" s="3" t="s">
        <v>738</v>
      </c>
      <c r="H1444" s="4">
        <v>46290.934731944442</v>
      </c>
      <c r="I1444" s="4">
        <v>46291.112718402779</v>
      </c>
      <c r="J1444" s="3">
        <f>ROUND((I1444-H1444)*1440,0)</f>
        <v>256</v>
      </c>
      <c r="K1444" s="3" t="s">
        <v>430</v>
      </c>
      <c r="L1444" s="3" t="s">
        <v>36</v>
      </c>
      <c r="M1444" s="3" t="s">
        <v>36</v>
      </c>
      <c r="N1444" s="3" t="s">
        <v>45</v>
      </c>
      <c r="O1444" s="3" t="s">
        <v>431</v>
      </c>
    </row>
    <row r="1445" spans="1:15" hidden="1" x14ac:dyDescent="0.75">
      <c r="A1445" s="2">
        <v>46290</v>
      </c>
      <c r="B1445" s="3" t="s">
        <v>2003</v>
      </c>
      <c r="C1445" s="3" t="s">
        <v>2004</v>
      </c>
      <c r="D1445" s="3" t="s">
        <v>17</v>
      </c>
      <c r="E1445" s="3" t="s">
        <v>18</v>
      </c>
      <c r="F1445" s="3" t="s">
        <v>304</v>
      </c>
      <c r="G1445" s="3" t="s">
        <v>305</v>
      </c>
      <c r="H1445" s="4">
        <v>46290.934737152777</v>
      </c>
      <c r="I1445" s="4">
        <v>46291.150336689818</v>
      </c>
      <c r="J1445" s="3">
        <f>ROUND((I1445-H1445)*1440,0)</f>
        <v>310</v>
      </c>
      <c r="K1445" s="3" t="s">
        <v>2161</v>
      </c>
      <c r="L1445" s="3" t="s">
        <v>43</v>
      </c>
      <c r="M1445" s="3" t="s">
        <v>44</v>
      </c>
      <c r="N1445" s="3" t="s">
        <v>23</v>
      </c>
      <c r="O1445" s="3" t="s">
        <v>2162</v>
      </c>
    </row>
    <row r="1446" spans="1:15" hidden="1" x14ac:dyDescent="0.75">
      <c r="A1446" s="2">
        <v>46290</v>
      </c>
      <c r="B1446" s="3" t="s">
        <v>2113</v>
      </c>
      <c r="C1446" s="3" t="s">
        <v>2114</v>
      </c>
      <c r="D1446" s="3" t="s">
        <v>218</v>
      </c>
      <c r="E1446" s="3" t="s">
        <v>219</v>
      </c>
      <c r="F1446" s="3" t="s">
        <v>27</v>
      </c>
      <c r="G1446" s="3" t="s">
        <v>28</v>
      </c>
      <c r="H1446" s="4">
        <v>46290.934739814817</v>
      </c>
      <c r="I1446" s="4">
        <v>46291.005836689823</v>
      </c>
      <c r="J1446" s="3">
        <f>ROUND((I1446-H1446)*1440,0)</f>
        <v>102</v>
      </c>
      <c r="K1446" s="3" t="s">
        <v>1115</v>
      </c>
      <c r="L1446" s="3" t="s">
        <v>77</v>
      </c>
      <c r="M1446" s="3" t="s">
        <v>78</v>
      </c>
      <c r="N1446" s="3" t="s">
        <v>23</v>
      </c>
      <c r="O1446" s="3" t="s">
        <v>1116</v>
      </c>
    </row>
    <row r="1447" spans="1:15" hidden="1" x14ac:dyDescent="0.75">
      <c r="A1447" s="2">
        <v>46290</v>
      </c>
      <c r="B1447" s="3" t="s">
        <v>1323</v>
      </c>
      <c r="C1447" s="3" t="s">
        <v>1324</v>
      </c>
      <c r="D1447" s="3"/>
      <c r="E1447" s="3"/>
      <c r="F1447" s="3" t="s">
        <v>56</v>
      </c>
      <c r="G1447" s="3" t="s">
        <v>57</v>
      </c>
      <c r="H1447" s="4">
        <v>46290.934749652777</v>
      </c>
      <c r="I1447" s="4">
        <v>46290.951235069442</v>
      </c>
      <c r="J1447" s="3">
        <f>ROUND((I1447-H1447)*1440,0)</f>
        <v>24</v>
      </c>
      <c r="K1447" s="3" t="s">
        <v>310</v>
      </c>
      <c r="L1447" s="3" t="s">
        <v>36</v>
      </c>
      <c r="M1447" s="3" t="s">
        <v>36</v>
      </c>
      <c r="N1447" s="3" t="s">
        <v>23</v>
      </c>
      <c r="O1447" s="3" t="s">
        <v>311</v>
      </c>
    </row>
    <row r="1448" spans="1:15" hidden="1" x14ac:dyDescent="0.75">
      <c r="A1448" s="2">
        <v>46290</v>
      </c>
      <c r="B1448" s="3" t="s">
        <v>1995</v>
      </c>
      <c r="C1448" s="3" t="s">
        <v>1996</v>
      </c>
      <c r="D1448" s="3" t="s">
        <v>17</v>
      </c>
      <c r="E1448" s="3" t="s">
        <v>18</v>
      </c>
      <c r="F1448" s="3" t="s">
        <v>527</v>
      </c>
      <c r="G1448" s="3" t="s">
        <v>528</v>
      </c>
      <c r="H1448" s="4">
        <v>46290.935081134259</v>
      </c>
      <c r="I1448" s="4">
        <v>46291.157976620372</v>
      </c>
      <c r="J1448" s="3">
        <f>ROUND((I1448-H1448)*1440,0)</f>
        <v>321</v>
      </c>
      <c r="K1448" s="3" t="s">
        <v>553</v>
      </c>
      <c r="L1448" s="3" t="s">
        <v>77</v>
      </c>
      <c r="M1448" s="3" t="s">
        <v>78</v>
      </c>
      <c r="N1448" s="3" t="s">
        <v>23</v>
      </c>
      <c r="O1448" s="3" t="s">
        <v>554</v>
      </c>
    </row>
    <row r="1449" spans="1:15" hidden="1" x14ac:dyDescent="0.75">
      <c r="A1449" s="2">
        <v>46290</v>
      </c>
      <c r="B1449" s="3" t="s">
        <v>1991</v>
      </c>
      <c r="C1449" s="3" t="s">
        <v>1992</v>
      </c>
      <c r="D1449" s="3" t="s">
        <v>27</v>
      </c>
      <c r="E1449" s="3" t="s">
        <v>28</v>
      </c>
      <c r="F1449" s="3" t="s">
        <v>56</v>
      </c>
      <c r="G1449" s="3" t="s">
        <v>57</v>
      </c>
      <c r="H1449" s="4">
        <v>46290.935306712963</v>
      </c>
      <c r="I1449" s="4">
        <v>46291.045725231481</v>
      </c>
      <c r="J1449" s="3">
        <f>ROUND((I1449-H1449)*1440,0)</f>
        <v>159</v>
      </c>
      <c r="K1449" s="3" t="s">
        <v>1077</v>
      </c>
      <c r="L1449" s="3" t="s">
        <v>36</v>
      </c>
      <c r="M1449" s="3" t="s">
        <v>36</v>
      </c>
      <c r="N1449" s="3" t="s">
        <v>23</v>
      </c>
      <c r="O1449" s="3" t="s">
        <v>1078</v>
      </c>
    </row>
    <row r="1450" spans="1:15" hidden="1" x14ac:dyDescent="0.75">
      <c r="A1450" s="2">
        <v>46290</v>
      </c>
      <c r="B1450" s="3" t="s">
        <v>2015</v>
      </c>
      <c r="C1450" s="3" t="s">
        <v>2016</v>
      </c>
      <c r="D1450" s="3" t="s">
        <v>84</v>
      </c>
      <c r="E1450" s="3" t="s">
        <v>85</v>
      </c>
      <c r="F1450" s="3" t="s">
        <v>68</v>
      </c>
      <c r="G1450" s="3" t="s">
        <v>69</v>
      </c>
      <c r="H1450" s="4">
        <v>46290.935435648149</v>
      </c>
      <c r="I1450" s="4">
        <v>46291.025562615738</v>
      </c>
      <c r="J1450" s="3">
        <f>ROUND((I1450-H1450)*1440,0)</f>
        <v>130</v>
      </c>
      <c r="K1450" s="3" t="s">
        <v>60</v>
      </c>
      <c r="L1450" s="3" t="s">
        <v>36</v>
      </c>
      <c r="M1450" s="3" t="s">
        <v>36</v>
      </c>
      <c r="N1450" s="3" t="s">
        <v>23</v>
      </c>
      <c r="O1450" s="3" t="s">
        <v>61</v>
      </c>
    </row>
    <row r="1451" spans="1:15" hidden="1" x14ac:dyDescent="0.75">
      <c r="A1451" s="2">
        <v>46290</v>
      </c>
      <c r="B1451" s="3" t="s">
        <v>2105</v>
      </c>
      <c r="C1451" s="3" t="s">
        <v>2106</v>
      </c>
      <c r="D1451" s="3" t="s">
        <v>228</v>
      </c>
      <c r="E1451" s="3" t="s">
        <v>229</v>
      </c>
      <c r="F1451" s="3" t="s">
        <v>27</v>
      </c>
      <c r="G1451" s="3" t="s">
        <v>28</v>
      </c>
      <c r="H1451" s="4">
        <v>46290.935607754633</v>
      </c>
      <c r="I1451" s="4">
        <v>46290.995556365742</v>
      </c>
      <c r="J1451" s="3">
        <f>ROUND((I1451-H1451)*1440,0)</f>
        <v>86</v>
      </c>
      <c r="K1451" s="3" t="s">
        <v>236</v>
      </c>
      <c r="L1451" s="3" t="s">
        <v>77</v>
      </c>
      <c r="M1451" s="3" t="s">
        <v>78</v>
      </c>
      <c r="N1451" s="3" t="s">
        <v>23</v>
      </c>
      <c r="O1451" s="3" t="s">
        <v>237</v>
      </c>
    </row>
    <row r="1452" spans="1:15" hidden="1" x14ac:dyDescent="0.75">
      <c r="A1452" s="2">
        <v>46290</v>
      </c>
      <c r="B1452" s="3" t="s">
        <v>2061</v>
      </c>
      <c r="C1452" s="3" t="s">
        <v>2062</v>
      </c>
      <c r="D1452" s="3" t="s">
        <v>122</v>
      </c>
      <c r="E1452" s="3" t="s">
        <v>123</v>
      </c>
      <c r="F1452" s="3" t="s">
        <v>27</v>
      </c>
      <c r="G1452" s="3" t="s">
        <v>28</v>
      </c>
      <c r="H1452" s="4">
        <v>46290.935674768523</v>
      </c>
      <c r="I1452" s="4">
        <v>46291.156160185194</v>
      </c>
      <c r="J1452" s="3">
        <f>ROUND((I1452-H1452)*1440,0)</f>
        <v>317</v>
      </c>
      <c r="K1452" s="3" t="s">
        <v>943</v>
      </c>
      <c r="L1452" s="3" t="s">
        <v>43</v>
      </c>
      <c r="M1452" s="3" t="s">
        <v>44</v>
      </c>
      <c r="N1452" s="3" t="s">
        <v>23</v>
      </c>
      <c r="O1452" s="3" t="s">
        <v>944</v>
      </c>
    </row>
    <row r="1453" spans="1:15" hidden="1" x14ac:dyDescent="0.75">
      <c r="A1453" s="2">
        <v>46290</v>
      </c>
      <c r="B1453" s="3" t="s">
        <v>1977</v>
      </c>
      <c r="C1453" s="3" t="s">
        <v>1978</v>
      </c>
      <c r="D1453" s="3" t="s">
        <v>27</v>
      </c>
      <c r="E1453" s="3" t="s">
        <v>28</v>
      </c>
      <c r="F1453" s="3" t="s">
        <v>264</v>
      </c>
      <c r="G1453" s="3" t="s">
        <v>265</v>
      </c>
      <c r="H1453" s="4">
        <v>46290.936539699083</v>
      </c>
      <c r="I1453" s="4">
        <v>46291.150421412043</v>
      </c>
      <c r="J1453" s="3">
        <f>ROUND((I1453-H1453)*1440,0)</f>
        <v>308</v>
      </c>
      <c r="K1453" s="3" t="s">
        <v>661</v>
      </c>
      <c r="L1453" s="3" t="s">
        <v>22</v>
      </c>
      <c r="M1453" s="3" t="s">
        <v>22</v>
      </c>
      <c r="N1453" s="3" t="s">
        <v>23</v>
      </c>
      <c r="O1453" s="3" t="s">
        <v>662</v>
      </c>
    </row>
    <row r="1454" spans="1:15" hidden="1" x14ac:dyDescent="0.75">
      <c r="A1454" s="2">
        <v>46290</v>
      </c>
      <c r="B1454" s="3" t="s">
        <v>1973</v>
      </c>
      <c r="C1454" s="3" t="s">
        <v>1974</v>
      </c>
      <c r="D1454" s="3"/>
      <c r="E1454" s="3"/>
      <c r="F1454" s="3" t="s">
        <v>244</v>
      </c>
      <c r="G1454" s="3" t="s">
        <v>245</v>
      </c>
      <c r="H1454" s="4">
        <v>46290.938204861108</v>
      </c>
      <c r="I1454" s="4">
        <v>46290.969311226851</v>
      </c>
      <c r="J1454" s="3">
        <f>ROUND((I1454-H1454)*1440,0)</f>
        <v>45</v>
      </c>
      <c r="K1454" s="3" t="s">
        <v>867</v>
      </c>
      <c r="L1454" s="3" t="s">
        <v>36</v>
      </c>
      <c r="M1454" s="3" t="s">
        <v>36</v>
      </c>
      <c r="N1454" s="3" t="s">
        <v>45</v>
      </c>
      <c r="O1454" s="3" t="s">
        <v>868</v>
      </c>
    </row>
    <row r="1455" spans="1:15" hidden="1" x14ac:dyDescent="0.75">
      <c r="A1455" s="2">
        <v>46290</v>
      </c>
      <c r="B1455" s="3" t="s">
        <v>2017</v>
      </c>
      <c r="C1455" s="3" t="s">
        <v>2018</v>
      </c>
      <c r="D1455" s="3" t="s">
        <v>27</v>
      </c>
      <c r="E1455" s="3" t="s">
        <v>28</v>
      </c>
      <c r="F1455" s="3" t="s">
        <v>158</v>
      </c>
      <c r="G1455" s="3" t="s">
        <v>159</v>
      </c>
      <c r="H1455" s="4">
        <v>46290.94017696759</v>
      </c>
      <c r="I1455" s="4">
        <v>46290.989632060177</v>
      </c>
      <c r="J1455" s="3">
        <f>ROUND((I1455-H1455)*1440,0)</f>
        <v>71</v>
      </c>
      <c r="K1455" s="3" t="s">
        <v>1015</v>
      </c>
      <c r="L1455" s="3" t="s">
        <v>77</v>
      </c>
      <c r="M1455" s="3" t="s">
        <v>78</v>
      </c>
      <c r="N1455" s="3" t="s">
        <v>23</v>
      </c>
      <c r="O1455" s="3" t="s">
        <v>1016</v>
      </c>
    </row>
    <row r="1456" spans="1:15" hidden="1" x14ac:dyDescent="0.75">
      <c r="A1456" s="2">
        <v>46290</v>
      </c>
      <c r="B1456" s="3" t="s">
        <v>2027</v>
      </c>
      <c r="C1456" s="3" t="s">
        <v>2028</v>
      </c>
      <c r="D1456" s="3" t="s">
        <v>158</v>
      </c>
      <c r="E1456" s="3" t="s">
        <v>159</v>
      </c>
      <c r="F1456" s="3" t="s">
        <v>82</v>
      </c>
      <c r="G1456" s="3" t="s">
        <v>83</v>
      </c>
      <c r="H1456" s="4">
        <v>46290.941278472223</v>
      </c>
      <c r="I1456" s="4">
        <v>46291.014675115737</v>
      </c>
      <c r="J1456" s="3">
        <f>ROUND((I1456-H1456)*1440,0)</f>
        <v>106</v>
      </c>
      <c r="K1456" s="3" t="s">
        <v>1873</v>
      </c>
      <c r="L1456" s="3" t="s">
        <v>36</v>
      </c>
      <c r="M1456" s="3" t="s">
        <v>36</v>
      </c>
      <c r="N1456" s="3" t="s">
        <v>23</v>
      </c>
      <c r="O1456" s="3" t="s">
        <v>1874</v>
      </c>
    </row>
    <row r="1457" spans="1:15" hidden="1" x14ac:dyDescent="0.75">
      <c r="A1457" s="2">
        <v>46290</v>
      </c>
      <c r="B1457" s="3" t="s">
        <v>1981</v>
      </c>
      <c r="C1457" s="3" t="s">
        <v>1982</v>
      </c>
      <c r="D1457" s="3" t="s">
        <v>27</v>
      </c>
      <c r="E1457" s="3" t="s">
        <v>28</v>
      </c>
      <c r="F1457" s="3" t="s">
        <v>218</v>
      </c>
      <c r="G1457" s="3" t="s">
        <v>219</v>
      </c>
      <c r="H1457" s="4">
        <v>46290.941687384257</v>
      </c>
      <c r="I1457" s="4">
        <v>46291.004040277781</v>
      </c>
      <c r="J1457" s="3">
        <f>ROUND((I1457-H1457)*1440,0)</f>
        <v>90</v>
      </c>
      <c r="K1457" s="3" t="s">
        <v>51</v>
      </c>
      <c r="L1457" s="3" t="s">
        <v>52</v>
      </c>
      <c r="M1457" s="3"/>
      <c r="N1457" s="3" t="s">
        <v>23</v>
      </c>
      <c r="O1457" s="3" t="s">
        <v>53</v>
      </c>
    </row>
    <row r="1458" spans="1:15" hidden="1" x14ac:dyDescent="0.75">
      <c r="A1458" s="2">
        <v>46290</v>
      </c>
      <c r="B1458" s="3" t="s">
        <v>2031</v>
      </c>
      <c r="C1458" s="3" t="s">
        <v>2032</v>
      </c>
      <c r="D1458" s="3" t="s">
        <v>304</v>
      </c>
      <c r="E1458" s="3" t="s">
        <v>305</v>
      </c>
      <c r="F1458" s="3" t="s">
        <v>56</v>
      </c>
      <c r="G1458" s="3" t="s">
        <v>57</v>
      </c>
      <c r="H1458" s="4">
        <v>46290.941720254632</v>
      </c>
      <c r="I1458" s="4">
        <v>46291.128002662037</v>
      </c>
      <c r="J1458" s="3">
        <f>ROUND((I1458-H1458)*1440,0)</f>
        <v>268</v>
      </c>
      <c r="K1458" s="3" t="s">
        <v>426</v>
      </c>
      <c r="L1458" s="3" t="s">
        <v>22</v>
      </c>
      <c r="M1458" s="3" t="s">
        <v>22</v>
      </c>
      <c r="N1458" s="3" t="s">
        <v>23</v>
      </c>
      <c r="O1458" s="3" t="s">
        <v>427</v>
      </c>
    </row>
    <row r="1459" spans="1:15" hidden="1" x14ac:dyDescent="0.75">
      <c r="A1459" s="2">
        <v>46290</v>
      </c>
      <c r="B1459" s="3" t="s">
        <v>1961</v>
      </c>
      <c r="C1459" s="3" t="s">
        <v>1962</v>
      </c>
      <c r="D1459" s="3" t="s">
        <v>17</v>
      </c>
      <c r="E1459" s="3" t="s">
        <v>18</v>
      </c>
      <c r="F1459" s="3" t="s">
        <v>459</v>
      </c>
      <c r="G1459" s="3" t="s">
        <v>460</v>
      </c>
      <c r="H1459" s="4">
        <v>46290.942883564807</v>
      </c>
      <c r="I1459" s="4">
        <v>46291.161188194441</v>
      </c>
      <c r="J1459" s="3">
        <f>ROUND((I1459-H1459)*1440,0)</f>
        <v>314</v>
      </c>
      <c r="K1459" s="3" t="s">
        <v>1055</v>
      </c>
      <c r="L1459" s="3" t="s">
        <v>22</v>
      </c>
      <c r="M1459" s="3" t="s">
        <v>22</v>
      </c>
      <c r="N1459" s="3" t="s">
        <v>23</v>
      </c>
      <c r="O1459" s="3" t="s">
        <v>1056</v>
      </c>
    </row>
    <row r="1460" spans="1:15" hidden="1" x14ac:dyDescent="0.75">
      <c r="A1460" s="2">
        <v>46290</v>
      </c>
      <c r="B1460" s="3" t="s">
        <v>2047</v>
      </c>
      <c r="C1460" s="3" t="s">
        <v>2048</v>
      </c>
      <c r="D1460" s="3" t="s">
        <v>82</v>
      </c>
      <c r="E1460" s="3" t="s">
        <v>83</v>
      </c>
      <c r="F1460" s="3" t="s">
        <v>58</v>
      </c>
      <c r="G1460" s="3" t="s">
        <v>59</v>
      </c>
      <c r="H1460" s="4">
        <v>46290.943017013888</v>
      </c>
      <c r="I1460" s="4">
        <v>46291.055880671287</v>
      </c>
      <c r="J1460" s="3">
        <f>ROUND((I1460-H1460)*1440,0)</f>
        <v>163</v>
      </c>
      <c r="K1460" s="3" t="s">
        <v>493</v>
      </c>
      <c r="L1460" s="3" t="s">
        <v>36</v>
      </c>
      <c r="M1460" s="3" t="s">
        <v>36</v>
      </c>
      <c r="N1460" s="3" t="s">
        <v>23</v>
      </c>
      <c r="O1460" s="3" t="s">
        <v>494</v>
      </c>
    </row>
    <row r="1461" spans="1:15" hidden="1" x14ac:dyDescent="0.75">
      <c r="A1461" s="2">
        <v>46290</v>
      </c>
      <c r="B1461" s="3" t="s">
        <v>132</v>
      </c>
      <c r="C1461" s="3" t="s">
        <v>133</v>
      </c>
      <c r="D1461" s="3" t="s">
        <v>615</v>
      </c>
      <c r="E1461" s="3" t="s">
        <v>616</v>
      </c>
      <c r="F1461" s="3" t="s">
        <v>82</v>
      </c>
      <c r="G1461" s="3" t="s">
        <v>83</v>
      </c>
      <c r="H1461" s="4">
        <v>46290.94473541667</v>
      </c>
      <c r="I1461" s="4">
        <v>46291.051432060187</v>
      </c>
      <c r="J1461" s="3">
        <f>ROUND((I1461-H1461)*1440,0)</f>
        <v>154</v>
      </c>
      <c r="K1461" s="3" t="s">
        <v>86</v>
      </c>
      <c r="L1461" s="3" t="s">
        <v>36</v>
      </c>
      <c r="M1461" s="3" t="s">
        <v>36</v>
      </c>
      <c r="N1461" s="3" t="s">
        <v>23</v>
      </c>
      <c r="O1461" s="3" t="s">
        <v>87</v>
      </c>
    </row>
    <row r="1462" spans="1:15" hidden="1" x14ac:dyDescent="0.75">
      <c r="A1462" s="2">
        <v>46290</v>
      </c>
      <c r="B1462" s="3" t="s">
        <v>328</v>
      </c>
      <c r="C1462" s="3" t="s">
        <v>329</v>
      </c>
      <c r="D1462" s="3" t="s">
        <v>17</v>
      </c>
      <c r="E1462" s="3" t="s">
        <v>18</v>
      </c>
      <c r="F1462" s="3" t="s">
        <v>17</v>
      </c>
      <c r="G1462" s="3" t="s">
        <v>18</v>
      </c>
      <c r="H1462" s="4">
        <v>46290.946320949071</v>
      </c>
      <c r="I1462" s="4">
        <v>46291.482083101851</v>
      </c>
      <c r="J1462" s="3">
        <f>ROUND((I1462-H1462)*1440,0)</f>
        <v>771</v>
      </c>
      <c r="K1462" s="3" t="s">
        <v>1119</v>
      </c>
      <c r="L1462" s="3" t="s">
        <v>43</v>
      </c>
      <c r="M1462" s="3" t="s">
        <v>44</v>
      </c>
      <c r="N1462" s="3" t="s">
        <v>23</v>
      </c>
      <c r="O1462" s="3" t="s">
        <v>1120</v>
      </c>
    </row>
    <row r="1463" spans="1:15" hidden="1" x14ac:dyDescent="0.75">
      <c r="A1463" s="2">
        <v>46290</v>
      </c>
      <c r="B1463" s="3" t="s">
        <v>2123</v>
      </c>
      <c r="C1463" s="3" t="s">
        <v>2124</v>
      </c>
      <c r="D1463" s="3" t="s">
        <v>27</v>
      </c>
      <c r="E1463" s="3" t="s">
        <v>28</v>
      </c>
      <c r="F1463" s="3" t="s">
        <v>615</v>
      </c>
      <c r="G1463" s="3" t="s">
        <v>616</v>
      </c>
      <c r="H1463" s="4">
        <v>46290.946465162036</v>
      </c>
      <c r="I1463" s="4">
        <v>46291.117278356483</v>
      </c>
      <c r="J1463" s="3">
        <f>ROUND((I1463-H1463)*1440,0)</f>
        <v>246</v>
      </c>
      <c r="K1463" s="3" t="s">
        <v>935</v>
      </c>
      <c r="L1463" s="3" t="s">
        <v>36</v>
      </c>
      <c r="M1463" s="3" t="s">
        <v>36</v>
      </c>
      <c r="N1463" s="3" t="s">
        <v>45</v>
      </c>
      <c r="O1463" s="3" t="s">
        <v>936</v>
      </c>
    </row>
    <row r="1464" spans="1:15" hidden="1" x14ac:dyDescent="0.75">
      <c r="A1464" s="2">
        <v>46290</v>
      </c>
      <c r="B1464" s="3" t="s">
        <v>1967</v>
      </c>
      <c r="C1464" s="3" t="s">
        <v>1968</v>
      </c>
      <c r="D1464" s="3" t="s">
        <v>17</v>
      </c>
      <c r="E1464" s="3" t="s">
        <v>18</v>
      </c>
      <c r="F1464" s="3" t="s">
        <v>571</v>
      </c>
      <c r="G1464" s="3" t="s">
        <v>572</v>
      </c>
      <c r="H1464" s="4">
        <v>46290.947116087962</v>
      </c>
      <c r="I1464" s="4">
        <v>46291.176811805562</v>
      </c>
      <c r="J1464" s="3">
        <f>ROUND((I1464-H1464)*1440,0)</f>
        <v>331</v>
      </c>
      <c r="K1464" s="3" t="s">
        <v>1129</v>
      </c>
      <c r="L1464" s="3" t="s">
        <v>22</v>
      </c>
      <c r="M1464" s="3" t="s">
        <v>22</v>
      </c>
      <c r="N1464" s="3" t="s">
        <v>23</v>
      </c>
      <c r="O1464" s="3" t="s">
        <v>1130</v>
      </c>
    </row>
    <row r="1465" spans="1:15" hidden="1" x14ac:dyDescent="0.75">
      <c r="A1465" s="2">
        <v>46290</v>
      </c>
      <c r="B1465" s="3" t="s">
        <v>463</v>
      </c>
      <c r="C1465" s="3" t="s">
        <v>464</v>
      </c>
      <c r="D1465" s="3" t="s">
        <v>27</v>
      </c>
      <c r="E1465" s="3" t="s">
        <v>28</v>
      </c>
      <c r="F1465" s="3" t="s">
        <v>344</v>
      </c>
      <c r="G1465" s="3" t="s">
        <v>345</v>
      </c>
      <c r="H1465" s="4">
        <v>46290.947212847219</v>
      </c>
      <c r="I1465" s="4">
        <v>46291.211769444453</v>
      </c>
      <c r="J1465" s="3">
        <f>ROUND((I1465-H1465)*1440,0)</f>
        <v>381</v>
      </c>
      <c r="K1465" s="3" t="s">
        <v>42</v>
      </c>
      <c r="L1465" s="3" t="s">
        <v>43</v>
      </c>
      <c r="M1465" s="3" t="s">
        <v>44</v>
      </c>
      <c r="N1465" s="3" t="s">
        <v>23</v>
      </c>
      <c r="O1465" s="3" t="s">
        <v>46</v>
      </c>
    </row>
    <row r="1466" spans="1:15" hidden="1" x14ac:dyDescent="0.75">
      <c r="A1466" s="2">
        <v>46290</v>
      </c>
      <c r="B1466" s="3" t="s">
        <v>2121</v>
      </c>
      <c r="C1466" s="3" t="s">
        <v>2122</v>
      </c>
      <c r="D1466" s="3" t="s">
        <v>17</v>
      </c>
      <c r="E1466" s="3" t="s">
        <v>18</v>
      </c>
      <c r="F1466" s="3" t="s">
        <v>27</v>
      </c>
      <c r="G1466" s="3" t="s">
        <v>28</v>
      </c>
      <c r="H1466" s="4">
        <v>46290.947881597232</v>
      </c>
      <c r="I1466" s="4">
        <v>46290.978044444448</v>
      </c>
      <c r="J1466" s="3">
        <f>ROUND((I1466-H1466)*1440,0)</f>
        <v>43</v>
      </c>
      <c r="K1466" s="3" t="s">
        <v>955</v>
      </c>
      <c r="L1466" s="3" t="s">
        <v>77</v>
      </c>
      <c r="M1466" s="3" t="s">
        <v>78</v>
      </c>
      <c r="N1466" s="3" t="s">
        <v>23</v>
      </c>
      <c r="O1466" s="3" t="s">
        <v>956</v>
      </c>
    </row>
    <row r="1467" spans="1:15" hidden="1" x14ac:dyDescent="0.75">
      <c r="A1467" s="2">
        <v>46290</v>
      </c>
      <c r="B1467" s="3" t="s">
        <v>445</v>
      </c>
      <c r="C1467" s="3" t="s">
        <v>446</v>
      </c>
      <c r="D1467" s="3" t="s">
        <v>27</v>
      </c>
      <c r="E1467" s="3" t="s">
        <v>28</v>
      </c>
      <c r="F1467" s="3" t="s">
        <v>447</v>
      </c>
      <c r="G1467" s="3" t="s">
        <v>448</v>
      </c>
      <c r="H1467" s="4">
        <v>46290.948096874999</v>
      </c>
      <c r="I1467" s="4">
        <v>46291.242899305558</v>
      </c>
      <c r="J1467" s="3">
        <f>ROUND((I1467-H1467)*1440,0)</f>
        <v>425</v>
      </c>
      <c r="K1467" s="3" t="s">
        <v>204</v>
      </c>
      <c r="L1467" s="3" t="s">
        <v>43</v>
      </c>
      <c r="M1467" s="3" t="s">
        <v>44</v>
      </c>
      <c r="N1467" s="3" t="s">
        <v>45</v>
      </c>
      <c r="O1467" s="3" t="s">
        <v>205</v>
      </c>
    </row>
    <row r="1468" spans="1:15" hidden="1" x14ac:dyDescent="0.75">
      <c r="A1468" s="2">
        <v>46290</v>
      </c>
      <c r="B1468" s="3" t="s">
        <v>2085</v>
      </c>
      <c r="C1468" s="3" t="s">
        <v>2086</v>
      </c>
      <c r="D1468" s="3" t="s">
        <v>56</v>
      </c>
      <c r="E1468" s="3" t="s">
        <v>57</v>
      </c>
      <c r="F1468" s="3" t="s">
        <v>58</v>
      </c>
      <c r="G1468" s="3" t="s">
        <v>59</v>
      </c>
      <c r="H1468" s="4">
        <v>46290.949303935187</v>
      </c>
      <c r="I1468" s="4">
        <v>46291.087284259258</v>
      </c>
      <c r="J1468" s="3">
        <f>ROUND((I1468-H1468)*1440,0)</f>
        <v>199</v>
      </c>
      <c r="K1468" s="3" t="s">
        <v>1343</v>
      </c>
      <c r="L1468" s="3" t="s">
        <v>36</v>
      </c>
      <c r="M1468" s="3" t="s">
        <v>36</v>
      </c>
      <c r="N1468" s="3" t="s">
        <v>23</v>
      </c>
      <c r="O1468" s="3" t="s">
        <v>1344</v>
      </c>
    </row>
    <row r="1469" spans="1:15" hidden="1" x14ac:dyDescent="0.75">
      <c r="A1469" s="2">
        <v>46290</v>
      </c>
      <c r="B1469" s="3" t="s">
        <v>2049</v>
      </c>
      <c r="C1469" s="3" t="s">
        <v>2050</v>
      </c>
      <c r="D1469" s="3" t="s">
        <v>56</v>
      </c>
      <c r="E1469" s="3" t="s">
        <v>57</v>
      </c>
      <c r="F1469" s="3" t="s">
        <v>158</v>
      </c>
      <c r="G1469" s="3" t="s">
        <v>159</v>
      </c>
      <c r="H1469" s="4">
        <v>46290.950925115743</v>
      </c>
      <c r="I1469" s="4">
        <v>46291.038536689812</v>
      </c>
      <c r="J1469" s="3">
        <f>ROUND((I1469-H1469)*1440,0)</f>
        <v>126</v>
      </c>
      <c r="K1469" s="3" t="s">
        <v>673</v>
      </c>
      <c r="L1469" s="3" t="s">
        <v>36</v>
      </c>
      <c r="M1469" s="3" t="s">
        <v>36</v>
      </c>
      <c r="N1469" s="3" t="s">
        <v>23</v>
      </c>
      <c r="O1469" s="3" t="s">
        <v>674</v>
      </c>
    </row>
    <row r="1470" spans="1:15" hidden="1" x14ac:dyDescent="0.75">
      <c r="A1470" s="2">
        <v>46290</v>
      </c>
      <c r="B1470" s="3" t="s">
        <v>250</v>
      </c>
      <c r="C1470" s="3" t="s">
        <v>251</v>
      </c>
      <c r="D1470" s="3" t="s">
        <v>56</v>
      </c>
      <c r="E1470" s="3" t="s">
        <v>57</v>
      </c>
      <c r="F1470" s="3"/>
      <c r="G1470" s="3"/>
      <c r="H1470" s="4">
        <v>46290.95174571759</v>
      </c>
      <c r="I1470" s="4">
        <v>46290.999815856478</v>
      </c>
      <c r="J1470" s="3">
        <f>ROUND((I1470-H1470)*1440,0)</f>
        <v>69</v>
      </c>
      <c r="K1470" s="3" t="s">
        <v>376</v>
      </c>
      <c r="L1470" s="3" t="s">
        <v>36</v>
      </c>
      <c r="M1470" s="3" t="s">
        <v>36</v>
      </c>
      <c r="N1470" s="3" t="s">
        <v>443</v>
      </c>
      <c r="O1470" s="3" t="s">
        <v>377</v>
      </c>
    </row>
    <row r="1471" spans="1:15" hidden="1" x14ac:dyDescent="0.75">
      <c r="A1471" s="2">
        <v>46290</v>
      </c>
      <c r="B1471" s="3" t="s">
        <v>2083</v>
      </c>
      <c r="C1471" s="3" t="s">
        <v>2084</v>
      </c>
      <c r="D1471" s="3" t="s">
        <v>737</v>
      </c>
      <c r="E1471" s="3" t="s">
        <v>738</v>
      </c>
      <c r="F1471" s="3" t="s">
        <v>27</v>
      </c>
      <c r="G1471" s="3" t="s">
        <v>28</v>
      </c>
      <c r="H1471" s="4">
        <v>46290.952402083327</v>
      </c>
      <c r="I1471" s="4">
        <v>46291.010465624997</v>
      </c>
      <c r="J1471" s="3">
        <f>ROUND((I1471-H1471)*1440,0)</f>
        <v>84</v>
      </c>
      <c r="K1471" s="3" t="s">
        <v>256</v>
      </c>
      <c r="L1471" s="3" t="s">
        <v>36</v>
      </c>
      <c r="M1471" s="3" t="s">
        <v>36</v>
      </c>
      <c r="N1471" s="3" t="s">
        <v>23</v>
      </c>
      <c r="O1471" s="3" t="s">
        <v>257</v>
      </c>
    </row>
    <row r="1472" spans="1:15" hidden="1" x14ac:dyDescent="0.75">
      <c r="A1472" s="2">
        <v>46290</v>
      </c>
      <c r="B1472" s="3" t="s">
        <v>2045</v>
      </c>
      <c r="C1472" s="3" t="s">
        <v>2046</v>
      </c>
      <c r="D1472" s="3" t="s">
        <v>17</v>
      </c>
      <c r="E1472" s="3" t="s">
        <v>18</v>
      </c>
      <c r="F1472" s="3"/>
      <c r="G1472" s="3"/>
      <c r="H1472" s="4">
        <v>46290.954770833327</v>
      </c>
      <c r="I1472" s="4">
        <v>46291.008475347233</v>
      </c>
      <c r="J1472" s="3">
        <f>ROUND((I1472-H1472)*1440,0)</f>
        <v>77</v>
      </c>
      <c r="K1472" s="3" t="s">
        <v>300</v>
      </c>
      <c r="L1472" s="3" t="s">
        <v>77</v>
      </c>
      <c r="M1472" s="3" t="s">
        <v>78</v>
      </c>
      <c r="N1472" s="3" t="s">
        <v>443</v>
      </c>
      <c r="O1472" s="3" t="s">
        <v>301</v>
      </c>
    </row>
    <row r="1473" spans="1:15" hidden="1" x14ac:dyDescent="0.75">
      <c r="A1473" s="2">
        <v>46290</v>
      </c>
      <c r="B1473" s="3" t="s">
        <v>88</v>
      </c>
      <c r="C1473" s="3" t="s">
        <v>89</v>
      </c>
      <c r="D1473" s="3" t="s">
        <v>49</v>
      </c>
      <c r="E1473" s="3" t="s">
        <v>50</v>
      </c>
      <c r="F1473" s="3" t="s">
        <v>27</v>
      </c>
      <c r="G1473" s="3" t="s">
        <v>28</v>
      </c>
      <c r="H1473" s="4">
        <v>46290.956433680563</v>
      </c>
      <c r="I1473" s="4">
        <v>46290.994097569448</v>
      </c>
      <c r="J1473" s="3">
        <f>ROUND((I1473-H1473)*1440,0)</f>
        <v>54</v>
      </c>
      <c r="K1473" s="3" t="s">
        <v>2263</v>
      </c>
      <c r="L1473" s="3" t="s">
        <v>77</v>
      </c>
      <c r="M1473" s="3" t="s">
        <v>78</v>
      </c>
      <c r="N1473" s="3" t="s">
        <v>23</v>
      </c>
      <c r="O1473" s="3" t="s">
        <v>2264</v>
      </c>
    </row>
    <row r="1474" spans="1:15" hidden="1" x14ac:dyDescent="0.75">
      <c r="A1474" s="2">
        <v>46290</v>
      </c>
      <c r="B1474" s="3" t="s">
        <v>2043</v>
      </c>
      <c r="C1474" s="3" t="s">
        <v>2044</v>
      </c>
      <c r="D1474" s="3" t="s">
        <v>17</v>
      </c>
      <c r="E1474" s="3" t="s">
        <v>18</v>
      </c>
      <c r="F1474" s="3" t="s">
        <v>565</v>
      </c>
      <c r="G1474" s="3" t="s">
        <v>566</v>
      </c>
      <c r="H1474" s="4">
        <v>46290.956712384257</v>
      </c>
      <c r="I1474" s="4">
        <v>46291.171232638888</v>
      </c>
      <c r="J1474" s="3">
        <f>ROUND((I1474-H1474)*1440,0)</f>
        <v>309</v>
      </c>
      <c r="K1474" s="3" t="s">
        <v>677</v>
      </c>
      <c r="L1474" s="3" t="s">
        <v>22</v>
      </c>
      <c r="M1474" s="3" t="s">
        <v>22</v>
      </c>
      <c r="N1474" s="3" t="s">
        <v>45</v>
      </c>
      <c r="O1474" s="3" t="s">
        <v>678</v>
      </c>
    </row>
    <row r="1475" spans="1:15" hidden="1" x14ac:dyDescent="0.75">
      <c r="A1475" s="2">
        <v>46290</v>
      </c>
      <c r="B1475" s="3" t="s">
        <v>2053</v>
      </c>
      <c r="C1475" s="3" t="s">
        <v>2054</v>
      </c>
      <c r="D1475" s="3" t="s">
        <v>56</v>
      </c>
      <c r="E1475" s="3" t="s">
        <v>57</v>
      </c>
      <c r="F1475" s="3" t="s">
        <v>84</v>
      </c>
      <c r="G1475" s="3" t="s">
        <v>85</v>
      </c>
      <c r="H1475" s="4">
        <v>46290.958780092587</v>
      </c>
      <c r="I1475" s="4">
        <v>46291.068121064818</v>
      </c>
      <c r="J1475" s="3">
        <f>ROUND((I1475-H1475)*1440,0)</f>
        <v>157</v>
      </c>
      <c r="K1475" s="3" t="s">
        <v>406</v>
      </c>
      <c r="L1475" s="3" t="s">
        <v>36</v>
      </c>
      <c r="M1475" s="3" t="s">
        <v>36</v>
      </c>
      <c r="N1475" s="3" t="s">
        <v>45</v>
      </c>
      <c r="O1475" s="3" t="s">
        <v>407</v>
      </c>
    </row>
    <row r="1476" spans="1:15" hidden="1" x14ac:dyDescent="0.75">
      <c r="A1476" s="2">
        <v>46290</v>
      </c>
      <c r="B1476" s="3" t="s">
        <v>2075</v>
      </c>
      <c r="C1476" s="3" t="s">
        <v>2076</v>
      </c>
      <c r="D1476" s="3" t="s">
        <v>27</v>
      </c>
      <c r="E1476" s="3" t="s">
        <v>28</v>
      </c>
      <c r="F1476" s="3" t="s">
        <v>106</v>
      </c>
      <c r="G1476" s="3" t="s">
        <v>107</v>
      </c>
      <c r="H1476" s="4">
        <v>46290.959096643521</v>
      </c>
      <c r="I1476" s="4">
        <v>46291.051272106481</v>
      </c>
      <c r="J1476" s="3">
        <f>ROUND((I1476-H1476)*1440,0)</f>
        <v>133</v>
      </c>
      <c r="K1476" s="3" t="s">
        <v>372</v>
      </c>
      <c r="L1476" s="3" t="s">
        <v>77</v>
      </c>
      <c r="M1476" s="3" t="s">
        <v>78</v>
      </c>
      <c r="N1476" s="3" t="s">
        <v>23</v>
      </c>
      <c r="O1476" s="3" t="s">
        <v>373</v>
      </c>
    </row>
    <row r="1477" spans="1:15" hidden="1" x14ac:dyDescent="0.75">
      <c r="A1477" s="2">
        <v>46290</v>
      </c>
      <c r="B1477" s="3" t="s">
        <v>1903</v>
      </c>
      <c r="C1477" s="3" t="s">
        <v>1904</v>
      </c>
      <c r="D1477" s="3" t="s">
        <v>148</v>
      </c>
      <c r="E1477" s="3" t="s">
        <v>149</v>
      </c>
      <c r="F1477" s="3" t="s">
        <v>17</v>
      </c>
      <c r="G1477" s="3" t="s">
        <v>18</v>
      </c>
      <c r="H1477" s="4">
        <v>46290.961579861112</v>
      </c>
      <c r="I1477" s="4">
        <v>46291.022354513887</v>
      </c>
      <c r="J1477" s="3">
        <f>ROUND((I1477-H1477)*1440,0)</f>
        <v>88</v>
      </c>
      <c r="K1477" s="3" t="s">
        <v>118</v>
      </c>
      <c r="L1477" s="3" t="s">
        <v>36</v>
      </c>
      <c r="M1477" s="3" t="s">
        <v>36</v>
      </c>
      <c r="N1477" s="3" t="s">
        <v>23</v>
      </c>
      <c r="O1477" s="3" t="s">
        <v>119</v>
      </c>
    </row>
    <row r="1478" spans="1:15" hidden="1" x14ac:dyDescent="0.75">
      <c r="A1478" s="2">
        <v>46290</v>
      </c>
      <c r="B1478" s="3" t="s">
        <v>2063</v>
      </c>
      <c r="C1478" s="3" t="s">
        <v>2064</v>
      </c>
      <c r="D1478" s="3"/>
      <c r="E1478" s="3"/>
      <c r="F1478" s="3"/>
      <c r="G1478" s="3"/>
      <c r="H1478" s="4">
        <v>46290.963199999998</v>
      </c>
      <c r="I1478" s="4">
        <v>46290.99995636574</v>
      </c>
      <c r="J1478" s="3">
        <f>ROUND((I1478-H1478)*1440,0)</f>
        <v>53</v>
      </c>
      <c r="K1478" s="3" t="s">
        <v>947</v>
      </c>
      <c r="L1478" s="3" t="s">
        <v>22</v>
      </c>
      <c r="M1478" s="3" t="s">
        <v>22</v>
      </c>
      <c r="N1478" s="3" t="s">
        <v>443</v>
      </c>
      <c r="O1478" s="3" t="s">
        <v>948</v>
      </c>
    </row>
    <row r="1479" spans="1:15" hidden="1" x14ac:dyDescent="0.75">
      <c r="A1479" s="2">
        <v>46290</v>
      </c>
      <c r="B1479" s="3" t="s">
        <v>2035</v>
      </c>
      <c r="C1479" s="3" t="s">
        <v>2036</v>
      </c>
      <c r="D1479" s="3" t="s">
        <v>264</v>
      </c>
      <c r="E1479" s="3" t="s">
        <v>265</v>
      </c>
      <c r="F1479" s="3" t="s">
        <v>17</v>
      </c>
      <c r="G1479" s="3" t="s">
        <v>18</v>
      </c>
      <c r="H1479" s="4">
        <v>46290.966061689818</v>
      </c>
      <c r="I1479" s="4">
        <v>46291.163054513891</v>
      </c>
      <c r="J1479" s="3">
        <f>ROUND((I1479-H1479)*1440,0)</f>
        <v>284</v>
      </c>
      <c r="K1479" s="3" t="s">
        <v>653</v>
      </c>
      <c r="L1479" s="3" t="s">
        <v>22</v>
      </c>
      <c r="M1479" s="3" t="s">
        <v>22</v>
      </c>
      <c r="N1479" s="3" t="s">
        <v>23</v>
      </c>
      <c r="O1479" s="3" t="s">
        <v>654</v>
      </c>
    </row>
    <row r="1480" spans="1:15" hidden="1" x14ac:dyDescent="0.75">
      <c r="A1480" s="2">
        <v>46290</v>
      </c>
      <c r="B1480" s="3" t="s">
        <v>2005</v>
      </c>
      <c r="C1480" s="3" t="s">
        <v>2006</v>
      </c>
      <c r="D1480" s="3" t="s">
        <v>17</v>
      </c>
      <c r="E1480" s="3" t="s">
        <v>18</v>
      </c>
      <c r="F1480" s="3" t="s">
        <v>122</v>
      </c>
      <c r="G1480" s="3" t="s">
        <v>123</v>
      </c>
      <c r="H1480" s="4">
        <v>46290.966272337973</v>
      </c>
      <c r="I1480" s="4">
        <v>46291.200417361113</v>
      </c>
      <c r="J1480" s="3">
        <f>ROUND((I1480-H1480)*1440,0)</f>
        <v>337</v>
      </c>
      <c r="K1480" s="3" t="s">
        <v>657</v>
      </c>
      <c r="L1480" s="3" t="s">
        <v>22</v>
      </c>
      <c r="M1480" s="3" t="s">
        <v>22</v>
      </c>
      <c r="N1480" s="3" t="s">
        <v>23</v>
      </c>
      <c r="O1480" s="3" t="s">
        <v>658</v>
      </c>
    </row>
    <row r="1481" spans="1:15" hidden="1" x14ac:dyDescent="0.75">
      <c r="A1481" s="2">
        <v>46290</v>
      </c>
      <c r="B1481" s="3" t="s">
        <v>1771</v>
      </c>
      <c r="C1481" s="3" t="s">
        <v>1772</v>
      </c>
      <c r="D1481" s="3"/>
      <c r="E1481" s="3"/>
      <c r="F1481" s="3" t="s">
        <v>17</v>
      </c>
      <c r="G1481" s="3" t="s">
        <v>18</v>
      </c>
      <c r="H1481" s="4">
        <v>46290.968726388892</v>
      </c>
      <c r="I1481" s="4">
        <v>46291.814894675917</v>
      </c>
      <c r="J1481" s="3">
        <f>ROUND((I1481-H1481)*1440,0)</f>
        <v>1218</v>
      </c>
      <c r="K1481" s="3" t="s">
        <v>1037</v>
      </c>
      <c r="L1481" s="3" t="s">
        <v>77</v>
      </c>
      <c r="M1481" s="3" t="s">
        <v>78</v>
      </c>
      <c r="N1481" s="3" t="s">
        <v>23</v>
      </c>
      <c r="O1481" s="3" t="s">
        <v>1038</v>
      </c>
    </row>
    <row r="1482" spans="1:15" hidden="1" x14ac:dyDescent="0.75">
      <c r="A1482" s="2">
        <v>46290</v>
      </c>
      <c r="B1482" s="3" t="s">
        <v>1979</v>
      </c>
      <c r="C1482" s="3" t="s">
        <v>1980</v>
      </c>
      <c r="D1482" s="3" t="s">
        <v>270</v>
      </c>
      <c r="E1482" s="3" t="s">
        <v>271</v>
      </c>
      <c r="F1482" s="3"/>
      <c r="G1482" s="3"/>
      <c r="H1482" s="4">
        <v>46290.970108217603</v>
      </c>
      <c r="I1482" s="4">
        <v>46290.999789814807</v>
      </c>
      <c r="J1482" s="3">
        <f>ROUND((I1482-H1482)*1440,0)</f>
        <v>43</v>
      </c>
      <c r="K1482" s="3" t="s">
        <v>96</v>
      </c>
      <c r="L1482" s="3" t="s">
        <v>77</v>
      </c>
      <c r="M1482" s="3" t="s">
        <v>78</v>
      </c>
      <c r="N1482" s="3" t="s">
        <v>443</v>
      </c>
      <c r="O1482" s="3" t="s">
        <v>97</v>
      </c>
    </row>
    <row r="1483" spans="1:15" hidden="1" x14ac:dyDescent="0.75">
      <c r="A1483" s="2">
        <v>46290</v>
      </c>
      <c r="B1483" s="3" t="s">
        <v>2139</v>
      </c>
      <c r="C1483" s="3" t="s">
        <v>2140</v>
      </c>
      <c r="D1483" s="3" t="s">
        <v>27</v>
      </c>
      <c r="E1483" s="3" t="s">
        <v>28</v>
      </c>
      <c r="F1483" s="3" t="s">
        <v>94</v>
      </c>
      <c r="G1483" s="3" t="s">
        <v>95</v>
      </c>
      <c r="H1483" s="4">
        <v>46290.970275925923</v>
      </c>
      <c r="I1483" s="4">
        <v>46291.036166319442</v>
      </c>
      <c r="J1483" s="3">
        <f>ROUND((I1483-H1483)*1440,0)</f>
        <v>95</v>
      </c>
      <c r="K1483" s="3" t="s">
        <v>2323</v>
      </c>
      <c r="L1483" s="3" t="s">
        <v>77</v>
      </c>
      <c r="M1483" s="3" t="s">
        <v>78</v>
      </c>
      <c r="N1483" s="3" t="s">
        <v>23</v>
      </c>
      <c r="O1483" s="3" t="s">
        <v>2324</v>
      </c>
    </row>
    <row r="1484" spans="1:15" hidden="1" x14ac:dyDescent="0.75">
      <c r="A1484" s="2">
        <v>46290</v>
      </c>
      <c r="B1484" s="3" t="s">
        <v>2089</v>
      </c>
      <c r="C1484" s="3" t="s">
        <v>2090</v>
      </c>
      <c r="D1484" s="3" t="s">
        <v>17</v>
      </c>
      <c r="E1484" s="3" t="s">
        <v>18</v>
      </c>
      <c r="F1484" s="3" t="s">
        <v>513</v>
      </c>
      <c r="G1484" s="3" t="s">
        <v>514</v>
      </c>
      <c r="H1484" s="4">
        <v>46290.971471296303</v>
      </c>
      <c r="I1484" s="4">
        <v>46291.138851504627</v>
      </c>
      <c r="J1484" s="3">
        <f>ROUND((I1484-H1484)*1440,0)</f>
        <v>241</v>
      </c>
      <c r="K1484" s="3" t="s">
        <v>1651</v>
      </c>
      <c r="L1484" s="3" t="s">
        <v>36</v>
      </c>
      <c r="M1484" s="3" t="s">
        <v>36</v>
      </c>
      <c r="N1484" s="3" t="s">
        <v>23</v>
      </c>
      <c r="O1484" s="3" t="s">
        <v>1652</v>
      </c>
    </row>
    <row r="1485" spans="1:15" hidden="1" x14ac:dyDescent="0.75">
      <c r="A1485" s="2">
        <v>46290</v>
      </c>
      <c r="B1485" s="3" t="s">
        <v>136</v>
      </c>
      <c r="C1485" s="3" t="s">
        <v>137</v>
      </c>
      <c r="D1485" s="3" t="s">
        <v>68</v>
      </c>
      <c r="E1485" s="3" t="s">
        <v>69</v>
      </c>
      <c r="F1485" s="3" t="s">
        <v>27</v>
      </c>
      <c r="G1485" s="3" t="s">
        <v>28</v>
      </c>
      <c r="H1485" s="4">
        <v>46290.971913541667</v>
      </c>
      <c r="I1485" s="4">
        <v>46291.083972222223</v>
      </c>
      <c r="J1485" s="3">
        <f>ROUND((I1485-H1485)*1440,0)</f>
        <v>161</v>
      </c>
      <c r="K1485" s="3" t="s">
        <v>314</v>
      </c>
      <c r="L1485" s="3" t="s">
        <v>36</v>
      </c>
      <c r="M1485" s="3" t="s">
        <v>36</v>
      </c>
      <c r="N1485" s="3" t="s">
        <v>23</v>
      </c>
      <c r="O1485" s="3" t="s">
        <v>315</v>
      </c>
    </row>
    <row r="1486" spans="1:15" hidden="1" x14ac:dyDescent="0.75">
      <c r="A1486" s="2">
        <v>46290</v>
      </c>
      <c r="B1486" s="3" t="s">
        <v>2023</v>
      </c>
      <c r="C1486" s="3" t="s">
        <v>2024</v>
      </c>
      <c r="D1486" s="3" t="s">
        <v>158</v>
      </c>
      <c r="E1486" s="3" t="s">
        <v>159</v>
      </c>
      <c r="F1486" s="3"/>
      <c r="G1486" s="3"/>
      <c r="H1486" s="4">
        <v>46290.972126851862</v>
      </c>
      <c r="I1486" s="4">
        <v>46290.999920023147</v>
      </c>
      <c r="J1486" s="3">
        <f>ROUND((I1486-H1486)*1440,0)</f>
        <v>40</v>
      </c>
      <c r="K1486" s="3" t="s">
        <v>90</v>
      </c>
      <c r="L1486" s="3" t="s">
        <v>77</v>
      </c>
      <c r="M1486" s="3" t="s">
        <v>78</v>
      </c>
      <c r="N1486" s="3" t="s">
        <v>443</v>
      </c>
      <c r="O1486" s="3" t="s">
        <v>91</v>
      </c>
    </row>
    <row r="1487" spans="1:15" hidden="1" x14ac:dyDescent="0.75">
      <c r="A1487" s="2">
        <v>46290</v>
      </c>
      <c r="B1487" s="3" t="s">
        <v>2091</v>
      </c>
      <c r="C1487" s="3" t="s">
        <v>2092</v>
      </c>
      <c r="D1487" s="3" t="s">
        <v>158</v>
      </c>
      <c r="E1487" s="3" t="s">
        <v>159</v>
      </c>
      <c r="F1487" s="3" t="s">
        <v>56</v>
      </c>
      <c r="G1487" s="3" t="s">
        <v>57</v>
      </c>
      <c r="H1487" s="4">
        <v>46290.973552083327</v>
      </c>
      <c r="I1487" s="4">
        <v>46291.060029976848</v>
      </c>
      <c r="J1487" s="3">
        <f>ROUND((I1487-H1487)*1440,0)</f>
        <v>125</v>
      </c>
      <c r="K1487" s="3" t="s">
        <v>1211</v>
      </c>
      <c r="L1487" s="3" t="s">
        <v>36</v>
      </c>
      <c r="M1487" s="3" t="s">
        <v>36</v>
      </c>
      <c r="N1487" s="3" t="s">
        <v>23</v>
      </c>
      <c r="O1487" s="3" t="s">
        <v>1212</v>
      </c>
    </row>
    <row r="1488" spans="1:15" hidden="1" x14ac:dyDescent="0.75">
      <c r="A1488" s="2">
        <v>46290</v>
      </c>
      <c r="B1488" s="3" t="s">
        <v>2051</v>
      </c>
      <c r="C1488" s="3" t="s">
        <v>2052</v>
      </c>
      <c r="D1488" s="3" t="s">
        <v>82</v>
      </c>
      <c r="E1488" s="3" t="s">
        <v>83</v>
      </c>
      <c r="F1488" s="3" t="s">
        <v>615</v>
      </c>
      <c r="G1488" s="3" t="s">
        <v>616</v>
      </c>
      <c r="H1488" s="4">
        <v>46290.973576273151</v>
      </c>
      <c r="I1488" s="4">
        <v>46291.075003240738</v>
      </c>
      <c r="J1488" s="3">
        <f>ROUND((I1488-H1488)*1440,0)</f>
        <v>146</v>
      </c>
      <c r="K1488" s="3" t="s">
        <v>1165</v>
      </c>
      <c r="L1488" s="3" t="s">
        <v>22</v>
      </c>
      <c r="M1488" s="3" t="s">
        <v>22</v>
      </c>
      <c r="N1488" s="3" t="s">
        <v>45</v>
      </c>
      <c r="O1488" s="3" t="s">
        <v>1166</v>
      </c>
    </row>
    <row r="1489" spans="1:15" hidden="1" x14ac:dyDescent="0.75">
      <c r="A1489" s="2">
        <v>46290</v>
      </c>
      <c r="B1489" s="3" t="s">
        <v>2169</v>
      </c>
      <c r="C1489" s="3" t="s">
        <v>2170</v>
      </c>
      <c r="D1489" s="3" t="s">
        <v>172</v>
      </c>
      <c r="E1489" s="3" t="s">
        <v>173</v>
      </c>
      <c r="F1489" s="3" t="s">
        <v>82</v>
      </c>
      <c r="G1489" s="3" t="s">
        <v>83</v>
      </c>
      <c r="H1489" s="4">
        <v>46290.973857638892</v>
      </c>
      <c r="I1489" s="4">
        <v>46291.072111458343</v>
      </c>
      <c r="J1489" s="3">
        <f>ROUND((I1489-H1489)*1440,0)</f>
        <v>141</v>
      </c>
      <c r="K1489" s="3" t="s">
        <v>402</v>
      </c>
      <c r="L1489" s="3" t="s">
        <v>36</v>
      </c>
      <c r="M1489" s="3" t="s">
        <v>36</v>
      </c>
      <c r="N1489" s="3" t="s">
        <v>23</v>
      </c>
      <c r="O1489" s="3" t="s">
        <v>403</v>
      </c>
    </row>
    <row r="1490" spans="1:15" hidden="1" x14ac:dyDescent="0.75">
      <c r="A1490" s="2">
        <v>46290</v>
      </c>
      <c r="B1490" s="3" t="s">
        <v>2325</v>
      </c>
      <c r="C1490" s="3" t="s">
        <v>2326</v>
      </c>
      <c r="D1490" s="3" t="s">
        <v>897</v>
      </c>
      <c r="E1490" s="3" t="s">
        <v>898</v>
      </c>
      <c r="F1490" s="3" t="s">
        <v>27</v>
      </c>
      <c r="G1490" s="3" t="s">
        <v>28</v>
      </c>
      <c r="H1490" s="4">
        <v>46290.973970949082</v>
      </c>
      <c r="I1490" s="4">
        <v>46291.025746527783</v>
      </c>
      <c r="J1490" s="3">
        <f>ROUND((I1490-H1490)*1440,0)</f>
        <v>75</v>
      </c>
      <c r="K1490" s="3" t="s">
        <v>356</v>
      </c>
      <c r="L1490" s="3" t="s">
        <v>77</v>
      </c>
      <c r="M1490" s="3" t="s">
        <v>78</v>
      </c>
      <c r="N1490" s="3" t="s">
        <v>23</v>
      </c>
      <c r="O1490" s="3" t="s">
        <v>357</v>
      </c>
    </row>
    <row r="1491" spans="1:15" hidden="1" x14ac:dyDescent="0.75">
      <c r="A1491" s="2">
        <v>46290</v>
      </c>
      <c r="B1491" s="3" t="s">
        <v>2327</v>
      </c>
      <c r="C1491" s="3" t="s">
        <v>2328</v>
      </c>
      <c r="D1491" s="3"/>
      <c r="E1491" s="3"/>
      <c r="F1491" s="3" t="s">
        <v>27</v>
      </c>
      <c r="G1491" s="3" t="s">
        <v>28</v>
      </c>
      <c r="H1491" s="4">
        <v>46290.974766550928</v>
      </c>
      <c r="I1491" s="4">
        <v>46291.078824421304</v>
      </c>
      <c r="J1491" s="3">
        <f>ROUND((I1491-H1491)*1440,0)</f>
        <v>150</v>
      </c>
      <c r="K1491" s="3" t="s">
        <v>951</v>
      </c>
      <c r="L1491" s="3" t="s">
        <v>36</v>
      </c>
      <c r="M1491" s="3" t="s">
        <v>36</v>
      </c>
      <c r="N1491" s="3" t="s">
        <v>23</v>
      </c>
      <c r="O1491" s="3" t="s">
        <v>952</v>
      </c>
    </row>
    <row r="1492" spans="1:15" hidden="1" x14ac:dyDescent="0.75">
      <c r="A1492" s="2">
        <v>46290</v>
      </c>
      <c r="B1492" s="3" t="s">
        <v>2073</v>
      </c>
      <c r="C1492" s="3" t="s">
        <v>2074</v>
      </c>
      <c r="D1492" s="3" t="s">
        <v>977</v>
      </c>
      <c r="E1492" s="3" t="s">
        <v>978</v>
      </c>
      <c r="F1492" s="3" t="s">
        <v>56</v>
      </c>
      <c r="G1492" s="3" t="s">
        <v>57</v>
      </c>
      <c r="H1492" s="4">
        <v>46290.984709606477</v>
      </c>
      <c r="I1492" s="4">
        <v>46291.033041666669</v>
      </c>
      <c r="J1492" s="3">
        <f>ROUND((I1492-H1492)*1440,0)</f>
        <v>70</v>
      </c>
      <c r="K1492" s="3" t="s">
        <v>1723</v>
      </c>
      <c r="L1492" s="3" t="s">
        <v>36</v>
      </c>
      <c r="M1492" s="3" t="s">
        <v>36</v>
      </c>
      <c r="N1492" s="3" t="s">
        <v>23</v>
      </c>
      <c r="O1492" s="3" t="s">
        <v>1724</v>
      </c>
    </row>
    <row r="1493" spans="1:15" hidden="1" x14ac:dyDescent="0.75">
      <c r="A1493" s="2">
        <v>46290</v>
      </c>
      <c r="B1493" s="3" t="s">
        <v>2095</v>
      </c>
      <c r="C1493" s="3" t="s">
        <v>2096</v>
      </c>
      <c r="D1493" s="3" t="s">
        <v>19</v>
      </c>
      <c r="E1493" s="3" t="s">
        <v>20</v>
      </c>
      <c r="F1493" s="3" t="s">
        <v>84</v>
      </c>
      <c r="G1493" s="3" t="s">
        <v>85</v>
      </c>
      <c r="H1493" s="4">
        <v>46290.985589004631</v>
      </c>
      <c r="I1493" s="4">
        <v>46291.090204398148</v>
      </c>
      <c r="J1493" s="3">
        <f>ROUND((I1493-H1493)*1440,0)</f>
        <v>151</v>
      </c>
      <c r="K1493" s="3" t="s">
        <v>1045</v>
      </c>
      <c r="L1493" s="3" t="s">
        <v>36</v>
      </c>
      <c r="M1493" s="3" t="s">
        <v>36</v>
      </c>
      <c r="N1493" s="3" t="s">
        <v>45</v>
      </c>
      <c r="O1493" s="3" t="s">
        <v>1046</v>
      </c>
    </row>
    <row r="1494" spans="1:15" hidden="1" x14ac:dyDescent="0.75">
      <c r="A1494" s="2">
        <v>46290</v>
      </c>
      <c r="B1494" s="3" t="s">
        <v>2079</v>
      </c>
      <c r="C1494" s="3" t="s">
        <v>2080</v>
      </c>
      <c r="D1494" s="3" t="s">
        <v>27</v>
      </c>
      <c r="E1494" s="3" t="s">
        <v>28</v>
      </c>
      <c r="F1494" s="3" t="s">
        <v>82</v>
      </c>
      <c r="G1494" s="3" t="s">
        <v>83</v>
      </c>
      <c r="H1494" s="4">
        <v>46290.985866319454</v>
      </c>
      <c r="I1494" s="4">
        <v>46291.08753611111</v>
      </c>
      <c r="J1494" s="3">
        <f>ROUND((I1494-H1494)*1440,0)</f>
        <v>146</v>
      </c>
      <c r="K1494" s="3" t="s">
        <v>623</v>
      </c>
      <c r="L1494" s="3" t="s">
        <v>77</v>
      </c>
      <c r="M1494" s="3" t="s">
        <v>78</v>
      </c>
      <c r="N1494" s="3" t="s">
        <v>23</v>
      </c>
      <c r="O1494" s="3" t="s">
        <v>624</v>
      </c>
    </row>
    <row r="1495" spans="1:15" hidden="1" x14ac:dyDescent="0.75">
      <c r="A1495" s="2">
        <v>46290</v>
      </c>
      <c r="B1495" s="3" t="s">
        <v>2133</v>
      </c>
      <c r="C1495" s="3" t="s">
        <v>2134</v>
      </c>
      <c r="D1495" s="3" t="s">
        <v>17</v>
      </c>
      <c r="E1495" s="3" t="s">
        <v>18</v>
      </c>
      <c r="F1495" s="3" t="s">
        <v>541</v>
      </c>
      <c r="G1495" s="3" t="s">
        <v>542</v>
      </c>
      <c r="H1495" s="4">
        <v>46290.986490162039</v>
      </c>
      <c r="I1495" s="4">
        <v>46291.173522337973</v>
      </c>
      <c r="J1495" s="3">
        <f>ROUND((I1495-H1495)*1440,0)</f>
        <v>269</v>
      </c>
      <c r="K1495" s="3" t="s">
        <v>2193</v>
      </c>
      <c r="L1495" s="3" t="s">
        <v>77</v>
      </c>
      <c r="M1495" s="3" t="s">
        <v>78</v>
      </c>
      <c r="N1495" s="3" t="s">
        <v>23</v>
      </c>
      <c r="O1495" s="3" t="s">
        <v>2194</v>
      </c>
    </row>
    <row r="1496" spans="1:15" hidden="1" x14ac:dyDescent="0.75">
      <c r="A1496" s="2">
        <v>46290</v>
      </c>
      <c r="B1496" s="3" t="s">
        <v>312</v>
      </c>
      <c r="C1496" s="3" t="s">
        <v>313</v>
      </c>
      <c r="D1496" s="3" t="s">
        <v>615</v>
      </c>
      <c r="E1496" s="3" t="s">
        <v>616</v>
      </c>
      <c r="F1496" s="3" t="s">
        <v>27</v>
      </c>
      <c r="G1496" s="3" t="s">
        <v>28</v>
      </c>
      <c r="H1496" s="4">
        <v>46290.986898958326</v>
      </c>
      <c r="I1496" s="4">
        <v>46291.161259953697</v>
      </c>
      <c r="J1496" s="3">
        <f>ROUND((I1496-H1496)*1440,0)</f>
        <v>251</v>
      </c>
      <c r="K1496" s="3" t="s">
        <v>789</v>
      </c>
      <c r="L1496" s="3" t="s">
        <v>36</v>
      </c>
      <c r="M1496" s="3" t="s">
        <v>36</v>
      </c>
      <c r="N1496" s="3" t="s">
        <v>23</v>
      </c>
      <c r="O1496" s="3" t="s">
        <v>790</v>
      </c>
    </row>
    <row r="1497" spans="1:15" hidden="1" x14ac:dyDescent="0.75">
      <c r="A1497" s="2">
        <v>46290</v>
      </c>
      <c r="B1497" s="3" t="s">
        <v>2009</v>
      </c>
      <c r="C1497" s="3" t="s">
        <v>2010</v>
      </c>
      <c r="D1497" s="3" t="s">
        <v>17</v>
      </c>
      <c r="E1497" s="3" t="s">
        <v>18</v>
      </c>
      <c r="F1497" s="3" t="s">
        <v>56</v>
      </c>
      <c r="G1497" s="3" t="s">
        <v>57</v>
      </c>
      <c r="H1497" s="4">
        <v>46290.987779745366</v>
      </c>
      <c r="I1497" s="4">
        <v>46291.081790046293</v>
      </c>
      <c r="J1497" s="3">
        <f>ROUND((I1497-H1497)*1440,0)</f>
        <v>135</v>
      </c>
      <c r="K1497" s="3" t="s">
        <v>1685</v>
      </c>
      <c r="L1497" s="3" t="s">
        <v>22</v>
      </c>
      <c r="M1497" s="3" t="s">
        <v>22</v>
      </c>
      <c r="N1497" s="3" t="s">
        <v>23</v>
      </c>
      <c r="O1497" s="3" t="s">
        <v>1686</v>
      </c>
    </row>
    <row r="1498" spans="1:15" hidden="1" x14ac:dyDescent="0.75">
      <c r="A1498" s="2">
        <v>46290</v>
      </c>
      <c r="B1498" s="3" t="s">
        <v>66</v>
      </c>
      <c r="C1498" s="3" t="s">
        <v>67</v>
      </c>
      <c r="D1498" s="3" t="s">
        <v>68</v>
      </c>
      <c r="E1498" s="3" t="s">
        <v>69</v>
      </c>
      <c r="F1498" s="3" t="s">
        <v>58</v>
      </c>
      <c r="G1498" s="3" t="s">
        <v>59</v>
      </c>
      <c r="H1498" s="4">
        <v>46290.988395486107</v>
      </c>
      <c r="I1498" s="4">
        <v>46291.107222685183</v>
      </c>
      <c r="J1498" s="3">
        <f>ROUND((I1498-H1498)*1440,0)</f>
        <v>171</v>
      </c>
      <c r="K1498" s="3" t="s">
        <v>380</v>
      </c>
      <c r="L1498" s="3" t="s">
        <v>36</v>
      </c>
      <c r="M1498" s="3" t="s">
        <v>36</v>
      </c>
      <c r="N1498" s="3" t="s">
        <v>23</v>
      </c>
      <c r="O1498" s="3" t="s">
        <v>381</v>
      </c>
    </row>
    <row r="1499" spans="1:15" hidden="1" x14ac:dyDescent="0.75">
      <c r="A1499" s="2">
        <v>46290</v>
      </c>
      <c r="B1499" s="3" t="s">
        <v>156</v>
      </c>
      <c r="C1499" s="3" t="s">
        <v>157</v>
      </c>
      <c r="D1499" s="3" t="s">
        <v>158</v>
      </c>
      <c r="E1499" s="3" t="s">
        <v>159</v>
      </c>
      <c r="F1499" s="3" t="s">
        <v>27</v>
      </c>
      <c r="G1499" s="3" t="s">
        <v>28</v>
      </c>
      <c r="H1499" s="4">
        <v>46290.988658449067</v>
      </c>
      <c r="I1499" s="4">
        <v>46291.034333217591</v>
      </c>
      <c r="J1499" s="3">
        <f>ROUND((I1499-H1499)*1440,0)</f>
        <v>66</v>
      </c>
      <c r="K1499" s="3" t="s">
        <v>847</v>
      </c>
      <c r="L1499" s="3" t="s">
        <v>77</v>
      </c>
      <c r="M1499" s="3" t="s">
        <v>78</v>
      </c>
      <c r="N1499" s="3" t="s">
        <v>23</v>
      </c>
      <c r="O1499" s="3" t="s">
        <v>848</v>
      </c>
    </row>
    <row r="1500" spans="1:15" hidden="1" x14ac:dyDescent="0.75">
      <c r="A1500" s="2">
        <v>46290</v>
      </c>
      <c r="B1500" s="3" t="s">
        <v>25</v>
      </c>
      <c r="C1500" s="3" t="s">
        <v>26</v>
      </c>
      <c r="D1500" s="3" t="s">
        <v>27</v>
      </c>
      <c r="E1500" s="3" t="s">
        <v>28</v>
      </c>
      <c r="F1500" s="3" t="s">
        <v>29</v>
      </c>
      <c r="G1500" s="3" t="s">
        <v>30</v>
      </c>
      <c r="H1500" s="4">
        <v>46290.990680092589</v>
      </c>
      <c r="I1500" s="4">
        <v>46291.213451851851</v>
      </c>
      <c r="J1500" s="3">
        <f>ROUND((I1500-H1500)*1440,0)</f>
        <v>321</v>
      </c>
      <c r="K1500" s="3" t="s">
        <v>721</v>
      </c>
      <c r="L1500" s="3" t="s">
        <v>22</v>
      </c>
      <c r="M1500" s="3" t="s">
        <v>22</v>
      </c>
      <c r="N1500" s="3" t="s">
        <v>23</v>
      </c>
      <c r="O1500" s="3" t="s">
        <v>722</v>
      </c>
    </row>
    <row r="1501" spans="1:15" hidden="1" x14ac:dyDescent="0.75">
      <c r="A1501" s="2">
        <v>46290</v>
      </c>
      <c r="B1501" s="3" t="s">
        <v>2329</v>
      </c>
      <c r="C1501" s="3" t="s">
        <v>2330</v>
      </c>
      <c r="D1501" s="3"/>
      <c r="E1501" s="3"/>
      <c r="F1501" s="3"/>
      <c r="G1501" s="3"/>
      <c r="H1501" s="4">
        <v>46290.992502893518</v>
      </c>
      <c r="I1501" s="4">
        <v>46290.999887731479</v>
      </c>
      <c r="J1501" s="3">
        <f>ROUND((I1501-H1501)*1440,0)</f>
        <v>11</v>
      </c>
      <c r="K1501" s="3" t="s">
        <v>595</v>
      </c>
      <c r="L1501" s="3" t="s">
        <v>22</v>
      </c>
      <c r="M1501" s="3" t="s">
        <v>22</v>
      </c>
      <c r="N1501" s="3" t="s">
        <v>45</v>
      </c>
      <c r="O1501" s="3" t="s">
        <v>596</v>
      </c>
    </row>
    <row r="1502" spans="1:15" hidden="1" x14ac:dyDescent="0.75">
      <c r="A1502" s="2">
        <v>46290</v>
      </c>
      <c r="B1502" s="3" t="s">
        <v>2057</v>
      </c>
      <c r="C1502" s="3" t="s">
        <v>2058</v>
      </c>
      <c r="D1502" s="3" t="s">
        <v>27</v>
      </c>
      <c r="E1502" s="3" t="s">
        <v>28</v>
      </c>
      <c r="F1502" s="3" t="s">
        <v>17</v>
      </c>
      <c r="G1502" s="3" t="s">
        <v>18</v>
      </c>
      <c r="H1502" s="4">
        <v>46290.992603935178</v>
      </c>
      <c r="I1502" s="4">
        <v>46291.031229282409</v>
      </c>
      <c r="J1502" s="3">
        <f>ROUND((I1502-H1502)*1440,0)</f>
        <v>56</v>
      </c>
      <c r="K1502" s="3" t="s">
        <v>2303</v>
      </c>
      <c r="L1502" s="3" t="s">
        <v>77</v>
      </c>
      <c r="M1502" s="3" t="s">
        <v>78</v>
      </c>
      <c r="N1502" s="3" t="s">
        <v>23</v>
      </c>
      <c r="O1502" s="3" t="s">
        <v>2304</v>
      </c>
    </row>
    <row r="1503" spans="1:15" hidden="1" x14ac:dyDescent="0.75">
      <c r="A1503" s="2">
        <v>46290</v>
      </c>
      <c r="B1503" s="3" t="s">
        <v>146</v>
      </c>
      <c r="C1503" s="3" t="s">
        <v>147</v>
      </c>
      <c r="D1503" s="3" t="s">
        <v>148</v>
      </c>
      <c r="E1503" s="3" t="s">
        <v>149</v>
      </c>
      <c r="F1503" s="3" t="s">
        <v>27</v>
      </c>
      <c r="G1503" s="3" t="s">
        <v>28</v>
      </c>
      <c r="H1503" s="4">
        <v>46290.993674884259</v>
      </c>
      <c r="I1503" s="4">
        <v>46291.059957523154</v>
      </c>
      <c r="J1503" s="3">
        <f>ROUND((I1503-H1503)*1440,0)</f>
        <v>95</v>
      </c>
      <c r="K1503" s="3" t="s">
        <v>150</v>
      </c>
      <c r="L1503" s="3" t="s">
        <v>36</v>
      </c>
      <c r="M1503" s="3" t="s">
        <v>36</v>
      </c>
      <c r="N1503" s="3" t="s">
        <v>23</v>
      </c>
      <c r="O1503" s="3" t="s">
        <v>151</v>
      </c>
    </row>
    <row r="1504" spans="1:15" hidden="1" x14ac:dyDescent="0.75">
      <c r="A1504" s="2">
        <v>46290</v>
      </c>
      <c r="B1504" s="3" t="s">
        <v>92</v>
      </c>
      <c r="C1504" s="3" t="s">
        <v>93</v>
      </c>
      <c r="D1504" s="3" t="s">
        <v>94</v>
      </c>
      <c r="E1504" s="3" t="s">
        <v>95</v>
      </c>
      <c r="F1504" s="3" t="s">
        <v>17</v>
      </c>
      <c r="G1504" s="3" t="s">
        <v>18</v>
      </c>
      <c r="H1504" s="4">
        <v>46290.995235300928</v>
      </c>
      <c r="I1504" s="4">
        <v>46291.047525810187</v>
      </c>
      <c r="J1504" s="3">
        <f>ROUND((I1504-H1504)*1440,0)</f>
        <v>75</v>
      </c>
      <c r="K1504" s="3" t="s">
        <v>1997</v>
      </c>
      <c r="L1504" s="3" t="s">
        <v>77</v>
      </c>
      <c r="M1504" s="3" t="s">
        <v>78</v>
      </c>
      <c r="N1504" s="3" t="s">
        <v>23</v>
      </c>
      <c r="O1504" s="3" t="s">
        <v>1998</v>
      </c>
    </row>
    <row r="1505" spans="1:15" hidden="1" x14ac:dyDescent="0.75">
      <c r="A1505" s="2">
        <v>46290</v>
      </c>
      <c r="B1505" s="3" t="s">
        <v>2331</v>
      </c>
      <c r="C1505" s="3" t="s">
        <v>2332</v>
      </c>
      <c r="D1505" s="3"/>
      <c r="E1505" s="3"/>
      <c r="F1505" s="3" t="s">
        <v>244</v>
      </c>
      <c r="G1505" s="3" t="s">
        <v>245</v>
      </c>
      <c r="H1505" s="4">
        <v>46290.995915856482</v>
      </c>
      <c r="I1505" s="4">
        <v>46291.111285069448</v>
      </c>
      <c r="J1505" s="3">
        <f>ROUND((I1505-H1505)*1440,0)</f>
        <v>166</v>
      </c>
      <c r="K1505" s="3" t="s">
        <v>1317</v>
      </c>
      <c r="L1505" s="3" t="s">
        <v>36</v>
      </c>
      <c r="M1505" s="3" t="s">
        <v>36</v>
      </c>
      <c r="N1505" s="3" t="s">
        <v>45</v>
      </c>
      <c r="O1505" s="3" t="s">
        <v>1318</v>
      </c>
    </row>
    <row r="1506" spans="1:15" hidden="1" x14ac:dyDescent="0.75">
      <c r="A1506" s="2">
        <v>46290</v>
      </c>
      <c r="B1506" s="3" t="s">
        <v>2111</v>
      </c>
      <c r="C1506" s="3" t="s">
        <v>2112</v>
      </c>
      <c r="D1506" s="3" t="s">
        <v>234</v>
      </c>
      <c r="E1506" s="3" t="s">
        <v>235</v>
      </c>
      <c r="F1506" s="3" t="s">
        <v>56</v>
      </c>
      <c r="G1506" s="3" t="s">
        <v>57</v>
      </c>
      <c r="H1506" s="4">
        <v>46290.997355555563</v>
      </c>
      <c r="I1506" s="4">
        <v>46291.101941319437</v>
      </c>
      <c r="J1506" s="3">
        <f>ROUND((I1506-H1506)*1440,0)</f>
        <v>151</v>
      </c>
      <c r="K1506" s="3" t="s">
        <v>1715</v>
      </c>
      <c r="L1506" s="3" t="s">
        <v>36</v>
      </c>
      <c r="M1506" s="3" t="s">
        <v>36</v>
      </c>
      <c r="N1506" s="3" t="s">
        <v>23</v>
      </c>
      <c r="O1506" s="3" t="s">
        <v>1716</v>
      </c>
    </row>
    <row r="1507" spans="1:15" hidden="1" x14ac:dyDescent="0.75">
      <c r="A1507" s="2">
        <v>46290</v>
      </c>
      <c r="B1507" s="3" t="s">
        <v>2059</v>
      </c>
      <c r="C1507" s="3" t="s">
        <v>2060</v>
      </c>
      <c r="D1507" s="3" t="s">
        <v>82</v>
      </c>
      <c r="E1507" s="3" t="s">
        <v>83</v>
      </c>
      <c r="F1507" s="3" t="s">
        <v>17</v>
      </c>
      <c r="G1507" s="3" t="s">
        <v>18</v>
      </c>
      <c r="H1507" s="4">
        <v>46290.999063541669</v>
      </c>
      <c r="I1507" s="4">
        <v>46291.10788333333</v>
      </c>
      <c r="J1507" s="3">
        <f>ROUND((I1507-H1507)*1440,0)</f>
        <v>157</v>
      </c>
      <c r="K1507" s="3" t="s">
        <v>2127</v>
      </c>
      <c r="L1507" s="3" t="s">
        <v>22</v>
      </c>
      <c r="M1507" s="3" t="s">
        <v>22</v>
      </c>
      <c r="N1507" s="3" t="s">
        <v>23</v>
      </c>
      <c r="O1507" s="3" t="s">
        <v>2128</v>
      </c>
    </row>
    <row r="1508" spans="1:15" hidden="1" x14ac:dyDescent="0.75">
      <c r="A1508" s="2">
        <v>46291</v>
      </c>
      <c r="B1508" s="3" t="s">
        <v>294</v>
      </c>
      <c r="C1508" s="3" t="s">
        <v>295</v>
      </c>
      <c r="D1508" s="3" t="s">
        <v>27</v>
      </c>
      <c r="E1508" s="3" t="s">
        <v>28</v>
      </c>
      <c r="F1508" s="3" t="s">
        <v>148</v>
      </c>
      <c r="G1508" s="3" t="s">
        <v>149</v>
      </c>
      <c r="H1508" s="4">
        <v>46291.003925115743</v>
      </c>
      <c r="I1508" s="4">
        <v>46291.069202430554</v>
      </c>
      <c r="J1508" s="3">
        <f>ROUND((I1508-H1508)*1440,0)</f>
        <v>94</v>
      </c>
      <c r="K1508" s="3" t="s">
        <v>1293</v>
      </c>
      <c r="L1508" s="3" t="s">
        <v>77</v>
      </c>
      <c r="M1508" s="3" t="s">
        <v>78</v>
      </c>
      <c r="N1508" s="3" t="s">
        <v>23</v>
      </c>
      <c r="O1508" s="3" t="s">
        <v>1294</v>
      </c>
    </row>
    <row r="1509" spans="1:15" hidden="1" x14ac:dyDescent="0.75">
      <c r="A1509" s="2">
        <v>46291</v>
      </c>
      <c r="B1509" s="3" t="s">
        <v>2097</v>
      </c>
      <c r="C1509" s="3" t="s">
        <v>2098</v>
      </c>
      <c r="D1509" s="3" t="s">
        <v>68</v>
      </c>
      <c r="E1509" s="3" t="s">
        <v>69</v>
      </c>
      <c r="F1509" s="3" t="s">
        <v>172</v>
      </c>
      <c r="G1509" s="3" t="s">
        <v>173</v>
      </c>
      <c r="H1509" s="4">
        <v>46291.004445486113</v>
      </c>
      <c r="I1509" s="4">
        <v>46291.112331365737</v>
      </c>
      <c r="J1509" s="3">
        <f>ROUND((I1509-H1509)*1440,0)</f>
        <v>155</v>
      </c>
      <c r="K1509" s="3" t="s">
        <v>985</v>
      </c>
      <c r="L1509" s="3" t="s">
        <v>36</v>
      </c>
      <c r="M1509" s="3" t="s">
        <v>36</v>
      </c>
      <c r="N1509" s="3" t="s">
        <v>23</v>
      </c>
      <c r="O1509" s="3" t="s">
        <v>986</v>
      </c>
    </row>
    <row r="1510" spans="1:15" hidden="1" x14ac:dyDescent="0.75">
      <c r="A1510" s="2">
        <v>46291</v>
      </c>
      <c r="B1510" s="3" t="s">
        <v>38</v>
      </c>
      <c r="C1510" s="3" t="s">
        <v>39</v>
      </c>
      <c r="D1510" s="3" t="s">
        <v>17</v>
      </c>
      <c r="E1510" s="3" t="s">
        <v>18</v>
      </c>
      <c r="F1510" s="3" t="s">
        <v>40</v>
      </c>
      <c r="G1510" s="3" t="s">
        <v>41</v>
      </c>
      <c r="H1510" s="4">
        <v>46291.005547569453</v>
      </c>
      <c r="I1510" s="4">
        <v>46291.287905555553</v>
      </c>
      <c r="J1510" s="3">
        <f>ROUND((I1510-H1510)*1440,0)</f>
        <v>407</v>
      </c>
      <c r="K1510" s="3" t="s">
        <v>340</v>
      </c>
      <c r="L1510" s="3" t="s">
        <v>43</v>
      </c>
      <c r="M1510" s="3" t="s">
        <v>44</v>
      </c>
      <c r="N1510" s="3" t="s">
        <v>23</v>
      </c>
      <c r="O1510" s="3" t="s">
        <v>341</v>
      </c>
    </row>
    <row r="1511" spans="1:15" hidden="1" x14ac:dyDescent="0.75">
      <c r="A1511" s="2">
        <v>46291</v>
      </c>
      <c r="B1511" s="3" t="s">
        <v>2041</v>
      </c>
      <c r="C1511" s="3" t="s">
        <v>2042</v>
      </c>
      <c r="D1511" s="3" t="s">
        <v>68</v>
      </c>
      <c r="E1511" s="3" t="s">
        <v>69</v>
      </c>
      <c r="F1511" s="3" t="s">
        <v>17</v>
      </c>
      <c r="G1511" s="3" t="s">
        <v>18</v>
      </c>
      <c r="H1511" s="4">
        <v>46291.006746643521</v>
      </c>
      <c r="I1511" s="4">
        <v>46291.148166550927</v>
      </c>
      <c r="J1511" s="3">
        <f>ROUND((I1511-H1511)*1440,0)</f>
        <v>204</v>
      </c>
      <c r="K1511" s="3" t="s">
        <v>2185</v>
      </c>
      <c r="L1511" s="3" t="s">
        <v>43</v>
      </c>
      <c r="M1511" s="3" t="s">
        <v>44</v>
      </c>
      <c r="N1511" s="3" t="s">
        <v>23</v>
      </c>
      <c r="O1511" s="3" t="s">
        <v>2186</v>
      </c>
    </row>
    <row r="1512" spans="1:15" hidden="1" x14ac:dyDescent="0.75">
      <c r="A1512" s="2">
        <v>46291</v>
      </c>
      <c r="B1512" s="3" t="s">
        <v>302</v>
      </c>
      <c r="C1512" s="3" t="s">
        <v>303</v>
      </c>
      <c r="D1512" s="3" t="s">
        <v>56</v>
      </c>
      <c r="E1512" s="3" t="s">
        <v>57</v>
      </c>
      <c r="F1512" s="3" t="s">
        <v>304</v>
      </c>
      <c r="G1512" s="3" t="s">
        <v>305</v>
      </c>
      <c r="H1512" s="4">
        <v>46291.006854513893</v>
      </c>
      <c r="I1512" s="4">
        <v>46291.216937268517</v>
      </c>
      <c r="J1512" s="3">
        <f>ROUND((I1512-H1512)*1440,0)</f>
        <v>303</v>
      </c>
      <c r="K1512" s="3" t="s">
        <v>124</v>
      </c>
      <c r="L1512" s="3" t="s">
        <v>22</v>
      </c>
      <c r="M1512" s="3" t="s">
        <v>22</v>
      </c>
      <c r="N1512" s="3" t="s">
        <v>23</v>
      </c>
      <c r="O1512" s="3" t="s">
        <v>125</v>
      </c>
    </row>
    <row r="1513" spans="1:15" hidden="1" x14ac:dyDescent="0.75">
      <c r="A1513" s="2">
        <v>46291</v>
      </c>
      <c r="B1513" s="3" t="s">
        <v>268</v>
      </c>
      <c r="C1513" s="3" t="s">
        <v>269</v>
      </c>
      <c r="D1513" s="3" t="s">
        <v>56</v>
      </c>
      <c r="E1513" s="3" t="s">
        <v>57</v>
      </c>
      <c r="F1513" s="3" t="s">
        <v>270</v>
      </c>
      <c r="G1513" s="3" t="s">
        <v>271</v>
      </c>
      <c r="H1513" s="4">
        <v>46291.008666666668</v>
      </c>
      <c r="I1513" s="4">
        <v>46291.104950000001</v>
      </c>
      <c r="J1513" s="3">
        <f>ROUND((I1513-H1513)*1440,0)</f>
        <v>139</v>
      </c>
      <c r="K1513" s="3" t="s">
        <v>859</v>
      </c>
      <c r="L1513" s="3" t="s">
        <v>36</v>
      </c>
      <c r="M1513" s="3" t="s">
        <v>36</v>
      </c>
      <c r="N1513" s="3" t="s">
        <v>45</v>
      </c>
      <c r="O1513" s="3" t="s">
        <v>860</v>
      </c>
    </row>
    <row r="1514" spans="1:15" hidden="1" x14ac:dyDescent="0.75">
      <c r="A1514" s="2">
        <v>46291</v>
      </c>
      <c r="B1514" s="3" t="s">
        <v>2115</v>
      </c>
      <c r="C1514" s="3" t="s">
        <v>2116</v>
      </c>
      <c r="D1514" s="3" t="s">
        <v>56</v>
      </c>
      <c r="E1514" s="3" t="s">
        <v>57</v>
      </c>
      <c r="F1514" s="3" t="s">
        <v>1871</v>
      </c>
      <c r="G1514" s="3" t="s">
        <v>1872</v>
      </c>
      <c r="H1514" s="4">
        <v>46291.010157870369</v>
      </c>
      <c r="I1514" s="4">
        <v>46291.125328587957</v>
      </c>
      <c r="J1514" s="3">
        <f>ROUND((I1514-H1514)*1440,0)</f>
        <v>166</v>
      </c>
      <c r="K1514" s="3" t="s">
        <v>873</v>
      </c>
      <c r="L1514" s="3" t="s">
        <v>36</v>
      </c>
      <c r="M1514" s="3" t="s">
        <v>36</v>
      </c>
      <c r="N1514" s="3" t="s">
        <v>45</v>
      </c>
      <c r="O1514" s="3" t="s">
        <v>874</v>
      </c>
    </row>
    <row r="1515" spans="1:15" hidden="1" x14ac:dyDescent="0.75">
      <c r="A1515" s="2">
        <v>46291</v>
      </c>
      <c r="B1515" s="3" t="s">
        <v>2069</v>
      </c>
      <c r="C1515" s="3" t="s">
        <v>2070</v>
      </c>
      <c r="D1515" s="3" t="s">
        <v>182</v>
      </c>
      <c r="E1515" s="3" t="s">
        <v>183</v>
      </c>
      <c r="F1515" s="3" t="s">
        <v>17</v>
      </c>
      <c r="G1515" s="3" t="s">
        <v>18</v>
      </c>
      <c r="H1515" s="4">
        <v>46291.010364699083</v>
      </c>
      <c r="I1515" s="4">
        <v>46291.110801736111</v>
      </c>
      <c r="J1515" s="3">
        <f>ROUND((I1515-H1515)*1440,0)</f>
        <v>145</v>
      </c>
      <c r="K1515" s="3" t="s">
        <v>184</v>
      </c>
      <c r="L1515" s="3" t="s">
        <v>77</v>
      </c>
      <c r="M1515" s="3" t="s">
        <v>78</v>
      </c>
      <c r="N1515" s="3" t="s">
        <v>23</v>
      </c>
      <c r="O1515" s="3" t="s">
        <v>185</v>
      </c>
    </row>
    <row r="1516" spans="1:15" hidden="1" x14ac:dyDescent="0.75">
      <c r="A1516" s="2">
        <v>46291</v>
      </c>
      <c r="B1516" s="3" t="s">
        <v>2333</v>
      </c>
      <c r="C1516" s="3" t="s">
        <v>2334</v>
      </c>
      <c r="D1516" s="3" t="s">
        <v>56</v>
      </c>
      <c r="E1516" s="3" t="s">
        <v>57</v>
      </c>
      <c r="F1516" s="3" t="s">
        <v>737</v>
      </c>
      <c r="G1516" s="3" t="s">
        <v>738</v>
      </c>
      <c r="H1516" s="4">
        <v>46291.011754861109</v>
      </c>
      <c r="I1516" s="4">
        <v>46291.118021527778</v>
      </c>
      <c r="J1516" s="3">
        <f>ROUND((I1516-H1516)*1440,0)</f>
        <v>153</v>
      </c>
      <c r="K1516" s="3" t="s">
        <v>210</v>
      </c>
      <c r="L1516" s="3" t="s">
        <v>36</v>
      </c>
      <c r="M1516" s="3" t="s">
        <v>36</v>
      </c>
      <c r="N1516" s="3" t="s">
        <v>45</v>
      </c>
      <c r="O1516" s="3" t="s">
        <v>211</v>
      </c>
    </row>
    <row r="1517" spans="1:15" hidden="1" x14ac:dyDescent="0.75">
      <c r="A1517" s="2">
        <v>46291</v>
      </c>
      <c r="B1517" s="3" t="s">
        <v>72</v>
      </c>
      <c r="C1517" s="3" t="s">
        <v>73</v>
      </c>
      <c r="D1517" s="3" t="s">
        <v>56</v>
      </c>
      <c r="E1517" s="3" t="s">
        <v>57</v>
      </c>
      <c r="F1517" s="3" t="s">
        <v>74</v>
      </c>
      <c r="G1517" s="3" t="s">
        <v>75</v>
      </c>
      <c r="H1517" s="4">
        <v>46291.01289421296</v>
      </c>
      <c r="I1517" s="4">
        <v>46291.103937268519</v>
      </c>
      <c r="J1517" s="3">
        <f>ROUND((I1517-H1517)*1440,0)</f>
        <v>131</v>
      </c>
      <c r="K1517" s="3" t="s">
        <v>220</v>
      </c>
      <c r="L1517" s="3" t="s">
        <v>77</v>
      </c>
      <c r="M1517" s="3" t="s">
        <v>78</v>
      </c>
      <c r="N1517" s="3" t="s">
        <v>23</v>
      </c>
      <c r="O1517" s="3" t="s">
        <v>221</v>
      </c>
    </row>
    <row r="1518" spans="1:15" hidden="1" x14ac:dyDescent="0.75">
      <c r="A1518" s="2">
        <v>46291</v>
      </c>
      <c r="B1518" s="3" t="s">
        <v>120</v>
      </c>
      <c r="C1518" s="3" t="s">
        <v>121</v>
      </c>
      <c r="D1518" s="3" t="s">
        <v>56</v>
      </c>
      <c r="E1518" s="3" t="s">
        <v>57</v>
      </c>
      <c r="F1518" s="3" t="s">
        <v>122</v>
      </c>
      <c r="G1518" s="3" t="s">
        <v>123</v>
      </c>
      <c r="H1518" s="4">
        <v>46291.013989930558</v>
      </c>
      <c r="I1518" s="4">
        <v>46291.252416782409</v>
      </c>
      <c r="J1518" s="3">
        <f>ROUND((I1518-H1518)*1440,0)</f>
        <v>343</v>
      </c>
      <c r="K1518" s="3" t="s">
        <v>497</v>
      </c>
      <c r="L1518" s="3" t="s">
        <v>22</v>
      </c>
      <c r="M1518" s="3" t="s">
        <v>22</v>
      </c>
      <c r="N1518" s="3" t="s">
        <v>23</v>
      </c>
      <c r="O1518" s="3" t="s">
        <v>498</v>
      </c>
    </row>
    <row r="1519" spans="1:15" hidden="1" x14ac:dyDescent="0.75">
      <c r="A1519" s="2">
        <v>46291</v>
      </c>
      <c r="B1519" s="3" t="s">
        <v>2055</v>
      </c>
      <c r="C1519" s="3" t="s">
        <v>2056</v>
      </c>
      <c r="D1519" s="3" t="s">
        <v>100</v>
      </c>
      <c r="E1519" s="3" t="s">
        <v>101</v>
      </c>
      <c r="F1519" s="3" t="s">
        <v>17</v>
      </c>
      <c r="G1519" s="3" t="s">
        <v>18</v>
      </c>
      <c r="H1519" s="4">
        <v>46291.015089236113</v>
      </c>
      <c r="I1519" s="4">
        <v>46291.115485648152</v>
      </c>
      <c r="J1519" s="3">
        <f>ROUND((I1519-H1519)*1440,0)</f>
        <v>145</v>
      </c>
      <c r="K1519" s="3" t="s">
        <v>931</v>
      </c>
      <c r="L1519" s="3" t="s">
        <v>77</v>
      </c>
      <c r="M1519" s="3" t="s">
        <v>78</v>
      </c>
      <c r="N1519" s="3" t="s">
        <v>23</v>
      </c>
      <c r="O1519" s="3" t="s">
        <v>932</v>
      </c>
    </row>
    <row r="1520" spans="1:15" hidden="1" x14ac:dyDescent="0.75">
      <c r="A1520" s="2">
        <v>46291</v>
      </c>
      <c r="B1520" s="3" t="s">
        <v>2159</v>
      </c>
      <c r="C1520" s="3" t="s">
        <v>2160</v>
      </c>
      <c r="D1520" s="3" t="s">
        <v>719</v>
      </c>
      <c r="E1520" s="3" t="s">
        <v>720</v>
      </c>
      <c r="F1520" s="3" t="s">
        <v>27</v>
      </c>
      <c r="G1520" s="3" t="s">
        <v>28</v>
      </c>
      <c r="H1520" s="4">
        <v>46291.015222106478</v>
      </c>
      <c r="I1520" s="4">
        <v>46291.132768981479</v>
      </c>
      <c r="J1520" s="3">
        <f>ROUND((I1520-H1520)*1440,0)</f>
        <v>169</v>
      </c>
      <c r="K1520" s="3" t="s">
        <v>224</v>
      </c>
      <c r="L1520" s="3" t="s">
        <v>77</v>
      </c>
      <c r="M1520" s="3" t="s">
        <v>78</v>
      </c>
      <c r="N1520" s="3" t="s">
        <v>23</v>
      </c>
      <c r="O1520" s="3" t="s">
        <v>225</v>
      </c>
    </row>
    <row r="1521" spans="1:15" hidden="1" x14ac:dyDescent="0.75">
      <c r="A1521" s="2">
        <v>46291</v>
      </c>
      <c r="B1521" s="3" t="s">
        <v>126</v>
      </c>
      <c r="C1521" s="3" t="s">
        <v>127</v>
      </c>
      <c r="D1521" s="3" t="s">
        <v>56</v>
      </c>
      <c r="E1521" s="3" t="s">
        <v>57</v>
      </c>
      <c r="F1521" s="3" t="s">
        <v>128</v>
      </c>
      <c r="G1521" s="3" t="s">
        <v>129</v>
      </c>
      <c r="H1521" s="4">
        <v>46291.015655787043</v>
      </c>
      <c r="I1521" s="4">
        <v>46291.122550578701</v>
      </c>
      <c r="J1521" s="3">
        <f>ROUND((I1521-H1521)*1440,0)</f>
        <v>154</v>
      </c>
      <c r="K1521" s="3" t="s">
        <v>993</v>
      </c>
      <c r="L1521" s="3" t="s">
        <v>36</v>
      </c>
      <c r="M1521" s="3" t="s">
        <v>36</v>
      </c>
      <c r="N1521" s="3" t="s">
        <v>23</v>
      </c>
      <c r="O1521" s="3" t="s">
        <v>994</v>
      </c>
    </row>
    <row r="1522" spans="1:15" hidden="1" x14ac:dyDescent="0.75">
      <c r="A1522" s="2">
        <v>46291</v>
      </c>
      <c r="B1522" s="3" t="s">
        <v>212</v>
      </c>
      <c r="C1522" s="3" t="s">
        <v>213</v>
      </c>
      <c r="D1522" s="3" t="s">
        <v>82</v>
      </c>
      <c r="E1522" s="3" t="s">
        <v>83</v>
      </c>
      <c r="F1522" s="3" t="s">
        <v>27</v>
      </c>
      <c r="G1522" s="3" t="s">
        <v>28</v>
      </c>
      <c r="H1522" s="4">
        <v>46291.016704513888</v>
      </c>
      <c r="I1522" s="4">
        <v>46291.124465740737</v>
      </c>
      <c r="J1522" s="3">
        <f>ROUND((I1522-H1522)*1440,0)</f>
        <v>155</v>
      </c>
      <c r="K1522" s="3" t="s">
        <v>739</v>
      </c>
      <c r="L1522" s="3" t="s">
        <v>77</v>
      </c>
      <c r="M1522" s="3" t="s">
        <v>78</v>
      </c>
      <c r="N1522" s="3" t="s">
        <v>23</v>
      </c>
      <c r="O1522" s="3" t="s">
        <v>740</v>
      </c>
    </row>
    <row r="1523" spans="1:15" hidden="1" x14ac:dyDescent="0.75">
      <c r="A1523" s="2">
        <v>46291</v>
      </c>
      <c r="B1523" s="3" t="s">
        <v>110</v>
      </c>
      <c r="C1523" s="3" t="s">
        <v>111</v>
      </c>
      <c r="D1523" s="3" t="s">
        <v>56</v>
      </c>
      <c r="E1523" s="3" t="s">
        <v>57</v>
      </c>
      <c r="F1523" s="3" t="s">
        <v>94</v>
      </c>
      <c r="G1523" s="3" t="s">
        <v>95</v>
      </c>
      <c r="H1523" s="4">
        <v>46291.017294675927</v>
      </c>
      <c r="I1523" s="4">
        <v>46291.09421354167</v>
      </c>
      <c r="J1523" s="3">
        <f>ROUND((I1523-H1523)*1440,0)</f>
        <v>111</v>
      </c>
      <c r="K1523" s="3" t="s">
        <v>1363</v>
      </c>
      <c r="L1523" s="3" t="s">
        <v>36</v>
      </c>
      <c r="M1523" s="3" t="s">
        <v>36</v>
      </c>
      <c r="N1523" s="3" t="s">
        <v>23</v>
      </c>
      <c r="O1523" s="3" t="s">
        <v>1364</v>
      </c>
    </row>
    <row r="1524" spans="1:15" hidden="1" x14ac:dyDescent="0.75">
      <c r="A1524" s="2">
        <v>46291</v>
      </c>
      <c r="B1524" s="3" t="s">
        <v>1855</v>
      </c>
      <c r="C1524" s="3" t="s">
        <v>1856</v>
      </c>
      <c r="D1524" s="3" t="s">
        <v>196</v>
      </c>
      <c r="E1524" s="3" t="s">
        <v>197</v>
      </c>
      <c r="F1524" s="3" t="s">
        <v>82</v>
      </c>
      <c r="G1524" s="3" t="s">
        <v>83</v>
      </c>
      <c r="H1524" s="4">
        <v>46291.018353009262</v>
      </c>
      <c r="I1524" s="4">
        <v>46291.080663310182</v>
      </c>
      <c r="J1524" s="3">
        <f>ROUND((I1524-H1524)*1440,0)</f>
        <v>90</v>
      </c>
      <c r="K1524" s="3" t="s">
        <v>1191</v>
      </c>
      <c r="L1524" s="3" t="s">
        <v>36</v>
      </c>
      <c r="M1524" s="3" t="s">
        <v>36</v>
      </c>
      <c r="N1524" s="3" t="s">
        <v>23</v>
      </c>
      <c r="O1524" s="3" t="s">
        <v>1192</v>
      </c>
    </row>
    <row r="1525" spans="1:15" hidden="1" x14ac:dyDescent="0.75">
      <c r="A1525" s="2">
        <v>46291</v>
      </c>
      <c r="B1525" s="3" t="s">
        <v>190</v>
      </c>
      <c r="C1525" s="3" t="s">
        <v>191</v>
      </c>
      <c r="D1525" s="3" t="s">
        <v>56</v>
      </c>
      <c r="E1525" s="3" t="s">
        <v>57</v>
      </c>
      <c r="F1525" s="3" t="s">
        <v>19</v>
      </c>
      <c r="G1525" s="3" t="s">
        <v>20</v>
      </c>
      <c r="H1525" s="4">
        <v>46291.018464120367</v>
      </c>
      <c r="I1525" s="4">
        <v>46291.044807523147</v>
      </c>
      <c r="J1525" s="3">
        <f>ROUND((I1525-H1525)*1440,0)</f>
        <v>38</v>
      </c>
      <c r="K1525" s="3" t="s">
        <v>907</v>
      </c>
      <c r="L1525" s="3" t="s">
        <v>36</v>
      </c>
      <c r="M1525" s="3" t="s">
        <v>36</v>
      </c>
      <c r="N1525" s="3" t="s">
        <v>23</v>
      </c>
      <c r="O1525" s="3" t="s">
        <v>908</v>
      </c>
    </row>
    <row r="1526" spans="1:15" hidden="1" x14ac:dyDescent="0.75">
      <c r="A1526" s="2">
        <v>46291</v>
      </c>
      <c r="B1526" s="3" t="s">
        <v>242</v>
      </c>
      <c r="C1526" s="3" t="s">
        <v>243</v>
      </c>
      <c r="D1526" s="3" t="s">
        <v>56</v>
      </c>
      <c r="E1526" s="3" t="s">
        <v>57</v>
      </c>
      <c r="F1526" s="3" t="s">
        <v>244</v>
      </c>
      <c r="G1526" s="3" t="s">
        <v>245</v>
      </c>
      <c r="H1526" s="4">
        <v>46291.019192824067</v>
      </c>
      <c r="I1526" s="4">
        <v>46291.128726620373</v>
      </c>
      <c r="J1526" s="3">
        <f>ROUND((I1526-H1526)*1440,0)</f>
        <v>158</v>
      </c>
      <c r="K1526" s="3" t="s">
        <v>641</v>
      </c>
      <c r="L1526" s="3" t="s">
        <v>36</v>
      </c>
      <c r="M1526" s="3" t="s">
        <v>36</v>
      </c>
      <c r="N1526" s="3" t="s">
        <v>45</v>
      </c>
      <c r="O1526" s="3" t="s">
        <v>642</v>
      </c>
    </row>
    <row r="1527" spans="1:15" hidden="1" x14ac:dyDescent="0.75">
      <c r="A1527" s="2">
        <v>46291</v>
      </c>
      <c r="B1527" s="3" t="s">
        <v>2067</v>
      </c>
      <c r="C1527" s="3" t="s">
        <v>2068</v>
      </c>
      <c r="D1527" s="3" t="s">
        <v>27</v>
      </c>
      <c r="E1527" s="3" t="s">
        <v>28</v>
      </c>
      <c r="F1527" s="3" t="s">
        <v>122</v>
      </c>
      <c r="G1527" s="3" t="s">
        <v>123</v>
      </c>
      <c r="H1527" s="4">
        <v>46291.019589814823</v>
      </c>
      <c r="I1527" s="4">
        <v>46291.258057291663</v>
      </c>
      <c r="J1527" s="3">
        <f>ROUND((I1527-H1527)*1440,0)</f>
        <v>343</v>
      </c>
      <c r="K1527" s="3" t="s">
        <v>547</v>
      </c>
      <c r="L1527" s="3" t="s">
        <v>22</v>
      </c>
      <c r="M1527" s="3" t="s">
        <v>22</v>
      </c>
      <c r="N1527" s="3" t="s">
        <v>23</v>
      </c>
      <c r="O1527" s="3" t="s">
        <v>548</v>
      </c>
    </row>
    <row r="1528" spans="1:15" hidden="1" x14ac:dyDescent="0.75">
      <c r="A1528" s="2">
        <v>46291</v>
      </c>
      <c r="B1528" s="3" t="s">
        <v>140</v>
      </c>
      <c r="C1528" s="3" t="s">
        <v>141</v>
      </c>
      <c r="D1528" s="3" t="s">
        <v>56</v>
      </c>
      <c r="E1528" s="3" t="s">
        <v>57</v>
      </c>
      <c r="F1528" s="3" t="s">
        <v>142</v>
      </c>
      <c r="G1528" s="3" t="s">
        <v>143</v>
      </c>
      <c r="H1528" s="4">
        <v>46291.020441319437</v>
      </c>
      <c r="I1528" s="4">
        <v>46291.123456828696</v>
      </c>
      <c r="J1528" s="3">
        <f>ROUND((I1528-H1528)*1440,0)</f>
        <v>148</v>
      </c>
      <c r="K1528" s="3" t="s">
        <v>981</v>
      </c>
      <c r="L1528" s="3" t="s">
        <v>36</v>
      </c>
      <c r="M1528" s="3" t="s">
        <v>36</v>
      </c>
      <c r="N1528" s="3" t="s">
        <v>23</v>
      </c>
      <c r="O1528" s="3" t="s">
        <v>982</v>
      </c>
    </row>
    <row r="1529" spans="1:15" hidden="1" x14ac:dyDescent="0.75">
      <c r="A1529" s="2">
        <v>46291</v>
      </c>
      <c r="B1529" s="3" t="s">
        <v>226</v>
      </c>
      <c r="C1529" s="3" t="s">
        <v>227</v>
      </c>
      <c r="D1529" s="3" t="s">
        <v>228</v>
      </c>
      <c r="E1529" s="3" t="s">
        <v>229</v>
      </c>
      <c r="F1529" s="3" t="s">
        <v>27</v>
      </c>
      <c r="G1529" s="3" t="s">
        <v>28</v>
      </c>
      <c r="H1529" s="4">
        <v>46291.021453356479</v>
      </c>
      <c r="I1529" s="4">
        <v>46291.077915740738</v>
      </c>
      <c r="J1529" s="3">
        <f>ROUND((I1529-H1529)*1440,0)</f>
        <v>81</v>
      </c>
      <c r="K1529" s="3" t="s">
        <v>891</v>
      </c>
      <c r="L1529" s="3" t="s">
        <v>77</v>
      </c>
      <c r="M1529" s="3" t="s">
        <v>78</v>
      </c>
      <c r="N1529" s="3" t="s">
        <v>23</v>
      </c>
      <c r="O1529" s="3" t="s">
        <v>892</v>
      </c>
    </row>
    <row r="1530" spans="1:15" hidden="1" x14ac:dyDescent="0.75">
      <c r="A1530" s="2">
        <v>46291</v>
      </c>
      <c r="B1530" s="3" t="s">
        <v>54</v>
      </c>
      <c r="C1530" s="3" t="s">
        <v>55</v>
      </c>
      <c r="D1530" s="3" t="s">
        <v>56</v>
      </c>
      <c r="E1530" s="3" t="s">
        <v>57</v>
      </c>
      <c r="F1530" s="3" t="s">
        <v>58</v>
      </c>
      <c r="G1530" s="3" t="s">
        <v>59</v>
      </c>
      <c r="H1530" s="4">
        <v>46291.02148865741</v>
      </c>
      <c r="I1530" s="4">
        <v>46291.12632048611</v>
      </c>
      <c r="J1530" s="3">
        <f>ROUND((I1530-H1530)*1440,0)</f>
        <v>151</v>
      </c>
      <c r="K1530" s="3" t="s">
        <v>813</v>
      </c>
      <c r="L1530" s="3" t="s">
        <v>36</v>
      </c>
      <c r="M1530" s="3" t="s">
        <v>36</v>
      </c>
      <c r="N1530" s="3" t="s">
        <v>23</v>
      </c>
      <c r="O1530" s="3" t="s">
        <v>814</v>
      </c>
    </row>
    <row r="1531" spans="1:15" hidden="1" x14ac:dyDescent="0.75">
      <c r="A1531" s="2">
        <v>46291</v>
      </c>
      <c r="B1531" s="3" t="s">
        <v>166</v>
      </c>
      <c r="C1531" s="3" t="s">
        <v>167</v>
      </c>
      <c r="D1531" s="3" t="s">
        <v>56</v>
      </c>
      <c r="E1531" s="3" t="s">
        <v>57</v>
      </c>
      <c r="F1531" s="3" t="s">
        <v>82</v>
      </c>
      <c r="G1531" s="3" t="s">
        <v>83</v>
      </c>
      <c r="H1531" s="4">
        <v>46291.022374884262</v>
      </c>
      <c r="I1531" s="4">
        <v>46291.044971990741</v>
      </c>
      <c r="J1531" s="3">
        <f>ROUND((I1531-H1531)*1440,0)</f>
        <v>33</v>
      </c>
      <c r="K1531" s="3" t="s">
        <v>1571</v>
      </c>
      <c r="L1531" s="3" t="s">
        <v>36</v>
      </c>
      <c r="M1531" s="3" t="s">
        <v>36</v>
      </c>
      <c r="N1531" s="3" t="s">
        <v>23</v>
      </c>
      <c r="O1531" s="3" t="s">
        <v>1572</v>
      </c>
    </row>
    <row r="1532" spans="1:15" hidden="1" x14ac:dyDescent="0.75">
      <c r="A1532" s="2">
        <v>46291</v>
      </c>
      <c r="B1532" s="3" t="s">
        <v>194</v>
      </c>
      <c r="C1532" s="3" t="s">
        <v>195</v>
      </c>
      <c r="D1532" s="3" t="s">
        <v>56</v>
      </c>
      <c r="E1532" s="3" t="s">
        <v>57</v>
      </c>
      <c r="F1532" s="3" t="s">
        <v>196</v>
      </c>
      <c r="G1532" s="3" t="s">
        <v>197</v>
      </c>
      <c r="H1532" s="4">
        <v>46291.023299652777</v>
      </c>
      <c r="I1532" s="4">
        <v>46291.100069675929</v>
      </c>
      <c r="J1532" s="3">
        <f>ROUND((I1532-H1532)*1440,0)</f>
        <v>111</v>
      </c>
      <c r="K1532" s="3" t="s">
        <v>1469</v>
      </c>
      <c r="L1532" s="3" t="s">
        <v>36</v>
      </c>
      <c r="M1532" s="3" t="s">
        <v>36</v>
      </c>
      <c r="N1532" s="3" t="s">
        <v>45</v>
      </c>
      <c r="O1532" s="3" t="s">
        <v>1470</v>
      </c>
    </row>
    <row r="1533" spans="1:15" hidden="1" x14ac:dyDescent="0.75">
      <c r="A1533" s="2">
        <v>46291</v>
      </c>
      <c r="B1533" s="3" t="s">
        <v>262</v>
      </c>
      <c r="C1533" s="3" t="s">
        <v>263</v>
      </c>
      <c r="D1533" s="3" t="s">
        <v>56</v>
      </c>
      <c r="E1533" s="3" t="s">
        <v>57</v>
      </c>
      <c r="F1533" s="3" t="s">
        <v>264</v>
      </c>
      <c r="G1533" s="3" t="s">
        <v>265</v>
      </c>
      <c r="H1533" s="4">
        <v>46291.024189699077</v>
      </c>
      <c r="I1533" s="4">
        <v>46291.221406249999</v>
      </c>
      <c r="J1533" s="3">
        <f>ROUND((I1533-H1533)*1440,0)</f>
        <v>284</v>
      </c>
      <c r="K1533" s="3" t="s">
        <v>461</v>
      </c>
      <c r="L1533" s="3" t="s">
        <v>22</v>
      </c>
      <c r="M1533" s="3" t="s">
        <v>22</v>
      </c>
      <c r="N1533" s="3" t="s">
        <v>23</v>
      </c>
      <c r="O1533" s="3" t="s">
        <v>462</v>
      </c>
    </row>
    <row r="1534" spans="1:15" hidden="1" x14ac:dyDescent="0.75">
      <c r="A1534" s="2">
        <v>46291</v>
      </c>
      <c r="B1534" s="3" t="s">
        <v>200</v>
      </c>
      <c r="C1534" s="3" t="s">
        <v>201</v>
      </c>
      <c r="D1534" s="3" t="s">
        <v>27</v>
      </c>
      <c r="E1534" s="3" t="s">
        <v>28</v>
      </c>
      <c r="F1534" s="3" t="s">
        <v>202</v>
      </c>
      <c r="G1534" s="3" t="s">
        <v>203</v>
      </c>
      <c r="H1534" s="4">
        <v>46291.024574189818</v>
      </c>
      <c r="I1534" s="4">
        <v>46291.281647569442</v>
      </c>
      <c r="J1534" s="3">
        <f>ROUND((I1534-H1534)*1440,0)</f>
        <v>370</v>
      </c>
      <c r="K1534" s="3" t="s">
        <v>465</v>
      </c>
      <c r="L1534" s="3" t="s">
        <v>43</v>
      </c>
      <c r="M1534" s="3" t="s">
        <v>44</v>
      </c>
      <c r="N1534" s="3" t="s">
        <v>23</v>
      </c>
      <c r="O1534" s="3" t="s">
        <v>466</v>
      </c>
    </row>
    <row r="1535" spans="1:15" hidden="1" x14ac:dyDescent="0.75">
      <c r="A1535" s="2">
        <v>46291</v>
      </c>
      <c r="B1535" s="3" t="s">
        <v>162</v>
      </c>
      <c r="C1535" s="3" t="s">
        <v>163</v>
      </c>
      <c r="D1535" s="3" t="s">
        <v>56</v>
      </c>
      <c r="E1535" s="3" t="s">
        <v>57</v>
      </c>
      <c r="F1535" s="3" t="s">
        <v>116</v>
      </c>
      <c r="G1535" s="3" t="s">
        <v>117</v>
      </c>
      <c r="H1535" s="4">
        <v>46291.024730092591</v>
      </c>
      <c r="I1535" s="4">
        <v>46291.142579282408</v>
      </c>
      <c r="J1535" s="3">
        <f>ROUND((I1535-H1535)*1440,0)</f>
        <v>170</v>
      </c>
      <c r="K1535" s="3" t="s">
        <v>1389</v>
      </c>
      <c r="L1535" s="3" t="s">
        <v>36</v>
      </c>
      <c r="M1535" s="3" t="s">
        <v>36</v>
      </c>
      <c r="N1535" s="3" t="s">
        <v>45</v>
      </c>
      <c r="O1535" s="3" t="s">
        <v>1390</v>
      </c>
    </row>
    <row r="1536" spans="1:15" hidden="1" x14ac:dyDescent="0.75">
      <c r="A1536" s="2">
        <v>46291</v>
      </c>
      <c r="B1536" s="3" t="s">
        <v>170</v>
      </c>
      <c r="C1536" s="3" t="s">
        <v>171</v>
      </c>
      <c r="D1536" s="3" t="s">
        <v>56</v>
      </c>
      <c r="E1536" s="3" t="s">
        <v>57</v>
      </c>
      <c r="F1536" s="3" t="s">
        <v>172</v>
      </c>
      <c r="G1536" s="3" t="s">
        <v>173</v>
      </c>
      <c r="H1536" s="4">
        <v>46291.026087152779</v>
      </c>
      <c r="I1536" s="4">
        <v>46291.150779166674</v>
      </c>
      <c r="J1536" s="3">
        <f>ROUND((I1536-H1536)*1440,0)</f>
        <v>180</v>
      </c>
      <c r="K1536" s="3" t="s">
        <v>108</v>
      </c>
      <c r="L1536" s="3" t="s">
        <v>36</v>
      </c>
      <c r="M1536" s="3" t="s">
        <v>36</v>
      </c>
      <c r="N1536" s="3" t="s">
        <v>23</v>
      </c>
      <c r="O1536" s="3" t="s">
        <v>109</v>
      </c>
    </row>
    <row r="1537" spans="1:15" hidden="1" x14ac:dyDescent="0.75">
      <c r="A1537" s="2">
        <v>46291</v>
      </c>
      <c r="B1537" s="3" t="s">
        <v>152</v>
      </c>
      <c r="C1537" s="3" t="s">
        <v>153</v>
      </c>
      <c r="D1537" s="3" t="s">
        <v>56</v>
      </c>
      <c r="E1537" s="3" t="s">
        <v>57</v>
      </c>
      <c r="F1537" s="3" t="s">
        <v>148</v>
      </c>
      <c r="G1537" s="3" t="s">
        <v>149</v>
      </c>
      <c r="H1537" s="4">
        <v>46291.027000000002</v>
      </c>
      <c r="I1537" s="4">
        <v>46291.132467592593</v>
      </c>
      <c r="J1537" s="3">
        <f>ROUND((I1537-H1537)*1440,0)</f>
        <v>152</v>
      </c>
      <c r="K1537" s="3" t="s">
        <v>272</v>
      </c>
      <c r="L1537" s="3" t="s">
        <v>36</v>
      </c>
      <c r="M1537" s="3" t="s">
        <v>36</v>
      </c>
      <c r="N1537" s="3" t="s">
        <v>23</v>
      </c>
      <c r="O1537" s="3" t="s">
        <v>273</v>
      </c>
    </row>
    <row r="1538" spans="1:15" hidden="1" x14ac:dyDescent="0.75">
      <c r="A1538" s="2">
        <v>46291</v>
      </c>
      <c r="B1538" s="3" t="s">
        <v>15</v>
      </c>
      <c r="C1538" s="3" t="s">
        <v>16</v>
      </c>
      <c r="D1538" s="3" t="s">
        <v>17</v>
      </c>
      <c r="E1538" s="3" t="s">
        <v>18</v>
      </c>
      <c r="F1538" s="3" t="s">
        <v>19</v>
      </c>
      <c r="G1538" s="3" t="s">
        <v>20</v>
      </c>
      <c r="H1538" s="4">
        <v>46291.027256250003</v>
      </c>
      <c r="I1538" s="4">
        <v>46291.118303703697</v>
      </c>
      <c r="J1538" s="3">
        <f>ROUND((I1538-H1538)*1440,0)</f>
        <v>131</v>
      </c>
      <c r="K1538" s="3" t="s">
        <v>21</v>
      </c>
      <c r="L1538" s="3" t="s">
        <v>22</v>
      </c>
      <c r="M1538" s="3" t="s">
        <v>22</v>
      </c>
      <c r="N1538" s="3" t="s">
        <v>23</v>
      </c>
      <c r="O1538" s="3" t="s">
        <v>24</v>
      </c>
    </row>
    <row r="1539" spans="1:15" hidden="1" x14ac:dyDescent="0.75">
      <c r="A1539" s="2">
        <v>46291</v>
      </c>
      <c r="B1539" s="3" t="s">
        <v>254</v>
      </c>
      <c r="C1539" s="3" t="s">
        <v>255</v>
      </c>
      <c r="D1539" s="3" t="s">
        <v>56</v>
      </c>
      <c r="E1539" s="3" t="s">
        <v>57</v>
      </c>
      <c r="F1539" s="3" t="s">
        <v>49</v>
      </c>
      <c r="G1539" s="3" t="s">
        <v>50</v>
      </c>
      <c r="H1539" s="4">
        <v>46291.027917129628</v>
      </c>
      <c r="I1539" s="4">
        <v>46291.133641435183</v>
      </c>
      <c r="J1539" s="3">
        <f>ROUND((I1539-H1539)*1440,0)</f>
        <v>152</v>
      </c>
      <c r="K1539" s="3" t="s">
        <v>775</v>
      </c>
      <c r="L1539" s="3" t="s">
        <v>36</v>
      </c>
      <c r="M1539" s="3" t="s">
        <v>36</v>
      </c>
      <c r="N1539" s="3" t="s">
        <v>23</v>
      </c>
      <c r="O1539" s="3" t="s">
        <v>776</v>
      </c>
    </row>
    <row r="1540" spans="1:15" hidden="1" x14ac:dyDescent="0.75">
      <c r="A1540" s="2">
        <v>46291</v>
      </c>
      <c r="B1540" s="3" t="s">
        <v>2143</v>
      </c>
      <c r="C1540" s="3" t="s">
        <v>2144</v>
      </c>
      <c r="D1540" s="3" t="s">
        <v>27</v>
      </c>
      <c r="E1540" s="3" t="s">
        <v>28</v>
      </c>
      <c r="F1540" s="3" t="s">
        <v>196</v>
      </c>
      <c r="G1540" s="3" t="s">
        <v>197</v>
      </c>
      <c r="H1540" s="4">
        <v>46291.027980671293</v>
      </c>
      <c r="I1540" s="4">
        <v>46291.079431712962</v>
      </c>
      <c r="J1540" s="3">
        <f>ROUND((I1540-H1540)*1440,0)</f>
        <v>74</v>
      </c>
      <c r="K1540" s="3" t="s">
        <v>368</v>
      </c>
      <c r="L1540" s="3" t="s">
        <v>77</v>
      </c>
      <c r="M1540" s="3" t="s">
        <v>78</v>
      </c>
      <c r="N1540" s="3" t="s">
        <v>45</v>
      </c>
      <c r="O1540" s="3" t="s">
        <v>369</v>
      </c>
    </row>
    <row r="1541" spans="1:15" hidden="1" x14ac:dyDescent="0.75">
      <c r="A1541" s="2">
        <v>46291</v>
      </c>
      <c r="B1541" s="3" t="s">
        <v>2335</v>
      </c>
      <c r="C1541" s="3" t="s">
        <v>2336</v>
      </c>
      <c r="D1541" s="3" t="s">
        <v>17</v>
      </c>
      <c r="E1541" s="3" t="s">
        <v>18</v>
      </c>
      <c r="F1541" s="3" t="s">
        <v>2283</v>
      </c>
      <c r="G1541" s="3" t="s">
        <v>2284</v>
      </c>
      <c r="H1541" s="4">
        <v>46291.028638888893</v>
      </c>
      <c r="I1541" s="4">
        <v>46291.061661342603</v>
      </c>
      <c r="J1541" s="3">
        <f>ROUND((I1541-H1541)*1440,0)</f>
        <v>48</v>
      </c>
      <c r="K1541" s="3" t="s">
        <v>1041</v>
      </c>
      <c r="L1541" s="3" t="s">
        <v>43</v>
      </c>
      <c r="M1541" s="3" t="s">
        <v>44</v>
      </c>
      <c r="N1541" s="3" t="s">
        <v>23</v>
      </c>
      <c r="O1541" s="3" t="s">
        <v>1042</v>
      </c>
    </row>
    <row r="1542" spans="1:15" hidden="1" x14ac:dyDescent="0.75">
      <c r="A1542" s="2">
        <v>46291</v>
      </c>
      <c r="B1542" s="3" t="s">
        <v>436</v>
      </c>
      <c r="C1542" s="3" t="s">
        <v>437</v>
      </c>
      <c r="D1542" s="3" t="s">
        <v>56</v>
      </c>
      <c r="E1542" s="3" t="s">
        <v>57</v>
      </c>
      <c r="F1542" s="3" t="s">
        <v>27</v>
      </c>
      <c r="G1542" s="3" t="s">
        <v>28</v>
      </c>
      <c r="H1542" s="4">
        <v>46291.028659837961</v>
      </c>
      <c r="I1542" s="4">
        <v>46291.14663703704</v>
      </c>
      <c r="J1542" s="3">
        <f>ROUND((I1542-H1542)*1440,0)</f>
        <v>170</v>
      </c>
      <c r="K1542" s="3" t="s">
        <v>164</v>
      </c>
      <c r="L1542" s="3" t="s">
        <v>36</v>
      </c>
      <c r="M1542" s="3" t="s">
        <v>36</v>
      </c>
      <c r="N1542" s="3" t="s">
        <v>23</v>
      </c>
      <c r="O1542" s="3" t="s">
        <v>165</v>
      </c>
    </row>
    <row r="1543" spans="1:15" hidden="1" x14ac:dyDescent="0.75">
      <c r="A1543" s="2">
        <v>46291</v>
      </c>
      <c r="B1543" s="3" t="s">
        <v>104</v>
      </c>
      <c r="C1543" s="3" t="s">
        <v>105</v>
      </c>
      <c r="D1543" s="3" t="s">
        <v>56</v>
      </c>
      <c r="E1543" s="3" t="s">
        <v>57</v>
      </c>
      <c r="F1543" s="3" t="s">
        <v>106</v>
      </c>
      <c r="G1543" s="3" t="s">
        <v>107</v>
      </c>
      <c r="H1543" s="4">
        <v>46291.02919976852</v>
      </c>
      <c r="I1543" s="4">
        <v>46291.109308564817</v>
      </c>
      <c r="J1543" s="3">
        <f>ROUND((I1543-H1543)*1440,0)</f>
        <v>115</v>
      </c>
      <c r="K1543" s="3" t="s">
        <v>438</v>
      </c>
      <c r="L1543" s="3" t="s">
        <v>36</v>
      </c>
      <c r="M1543" s="3" t="s">
        <v>36</v>
      </c>
      <c r="N1543" s="3" t="s">
        <v>23</v>
      </c>
      <c r="O1543" s="3" t="s">
        <v>439</v>
      </c>
    </row>
    <row r="1544" spans="1:15" hidden="1" x14ac:dyDescent="0.75">
      <c r="A1544" s="2">
        <v>46291</v>
      </c>
      <c r="B1544" s="3" t="s">
        <v>274</v>
      </c>
      <c r="C1544" s="3" t="s">
        <v>275</v>
      </c>
      <c r="D1544" s="3" t="s">
        <v>17</v>
      </c>
      <c r="E1544" s="3" t="s">
        <v>18</v>
      </c>
      <c r="F1544" s="3" t="s">
        <v>122</v>
      </c>
      <c r="G1544" s="3" t="s">
        <v>123</v>
      </c>
      <c r="H1544" s="4">
        <v>46291.029304629628</v>
      </c>
      <c r="I1544" s="4">
        <v>46291.266658912027</v>
      </c>
      <c r="J1544" s="3">
        <f>ROUND((I1544-H1544)*1440,0)</f>
        <v>342</v>
      </c>
      <c r="K1544" s="3" t="s">
        <v>581</v>
      </c>
      <c r="L1544" s="3" t="s">
        <v>22</v>
      </c>
      <c r="M1544" s="3" t="s">
        <v>22</v>
      </c>
      <c r="N1544" s="3" t="s">
        <v>23</v>
      </c>
      <c r="O1544" s="3" t="s">
        <v>582</v>
      </c>
    </row>
    <row r="1545" spans="1:15" hidden="1" x14ac:dyDescent="0.75">
      <c r="A1545" s="2">
        <v>46291</v>
      </c>
      <c r="B1545" s="3" t="s">
        <v>258</v>
      </c>
      <c r="C1545" s="3" t="s">
        <v>259</v>
      </c>
      <c r="D1545" s="3" t="s">
        <v>27</v>
      </c>
      <c r="E1545" s="3" t="s">
        <v>28</v>
      </c>
      <c r="F1545" s="3" t="s">
        <v>49</v>
      </c>
      <c r="G1545" s="3" t="s">
        <v>50</v>
      </c>
      <c r="H1545" s="4">
        <v>46291.032753009262</v>
      </c>
      <c r="I1545" s="4">
        <v>46291.075551851849</v>
      </c>
      <c r="J1545" s="3">
        <f>ROUND((I1545-H1545)*1440,0)</f>
        <v>62</v>
      </c>
      <c r="K1545" s="3" t="s">
        <v>1161</v>
      </c>
      <c r="L1545" s="3" t="s">
        <v>77</v>
      </c>
      <c r="M1545" s="3" t="s">
        <v>78</v>
      </c>
      <c r="N1545" s="3" t="s">
        <v>23</v>
      </c>
      <c r="O1545" s="3" t="s">
        <v>1162</v>
      </c>
    </row>
    <row r="1546" spans="1:15" hidden="1" x14ac:dyDescent="0.75">
      <c r="A1546" s="2">
        <v>46291</v>
      </c>
      <c r="B1546" s="3" t="s">
        <v>404</v>
      </c>
      <c r="C1546" s="3" t="s">
        <v>405</v>
      </c>
      <c r="D1546" s="3" t="s">
        <v>27</v>
      </c>
      <c r="E1546" s="3" t="s">
        <v>28</v>
      </c>
      <c r="F1546" s="3" t="s">
        <v>19</v>
      </c>
      <c r="G1546" s="3" t="s">
        <v>20</v>
      </c>
      <c r="H1546" s="4">
        <v>46291.033276967602</v>
      </c>
      <c r="I1546" s="4">
        <v>46291.144975810188</v>
      </c>
      <c r="J1546" s="3">
        <f>ROUND((I1546-H1546)*1440,0)</f>
        <v>161</v>
      </c>
      <c r="K1546" s="3" t="s">
        <v>336</v>
      </c>
      <c r="L1546" s="3" t="s">
        <v>36</v>
      </c>
      <c r="M1546" s="3" t="s">
        <v>36</v>
      </c>
      <c r="N1546" s="3" t="s">
        <v>23</v>
      </c>
      <c r="O1546" s="3" t="s">
        <v>337</v>
      </c>
    </row>
    <row r="1547" spans="1:15" hidden="1" x14ac:dyDescent="0.75">
      <c r="A1547" s="2">
        <v>46291</v>
      </c>
      <c r="B1547" s="3" t="s">
        <v>176</v>
      </c>
      <c r="C1547" s="3" t="s">
        <v>177</v>
      </c>
      <c r="D1547" s="3"/>
      <c r="E1547" s="3"/>
      <c r="F1547" s="3" t="s">
        <v>17</v>
      </c>
      <c r="G1547" s="3" t="s">
        <v>18</v>
      </c>
      <c r="H1547" s="4">
        <v>46291.033501273138</v>
      </c>
      <c r="I1547" s="4">
        <v>46291.189899537043</v>
      </c>
      <c r="J1547" s="3">
        <f>ROUND((I1547-H1547)*1440,0)</f>
        <v>225</v>
      </c>
      <c r="K1547" s="3" t="s">
        <v>178</v>
      </c>
      <c r="L1547" s="3" t="s">
        <v>43</v>
      </c>
      <c r="M1547" s="3" t="s">
        <v>44</v>
      </c>
      <c r="N1547" s="3" t="s">
        <v>23</v>
      </c>
      <c r="O1547" s="3" t="s">
        <v>179</v>
      </c>
    </row>
    <row r="1548" spans="1:15" hidden="1" x14ac:dyDescent="0.75">
      <c r="A1548" s="2">
        <v>46291</v>
      </c>
      <c r="B1548" s="3" t="s">
        <v>186</v>
      </c>
      <c r="C1548" s="3" t="s">
        <v>187</v>
      </c>
      <c r="D1548" s="3" t="s">
        <v>27</v>
      </c>
      <c r="E1548" s="3" t="s">
        <v>28</v>
      </c>
      <c r="F1548" s="3" t="s">
        <v>82</v>
      </c>
      <c r="G1548" s="3" t="s">
        <v>83</v>
      </c>
      <c r="H1548" s="4">
        <v>46291.03581296296</v>
      </c>
      <c r="I1548" s="4">
        <v>46291.14065833333</v>
      </c>
      <c r="J1548" s="3">
        <f>ROUND((I1548-H1548)*1440,0)</f>
        <v>151</v>
      </c>
      <c r="K1548" s="3" t="s">
        <v>877</v>
      </c>
      <c r="L1548" s="3" t="s">
        <v>22</v>
      </c>
      <c r="M1548" s="3" t="s">
        <v>22</v>
      </c>
      <c r="N1548" s="3" t="s">
        <v>23</v>
      </c>
      <c r="O1548" s="3" t="s">
        <v>878</v>
      </c>
    </row>
    <row r="1549" spans="1:15" hidden="1" x14ac:dyDescent="0.75">
      <c r="A1549" s="2">
        <v>46291</v>
      </c>
      <c r="B1549" s="3" t="s">
        <v>2021</v>
      </c>
      <c r="C1549" s="3" t="s">
        <v>2022</v>
      </c>
      <c r="D1549" s="3" t="s">
        <v>56</v>
      </c>
      <c r="E1549" s="3" t="s">
        <v>57</v>
      </c>
      <c r="F1549" s="3" t="s">
        <v>17</v>
      </c>
      <c r="G1549" s="3" t="s">
        <v>18</v>
      </c>
      <c r="H1549" s="4">
        <v>46291.037344444441</v>
      </c>
      <c r="I1549" s="4">
        <v>46291.168332870373</v>
      </c>
      <c r="J1549" s="3">
        <f>ROUND((I1549-H1549)*1440,0)</f>
        <v>189</v>
      </c>
      <c r="K1549" s="3" t="s">
        <v>188</v>
      </c>
      <c r="L1549" s="3" t="s">
        <v>22</v>
      </c>
      <c r="M1549" s="3" t="s">
        <v>22</v>
      </c>
      <c r="N1549" s="3" t="s">
        <v>23</v>
      </c>
      <c r="O1549" s="3" t="s">
        <v>189</v>
      </c>
    </row>
    <row r="1550" spans="1:15" hidden="1" x14ac:dyDescent="0.75">
      <c r="A1550" s="2">
        <v>46291</v>
      </c>
      <c r="B1550" s="3" t="s">
        <v>232</v>
      </c>
      <c r="C1550" s="3" t="s">
        <v>233</v>
      </c>
      <c r="D1550" s="3" t="s">
        <v>27</v>
      </c>
      <c r="E1550" s="3" t="s">
        <v>28</v>
      </c>
      <c r="F1550" s="3" t="s">
        <v>234</v>
      </c>
      <c r="G1550" s="3" t="s">
        <v>235</v>
      </c>
      <c r="H1550" s="4">
        <v>46291.038530439822</v>
      </c>
      <c r="I1550" s="4">
        <v>46291.069374999999</v>
      </c>
      <c r="J1550" s="3">
        <f>ROUND((I1550-H1550)*1440,0)</f>
        <v>44</v>
      </c>
      <c r="K1550" s="3" t="s">
        <v>1911</v>
      </c>
      <c r="L1550" s="3" t="s">
        <v>77</v>
      </c>
      <c r="M1550" s="3" t="s">
        <v>78</v>
      </c>
      <c r="N1550" s="3" t="s">
        <v>23</v>
      </c>
      <c r="O1550" s="3" t="s">
        <v>1912</v>
      </c>
    </row>
    <row r="1551" spans="1:15" hidden="1" x14ac:dyDescent="0.75">
      <c r="A1551" s="2">
        <v>46291</v>
      </c>
      <c r="B1551" s="3" t="s">
        <v>382</v>
      </c>
      <c r="C1551" s="3" t="s">
        <v>383</v>
      </c>
      <c r="D1551" s="3" t="s">
        <v>84</v>
      </c>
      <c r="E1551" s="3" t="s">
        <v>85</v>
      </c>
      <c r="F1551" s="3" t="s">
        <v>82</v>
      </c>
      <c r="G1551" s="3" t="s">
        <v>83</v>
      </c>
      <c r="H1551" s="4">
        <v>46291.039845254629</v>
      </c>
      <c r="I1551" s="4">
        <v>46291.124922453702</v>
      </c>
      <c r="J1551" s="3">
        <f>ROUND((I1551-H1551)*1440,0)</f>
        <v>123</v>
      </c>
      <c r="K1551" s="3" t="s">
        <v>154</v>
      </c>
      <c r="L1551" s="3" t="s">
        <v>36</v>
      </c>
      <c r="M1551" s="3" t="s">
        <v>36</v>
      </c>
      <c r="N1551" s="3" t="s">
        <v>23</v>
      </c>
      <c r="O1551" s="3" t="s">
        <v>155</v>
      </c>
    </row>
    <row r="1552" spans="1:15" hidden="1" x14ac:dyDescent="0.75">
      <c r="A1552" s="2">
        <v>46291</v>
      </c>
      <c r="B1552" s="3" t="s">
        <v>499</v>
      </c>
      <c r="C1552" s="3" t="s">
        <v>500</v>
      </c>
      <c r="D1552" s="3" t="s">
        <v>56</v>
      </c>
      <c r="E1552" s="3" t="s">
        <v>57</v>
      </c>
      <c r="F1552" s="3" t="s">
        <v>228</v>
      </c>
      <c r="G1552" s="3" t="s">
        <v>229</v>
      </c>
      <c r="H1552" s="4">
        <v>46291.04010150463</v>
      </c>
      <c r="I1552" s="4">
        <v>46291.13754502315</v>
      </c>
      <c r="J1552" s="3">
        <f>ROUND((I1552-H1552)*1440,0)</f>
        <v>140</v>
      </c>
      <c r="K1552" s="3" t="s">
        <v>2313</v>
      </c>
      <c r="L1552" s="3" t="s">
        <v>77</v>
      </c>
      <c r="M1552" s="3" t="s">
        <v>78</v>
      </c>
      <c r="N1552" s="3" t="s">
        <v>23</v>
      </c>
      <c r="O1552" s="3" t="s">
        <v>2314</v>
      </c>
    </row>
    <row r="1553" spans="1:15" hidden="1" x14ac:dyDescent="0.75">
      <c r="A1553" s="2">
        <v>46291</v>
      </c>
      <c r="B1553" s="3" t="s">
        <v>2337</v>
      </c>
      <c r="C1553" s="3" t="s">
        <v>2338</v>
      </c>
      <c r="D1553" s="3" t="s">
        <v>196</v>
      </c>
      <c r="E1553" s="3" t="s">
        <v>197</v>
      </c>
      <c r="F1553" s="3" t="s">
        <v>56</v>
      </c>
      <c r="G1553" s="3" t="s">
        <v>57</v>
      </c>
      <c r="H1553" s="4">
        <v>46291.040308796299</v>
      </c>
      <c r="I1553" s="4">
        <v>46291.120660185188</v>
      </c>
      <c r="J1553" s="3">
        <f>ROUND((I1553-H1553)*1440,0)</f>
        <v>116</v>
      </c>
      <c r="K1553" s="3" t="s">
        <v>2339</v>
      </c>
      <c r="L1553" s="3" t="s">
        <v>36</v>
      </c>
      <c r="M1553" s="3" t="s">
        <v>36</v>
      </c>
      <c r="N1553" s="3" t="s">
        <v>23</v>
      </c>
      <c r="O1553" s="3" t="s">
        <v>2340</v>
      </c>
    </row>
    <row r="1554" spans="1:15" hidden="1" x14ac:dyDescent="0.75">
      <c r="A1554" s="2">
        <v>46291</v>
      </c>
      <c r="B1554" s="3" t="s">
        <v>2101</v>
      </c>
      <c r="C1554" s="3" t="s">
        <v>2102</v>
      </c>
      <c r="D1554" s="3" t="s">
        <v>182</v>
      </c>
      <c r="E1554" s="3" t="s">
        <v>183</v>
      </c>
      <c r="F1554" s="3" t="s">
        <v>56</v>
      </c>
      <c r="G1554" s="3" t="s">
        <v>57</v>
      </c>
      <c r="H1554" s="4">
        <v>46291.040464699072</v>
      </c>
      <c r="I1554" s="4">
        <v>46291.096955671303</v>
      </c>
      <c r="J1554" s="3">
        <f>ROUND((I1554-H1554)*1440,0)</f>
        <v>81</v>
      </c>
      <c r="K1554" s="3" t="s">
        <v>138</v>
      </c>
      <c r="L1554" s="3" t="s">
        <v>36</v>
      </c>
      <c r="M1554" s="3" t="s">
        <v>36</v>
      </c>
      <c r="N1554" s="3" t="s">
        <v>23</v>
      </c>
      <c r="O1554" s="3" t="s">
        <v>139</v>
      </c>
    </row>
    <row r="1555" spans="1:15" hidden="1" x14ac:dyDescent="0.75">
      <c r="A1555" s="2">
        <v>46291</v>
      </c>
      <c r="B1555" s="3" t="s">
        <v>2119</v>
      </c>
      <c r="C1555" s="3" t="s">
        <v>2120</v>
      </c>
      <c r="D1555" s="3" t="s">
        <v>106</v>
      </c>
      <c r="E1555" s="3" t="s">
        <v>107</v>
      </c>
      <c r="F1555" s="3" t="s">
        <v>17</v>
      </c>
      <c r="G1555" s="3" t="s">
        <v>18</v>
      </c>
      <c r="H1555" s="4">
        <v>46291.040931365736</v>
      </c>
      <c r="I1555" s="4">
        <v>46291.150986342589</v>
      </c>
      <c r="J1555" s="3">
        <f>ROUND((I1555-H1555)*1440,0)</f>
        <v>158</v>
      </c>
      <c r="K1555" s="3" t="s">
        <v>192</v>
      </c>
      <c r="L1555" s="3" t="s">
        <v>36</v>
      </c>
      <c r="M1555" s="3" t="s">
        <v>36</v>
      </c>
      <c r="N1555" s="3" t="s">
        <v>23</v>
      </c>
      <c r="O1555" s="3" t="s">
        <v>193</v>
      </c>
    </row>
    <row r="1556" spans="1:15" hidden="1" x14ac:dyDescent="0.75">
      <c r="A1556" s="2">
        <v>46291</v>
      </c>
      <c r="B1556" s="3" t="s">
        <v>2107</v>
      </c>
      <c r="C1556" s="3" t="s">
        <v>2108</v>
      </c>
      <c r="D1556" s="3" t="s">
        <v>58</v>
      </c>
      <c r="E1556" s="3" t="s">
        <v>59</v>
      </c>
      <c r="F1556" s="3" t="s">
        <v>82</v>
      </c>
      <c r="G1556" s="3" t="s">
        <v>83</v>
      </c>
      <c r="H1556" s="4">
        <v>46291.041074421293</v>
      </c>
      <c r="I1556" s="4">
        <v>46291.126594097223</v>
      </c>
      <c r="J1556" s="3">
        <f>ROUND((I1556-H1556)*1440,0)</f>
        <v>123</v>
      </c>
      <c r="K1556" s="3" t="s">
        <v>1359</v>
      </c>
      <c r="L1556" s="3" t="s">
        <v>36</v>
      </c>
      <c r="M1556" s="3" t="s">
        <v>36</v>
      </c>
      <c r="N1556" s="3" t="s">
        <v>23</v>
      </c>
      <c r="O1556" s="3" t="s">
        <v>1360</v>
      </c>
    </row>
    <row r="1557" spans="1:15" hidden="1" x14ac:dyDescent="0.75">
      <c r="A1557" s="2">
        <v>46291</v>
      </c>
      <c r="B1557" s="3" t="s">
        <v>2135</v>
      </c>
      <c r="C1557" s="3" t="s">
        <v>2136</v>
      </c>
      <c r="D1557" s="3" t="s">
        <v>84</v>
      </c>
      <c r="E1557" s="3" t="s">
        <v>85</v>
      </c>
      <c r="F1557" s="3" t="s">
        <v>56</v>
      </c>
      <c r="G1557" s="3" t="s">
        <v>57</v>
      </c>
      <c r="H1557" s="4">
        <v>46291.042124768523</v>
      </c>
      <c r="I1557" s="4">
        <v>46291.143169212963</v>
      </c>
      <c r="J1557" s="3">
        <f>ROUND((I1557-H1557)*1440,0)</f>
        <v>146</v>
      </c>
      <c r="K1557" s="3" t="s">
        <v>246</v>
      </c>
      <c r="L1557" s="3" t="s">
        <v>36</v>
      </c>
      <c r="M1557" s="3" t="s">
        <v>36</v>
      </c>
      <c r="N1557" s="3" t="s">
        <v>23</v>
      </c>
      <c r="O1557" s="3" t="s">
        <v>247</v>
      </c>
    </row>
    <row r="1558" spans="1:15" hidden="1" x14ac:dyDescent="0.75">
      <c r="A1558" s="2">
        <v>46291</v>
      </c>
      <c r="B1558" s="3" t="s">
        <v>2109</v>
      </c>
      <c r="C1558" s="3" t="s">
        <v>2110</v>
      </c>
      <c r="D1558" s="3" t="s">
        <v>737</v>
      </c>
      <c r="E1558" s="3" t="s">
        <v>738</v>
      </c>
      <c r="F1558" s="3" t="s">
        <v>17</v>
      </c>
      <c r="G1558" s="3" t="s">
        <v>18</v>
      </c>
      <c r="H1558" s="4">
        <v>46291.042915046302</v>
      </c>
      <c r="I1558" s="4">
        <v>46291.109389004632</v>
      </c>
      <c r="J1558" s="3">
        <f>ROUND((I1558-H1558)*1440,0)</f>
        <v>96</v>
      </c>
      <c r="K1558" s="3" t="s">
        <v>1517</v>
      </c>
      <c r="L1558" s="3" t="s">
        <v>77</v>
      </c>
      <c r="M1558" s="3" t="s">
        <v>78</v>
      </c>
      <c r="N1558" s="3" t="s">
        <v>23</v>
      </c>
      <c r="O1558" s="3" t="s">
        <v>1518</v>
      </c>
    </row>
    <row r="1559" spans="1:15" hidden="1" x14ac:dyDescent="0.75">
      <c r="A1559" s="2">
        <v>46291</v>
      </c>
      <c r="B1559" s="3" t="s">
        <v>390</v>
      </c>
      <c r="C1559" s="3" t="s">
        <v>391</v>
      </c>
      <c r="D1559" s="3" t="s">
        <v>56</v>
      </c>
      <c r="E1559" s="3" t="s">
        <v>57</v>
      </c>
      <c r="F1559" s="3" t="s">
        <v>17</v>
      </c>
      <c r="G1559" s="3" t="s">
        <v>18</v>
      </c>
      <c r="H1559" s="4">
        <v>46291.043874537027</v>
      </c>
      <c r="I1559" s="4">
        <v>46291.198688310193</v>
      </c>
      <c r="J1559" s="3">
        <f>ROUND((I1559-H1559)*1440,0)</f>
        <v>223</v>
      </c>
      <c r="K1559" s="3" t="s">
        <v>2147</v>
      </c>
      <c r="L1559" s="3" t="s">
        <v>77</v>
      </c>
      <c r="M1559" s="3" t="s">
        <v>78</v>
      </c>
      <c r="N1559" s="3" t="s">
        <v>23</v>
      </c>
      <c r="O1559" s="3" t="s">
        <v>2148</v>
      </c>
    </row>
    <row r="1560" spans="1:15" hidden="1" x14ac:dyDescent="0.75">
      <c r="A1560" s="2">
        <v>46291</v>
      </c>
      <c r="B1560" s="3" t="s">
        <v>2155</v>
      </c>
      <c r="C1560" s="3" t="s">
        <v>2156</v>
      </c>
      <c r="D1560" s="3" t="s">
        <v>27</v>
      </c>
      <c r="E1560" s="3" t="s">
        <v>28</v>
      </c>
      <c r="F1560" s="3" t="s">
        <v>264</v>
      </c>
      <c r="G1560" s="3" t="s">
        <v>265</v>
      </c>
      <c r="H1560" s="4">
        <v>46291.044299537039</v>
      </c>
      <c r="I1560" s="4">
        <v>46291.262017824083</v>
      </c>
      <c r="J1560" s="3">
        <f>ROUND((I1560-H1560)*1440,0)</f>
        <v>314</v>
      </c>
      <c r="K1560" s="3" t="s">
        <v>1147</v>
      </c>
      <c r="L1560" s="3" t="s">
        <v>22</v>
      </c>
      <c r="M1560" s="3" t="s">
        <v>22</v>
      </c>
      <c r="N1560" s="3" t="s">
        <v>23</v>
      </c>
      <c r="O1560" s="3" t="s">
        <v>1148</v>
      </c>
    </row>
    <row r="1561" spans="1:15" hidden="1" x14ac:dyDescent="0.75">
      <c r="A1561" s="2">
        <v>46291</v>
      </c>
      <c r="B1561" s="3" t="s">
        <v>284</v>
      </c>
      <c r="C1561" s="3" t="s">
        <v>285</v>
      </c>
      <c r="D1561" s="3" t="s">
        <v>27</v>
      </c>
      <c r="E1561" s="3" t="s">
        <v>28</v>
      </c>
      <c r="F1561" s="3" t="s">
        <v>286</v>
      </c>
      <c r="G1561" s="3" t="s">
        <v>287</v>
      </c>
      <c r="H1561" s="4">
        <v>46291.050293981483</v>
      </c>
      <c r="I1561" s="4">
        <v>46291.326995138887</v>
      </c>
      <c r="J1561" s="3">
        <f>ROUND((I1561-H1561)*1440,0)</f>
        <v>398</v>
      </c>
      <c r="K1561" s="3" t="s">
        <v>288</v>
      </c>
      <c r="L1561" s="3" t="s">
        <v>43</v>
      </c>
      <c r="M1561" s="3" t="s">
        <v>44</v>
      </c>
      <c r="N1561" s="3" t="s">
        <v>23</v>
      </c>
      <c r="O1561" s="3" t="s">
        <v>289</v>
      </c>
    </row>
    <row r="1562" spans="1:15" hidden="1" x14ac:dyDescent="0.75">
      <c r="A1562" s="2">
        <v>46291</v>
      </c>
      <c r="B1562" s="3" t="s">
        <v>216</v>
      </c>
      <c r="C1562" s="3" t="s">
        <v>217</v>
      </c>
      <c r="D1562" s="3" t="s">
        <v>56</v>
      </c>
      <c r="E1562" s="3" t="s">
        <v>57</v>
      </c>
      <c r="F1562" s="3" t="s">
        <v>218</v>
      </c>
      <c r="G1562" s="3" t="s">
        <v>219</v>
      </c>
      <c r="H1562" s="4">
        <v>46291.050964004629</v>
      </c>
      <c r="I1562" s="4">
        <v>46291.154373495367</v>
      </c>
      <c r="J1562" s="3">
        <f>ROUND((I1562-H1562)*1440,0)</f>
        <v>149</v>
      </c>
      <c r="K1562" s="3" t="s">
        <v>76</v>
      </c>
      <c r="L1562" s="3" t="s">
        <v>77</v>
      </c>
      <c r="M1562" s="3" t="s">
        <v>78</v>
      </c>
      <c r="N1562" s="3" t="s">
        <v>23</v>
      </c>
      <c r="O1562" s="3" t="s">
        <v>79</v>
      </c>
    </row>
    <row r="1563" spans="1:15" hidden="1" x14ac:dyDescent="0.75">
      <c r="A1563" s="2">
        <v>46291</v>
      </c>
      <c r="B1563" s="3" t="s">
        <v>364</v>
      </c>
      <c r="C1563" s="3" t="s">
        <v>365</v>
      </c>
      <c r="D1563" s="3" t="s">
        <v>27</v>
      </c>
      <c r="E1563" s="3" t="s">
        <v>28</v>
      </c>
      <c r="F1563" s="3" t="s">
        <v>366</v>
      </c>
      <c r="G1563" s="3" t="s">
        <v>367</v>
      </c>
      <c r="H1563" s="4">
        <v>46291.052586342586</v>
      </c>
      <c r="I1563" s="4">
        <v>46291.089642476851</v>
      </c>
      <c r="J1563" s="3">
        <f>ROUND((I1563-H1563)*1440,0)</f>
        <v>53</v>
      </c>
      <c r="K1563" s="3" t="s">
        <v>939</v>
      </c>
      <c r="L1563" s="3" t="s">
        <v>77</v>
      </c>
      <c r="M1563" s="3" t="s">
        <v>78</v>
      </c>
      <c r="N1563" s="3" t="s">
        <v>23</v>
      </c>
      <c r="O1563" s="3" t="s">
        <v>940</v>
      </c>
    </row>
    <row r="1564" spans="1:15" hidden="1" x14ac:dyDescent="0.75">
      <c r="A1564" s="2">
        <v>46291</v>
      </c>
      <c r="B1564" s="3" t="s">
        <v>2341</v>
      </c>
      <c r="C1564" s="3" t="s">
        <v>2342</v>
      </c>
      <c r="D1564" s="3"/>
      <c r="E1564" s="3"/>
      <c r="F1564" s="3" t="s">
        <v>158</v>
      </c>
      <c r="G1564" s="3" t="s">
        <v>159</v>
      </c>
      <c r="H1564" s="4">
        <v>46291.053690046298</v>
      </c>
      <c r="I1564" s="4">
        <v>46291.101071064812</v>
      </c>
      <c r="J1564" s="3">
        <f>ROUND((I1564-H1564)*1440,0)</f>
        <v>68</v>
      </c>
      <c r="K1564" s="3" t="s">
        <v>1229</v>
      </c>
      <c r="L1564" s="3" t="s">
        <v>77</v>
      </c>
      <c r="M1564" s="3" t="s">
        <v>78</v>
      </c>
      <c r="N1564" s="3" t="s">
        <v>23</v>
      </c>
      <c r="O1564" s="3" t="s">
        <v>1230</v>
      </c>
    </row>
    <row r="1565" spans="1:15" hidden="1" x14ac:dyDescent="0.75">
      <c r="A1565" s="2">
        <v>46291</v>
      </c>
      <c r="B1565" s="3" t="s">
        <v>238</v>
      </c>
      <c r="C1565" s="3" t="s">
        <v>239</v>
      </c>
      <c r="D1565" s="3" t="s">
        <v>56</v>
      </c>
      <c r="E1565" s="3" t="s">
        <v>57</v>
      </c>
      <c r="F1565" s="3" t="s">
        <v>182</v>
      </c>
      <c r="G1565" s="3" t="s">
        <v>183</v>
      </c>
      <c r="H1565" s="4">
        <v>46291.05386886574</v>
      </c>
      <c r="I1565" s="4">
        <v>46291.113837962963</v>
      </c>
      <c r="J1565" s="3">
        <f>ROUND((I1565-H1565)*1440,0)</f>
        <v>86</v>
      </c>
      <c r="K1565" s="3" t="s">
        <v>529</v>
      </c>
      <c r="L1565" s="3" t="s">
        <v>77</v>
      </c>
      <c r="M1565" s="3" t="s">
        <v>78</v>
      </c>
      <c r="N1565" s="3" t="s">
        <v>23</v>
      </c>
      <c r="O1565" s="3" t="s">
        <v>530</v>
      </c>
    </row>
    <row r="1566" spans="1:15" hidden="1" x14ac:dyDescent="0.75">
      <c r="A1566" s="2">
        <v>46291</v>
      </c>
      <c r="B1566" s="3" t="s">
        <v>2033</v>
      </c>
      <c r="C1566" s="3" t="s">
        <v>2034</v>
      </c>
      <c r="D1566" s="3" t="s">
        <v>208</v>
      </c>
      <c r="E1566" s="3" t="s">
        <v>209</v>
      </c>
      <c r="F1566" s="3" t="s">
        <v>56</v>
      </c>
      <c r="G1566" s="3" t="s">
        <v>57</v>
      </c>
      <c r="H1566" s="4">
        <v>46291.054795254633</v>
      </c>
      <c r="I1566" s="4">
        <v>46291.157842824083</v>
      </c>
      <c r="J1566" s="3">
        <f>ROUND((I1566-H1566)*1440,0)</f>
        <v>148</v>
      </c>
      <c r="K1566" s="3" t="s">
        <v>1089</v>
      </c>
      <c r="L1566" s="3" t="s">
        <v>36</v>
      </c>
      <c r="M1566" s="3" t="s">
        <v>36</v>
      </c>
      <c r="N1566" s="3" t="s">
        <v>23</v>
      </c>
      <c r="O1566" s="3" t="s">
        <v>1090</v>
      </c>
    </row>
    <row r="1567" spans="1:15" hidden="1" x14ac:dyDescent="0.75">
      <c r="A1567" s="2">
        <v>46291</v>
      </c>
      <c r="B1567" s="3" t="s">
        <v>2153</v>
      </c>
      <c r="C1567" s="3" t="s">
        <v>2154</v>
      </c>
      <c r="D1567" s="3" t="s">
        <v>27</v>
      </c>
      <c r="E1567" s="3" t="s">
        <v>28</v>
      </c>
      <c r="F1567" s="3" t="s">
        <v>350</v>
      </c>
      <c r="G1567" s="3" t="s">
        <v>351</v>
      </c>
      <c r="H1567" s="4">
        <v>46291.055715509261</v>
      </c>
      <c r="I1567" s="4">
        <v>46291.284931018519</v>
      </c>
      <c r="J1567" s="3">
        <f>ROUND((I1567-H1567)*1440,0)</f>
        <v>330</v>
      </c>
      <c r="K1567" s="3" t="s">
        <v>561</v>
      </c>
      <c r="L1567" s="3" t="s">
        <v>43</v>
      </c>
      <c r="M1567" s="3" t="s">
        <v>44</v>
      </c>
      <c r="N1567" s="3" t="s">
        <v>23</v>
      </c>
      <c r="O1567" s="3" t="s">
        <v>562</v>
      </c>
    </row>
    <row r="1568" spans="1:15" hidden="1" x14ac:dyDescent="0.75">
      <c r="A1568" s="2">
        <v>46291</v>
      </c>
      <c r="B1568" s="3" t="s">
        <v>475</v>
      </c>
      <c r="C1568" s="3" t="s">
        <v>476</v>
      </c>
      <c r="D1568" s="3" t="s">
        <v>27</v>
      </c>
      <c r="E1568" s="3" t="s">
        <v>28</v>
      </c>
      <c r="F1568" s="3" t="s">
        <v>182</v>
      </c>
      <c r="G1568" s="3" t="s">
        <v>183</v>
      </c>
      <c r="H1568" s="4">
        <v>46291.057292361111</v>
      </c>
      <c r="I1568" s="4">
        <v>46291.143467708331</v>
      </c>
      <c r="J1568" s="3">
        <f>ROUND((I1568-H1568)*1440,0)</f>
        <v>124</v>
      </c>
      <c r="K1568" s="3" t="s">
        <v>793</v>
      </c>
      <c r="L1568" s="3" t="s">
        <v>77</v>
      </c>
      <c r="M1568" s="3" t="s">
        <v>78</v>
      </c>
      <c r="N1568" s="3" t="s">
        <v>23</v>
      </c>
      <c r="O1568" s="3" t="s">
        <v>794</v>
      </c>
    </row>
    <row r="1569" spans="1:15" hidden="1" x14ac:dyDescent="0.75">
      <c r="A1569" s="2">
        <v>46291</v>
      </c>
      <c r="B1569" s="3" t="s">
        <v>1905</v>
      </c>
      <c r="C1569" s="3" t="s">
        <v>1906</v>
      </c>
      <c r="D1569" s="3" t="s">
        <v>82</v>
      </c>
      <c r="E1569" s="3" t="s">
        <v>83</v>
      </c>
      <c r="F1569" s="3" t="s">
        <v>208</v>
      </c>
      <c r="G1569" s="3" t="s">
        <v>209</v>
      </c>
      <c r="H1569" s="4">
        <v>46291.057405208332</v>
      </c>
      <c r="I1569" s="4">
        <v>46291.152985300927</v>
      </c>
      <c r="J1569" s="3">
        <f>ROUND((I1569-H1569)*1440,0)</f>
        <v>138</v>
      </c>
      <c r="K1569" s="3" t="s">
        <v>489</v>
      </c>
      <c r="L1569" s="3" t="s">
        <v>36</v>
      </c>
      <c r="M1569" s="3" t="s">
        <v>36</v>
      </c>
      <c r="N1569" s="3" t="s">
        <v>23</v>
      </c>
      <c r="O1569" s="3" t="s">
        <v>490</v>
      </c>
    </row>
    <row r="1570" spans="1:15" hidden="1" x14ac:dyDescent="0.75">
      <c r="A1570" s="2">
        <v>46291</v>
      </c>
      <c r="B1570" s="3" t="s">
        <v>370</v>
      </c>
      <c r="C1570" s="3" t="s">
        <v>371</v>
      </c>
      <c r="D1570" s="3" t="s">
        <v>158</v>
      </c>
      <c r="E1570" s="3" t="s">
        <v>159</v>
      </c>
      <c r="F1570" s="3" t="s">
        <v>27</v>
      </c>
      <c r="G1570" s="3" t="s">
        <v>28</v>
      </c>
      <c r="H1570" s="4">
        <v>46291.058110879632</v>
      </c>
      <c r="I1570" s="4">
        <v>46291.106716435177</v>
      </c>
      <c r="J1570" s="3">
        <f>ROUND((I1570-H1570)*1440,0)</f>
        <v>70</v>
      </c>
      <c r="K1570" s="3" t="s">
        <v>1015</v>
      </c>
      <c r="L1570" s="3" t="s">
        <v>77</v>
      </c>
      <c r="M1570" s="3" t="s">
        <v>78</v>
      </c>
      <c r="N1570" s="3" t="s">
        <v>23</v>
      </c>
      <c r="O1570" s="3" t="s">
        <v>1016</v>
      </c>
    </row>
    <row r="1571" spans="1:15" hidden="1" x14ac:dyDescent="0.75">
      <c r="A1571" s="2">
        <v>46291</v>
      </c>
      <c r="B1571" s="3" t="s">
        <v>2087</v>
      </c>
      <c r="C1571" s="3" t="s">
        <v>2088</v>
      </c>
      <c r="D1571" s="3" t="s">
        <v>82</v>
      </c>
      <c r="E1571" s="3" t="s">
        <v>83</v>
      </c>
      <c r="F1571" s="3" t="s">
        <v>158</v>
      </c>
      <c r="G1571" s="3" t="s">
        <v>159</v>
      </c>
      <c r="H1571" s="4">
        <v>46291.058645833327</v>
      </c>
      <c r="I1571" s="4">
        <v>46291.133416550932</v>
      </c>
      <c r="J1571" s="3">
        <f>ROUND((I1571-H1571)*1440,0)</f>
        <v>108</v>
      </c>
      <c r="K1571" s="3" t="s">
        <v>384</v>
      </c>
      <c r="L1571" s="3" t="s">
        <v>36</v>
      </c>
      <c r="M1571" s="3" t="s">
        <v>36</v>
      </c>
      <c r="N1571" s="3" t="s">
        <v>23</v>
      </c>
      <c r="O1571" s="3" t="s">
        <v>385</v>
      </c>
    </row>
    <row r="1572" spans="1:15" hidden="1" x14ac:dyDescent="0.75">
      <c r="A1572" s="2">
        <v>46291</v>
      </c>
      <c r="B1572" s="3" t="s">
        <v>318</v>
      </c>
      <c r="C1572" s="3" t="s">
        <v>319</v>
      </c>
      <c r="D1572" s="3" t="s">
        <v>56</v>
      </c>
      <c r="E1572" s="3" t="s">
        <v>57</v>
      </c>
      <c r="F1572" s="3" t="s">
        <v>320</v>
      </c>
      <c r="G1572" s="3" t="s">
        <v>321</v>
      </c>
      <c r="H1572" s="4">
        <v>46291.058765162037</v>
      </c>
      <c r="I1572" s="4">
        <v>46291.126761226849</v>
      </c>
      <c r="J1572" s="3">
        <f>ROUND((I1572-H1572)*1440,0)</f>
        <v>98</v>
      </c>
      <c r="K1572" s="3" t="s">
        <v>2273</v>
      </c>
      <c r="L1572" s="3" t="s">
        <v>36</v>
      </c>
      <c r="M1572" s="3" t="s">
        <v>36</v>
      </c>
      <c r="N1572" s="3" t="s">
        <v>23</v>
      </c>
      <c r="O1572" s="3" t="s">
        <v>2274</v>
      </c>
    </row>
    <row r="1573" spans="1:15" hidden="1" x14ac:dyDescent="0.75">
      <c r="A1573" s="2">
        <v>46291</v>
      </c>
      <c r="B1573" s="3" t="s">
        <v>374</v>
      </c>
      <c r="C1573" s="3" t="s">
        <v>375</v>
      </c>
      <c r="D1573" s="3" t="s">
        <v>56</v>
      </c>
      <c r="E1573" s="3" t="s">
        <v>57</v>
      </c>
      <c r="F1573" s="3" t="s">
        <v>280</v>
      </c>
      <c r="G1573" s="3" t="s">
        <v>281</v>
      </c>
      <c r="H1573" s="4">
        <v>46291.05943587963</v>
      </c>
      <c r="I1573" s="4">
        <v>46291.126141898138</v>
      </c>
      <c r="J1573" s="3">
        <f>ROUND((I1573-H1573)*1440,0)</f>
        <v>96</v>
      </c>
      <c r="K1573" s="3" t="s">
        <v>442</v>
      </c>
      <c r="L1573" s="3" t="s">
        <v>36</v>
      </c>
      <c r="M1573" s="3" t="s">
        <v>36</v>
      </c>
      <c r="N1573" s="3" t="s">
        <v>23</v>
      </c>
      <c r="O1573" s="3" t="s">
        <v>444</v>
      </c>
    </row>
    <row r="1574" spans="1:15" hidden="1" x14ac:dyDescent="0.75">
      <c r="A1574" s="2">
        <v>46291</v>
      </c>
      <c r="B1574" s="3" t="s">
        <v>2149</v>
      </c>
      <c r="C1574" s="3" t="s">
        <v>2150</v>
      </c>
      <c r="D1574" s="3" t="s">
        <v>58</v>
      </c>
      <c r="E1574" s="3" t="s">
        <v>59</v>
      </c>
      <c r="F1574" s="3" t="s">
        <v>304</v>
      </c>
      <c r="G1574" s="3" t="s">
        <v>305</v>
      </c>
      <c r="H1574" s="4">
        <v>46291.062822106484</v>
      </c>
      <c r="I1574" s="4">
        <v>46291.283060879628</v>
      </c>
      <c r="J1574" s="3">
        <f>ROUND((I1574-H1574)*1440,0)</f>
        <v>317</v>
      </c>
      <c r="K1574" s="3" t="s">
        <v>388</v>
      </c>
      <c r="L1574" s="3" t="s">
        <v>22</v>
      </c>
      <c r="M1574" s="3" t="s">
        <v>22</v>
      </c>
      <c r="N1574" s="3" t="s">
        <v>23</v>
      </c>
      <c r="O1574" s="3" t="s">
        <v>389</v>
      </c>
    </row>
    <row r="1575" spans="1:15" hidden="1" x14ac:dyDescent="0.75">
      <c r="A1575" s="2">
        <v>46291</v>
      </c>
      <c r="B1575" s="3" t="s">
        <v>80</v>
      </c>
      <c r="C1575" s="3" t="s">
        <v>81</v>
      </c>
      <c r="D1575" s="3" t="s">
        <v>82</v>
      </c>
      <c r="E1575" s="3" t="s">
        <v>83</v>
      </c>
      <c r="F1575" s="3" t="s">
        <v>84</v>
      </c>
      <c r="G1575" s="3" t="s">
        <v>85</v>
      </c>
      <c r="H1575" s="4">
        <v>46291.065608101853</v>
      </c>
      <c r="I1575" s="4">
        <v>46291.16175162037</v>
      </c>
      <c r="J1575" s="3">
        <f>ROUND((I1575-H1575)*1440,0)</f>
        <v>138</v>
      </c>
      <c r="K1575" s="3" t="s">
        <v>1157</v>
      </c>
      <c r="L1575" s="3" t="s">
        <v>36</v>
      </c>
      <c r="M1575" s="3" t="s">
        <v>36</v>
      </c>
      <c r="N1575" s="3" t="s">
        <v>45</v>
      </c>
      <c r="O1575" s="3" t="s">
        <v>1158</v>
      </c>
    </row>
    <row r="1576" spans="1:15" hidden="1" x14ac:dyDescent="0.75">
      <c r="A1576" s="2">
        <v>46291</v>
      </c>
      <c r="B1576" s="3" t="s">
        <v>298</v>
      </c>
      <c r="C1576" s="3" t="s">
        <v>299</v>
      </c>
      <c r="D1576" s="3" t="s">
        <v>56</v>
      </c>
      <c r="E1576" s="3" t="s">
        <v>57</v>
      </c>
      <c r="F1576" s="3" t="s">
        <v>158</v>
      </c>
      <c r="G1576" s="3" t="s">
        <v>159</v>
      </c>
      <c r="H1576" s="4">
        <v>46291.066958912037</v>
      </c>
      <c r="I1576" s="4">
        <v>46291.158126273149</v>
      </c>
      <c r="J1576" s="3">
        <f>ROUND((I1576-H1576)*1440,0)</f>
        <v>131</v>
      </c>
      <c r="K1576" s="3" t="s">
        <v>1261</v>
      </c>
      <c r="L1576" s="3" t="s">
        <v>77</v>
      </c>
      <c r="M1576" s="3" t="s">
        <v>78</v>
      </c>
      <c r="N1576" s="3" t="s">
        <v>23</v>
      </c>
      <c r="O1576" s="3" t="s">
        <v>1262</v>
      </c>
    </row>
    <row r="1577" spans="1:15" hidden="1" x14ac:dyDescent="0.75">
      <c r="A1577" s="2">
        <v>46291</v>
      </c>
      <c r="B1577" s="3" t="s">
        <v>354</v>
      </c>
      <c r="C1577" s="3" t="s">
        <v>355</v>
      </c>
      <c r="D1577" s="3" t="s">
        <v>334</v>
      </c>
      <c r="E1577" s="3" t="s">
        <v>335</v>
      </c>
      <c r="F1577" s="3" t="s">
        <v>27</v>
      </c>
      <c r="G1577" s="3" t="s">
        <v>28</v>
      </c>
      <c r="H1577" s="4">
        <v>46291.067965624999</v>
      </c>
      <c r="I1577" s="4">
        <v>46291.154878009263</v>
      </c>
      <c r="J1577" s="3">
        <f>ROUND((I1577-H1577)*1440,0)</f>
        <v>125</v>
      </c>
      <c r="K1577" s="3" t="s">
        <v>1501</v>
      </c>
      <c r="L1577" s="3" t="s">
        <v>77</v>
      </c>
      <c r="M1577" s="3" t="s">
        <v>78</v>
      </c>
      <c r="N1577" s="3" t="s">
        <v>23</v>
      </c>
      <c r="O1577" s="3" t="s">
        <v>1502</v>
      </c>
    </row>
    <row r="1578" spans="1:15" hidden="1" x14ac:dyDescent="0.75">
      <c r="A1578" s="2">
        <v>46291</v>
      </c>
      <c r="B1578" s="3" t="s">
        <v>332</v>
      </c>
      <c r="C1578" s="3" t="s">
        <v>333</v>
      </c>
      <c r="D1578" s="3" t="s">
        <v>56</v>
      </c>
      <c r="E1578" s="3" t="s">
        <v>57</v>
      </c>
      <c r="F1578" s="3" t="s">
        <v>334</v>
      </c>
      <c r="G1578" s="3" t="s">
        <v>335</v>
      </c>
      <c r="H1578" s="4">
        <v>46291.068678819443</v>
      </c>
      <c r="I1578" s="4">
        <v>46291.184319328713</v>
      </c>
      <c r="J1578" s="3">
        <f>ROUND((I1578-H1578)*1440,0)</f>
        <v>167</v>
      </c>
      <c r="K1578" s="3" t="s">
        <v>102</v>
      </c>
      <c r="L1578" s="3" t="s">
        <v>36</v>
      </c>
      <c r="M1578" s="3" t="s">
        <v>36</v>
      </c>
      <c r="N1578" s="3" t="s">
        <v>23</v>
      </c>
      <c r="O1578" s="3" t="s">
        <v>103</v>
      </c>
    </row>
    <row r="1579" spans="1:15" hidden="1" x14ac:dyDescent="0.75">
      <c r="A1579" s="2">
        <v>46291</v>
      </c>
      <c r="B1579" s="3" t="s">
        <v>338</v>
      </c>
      <c r="C1579" s="3" t="s">
        <v>339</v>
      </c>
      <c r="D1579" s="3" t="s">
        <v>27</v>
      </c>
      <c r="E1579" s="3" t="s">
        <v>28</v>
      </c>
      <c r="F1579" s="3" t="s">
        <v>40</v>
      </c>
      <c r="G1579" s="3" t="s">
        <v>41</v>
      </c>
      <c r="H1579" s="4">
        <v>46291.069800578713</v>
      </c>
      <c r="I1579" s="4">
        <v>46291.338608912039</v>
      </c>
      <c r="J1579" s="3">
        <f>ROUND((I1579-H1579)*1440,0)</f>
        <v>387</v>
      </c>
      <c r="K1579" s="3" t="s">
        <v>585</v>
      </c>
      <c r="L1579" s="3" t="s">
        <v>43</v>
      </c>
      <c r="M1579" s="3" t="s">
        <v>44</v>
      </c>
      <c r="N1579" s="3" t="s">
        <v>45</v>
      </c>
      <c r="O1579" s="3" t="s">
        <v>586</v>
      </c>
    </row>
    <row r="1580" spans="1:15" hidden="1" x14ac:dyDescent="0.75">
      <c r="A1580" s="2">
        <v>46291</v>
      </c>
      <c r="B1580" s="3" t="s">
        <v>308</v>
      </c>
      <c r="C1580" s="3" t="s">
        <v>309</v>
      </c>
      <c r="D1580" s="3" t="s">
        <v>56</v>
      </c>
      <c r="E1580" s="3" t="s">
        <v>57</v>
      </c>
      <c r="F1580" s="3"/>
      <c r="G1580" s="3"/>
      <c r="H1580" s="4">
        <v>46291.069945138886</v>
      </c>
      <c r="I1580" s="4">
        <v>46291.103821412027</v>
      </c>
      <c r="J1580" s="3">
        <f>ROUND((I1580-H1580)*1440,0)</f>
        <v>49</v>
      </c>
      <c r="K1580" s="3" t="s">
        <v>134</v>
      </c>
      <c r="L1580" s="3" t="s">
        <v>36</v>
      </c>
      <c r="M1580" s="3" t="s">
        <v>36</v>
      </c>
      <c r="N1580" s="3" t="s">
        <v>45</v>
      </c>
      <c r="O1580" s="3" t="s">
        <v>135</v>
      </c>
    </row>
    <row r="1581" spans="1:15" hidden="1" x14ac:dyDescent="0.75">
      <c r="A1581" s="2">
        <v>46291</v>
      </c>
      <c r="B1581" s="3" t="s">
        <v>2117</v>
      </c>
      <c r="C1581" s="3" t="s">
        <v>2118</v>
      </c>
      <c r="D1581" s="3" t="s">
        <v>68</v>
      </c>
      <c r="E1581" s="3" t="s">
        <v>69</v>
      </c>
      <c r="F1581" s="3" t="s">
        <v>84</v>
      </c>
      <c r="G1581" s="3" t="s">
        <v>85</v>
      </c>
      <c r="H1581" s="4">
        <v>46291.072746874997</v>
      </c>
      <c r="I1581" s="4">
        <v>46291.176776504632</v>
      </c>
      <c r="J1581" s="3">
        <f>ROUND((I1581-H1581)*1440,0)</f>
        <v>150</v>
      </c>
      <c r="K1581" s="3" t="s">
        <v>434</v>
      </c>
      <c r="L1581" s="3" t="s">
        <v>36</v>
      </c>
      <c r="M1581" s="3" t="s">
        <v>36</v>
      </c>
      <c r="N1581" s="3" t="s">
        <v>45</v>
      </c>
      <c r="O1581" s="3" t="s">
        <v>435</v>
      </c>
    </row>
    <row r="1582" spans="1:15" hidden="1" x14ac:dyDescent="0.75">
      <c r="A1582" s="2">
        <v>46291</v>
      </c>
      <c r="B1582" s="3" t="s">
        <v>2137</v>
      </c>
      <c r="C1582" s="3" t="s">
        <v>2138</v>
      </c>
      <c r="D1582" s="3" t="s">
        <v>82</v>
      </c>
      <c r="E1582" s="3" t="s">
        <v>83</v>
      </c>
      <c r="F1582" s="3" t="s">
        <v>58</v>
      </c>
      <c r="G1582" s="3" t="s">
        <v>59</v>
      </c>
      <c r="H1582" s="4">
        <v>46291.079297569442</v>
      </c>
      <c r="I1582" s="4">
        <v>46291.169614930557</v>
      </c>
      <c r="J1582" s="3">
        <f>ROUND((I1582-H1582)*1440,0)</f>
        <v>130</v>
      </c>
      <c r="K1582" s="3" t="s">
        <v>2125</v>
      </c>
      <c r="L1582" s="3" t="s">
        <v>36</v>
      </c>
      <c r="M1582" s="3" t="s">
        <v>36</v>
      </c>
      <c r="N1582" s="3" t="s">
        <v>23</v>
      </c>
      <c r="O1582" s="3" t="s">
        <v>2126</v>
      </c>
    </row>
    <row r="1583" spans="1:15" hidden="1" x14ac:dyDescent="0.75">
      <c r="A1583" s="2">
        <v>46291</v>
      </c>
      <c r="B1583" s="3" t="s">
        <v>2343</v>
      </c>
      <c r="C1583" s="3" t="s">
        <v>2344</v>
      </c>
      <c r="D1583" s="3" t="s">
        <v>27</v>
      </c>
      <c r="E1583" s="3" t="s">
        <v>28</v>
      </c>
      <c r="F1583" s="3" t="s">
        <v>17</v>
      </c>
      <c r="G1583" s="3" t="s">
        <v>18</v>
      </c>
      <c r="H1583" s="4">
        <v>46291.086590046303</v>
      </c>
      <c r="I1583" s="4">
        <v>46291.127606481481</v>
      </c>
      <c r="J1583" s="3">
        <f>ROUND((I1583-H1583)*1440,0)</f>
        <v>59</v>
      </c>
      <c r="K1583" s="3" t="s">
        <v>1181</v>
      </c>
      <c r="L1583" s="3" t="s">
        <v>22</v>
      </c>
      <c r="M1583" s="3" t="s">
        <v>22</v>
      </c>
      <c r="N1583" s="3" t="s">
        <v>23</v>
      </c>
      <c r="O1583" s="3" t="s">
        <v>1182</v>
      </c>
    </row>
    <row r="1584" spans="1:15" hidden="1" x14ac:dyDescent="0.75">
      <c r="A1584" s="2">
        <v>46291</v>
      </c>
      <c r="B1584" s="3" t="s">
        <v>222</v>
      </c>
      <c r="C1584" s="3" t="s">
        <v>223</v>
      </c>
      <c r="D1584" s="3" t="s">
        <v>17</v>
      </c>
      <c r="E1584" s="3" t="s">
        <v>18</v>
      </c>
      <c r="F1584" s="3" t="s">
        <v>218</v>
      </c>
      <c r="G1584" s="3" t="s">
        <v>219</v>
      </c>
      <c r="H1584" s="4">
        <v>46291.088447800917</v>
      </c>
      <c r="I1584" s="4">
        <v>46291.137413657409</v>
      </c>
      <c r="J1584" s="3">
        <f>ROUND((I1584-H1584)*1440,0)</f>
        <v>71</v>
      </c>
      <c r="K1584" s="3" t="s">
        <v>160</v>
      </c>
      <c r="L1584" s="3" t="s">
        <v>77</v>
      </c>
      <c r="M1584" s="3" t="s">
        <v>78</v>
      </c>
      <c r="N1584" s="3" t="s">
        <v>23</v>
      </c>
      <c r="O1584" s="3" t="s">
        <v>161</v>
      </c>
    </row>
    <row r="1585" spans="1:15" hidden="1" x14ac:dyDescent="0.75">
      <c r="A1585" s="2">
        <v>46291</v>
      </c>
      <c r="B1585" s="3" t="s">
        <v>324</v>
      </c>
      <c r="C1585" s="3" t="s">
        <v>325</v>
      </c>
      <c r="D1585" s="3" t="s">
        <v>17</v>
      </c>
      <c r="E1585" s="3" t="s">
        <v>18</v>
      </c>
      <c r="F1585" s="3" t="s">
        <v>304</v>
      </c>
      <c r="G1585" s="3" t="s">
        <v>305</v>
      </c>
      <c r="H1585" s="4">
        <v>46291.090753009259</v>
      </c>
      <c r="I1585" s="4">
        <v>46291.313300578702</v>
      </c>
      <c r="J1585" s="3">
        <f>ROUND((I1585-H1585)*1440,0)</f>
        <v>320</v>
      </c>
      <c r="K1585" s="3" t="s">
        <v>567</v>
      </c>
      <c r="L1585" s="3" t="s">
        <v>22</v>
      </c>
      <c r="M1585" s="3" t="s">
        <v>22</v>
      </c>
      <c r="N1585" s="3" t="s">
        <v>23</v>
      </c>
      <c r="O1585" s="3" t="s">
        <v>568</v>
      </c>
    </row>
    <row r="1586" spans="1:15" hidden="1" x14ac:dyDescent="0.75">
      <c r="A1586" s="2">
        <v>46291</v>
      </c>
      <c r="B1586" s="3" t="s">
        <v>2151</v>
      </c>
      <c r="C1586" s="3" t="s">
        <v>2152</v>
      </c>
      <c r="D1586" s="3" t="s">
        <v>208</v>
      </c>
      <c r="E1586" s="3" t="s">
        <v>209</v>
      </c>
      <c r="F1586" s="3" t="s">
        <v>82</v>
      </c>
      <c r="G1586" s="3" t="s">
        <v>83</v>
      </c>
      <c r="H1586" s="4">
        <v>46291.09645902778</v>
      </c>
      <c r="I1586" s="4">
        <v>46291.18309027778</v>
      </c>
      <c r="J1586" s="3">
        <f>ROUND((I1586-H1586)*1440,0)</f>
        <v>125</v>
      </c>
      <c r="K1586" s="3" t="s">
        <v>1069</v>
      </c>
      <c r="L1586" s="3" t="s">
        <v>36</v>
      </c>
      <c r="M1586" s="3" t="s">
        <v>36</v>
      </c>
      <c r="N1586" s="3" t="s">
        <v>23</v>
      </c>
      <c r="O1586" s="3" t="s">
        <v>1070</v>
      </c>
    </row>
    <row r="1587" spans="1:15" hidden="1" x14ac:dyDescent="0.75">
      <c r="A1587" s="2">
        <v>46291</v>
      </c>
      <c r="B1587" s="3" t="s">
        <v>180</v>
      </c>
      <c r="C1587" s="3" t="s">
        <v>181</v>
      </c>
      <c r="D1587" s="3" t="s">
        <v>17</v>
      </c>
      <c r="E1587" s="3" t="s">
        <v>18</v>
      </c>
      <c r="F1587" s="3" t="s">
        <v>182</v>
      </c>
      <c r="G1587" s="3" t="s">
        <v>183</v>
      </c>
      <c r="H1587" s="4">
        <v>46291.10465011574</v>
      </c>
      <c r="I1587" s="4">
        <v>46291.173883101852</v>
      </c>
      <c r="J1587" s="3">
        <f>ROUND((I1587-H1587)*1440,0)</f>
        <v>100</v>
      </c>
      <c r="K1587" s="3" t="s">
        <v>296</v>
      </c>
      <c r="L1587" s="3" t="s">
        <v>77</v>
      </c>
      <c r="M1587" s="3" t="s">
        <v>78</v>
      </c>
      <c r="N1587" s="3" t="s">
        <v>23</v>
      </c>
      <c r="O1587" s="3" t="s">
        <v>297</v>
      </c>
    </row>
    <row r="1588" spans="1:15" hidden="1" x14ac:dyDescent="0.75">
      <c r="A1588" s="2">
        <v>46291</v>
      </c>
      <c r="B1588" s="3" t="s">
        <v>408</v>
      </c>
      <c r="C1588" s="3" t="s">
        <v>409</v>
      </c>
      <c r="D1588" s="3" t="s">
        <v>27</v>
      </c>
      <c r="E1588" s="3" t="s">
        <v>28</v>
      </c>
      <c r="F1588" s="3" t="s">
        <v>410</v>
      </c>
      <c r="G1588" s="3" t="s">
        <v>411</v>
      </c>
      <c r="H1588" s="4">
        <v>46291.106687962973</v>
      </c>
      <c r="I1588" s="4">
        <v>46291.371159027767</v>
      </c>
      <c r="J1588" s="3">
        <f>ROUND((I1588-H1588)*1440,0)</f>
        <v>381</v>
      </c>
      <c r="K1588" s="3" t="s">
        <v>412</v>
      </c>
      <c r="L1588" s="3" t="s">
        <v>43</v>
      </c>
      <c r="M1588" s="3" t="s">
        <v>44</v>
      </c>
      <c r="N1588" s="3" t="s">
        <v>23</v>
      </c>
      <c r="O1588" s="3" t="s">
        <v>413</v>
      </c>
    </row>
    <row r="1589" spans="1:15" hidden="1" x14ac:dyDescent="0.75">
      <c r="A1589" s="2">
        <v>46291</v>
      </c>
      <c r="B1589" s="3" t="s">
        <v>2141</v>
      </c>
      <c r="C1589" s="3" t="s">
        <v>2142</v>
      </c>
      <c r="D1589" s="3" t="s">
        <v>17</v>
      </c>
      <c r="E1589" s="3" t="s">
        <v>18</v>
      </c>
      <c r="F1589" s="3" t="s">
        <v>82</v>
      </c>
      <c r="G1589" s="3" t="s">
        <v>83</v>
      </c>
      <c r="H1589" s="4">
        <v>46291.106872569442</v>
      </c>
      <c r="I1589" s="4">
        <v>46291.194989351847</v>
      </c>
      <c r="J1589" s="3">
        <f>ROUND((I1589-H1589)*1440,0)</f>
        <v>127</v>
      </c>
      <c r="K1589" s="3" t="s">
        <v>747</v>
      </c>
      <c r="L1589" s="3" t="s">
        <v>22</v>
      </c>
      <c r="M1589" s="3" t="s">
        <v>22</v>
      </c>
      <c r="N1589" s="3" t="s">
        <v>23</v>
      </c>
      <c r="O1589" s="3" t="s">
        <v>748</v>
      </c>
    </row>
    <row r="1590" spans="1:15" hidden="1" x14ac:dyDescent="0.75">
      <c r="A1590" s="2">
        <v>46291</v>
      </c>
      <c r="B1590" s="3" t="s">
        <v>440</v>
      </c>
      <c r="C1590" s="3" t="s">
        <v>441</v>
      </c>
      <c r="D1590" s="3" t="s">
        <v>27</v>
      </c>
      <c r="E1590" s="3" t="s">
        <v>28</v>
      </c>
      <c r="F1590" s="3"/>
      <c r="G1590" s="3"/>
      <c r="H1590" s="4">
        <v>46291.11193402778</v>
      </c>
      <c r="I1590" s="4">
        <v>46291.201969560178</v>
      </c>
      <c r="J1590" s="3">
        <f>ROUND((I1590-H1590)*1440,0)</f>
        <v>130</v>
      </c>
      <c r="K1590" s="3" t="s">
        <v>969</v>
      </c>
      <c r="L1590" s="3" t="s">
        <v>36</v>
      </c>
      <c r="M1590" s="3" t="s">
        <v>36</v>
      </c>
      <c r="N1590" s="3" t="s">
        <v>443</v>
      </c>
      <c r="O1590" s="3" t="s">
        <v>970</v>
      </c>
    </row>
    <row r="1591" spans="1:15" hidden="1" x14ac:dyDescent="0.75">
      <c r="A1591" s="2">
        <v>46291</v>
      </c>
      <c r="B1591" s="3" t="s">
        <v>424</v>
      </c>
      <c r="C1591" s="3" t="s">
        <v>425</v>
      </c>
      <c r="D1591" s="3" t="s">
        <v>27</v>
      </c>
      <c r="E1591" s="3" t="s">
        <v>28</v>
      </c>
      <c r="F1591" s="3" t="s">
        <v>122</v>
      </c>
      <c r="G1591" s="3" t="s">
        <v>123</v>
      </c>
      <c r="H1591" s="4">
        <v>46291.117394791669</v>
      </c>
      <c r="I1591" s="4">
        <v>46291.35947210648</v>
      </c>
      <c r="J1591" s="3">
        <f>ROUND((I1591-H1591)*1440,0)</f>
        <v>349</v>
      </c>
      <c r="K1591" s="3" t="s">
        <v>326</v>
      </c>
      <c r="L1591" s="3" t="s">
        <v>22</v>
      </c>
      <c r="M1591" s="3" t="s">
        <v>22</v>
      </c>
      <c r="N1591" s="3" t="s">
        <v>23</v>
      </c>
      <c r="O1591" s="3" t="s">
        <v>327</v>
      </c>
    </row>
    <row r="1592" spans="1:15" hidden="1" x14ac:dyDescent="0.75">
      <c r="A1592" s="2">
        <v>46291</v>
      </c>
      <c r="B1592" s="3" t="s">
        <v>348</v>
      </c>
      <c r="C1592" s="3" t="s">
        <v>349</v>
      </c>
      <c r="D1592" s="3" t="s">
        <v>17</v>
      </c>
      <c r="E1592" s="3" t="s">
        <v>18</v>
      </c>
      <c r="F1592" s="3" t="s">
        <v>350</v>
      </c>
      <c r="G1592" s="3" t="s">
        <v>351</v>
      </c>
      <c r="H1592" s="4">
        <v>46291.119014004631</v>
      </c>
      <c r="I1592" s="4">
        <v>46291.359900810188</v>
      </c>
      <c r="J1592" s="3">
        <f>ROUND((I1592-H1592)*1440,0)</f>
        <v>347</v>
      </c>
      <c r="K1592" s="3" t="s">
        <v>455</v>
      </c>
      <c r="L1592" s="3" t="s">
        <v>43</v>
      </c>
      <c r="M1592" s="3" t="s">
        <v>44</v>
      </c>
      <c r="N1592" s="3" t="s">
        <v>23</v>
      </c>
      <c r="O1592" s="3" t="s">
        <v>456</v>
      </c>
    </row>
    <row r="1593" spans="1:15" hidden="1" x14ac:dyDescent="0.75">
      <c r="A1593" s="2">
        <v>46291</v>
      </c>
      <c r="B1593" s="3" t="s">
        <v>342</v>
      </c>
      <c r="C1593" s="3" t="s">
        <v>343</v>
      </c>
      <c r="D1593" s="3" t="s">
        <v>17</v>
      </c>
      <c r="E1593" s="3" t="s">
        <v>18</v>
      </c>
      <c r="F1593" s="3" t="s">
        <v>344</v>
      </c>
      <c r="G1593" s="3" t="s">
        <v>345</v>
      </c>
      <c r="H1593" s="4">
        <v>46291.119630324072</v>
      </c>
      <c r="I1593" s="4">
        <v>46291.385685300927</v>
      </c>
      <c r="J1593" s="3">
        <f>ROUND((I1593-H1593)*1440,0)</f>
        <v>383</v>
      </c>
      <c r="K1593" s="3" t="s">
        <v>352</v>
      </c>
      <c r="L1593" s="3" t="s">
        <v>43</v>
      </c>
      <c r="M1593" s="3" t="s">
        <v>44</v>
      </c>
      <c r="N1593" s="3" t="s">
        <v>23</v>
      </c>
      <c r="O1593" s="3" t="s">
        <v>353</v>
      </c>
    </row>
    <row r="1594" spans="1:15" hidden="1" x14ac:dyDescent="0.75">
      <c r="A1594" s="2">
        <v>46291</v>
      </c>
      <c r="B1594" s="3" t="s">
        <v>2039</v>
      </c>
      <c r="C1594" s="3" t="s">
        <v>2040</v>
      </c>
      <c r="D1594" s="3" t="s">
        <v>56</v>
      </c>
      <c r="E1594" s="3" t="s">
        <v>57</v>
      </c>
      <c r="F1594" s="3" t="s">
        <v>208</v>
      </c>
      <c r="G1594" s="3" t="s">
        <v>209</v>
      </c>
      <c r="H1594" s="4">
        <v>46291.121775231477</v>
      </c>
      <c r="I1594" s="4">
        <v>46291.251017939823</v>
      </c>
      <c r="J1594" s="3">
        <f>ROUND((I1594-H1594)*1440,0)</f>
        <v>186</v>
      </c>
      <c r="K1594" s="3" t="s">
        <v>252</v>
      </c>
      <c r="L1594" s="3" t="s">
        <v>36</v>
      </c>
      <c r="M1594" s="3" t="s">
        <v>36</v>
      </c>
      <c r="N1594" s="3" t="s">
        <v>23</v>
      </c>
      <c r="O1594" s="3" t="s">
        <v>253</v>
      </c>
    </row>
    <row r="1595" spans="1:15" hidden="1" x14ac:dyDescent="0.75">
      <c r="A1595" s="2">
        <v>46291</v>
      </c>
      <c r="B1595" s="3" t="s">
        <v>2157</v>
      </c>
      <c r="C1595" s="3" t="s">
        <v>2158</v>
      </c>
      <c r="D1595" s="3" t="s">
        <v>17</v>
      </c>
      <c r="E1595" s="3" t="s">
        <v>18</v>
      </c>
      <c r="F1595" s="3" t="s">
        <v>94</v>
      </c>
      <c r="G1595" s="3" t="s">
        <v>95</v>
      </c>
      <c r="H1595" s="4">
        <v>46291.129701967591</v>
      </c>
      <c r="I1595" s="4">
        <v>46291.17956921296</v>
      </c>
      <c r="J1595" s="3">
        <f>ROUND((I1595-H1595)*1440,0)</f>
        <v>72</v>
      </c>
      <c r="K1595" s="3" t="s">
        <v>1185</v>
      </c>
      <c r="L1595" s="3" t="s">
        <v>36</v>
      </c>
      <c r="M1595" s="3" t="s">
        <v>36</v>
      </c>
      <c r="N1595" s="3" t="s">
        <v>23</v>
      </c>
      <c r="O1595" s="3" t="s">
        <v>1186</v>
      </c>
    </row>
    <row r="1596" spans="1:15" hidden="1" x14ac:dyDescent="0.75">
      <c r="A1596" s="2">
        <v>46291</v>
      </c>
      <c r="B1596" s="3" t="s">
        <v>398</v>
      </c>
      <c r="C1596" s="3" t="s">
        <v>399</v>
      </c>
      <c r="D1596" s="3" t="s">
        <v>17</v>
      </c>
      <c r="E1596" s="3" t="s">
        <v>18</v>
      </c>
      <c r="F1596" s="3" t="s">
        <v>400</v>
      </c>
      <c r="G1596" s="3" t="s">
        <v>401</v>
      </c>
      <c r="H1596" s="4">
        <v>46291.13113425926</v>
      </c>
      <c r="I1596" s="4">
        <v>46291.163979745368</v>
      </c>
      <c r="J1596" s="3">
        <f>ROUND((I1596-H1596)*1440,0)</f>
        <v>47</v>
      </c>
      <c r="K1596" s="3" t="s">
        <v>118</v>
      </c>
      <c r="L1596" s="3" t="s">
        <v>36</v>
      </c>
      <c r="M1596" s="3" t="s">
        <v>36</v>
      </c>
      <c r="N1596" s="3" t="s">
        <v>23</v>
      </c>
      <c r="O1596" s="3" t="s">
        <v>119</v>
      </c>
    </row>
    <row r="1597" spans="1:15" hidden="1" x14ac:dyDescent="0.75">
      <c r="A1597" s="2">
        <v>46291</v>
      </c>
      <c r="B1597" s="3" t="s">
        <v>378</v>
      </c>
      <c r="C1597" s="3" t="s">
        <v>379</v>
      </c>
      <c r="D1597" s="3" t="s">
        <v>17</v>
      </c>
      <c r="E1597" s="3" t="s">
        <v>18</v>
      </c>
      <c r="F1597" s="3" t="s">
        <v>148</v>
      </c>
      <c r="G1597" s="3" t="s">
        <v>149</v>
      </c>
      <c r="H1597" s="4">
        <v>46291.131825115743</v>
      </c>
      <c r="I1597" s="4">
        <v>46291.186680208331</v>
      </c>
      <c r="J1597" s="3">
        <f>ROUND((I1597-H1597)*1440,0)</f>
        <v>79</v>
      </c>
      <c r="K1597" s="3" t="s">
        <v>112</v>
      </c>
      <c r="L1597" s="3" t="s">
        <v>36</v>
      </c>
      <c r="M1597" s="3" t="s">
        <v>36</v>
      </c>
      <c r="N1597" s="3" t="s">
        <v>23</v>
      </c>
      <c r="O1597" s="3" t="s">
        <v>113</v>
      </c>
    </row>
    <row r="1598" spans="1:15" hidden="1" x14ac:dyDescent="0.75">
      <c r="A1598" s="2">
        <v>46291</v>
      </c>
      <c r="B1598" s="3" t="s">
        <v>2037</v>
      </c>
      <c r="C1598" s="3" t="s">
        <v>2038</v>
      </c>
      <c r="D1598" s="3" t="s">
        <v>68</v>
      </c>
      <c r="E1598" s="3" t="s">
        <v>69</v>
      </c>
      <c r="F1598" s="3" t="s">
        <v>208</v>
      </c>
      <c r="G1598" s="3" t="s">
        <v>209</v>
      </c>
      <c r="H1598" s="4">
        <v>46291.13194259259</v>
      </c>
      <c r="I1598" s="4">
        <v>46291.267438310177</v>
      </c>
      <c r="J1598" s="3">
        <f>ROUND((I1598-H1598)*1440,0)</f>
        <v>195</v>
      </c>
      <c r="K1598" s="3" t="s">
        <v>35</v>
      </c>
      <c r="L1598" s="3" t="s">
        <v>36</v>
      </c>
      <c r="M1598" s="3" t="s">
        <v>36</v>
      </c>
      <c r="N1598" s="3" t="s">
        <v>23</v>
      </c>
      <c r="O1598" s="3" t="s">
        <v>37</v>
      </c>
    </row>
    <row r="1599" spans="1:15" hidden="1" x14ac:dyDescent="0.75">
      <c r="A1599" s="2">
        <v>46291</v>
      </c>
      <c r="B1599" s="3" t="s">
        <v>2071</v>
      </c>
      <c r="C1599" s="3" t="s">
        <v>2072</v>
      </c>
      <c r="D1599" s="3" t="s">
        <v>82</v>
      </c>
      <c r="E1599" s="3" t="s">
        <v>83</v>
      </c>
      <c r="F1599" s="3" t="s">
        <v>208</v>
      </c>
      <c r="G1599" s="3" t="s">
        <v>209</v>
      </c>
      <c r="H1599" s="4">
        <v>46291.145121759262</v>
      </c>
      <c r="I1599" s="4">
        <v>46291.270134837963</v>
      </c>
      <c r="J1599" s="3">
        <f>ROUND((I1599-H1599)*1440,0)</f>
        <v>180</v>
      </c>
      <c r="K1599" s="3" t="s">
        <v>1735</v>
      </c>
      <c r="L1599" s="3" t="s">
        <v>77</v>
      </c>
      <c r="M1599" s="3" t="s">
        <v>78</v>
      </c>
      <c r="N1599" s="3" t="s">
        <v>23</v>
      </c>
      <c r="O1599" s="3" t="s">
        <v>1736</v>
      </c>
    </row>
    <row r="1600" spans="1:15" hidden="1" x14ac:dyDescent="0.75">
      <c r="A1600" s="2">
        <v>46291</v>
      </c>
      <c r="B1600" s="3" t="s">
        <v>453</v>
      </c>
      <c r="C1600" s="3" t="s">
        <v>454</v>
      </c>
      <c r="D1600" s="3" t="s">
        <v>27</v>
      </c>
      <c r="E1600" s="3" t="s">
        <v>28</v>
      </c>
      <c r="F1600" s="3" t="s">
        <v>360</v>
      </c>
      <c r="G1600" s="3" t="s">
        <v>361</v>
      </c>
      <c r="H1600" s="4">
        <v>46291.14983923611</v>
      </c>
      <c r="I1600" s="4">
        <v>46291.385684375004</v>
      </c>
      <c r="J1600" s="3">
        <f>ROUND((I1600-H1600)*1440,0)</f>
        <v>340</v>
      </c>
      <c r="K1600" s="3" t="s">
        <v>533</v>
      </c>
      <c r="L1600" s="3" t="s">
        <v>43</v>
      </c>
      <c r="M1600" s="3" t="s">
        <v>44</v>
      </c>
      <c r="N1600" s="3" t="s">
        <v>23</v>
      </c>
      <c r="O1600" s="3" t="s">
        <v>534</v>
      </c>
    </row>
    <row r="1601" spans="1:15" hidden="1" x14ac:dyDescent="0.75">
      <c r="A1601" s="2">
        <v>46291</v>
      </c>
      <c r="B1601" s="3" t="s">
        <v>428</v>
      </c>
      <c r="C1601" s="3" t="s">
        <v>429</v>
      </c>
      <c r="D1601" s="3" t="s">
        <v>17</v>
      </c>
      <c r="E1601" s="3" t="s">
        <v>18</v>
      </c>
      <c r="F1601" s="3" t="s">
        <v>244</v>
      </c>
      <c r="G1601" s="3" t="s">
        <v>245</v>
      </c>
      <c r="H1601" s="4">
        <v>46291.152680439824</v>
      </c>
      <c r="I1601" s="4">
        <v>46291.169294097221</v>
      </c>
      <c r="J1601" s="3">
        <f>ROUND((I1601-H1601)*1440,0)</f>
        <v>24</v>
      </c>
      <c r="K1601" s="3" t="s">
        <v>887</v>
      </c>
      <c r="L1601" s="3" t="s">
        <v>36</v>
      </c>
      <c r="M1601" s="3" t="s">
        <v>36</v>
      </c>
      <c r="N1601" s="3" t="s">
        <v>45</v>
      </c>
      <c r="O1601" s="3" t="s">
        <v>888</v>
      </c>
    </row>
    <row r="1602" spans="1:15" hidden="1" x14ac:dyDescent="0.75">
      <c r="A1602" s="2">
        <v>46291</v>
      </c>
      <c r="B1602" s="3" t="s">
        <v>206</v>
      </c>
      <c r="C1602" s="3" t="s">
        <v>207</v>
      </c>
      <c r="D1602" s="3" t="s">
        <v>56</v>
      </c>
      <c r="E1602" s="3" t="s">
        <v>57</v>
      </c>
      <c r="F1602" s="3" t="s">
        <v>208</v>
      </c>
      <c r="G1602" s="3" t="s">
        <v>209</v>
      </c>
      <c r="H1602" s="4">
        <v>46291.153067939813</v>
      </c>
      <c r="I1602" s="4">
        <v>46291.274496759259</v>
      </c>
      <c r="J1602" s="3">
        <f>ROUND((I1602-H1602)*1440,0)</f>
        <v>175</v>
      </c>
      <c r="K1602" s="3" t="s">
        <v>310</v>
      </c>
      <c r="L1602" s="3" t="s">
        <v>36</v>
      </c>
      <c r="M1602" s="3" t="s">
        <v>36</v>
      </c>
      <c r="N1602" s="3" t="s">
        <v>23</v>
      </c>
      <c r="O1602" s="3" t="s">
        <v>311</v>
      </c>
    </row>
    <row r="1603" spans="1:15" hidden="1" x14ac:dyDescent="0.75">
      <c r="A1603" s="2">
        <v>46291</v>
      </c>
      <c r="B1603" s="3" t="s">
        <v>358</v>
      </c>
      <c r="C1603" s="3" t="s">
        <v>359</v>
      </c>
      <c r="D1603" s="3" t="s">
        <v>17</v>
      </c>
      <c r="E1603" s="3" t="s">
        <v>18</v>
      </c>
      <c r="F1603" s="3" t="s">
        <v>360</v>
      </c>
      <c r="G1603" s="3" t="s">
        <v>361</v>
      </c>
      <c r="H1603" s="4">
        <v>46291.153400347219</v>
      </c>
      <c r="I1603" s="4">
        <v>46291.404206481478</v>
      </c>
      <c r="J1603" s="3">
        <f>ROUND((I1603-H1603)*1440,0)</f>
        <v>361</v>
      </c>
      <c r="K1603" s="3" t="s">
        <v>1831</v>
      </c>
      <c r="L1603" s="3" t="s">
        <v>43</v>
      </c>
      <c r="M1603" s="3" t="s">
        <v>44</v>
      </c>
      <c r="N1603" s="3" t="s">
        <v>23</v>
      </c>
      <c r="O1603" s="3" t="s">
        <v>1832</v>
      </c>
    </row>
    <row r="1604" spans="1:15" hidden="1" x14ac:dyDescent="0.75">
      <c r="A1604" s="2">
        <v>46291</v>
      </c>
      <c r="B1604" s="3" t="s">
        <v>1951</v>
      </c>
      <c r="C1604" s="3" t="s">
        <v>1952</v>
      </c>
      <c r="D1604" s="3" t="s">
        <v>737</v>
      </c>
      <c r="E1604" s="3" t="s">
        <v>738</v>
      </c>
      <c r="F1604" s="3" t="s">
        <v>17</v>
      </c>
      <c r="G1604" s="3" t="s">
        <v>18</v>
      </c>
      <c r="H1604" s="4">
        <v>46291.156876157409</v>
      </c>
      <c r="I1604" s="4">
        <v>46291.201678472222</v>
      </c>
      <c r="J1604" s="3">
        <f>ROUND((I1604-H1604)*1440,0)</f>
        <v>65</v>
      </c>
      <c r="K1604" s="3" t="s">
        <v>430</v>
      </c>
      <c r="L1604" s="3" t="s">
        <v>36</v>
      </c>
      <c r="M1604" s="3" t="s">
        <v>36</v>
      </c>
      <c r="N1604" s="3" t="s">
        <v>23</v>
      </c>
      <c r="O1604" s="3" t="s">
        <v>431</v>
      </c>
    </row>
    <row r="1605" spans="1:15" hidden="1" x14ac:dyDescent="0.75">
      <c r="A1605" s="2">
        <v>46291</v>
      </c>
      <c r="B1605" s="3" t="s">
        <v>2173</v>
      </c>
      <c r="C1605" s="3" t="s">
        <v>2174</v>
      </c>
      <c r="D1605" s="3" t="s">
        <v>264</v>
      </c>
      <c r="E1605" s="3" t="s">
        <v>265</v>
      </c>
      <c r="F1605" s="3" t="s">
        <v>27</v>
      </c>
      <c r="G1605" s="3" t="s">
        <v>28</v>
      </c>
      <c r="H1605" s="4">
        <v>46291.157648148153</v>
      </c>
      <c r="I1605" s="4">
        <v>46291.355219675926</v>
      </c>
      <c r="J1605" s="3">
        <f>ROUND((I1605-H1605)*1440,0)</f>
        <v>285</v>
      </c>
      <c r="K1605" s="3" t="s">
        <v>965</v>
      </c>
      <c r="L1605" s="3" t="s">
        <v>22</v>
      </c>
      <c r="M1605" s="3" t="s">
        <v>22</v>
      </c>
      <c r="N1605" s="3" t="s">
        <v>23</v>
      </c>
      <c r="O1605" s="3" t="s">
        <v>966</v>
      </c>
    </row>
    <row r="1606" spans="1:15" hidden="1" x14ac:dyDescent="0.75">
      <c r="A1606" s="2">
        <v>46291</v>
      </c>
      <c r="B1606" s="3" t="s">
        <v>386</v>
      </c>
      <c r="C1606" s="3" t="s">
        <v>387</v>
      </c>
      <c r="D1606" s="3" t="s">
        <v>17</v>
      </c>
      <c r="E1606" s="3" t="s">
        <v>18</v>
      </c>
      <c r="F1606" s="3" t="s">
        <v>304</v>
      </c>
      <c r="G1606" s="3" t="s">
        <v>305</v>
      </c>
      <c r="H1606" s="4">
        <v>46291.158466435183</v>
      </c>
      <c r="I1606" s="4">
        <v>46291.380237037039</v>
      </c>
      <c r="J1606" s="3">
        <f>ROUND((I1606-H1606)*1440,0)</f>
        <v>319</v>
      </c>
      <c r="K1606" s="3" t="s">
        <v>469</v>
      </c>
      <c r="L1606" s="3" t="s">
        <v>22</v>
      </c>
      <c r="M1606" s="3" t="s">
        <v>22</v>
      </c>
      <c r="N1606" s="3" t="s">
        <v>23</v>
      </c>
      <c r="O1606" s="3" t="s">
        <v>470</v>
      </c>
    </row>
    <row r="1607" spans="1:15" hidden="1" x14ac:dyDescent="0.75">
      <c r="A1607" s="2">
        <v>46291</v>
      </c>
      <c r="B1607" s="3" t="s">
        <v>2103</v>
      </c>
      <c r="C1607" s="3" t="s">
        <v>2104</v>
      </c>
      <c r="D1607" s="3" t="s">
        <v>158</v>
      </c>
      <c r="E1607" s="3" t="s">
        <v>159</v>
      </c>
      <c r="F1607" s="3" t="s">
        <v>27</v>
      </c>
      <c r="G1607" s="3" t="s">
        <v>28</v>
      </c>
      <c r="H1607" s="4">
        <v>46291.15900162037</v>
      </c>
      <c r="I1607" s="4">
        <v>46291.20459548611</v>
      </c>
      <c r="J1607" s="3">
        <f>ROUND((I1607-H1607)*1440,0)</f>
        <v>66</v>
      </c>
      <c r="K1607" s="3" t="s">
        <v>1229</v>
      </c>
      <c r="L1607" s="3" t="s">
        <v>77</v>
      </c>
      <c r="M1607" s="3" t="s">
        <v>78</v>
      </c>
      <c r="N1607" s="3" t="s">
        <v>23</v>
      </c>
      <c r="O1607" s="3" t="s">
        <v>1230</v>
      </c>
    </row>
    <row r="1608" spans="1:15" hidden="1" x14ac:dyDescent="0.75">
      <c r="A1608" s="2">
        <v>46291</v>
      </c>
      <c r="B1608" s="3" t="s">
        <v>457</v>
      </c>
      <c r="C1608" s="3" t="s">
        <v>458</v>
      </c>
      <c r="D1608" s="3" t="s">
        <v>459</v>
      </c>
      <c r="E1608" s="3" t="s">
        <v>460</v>
      </c>
      <c r="F1608" s="3" t="s">
        <v>27</v>
      </c>
      <c r="G1608" s="3" t="s">
        <v>28</v>
      </c>
      <c r="H1608" s="4">
        <v>46291.160076967593</v>
      </c>
      <c r="I1608" s="4">
        <v>46291.375904745371</v>
      </c>
      <c r="J1608" s="3">
        <f>ROUND((I1608-H1608)*1440,0)</f>
        <v>311</v>
      </c>
      <c r="K1608" s="3" t="s">
        <v>519</v>
      </c>
      <c r="L1608" s="3" t="s">
        <v>22</v>
      </c>
      <c r="M1608" s="3" t="s">
        <v>22</v>
      </c>
      <c r="N1608" s="3" t="s">
        <v>23</v>
      </c>
      <c r="O1608" s="3" t="s">
        <v>520</v>
      </c>
    </row>
    <row r="1609" spans="1:15" hidden="1" x14ac:dyDescent="0.75">
      <c r="A1609" s="2">
        <v>46291</v>
      </c>
      <c r="B1609" s="3" t="s">
        <v>1753</v>
      </c>
      <c r="C1609" s="3" t="s">
        <v>1754</v>
      </c>
      <c r="D1609" s="3" t="s">
        <v>1871</v>
      </c>
      <c r="E1609" s="3" t="s">
        <v>1872</v>
      </c>
      <c r="F1609" s="3" t="s">
        <v>17</v>
      </c>
      <c r="G1609" s="3" t="s">
        <v>18</v>
      </c>
      <c r="H1609" s="4">
        <v>46291.160166203706</v>
      </c>
      <c r="I1609" s="4">
        <v>46291.192629282406</v>
      </c>
      <c r="J1609" s="3">
        <f>ROUND((I1609-H1609)*1440,0)</f>
        <v>47</v>
      </c>
      <c r="K1609" s="3" t="s">
        <v>1203</v>
      </c>
      <c r="L1609" s="3" t="s">
        <v>22</v>
      </c>
      <c r="M1609" s="3" t="s">
        <v>22</v>
      </c>
      <c r="N1609" s="3" t="s">
        <v>23</v>
      </c>
      <c r="O1609" s="3" t="s">
        <v>1204</v>
      </c>
    </row>
    <row r="1610" spans="1:15" hidden="1" x14ac:dyDescent="0.75">
      <c r="A1610" s="2">
        <v>46291</v>
      </c>
      <c r="B1610" s="3" t="s">
        <v>479</v>
      </c>
      <c r="C1610" s="3" t="s">
        <v>480</v>
      </c>
      <c r="D1610" s="3" t="s">
        <v>304</v>
      </c>
      <c r="E1610" s="3" t="s">
        <v>305</v>
      </c>
      <c r="F1610" s="3" t="s">
        <v>58</v>
      </c>
      <c r="G1610" s="3" t="s">
        <v>59</v>
      </c>
      <c r="H1610" s="4">
        <v>46291.162276736111</v>
      </c>
      <c r="I1610" s="4">
        <v>46291.361936689813</v>
      </c>
      <c r="J1610" s="3">
        <f>ROUND((I1610-H1610)*1440,0)</f>
        <v>288</v>
      </c>
      <c r="K1610" s="3" t="s">
        <v>523</v>
      </c>
      <c r="L1610" s="3" t="s">
        <v>22</v>
      </c>
      <c r="M1610" s="3" t="s">
        <v>22</v>
      </c>
      <c r="N1610" s="3" t="s">
        <v>23</v>
      </c>
      <c r="O1610" s="3" t="s">
        <v>524</v>
      </c>
    </row>
    <row r="1611" spans="1:15" hidden="1" x14ac:dyDescent="0.75">
      <c r="A1611" s="2">
        <v>46291</v>
      </c>
      <c r="B1611" s="3" t="s">
        <v>2331</v>
      </c>
      <c r="C1611" s="3" t="s">
        <v>2332</v>
      </c>
      <c r="D1611" s="3" t="s">
        <v>244</v>
      </c>
      <c r="E1611" s="3" t="s">
        <v>245</v>
      </c>
      <c r="F1611" s="3" t="s">
        <v>17</v>
      </c>
      <c r="G1611" s="3" t="s">
        <v>18</v>
      </c>
      <c r="H1611" s="4">
        <v>46291.163071064817</v>
      </c>
      <c r="I1611" s="4">
        <v>46291.188556597219</v>
      </c>
      <c r="J1611" s="3">
        <f>ROUND((I1611-H1611)*1440,0)</f>
        <v>37</v>
      </c>
      <c r="K1611" s="3" t="s">
        <v>1317</v>
      </c>
      <c r="L1611" s="3" t="s">
        <v>36</v>
      </c>
      <c r="M1611" s="3" t="s">
        <v>36</v>
      </c>
      <c r="N1611" s="3" t="s">
        <v>23</v>
      </c>
      <c r="O1611" s="3" t="s">
        <v>1318</v>
      </c>
    </row>
    <row r="1612" spans="1:15" hidden="1" x14ac:dyDescent="0.75">
      <c r="A1612" s="2">
        <v>46291</v>
      </c>
      <c r="B1612" s="3" t="s">
        <v>467</v>
      </c>
      <c r="C1612" s="3" t="s">
        <v>468</v>
      </c>
      <c r="D1612" s="3" t="s">
        <v>122</v>
      </c>
      <c r="E1612" s="3" t="s">
        <v>123</v>
      </c>
      <c r="F1612" s="3" t="s">
        <v>17</v>
      </c>
      <c r="G1612" s="3" t="s">
        <v>18</v>
      </c>
      <c r="H1612" s="4">
        <v>46291.165169907406</v>
      </c>
      <c r="I1612" s="4">
        <v>46291.375146180559</v>
      </c>
      <c r="J1612" s="3">
        <f>ROUND((I1612-H1612)*1440,0)</f>
        <v>302</v>
      </c>
      <c r="K1612" s="3" t="s">
        <v>481</v>
      </c>
      <c r="L1612" s="3" t="s">
        <v>22</v>
      </c>
      <c r="M1612" s="3" t="s">
        <v>22</v>
      </c>
      <c r="N1612" s="3" t="s">
        <v>23</v>
      </c>
      <c r="O1612" s="3" t="s">
        <v>482</v>
      </c>
    </row>
    <row r="1613" spans="1:15" hidden="1" x14ac:dyDescent="0.75">
      <c r="A1613" s="2">
        <v>46291</v>
      </c>
      <c r="B1613" s="3" t="s">
        <v>471</v>
      </c>
      <c r="C1613" s="3" t="s">
        <v>472</v>
      </c>
      <c r="D1613" s="3" t="s">
        <v>304</v>
      </c>
      <c r="E1613" s="3" t="s">
        <v>305</v>
      </c>
      <c r="F1613" s="3" t="s">
        <v>27</v>
      </c>
      <c r="G1613" s="3" t="s">
        <v>28</v>
      </c>
      <c r="H1613" s="4">
        <v>46291.16595451389</v>
      </c>
      <c r="I1613" s="4">
        <v>46291.380004282408</v>
      </c>
      <c r="J1613" s="3">
        <f>ROUND((I1613-H1613)*1440,0)</f>
        <v>308</v>
      </c>
      <c r="K1613" s="3" t="s">
        <v>769</v>
      </c>
      <c r="L1613" s="3" t="s">
        <v>43</v>
      </c>
      <c r="M1613" s="3" t="s">
        <v>44</v>
      </c>
      <c r="N1613" s="3" t="s">
        <v>23</v>
      </c>
      <c r="O1613" s="3" t="s">
        <v>770</v>
      </c>
    </row>
    <row r="1614" spans="1:15" hidden="1" x14ac:dyDescent="0.75">
      <c r="A1614" s="2">
        <v>46291</v>
      </c>
      <c r="B1614" s="3" t="s">
        <v>503</v>
      </c>
      <c r="C1614" s="3" t="s">
        <v>504</v>
      </c>
      <c r="D1614" s="3" t="s">
        <v>304</v>
      </c>
      <c r="E1614" s="3" t="s">
        <v>305</v>
      </c>
      <c r="F1614" s="3" t="s">
        <v>17</v>
      </c>
      <c r="G1614" s="3" t="s">
        <v>18</v>
      </c>
      <c r="H1614" s="4">
        <v>46291.170886574073</v>
      </c>
      <c r="I1614" s="4">
        <v>46291.381467245366</v>
      </c>
      <c r="J1614" s="3">
        <f>ROUND((I1614-H1614)*1440,0)</f>
        <v>303</v>
      </c>
      <c r="K1614" s="3" t="s">
        <v>473</v>
      </c>
      <c r="L1614" s="3" t="s">
        <v>43</v>
      </c>
      <c r="M1614" s="3" t="s">
        <v>44</v>
      </c>
      <c r="N1614" s="3" t="s">
        <v>23</v>
      </c>
      <c r="O1614" s="3" t="s">
        <v>474</v>
      </c>
    </row>
    <row r="1615" spans="1:15" hidden="1" x14ac:dyDescent="0.75">
      <c r="A1615" s="2">
        <v>46291</v>
      </c>
      <c r="B1615" s="3" t="s">
        <v>487</v>
      </c>
      <c r="C1615" s="3" t="s">
        <v>488</v>
      </c>
      <c r="D1615" s="3" t="s">
        <v>58</v>
      </c>
      <c r="E1615" s="3" t="s">
        <v>59</v>
      </c>
      <c r="F1615" s="3"/>
      <c r="G1615" s="3"/>
      <c r="H1615" s="4">
        <v>46291.174620717589</v>
      </c>
      <c r="I1615" s="4">
        <v>46291.227071412039</v>
      </c>
      <c r="J1615" s="3">
        <f>ROUND((I1615-H1615)*1440,0)</f>
        <v>76</v>
      </c>
      <c r="K1615" s="3" t="s">
        <v>1343</v>
      </c>
      <c r="L1615" s="3" t="s">
        <v>36</v>
      </c>
      <c r="M1615" s="3" t="s">
        <v>36</v>
      </c>
      <c r="N1615" s="3" t="s">
        <v>443</v>
      </c>
      <c r="O1615" s="3" t="s">
        <v>1344</v>
      </c>
    </row>
    <row r="1616" spans="1:15" hidden="1" x14ac:dyDescent="0.75">
      <c r="A1616" s="2">
        <v>46291</v>
      </c>
      <c r="B1616" s="3" t="s">
        <v>420</v>
      </c>
      <c r="C1616" s="3" t="s">
        <v>421</v>
      </c>
      <c r="D1616" s="3" t="s">
        <v>17</v>
      </c>
      <c r="E1616" s="3" t="s">
        <v>18</v>
      </c>
      <c r="F1616" s="3" t="s">
        <v>234</v>
      </c>
      <c r="G1616" s="3" t="s">
        <v>235</v>
      </c>
      <c r="H1616" s="4">
        <v>46291.177423726847</v>
      </c>
      <c r="I1616" s="4">
        <v>46291.203905208327</v>
      </c>
      <c r="J1616" s="3">
        <f>ROUND((I1616-H1616)*1440,0)</f>
        <v>38</v>
      </c>
      <c r="K1616" s="3" t="s">
        <v>931</v>
      </c>
      <c r="L1616" s="3" t="s">
        <v>77</v>
      </c>
      <c r="M1616" s="3" t="s">
        <v>78</v>
      </c>
      <c r="N1616" s="3" t="s">
        <v>23</v>
      </c>
      <c r="O1616" s="3" t="s">
        <v>932</v>
      </c>
    </row>
    <row r="1617" spans="1:15" hidden="1" x14ac:dyDescent="0.75">
      <c r="A1617" s="2">
        <v>46291</v>
      </c>
      <c r="B1617" s="3" t="s">
        <v>2165</v>
      </c>
      <c r="C1617" s="3" t="s">
        <v>2166</v>
      </c>
      <c r="D1617" s="3" t="s">
        <v>17</v>
      </c>
      <c r="E1617" s="3" t="s">
        <v>18</v>
      </c>
      <c r="F1617" s="3" t="s">
        <v>737</v>
      </c>
      <c r="G1617" s="3" t="s">
        <v>738</v>
      </c>
      <c r="H1617" s="4">
        <v>46291.178155671303</v>
      </c>
      <c r="I1617" s="4">
        <v>46291.213281828706</v>
      </c>
      <c r="J1617" s="3">
        <f>ROUND((I1617-H1617)*1440,0)</f>
        <v>51</v>
      </c>
      <c r="K1617" s="3" t="s">
        <v>1517</v>
      </c>
      <c r="L1617" s="3" t="s">
        <v>77</v>
      </c>
      <c r="M1617" s="3" t="s">
        <v>78</v>
      </c>
      <c r="N1617" s="3" t="s">
        <v>45</v>
      </c>
      <c r="O1617" s="3" t="s">
        <v>1518</v>
      </c>
    </row>
    <row r="1618" spans="1:15" hidden="1" x14ac:dyDescent="0.75">
      <c r="A1618" s="2">
        <v>46291</v>
      </c>
      <c r="B1618" s="3" t="s">
        <v>394</v>
      </c>
      <c r="C1618" s="3" t="s">
        <v>395</v>
      </c>
      <c r="D1618" s="3" t="s">
        <v>17</v>
      </c>
      <c r="E1618" s="3" t="s">
        <v>18</v>
      </c>
      <c r="F1618" s="3" t="s">
        <v>228</v>
      </c>
      <c r="G1618" s="3" t="s">
        <v>229</v>
      </c>
      <c r="H1618" s="4">
        <v>46291.181602314813</v>
      </c>
      <c r="I1618" s="4">
        <v>46291.221381481482</v>
      </c>
      <c r="J1618" s="3">
        <f>ROUND((I1618-H1618)*1440,0)</f>
        <v>57</v>
      </c>
      <c r="K1618" s="3" t="s">
        <v>184</v>
      </c>
      <c r="L1618" s="3" t="s">
        <v>77</v>
      </c>
      <c r="M1618" s="3" t="s">
        <v>78</v>
      </c>
      <c r="N1618" s="3" t="s">
        <v>23</v>
      </c>
      <c r="O1618" s="3" t="s">
        <v>185</v>
      </c>
    </row>
    <row r="1619" spans="1:15" hidden="1" x14ac:dyDescent="0.75">
      <c r="A1619" s="2">
        <v>46291</v>
      </c>
      <c r="B1619" s="3" t="s">
        <v>2163</v>
      </c>
      <c r="C1619" s="3" t="s">
        <v>2164</v>
      </c>
      <c r="D1619" s="3" t="s">
        <v>17</v>
      </c>
      <c r="E1619" s="3" t="s">
        <v>18</v>
      </c>
      <c r="F1619" s="3" t="s">
        <v>264</v>
      </c>
      <c r="G1619" s="3" t="s">
        <v>265</v>
      </c>
      <c r="H1619" s="4">
        <v>46291.183102199073</v>
      </c>
      <c r="I1619" s="4">
        <v>46291.380054976849</v>
      </c>
      <c r="J1619" s="3">
        <f>ROUND((I1619-H1619)*1440,0)</f>
        <v>284</v>
      </c>
      <c r="K1619" s="3" t="s">
        <v>1181</v>
      </c>
      <c r="L1619" s="3" t="s">
        <v>22</v>
      </c>
      <c r="M1619" s="3" t="s">
        <v>22</v>
      </c>
      <c r="N1619" s="3" t="s">
        <v>23</v>
      </c>
      <c r="O1619" s="3" t="s">
        <v>1182</v>
      </c>
    </row>
    <row r="1620" spans="1:15" hidden="1" x14ac:dyDescent="0.75">
      <c r="A1620" s="2">
        <v>46291</v>
      </c>
      <c r="B1620" s="3" t="s">
        <v>414</v>
      </c>
      <c r="C1620" s="3" t="s">
        <v>415</v>
      </c>
      <c r="D1620" s="3" t="s">
        <v>17</v>
      </c>
      <c r="E1620" s="3" t="s">
        <v>18</v>
      </c>
      <c r="F1620" s="3" t="s">
        <v>416</v>
      </c>
      <c r="G1620" s="3" t="s">
        <v>417</v>
      </c>
      <c r="H1620" s="4">
        <v>46291.187047685176</v>
      </c>
      <c r="I1620" s="4">
        <v>46291.220003587972</v>
      </c>
      <c r="J1620" s="3">
        <f>ROUND((I1620-H1620)*1440,0)</f>
        <v>47</v>
      </c>
      <c r="K1620" s="3" t="s">
        <v>961</v>
      </c>
      <c r="L1620" s="3" t="s">
        <v>36</v>
      </c>
      <c r="M1620" s="3" t="s">
        <v>36</v>
      </c>
      <c r="N1620" s="3" t="s">
        <v>23</v>
      </c>
      <c r="O1620" s="3" t="s">
        <v>962</v>
      </c>
    </row>
    <row r="1621" spans="1:15" hidden="1" x14ac:dyDescent="0.75">
      <c r="A1621" s="2">
        <v>46291</v>
      </c>
      <c r="B1621" s="3" t="s">
        <v>549</v>
      </c>
      <c r="C1621" s="3" t="s">
        <v>550</v>
      </c>
      <c r="D1621" s="3" t="s">
        <v>551</v>
      </c>
      <c r="E1621" s="3" t="s">
        <v>552</v>
      </c>
      <c r="F1621" s="3" t="s">
        <v>17</v>
      </c>
      <c r="G1621" s="3" t="s">
        <v>18</v>
      </c>
      <c r="H1621" s="4">
        <v>46291.187470717603</v>
      </c>
      <c r="I1621" s="4">
        <v>46291.394187731479</v>
      </c>
      <c r="J1621" s="3">
        <f>ROUND((I1621-H1621)*1440,0)</f>
        <v>298</v>
      </c>
      <c r="K1621" s="3" t="s">
        <v>1177</v>
      </c>
      <c r="L1621" s="3" t="s">
        <v>77</v>
      </c>
      <c r="M1621" s="3" t="s">
        <v>78</v>
      </c>
      <c r="N1621" s="3" t="s">
        <v>23</v>
      </c>
      <c r="O1621" s="3" t="s">
        <v>1178</v>
      </c>
    </row>
    <row r="1622" spans="1:15" hidden="1" x14ac:dyDescent="0.75">
      <c r="A1622" s="2">
        <v>46291</v>
      </c>
      <c r="B1622" s="3" t="s">
        <v>483</v>
      </c>
      <c r="C1622" s="3" t="s">
        <v>484</v>
      </c>
      <c r="D1622" s="3"/>
      <c r="E1622" s="3"/>
      <c r="F1622" s="3" t="s">
        <v>17</v>
      </c>
      <c r="G1622" s="3" t="s">
        <v>18</v>
      </c>
      <c r="H1622" s="4">
        <v>46291.194456018522</v>
      </c>
      <c r="I1622" s="4">
        <v>46291.251176736107</v>
      </c>
      <c r="J1622" s="3">
        <f>ROUND((I1622-H1622)*1440,0)</f>
        <v>82</v>
      </c>
      <c r="K1622" s="3" t="s">
        <v>703</v>
      </c>
      <c r="L1622" s="3" t="s">
        <v>36</v>
      </c>
      <c r="M1622" s="3" t="s">
        <v>36</v>
      </c>
      <c r="N1622" s="3" t="s">
        <v>23</v>
      </c>
      <c r="O1622" s="3" t="s">
        <v>704</v>
      </c>
    </row>
    <row r="1623" spans="1:15" hidden="1" x14ac:dyDescent="0.75">
      <c r="A1623" s="2">
        <v>46291</v>
      </c>
      <c r="B1623" s="3" t="s">
        <v>491</v>
      </c>
      <c r="C1623" s="3" t="s">
        <v>492</v>
      </c>
      <c r="D1623" s="3" t="s">
        <v>17</v>
      </c>
      <c r="E1623" s="3" t="s">
        <v>18</v>
      </c>
      <c r="F1623" s="3" t="s">
        <v>172</v>
      </c>
      <c r="G1623" s="3" t="s">
        <v>173</v>
      </c>
      <c r="H1623" s="4">
        <v>46291.197048611109</v>
      </c>
      <c r="I1623" s="4">
        <v>46291.220341087967</v>
      </c>
      <c r="J1623" s="3">
        <f>ROUND((I1623-H1623)*1440,0)</f>
        <v>34</v>
      </c>
      <c r="K1623" s="3" t="s">
        <v>537</v>
      </c>
      <c r="L1623" s="3" t="s">
        <v>36</v>
      </c>
      <c r="M1623" s="3" t="s">
        <v>36</v>
      </c>
      <c r="N1623" s="3" t="s">
        <v>23</v>
      </c>
      <c r="O1623" s="3" t="s">
        <v>538</v>
      </c>
    </row>
    <row r="1624" spans="1:15" hidden="1" x14ac:dyDescent="0.75">
      <c r="A1624" s="2">
        <v>46291</v>
      </c>
      <c r="B1624" s="3" t="s">
        <v>2345</v>
      </c>
      <c r="C1624" s="3" t="s">
        <v>2346</v>
      </c>
      <c r="D1624" s="3" t="s">
        <v>2283</v>
      </c>
      <c r="E1624" s="3" t="s">
        <v>2284</v>
      </c>
      <c r="F1624" s="3" t="s">
        <v>1367</v>
      </c>
      <c r="G1624" s="3" t="s">
        <v>1368</v>
      </c>
      <c r="H1624" s="4">
        <v>46291.197222106479</v>
      </c>
      <c r="I1624" s="4">
        <v>46291.246014814817</v>
      </c>
      <c r="J1624" s="3">
        <f>ROUND((I1624-H1624)*1440,0)</f>
        <v>70</v>
      </c>
      <c r="K1624" s="3" t="s">
        <v>1369</v>
      </c>
      <c r="L1624" s="3" t="s">
        <v>36</v>
      </c>
      <c r="M1624" s="3" t="s">
        <v>36</v>
      </c>
      <c r="N1624" s="3" t="s">
        <v>23</v>
      </c>
      <c r="O1624" s="3" t="s">
        <v>1370</v>
      </c>
    </row>
    <row r="1625" spans="1:15" hidden="1" x14ac:dyDescent="0.75">
      <c r="A1625" s="2">
        <v>46291</v>
      </c>
      <c r="B1625" s="3" t="s">
        <v>535</v>
      </c>
      <c r="C1625" s="3" t="s">
        <v>536</v>
      </c>
      <c r="D1625" s="3" t="s">
        <v>29</v>
      </c>
      <c r="E1625" s="3" t="s">
        <v>30</v>
      </c>
      <c r="F1625" s="3" t="s">
        <v>17</v>
      </c>
      <c r="G1625" s="3" t="s">
        <v>18</v>
      </c>
      <c r="H1625" s="4">
        <v>46291.203125115739</v>
      </c>
      <c r="I1625" s="4">
        <v>46291.412459837957</v>
      </c>
      <c r="J1625" s="3">
        <f>ROUND((I1625-H1625)*1440,0)</f>
        <v>301</v>
      </c>
      <c r="K1625" s="3" t="s">
        <v>1271</v>
      </c>
      <c r="L1625" s="3" t="s">
        <v>36</v>
      </c>
      <c r="M1625" s="3" t="s">
        <v>36</v>
      </c>
      <c r="N1625" s="3" t="s">
        <v>23</v>
      </c>
      <c r="O1625" s="3" t="s">
        <v>1272</v>
      </c>
    </row>
    <row r="1626" spans="1:15" hidden="1" x14ac:dyDescent="0.75">
      <c r="A1626" s="2">
        <v>46291</v>
      </c>
      <c r="B1626" s="3" t="s">
        <v>511</v>
      </c>
      <c r="C1626" s="3" t="s">
        <v>512</v>
      </c>
      <c r="D1626" s="3" t="s">
        <v>513</v>
      </c>
      <c r="E1626" s="3" t="s">
        <v>514</v>
      </c>
      <c r="F1626" s="3" t="s">
        <v>17</v>
      </c>
      <c r="G1626" s="3" t="s">
        <v>18</v>
      </c>
      <c r="H1626" s="4">
        <v>46291.208545601847</v>
      </c>
      <c r="I1626" s="4">
        <v>46291.366751273148</v>
      </c>
      <c r="J1626" s="3">
        <f>ROUND((I1626-H1626)*1440,0)</f>
        <v>228</v>
      </c>
      <c r="K1626" s="3" t="s">
        <v>1651</v>
      </c>
      <c r="L1626" s="3" t="s">
        <v>36</v>
      </c>
      <c r="M1626" s="3" t="s">
        <v>36</v>
      </c>
      <c r="N1626" s="3" t="s">
        <v>23</v>
      </c>
      <c r="O1626" s="3" t="s">
        <v>1652</v>
      </c>
    </row>
    <row r="1627" spans="1:15" hidden="1" x14ac:dyDescent="0.75">
      <c r="A1627" s="2">
        <v>46291</v>
      </c>
      <c r="B1627" s="3" t="s">
        <v>290</v>
      </c>
      <c r="C1627" s="3" t="s">
        <v>291</v>
      </c>
      <c r="D1627" s="3" t="s">
        <v>208</v>
      </c>
      <c r="E1627" s="3" t="s">
        <v>209</v>
      </c>
      <c r="F1627" s="3" t="s">
        <v>56</v>
      </c>
      <c r="G1627" s="3" t="s">
        <v>57</v>
      </c>
      <c r="H1627" s="4">
        <v>46291.215655208332</v>
      </c>
      <c r="I1627" s="4">
        <v>46291.311322453701</v>
      </c>
      <c r="J1627" s="3">
        <f>ROUND((I1627-H1627)*1440,0)</f>
        <v>138</v>
      </c>
      <c r="K1627" s="3" t="s">
        <v>489</v>
      </c>
      <c r="L1627" s="3" t="s">
        <v>36</v>
      </c>
      <c r="M1627" s="3" t="s">
        <v>36</v>
      </c>
      <c r="N1627" s="3" t="s">
        <v>23</v>
      </c>
      <c r="O1627" s="3" t="s">
        <v>490</v>
      </c>
    </row>
    <row r="1628" spans="1:15" hidden="1" x14ac:dyDescent="0.75">
      <c r="A1628" s="2">
        <v>46291</v>
      </c>
      <c r="B1628" s="3" t="s">
        <v>507</v>
      </c>
      <c r="C1628" s="3" t="s">
        <v>508</v>
      </c>
      <c r="D1628" s="3" t="s">
        <v>122</v>
      </c>
      <c r="E1628" s="3" t="s">
        <v>123</v>
      </c>
      <c r="F1628" s="3" t="s">
        <v>27</v>
      </c>
      <c r="G1628" s="3" t="s">
        <v>28</v>
      </c>
      <c r="H1628" s="4">
        <v>46291.215937499997</v>
      </c>
      <c r="I1628" s="4">
        <v>46291.436708333327</v>
      </c>
      <c r="J1628" s="3">
        <f>ROUND((I1628-H1628)*1440,0)</f>
        <v>318</v>
      </c>
      <c r="K1628" s="3" t="s">
        <v>841</v>
      </c>
      <c r="L1628" s="3" t="s">
        <v>22</v>
      </c>
      <c r="M1628" s="3" t="s">
        <v>22</v>
      </c>
      <c r="N1628" s="3" t="s">
        <v>23</v>
      </c>
      <c r="O1628" s="3" t="s">
        <v>842</v>
      </c>
    </row>
    <row r="1629" spans="1:15" hidden="1" x14ac:dyDescent="0.75">
      <c r="A1629" s="2">
        <v>46291</v>
      </c>
      <c r="B1629" s="3" t="s">
        <v>432</v>
      </c>
      <c r="C1629" s="3" t="s">
        <v>433</v>
      </c>
      <c r="D1629" s="3" t="s">
        <v>17</v>
      </c>
      <c r="E1629" s="3" t="s">
        <v>18</v>
      </c>
      <c r="F1629" s="3" t="s">
        <v>27</v>
      </c>
      <c r="G1629" s="3" t="s">
        <v>28</v>
      </c>
      <c r="H1629" s="4">
        <v>46291.21901828704</v>
      </c>
      <c r="I1629" s="4">
        <v>46291.245972800927</v>
      </c>
      <c r="J1629" s="3">
        <f>ROUND((I1629-H1629)*1440,0)</f>
        <v>39</v>
      </c>
      <c r="K1629" s="3" t="s">
        <v>174</v>
      </c>
      <c r="L1629" s="3" t="s">
        <v>36</v>
      </c>
      <c r="M1629" s="3" t="s">
        <v>36</v>
      </c>
      <c r="N1629" s="3" t="s">
        <v>23</v>
      </c>
      <c r="O1629" s="3" t="s">
        <v>175</v>
      </c>
    </row>
    <row r="1630" spans="1:15" hidden="1" x14ac:dyDescent="0.75">
      <c r="A1630" s="2">
        <v>46291</v>
      </c>
      <c r="B1630" s="3" t="s">
        <v>521</v>
      </c>
      <c r="C1630" s="3" t="s">
        <v>522</v>
      </c>
      <c r="D1630" s="3" t="s">
        <v>264</v>
      </c>
      <c r="E1630" s="3" t="s">
        <v>265</v>
      </c>
      <c r="F1630" s="3" t="s">
        <v>56</v>
      </c>
      <c r="G1630" s="3" t="s">
        <v>57</v>
      </c>
      <c r="H1630" s="4">
        <v>46291.220203819437</v>
      </c>
      <c r="I1630" s="4">
        <v>46291.391939351852</v>
      </c>
      <c r="J1630" s="3">
        <f>ROUND((I1630-H1630)*1440,0)</f>
        <v>247</v>
      </c>
      <c r="K1630" s="3" t="s">
        <v>306</v>
      </c>
      <c r="L1630" s="3" t="s">
        <v>22</v>
      </c>
      <c r="M1630" s="3" t="s">
        <v>22</v>
      </c>
      <c r="N1630" s="3" t="s">
        <v>23</v>
      </c>
      <c r="O1630" s="3" t="s">
        <v>307</v>
      </c>
    </row>
    <row r="1631" spans="1:15" hidden="1" x14ac:dyDescent="0.75">
      <c r="A1631" s="2">
        <v>46291</v>
      </c>
      <c r="B1631" s="3" t="s">
        <v>495</v>
      </c>
      <c r="C1631" s="3" t="s">
        <v>496</v>
      </c>
      <c r="D1631" s="3" t="s">
        <v>459</v>
      </c>
      <c r="E1631" s="3" t="s">
        <v>460</v>
      </c>
      <c r="F1631" s="3" t="s">
        <v>17</v>
      </c>
      <c r="G1631" s="3" t="s">
        <v>18</v>
      </c>
      <c r="H1631" s="4">
        <v>46291.220302199072</v>
      </c>
      <c r="I1631" s="4">
        <v>46291.437832060183</v>
      </c>
      <c r="J1631" s="3">
        <f>ROUND((I1631-H1631)*1440,0)</f>
        <v>313</v>
      </c>
      <c r="K1631" s="3" t="s">
        <v>1055</v>
      </c>
      <c r="L1631" s="3" t="s">
        <v>22</v>
      </c>
      <c r="M1631" s="3" t="s">
        <v>22</v>
      </c>
      <c r="N1631" s="3" t="s">
        <v>23</v>
      </c>
      <c r="O1631" s="3" t="s">
        <v>1056</v>
      </c>
    </row>
    <row r="1632" spans="1:15" hidden="1" x14ac:dyDescent="0.75">
      <c r="A1632" s="2">
        <v>46291</v>
      </c>
      <c r="B1632" s="3" t="s">
        <v>531</v>
      </c>
      <c r="C1632" s="3" t="s">
        <v>532</v>
      </c>
      <c r="D1632" s="3" t="s">
        <v>304</v>
      </c>
      <c r="E1632" s="3" t="s">
        <v>305</v>
      </c>
      <c r="F1632" s="3" t="s">
        <v>27</v>
      </c>
      <c r="G1632" s="3" t="s">
        <v>28</v>
      </c>
      <c r="H1632" s="4">
        <v>46291.226946875002</v>
      </c>
      <c r="I1632" s="4">
        <v>46291.442604166667</v>
      </c>
      <c r="J1632" s="3">
        <f>ROUND((I1632-H1632)*1440,0)</f>
        <v>311</v>
      </c>
      <c r="K1632" s="3" t="s">
        <v>505</v>
      </c>
      <c r="L1632" s="3" t="s">
        <v>43</v>
      </c>
      <c r="M1632" s="3" t="s">
        <v>44</v>
      </c>
      <c r="N1632" s="3" t="s">
        <v>23</v>
      </c>
      <c r="O1632" s="3" t="s">
        <v>506</v>
      </c>
    </row>
    <row r="1633" spans="1:15" hidden="1" x14ac:dyDescent="0.75">
      <c r="A1633" s="2">
        <v>46291</v>
      </c>
      <c r="B1633" s="3" t="s">
        <v>2347</v>
      </c>
      <c r="C1633" s="3" t="s">
        <v>2348</v>
      </c>
      <c r="D1633" s="3" t="s">
        <v>2283</v>
      </c>
      <c r="E1633" s="3" t="s">
        <v>2284</v>
      </c>
      <c r="F1633" s="3" t="s">
        <v>17</v>
      </c>
      <c r="G1633" s="3" t="s">
        <v>18</v>
      </c>
      <c r="H1633" s="4">
        <v>46291.235426504631</v>
      </c>
      <c r="I1633" s="4">
        <v>46291.267494444437</v>
      </c>
      <c r="J1633" s="3">
        <f>ROUND((I1633-H1633)*1440,0)</f>
        <v>46</v>
      </c>
      <c r="K1633" s="3" t="s">
        <v>1041</v>
      </c>
      <c r="L1633" s="3" t="s">
        <v>43</v>
      </c>
      <c r="M1633" s="3" t="s">
        <v>44</v>
      </c>
      <c r="N1633" s="3" t="s">
        <v>23</v>
      </c>
      <c r="O1633" s="3" t="s">
        <v>1042</v>
      </c>
    </row>
    <row r="1634" spans="1:15" hidden="1" x14ac:dyDescent="0.75">
      <c r="A1634" s="2">
        <v>46291</v>
      </c>
      <c r="B1634" s="3" t="s">
        <v>559</v>
      </c>
      <c r="C1634" s="3" t="s">
        <v>560</v>
      </c>
      <c r="D1634" s="3" t="s">
        <v>304</v>
      </c>
      <c r="E1634" s="3" t="s">
        <v>305</v>
      </c>
      <c r="F1634" s="3" t="s">
        <v>17</v>
      </c>
      <c r="G1634" s="3" t="s">
        <v>18</v>
      </c>
      <c r="H1634" s="4">
        <v>46291.239875810177</v>
      </c>
      <c r="I1634" s="4">
        <v>46291.44692303241</v>
      </c>
      <c r="J1634" s="3">
        <f>ROUND((I1634-H1634)*1440,0)</f>
        <v>298</v>
      </c>
      <c r="K1634" s="3" t="s">
        <v>2161</v>
      </c>
      <c r="L1634" s="3" t="s">
        <v>43</v>
      </c>
      <c r="M1634" s="3" t="s">
        <v>44</v>
      </c>
      <c r="N1634" s="3" t="s">
        <v>23</v>
      </c>
      <c r="O1634" s="3" t="s">
        <v>2162</v>
      </c>
    </row>
    <row r="1635" spans="1:15" hidden="1" x14ac:dyDescent="0.75">
      <c r="A1635" s="2">
        <v>46291</v>
      </c>
      <c r="B1635" s="3" t="s">
        <v>517</v>
      </c>
      <c r="C1635" s="3" t="s">
        <v>518</v>
      </c>
      <c r="D1635" s="3" t="s">
        <v>304</v>
      </c>
      <c r="E1635" s="3" t="s">
        <v>305</v>
      </c>
      <c r="F1635" s="3" t="s">
        <v>56</v>
      </c>
      <c r="G1635" s="3" t="s">
        <v>57</v>
      </c>
      <c r="H1635" s="4">
        <v>46291.24319479167</v>
      </c>
      <c r="I1635" s="4">
        <v>46291.425563194447</v>
      </c>
      <c r="J1635" s="3">
        <f>ROUND((I1635-H1635)*1440,0)</f>
        <v>263</v>
      </c>
      <c r="K1635" s="3" t="s">
        <v>649</v>
      </c>
      <c r="L1635" s="3" t="s">
        <v>22</v>
      </c>
      <c r="M1635" s="3" t="s">
        <v>22</v>
      </c>
      <c r="N1635" s="3" t="s">
        <v>23</v>
      </c>
      <c r="O1635" s="3" t="s">
        <v>650</v>
      </c>
    </row>
    <row r="1636" spans="1:15" hidden="1" x14ac:dyDescent="0.75">
      <c r="A1636" s="2">
        <v>46291</v>
      </c>
      <c r="B1636" s="3" t="s">
        <v>525</v>
      </c>
      <c r="C1636" s="3" t="s">
        <v>526</v>
      </c>
      <c r="D1636" s="3" t="s">
        <v>527</v>
      </c>
      <c r="E1636" s="3" t="s">
        <v>528</v>
      </c>
      <c r="F1636" s="3" t="s">
        <v>17</v>
      </c>
      <c r="G1636" s="3" t="s">
        <v>18</v>
      </c>
      <c r="H1636" s="4">
        <v>46291.244632986112</v>
      </c>
      <c r="I1636" s="4">
        <v>46291.449542129631</v>
      </c>
      <c r="J1636" s="3">
        <f>ROUND((I1636-H1636)*1440,0)</f>
        <v>295</v>
      </c>
      <c r="K1636" s="3" t="s">
        <v>553</v>
      </c>
      <c r="L1636" s="3" t="s">
        <v>77</v>
      </c>
      <c r="M1636" s="3" t="s">
        <v>78</v>
      </c>
      <c r="N1636" s="3" t="s">
        <v>23</v>
      </c>
      <c r="O1636" s="3" t="s">
        <v>554</v>
      </c>
    </row>
    <row r="1637" spans="1:15" hidden="1" x14ac:dyDescent="0.75">
      <c r="A1637" s="2">
        <v>46291</v>
      </c>
      <c r="B1637" s="3" t="s">
        <v>555</v>
      </c>
      <c r="C1637" s="3" t="s">
        <v>556</v>
      </c>
      <c r="D1637" s="3" t="s">
        <v>264</v>
      </c>
      <c r="E1637" s="3" t="s">
        <v>265</v>
      </c>
      <c r="F1637" s="3" t="s">
        <v>17</v>
      </c>
      <c r="G1637" s="3" t="s">
        <v>18</v>
      </c>
      <c r="H1637" s="4">
        <v>46291.249166203706</v>
      </c>
      <c r="I1637" s="4">
        <v>46291.442061458343</v>
      </c>
      <c r="J1637" s="3">
        <f>ROUND((I1637-H1637)*1440,0)</f>
        <v>278</v>
      </c>
      <c r="K1637" s="3" t="s">
        <v>661</v>
      </c>
      <c r="L1637" s="3" t="s">
        <v>22</v>
      </c>
      <c r="M1637" s="3" t="s">
        <v>22</v>
      </c>
      <c r="N1637" s="3" t="s">
        <v>23</v>
      </c>
      <c r="O1637" s="3" t="s">
        <v>662</v>
      </c>
    </row>
    <row r="1638" spans="1:15" hidden="1" x14ac:dyDescent="0.75">
      <c r="A1638" s="2">
        <v>46291</v>
      </c>
      <c r="B1638" s="3" t="s">
        <v>539</v>
      </c>
      <c r="C1638" s="3" t="s">
        <v>540</v>
      </c>
      <c r="D1638" s="3" t="s">
        <v>541</v>
      </c>
      <c r="E1638" s="3" t="s">
        <v>542</v>
      </c>
      <c r="F1638" s="3" t="s">
        <v>17</v>
      </c>
      <c r="G1638" s="3" t="s">
        <v>18</v>
      </c>
      <c r="H1638" s="4">
        <v>46291.252680787038</v>
      </c>
      <c r="I1638" s="4">
        <v>46291.425198032397</v>
      </c>
      <c r="J1638" s="3">
        <f>ROUND((I1638-H1638)*1440,0)</f>
        <v>248</v>
      </c>
      <c r="K1638" s="3" t="s">
        <v>2193</v>
      </c>
      <c r="L1638" s="3" t="s">
        <v>77</v>
      </c>
      <c r="M1638" s="3" t="s">
        <v>78</v>
      </c>
      <c r="N1638" s="3" t="s">
        <v>23</v>
      </c>
      <c r="O1638" s="3" t="s">
        <v>2194</v>
      </c>
    </row>
    <row r="1639" spans="1:15" hidden="1" x14ac:dyDescent="0.75">
      <c r="A1639" s="2">
        <v>46291</v>
      </c>
      <c r="B1639" s="3" t="s">
        <v>545</v>
      </c>
      <c r="C1639" s="3" t="s">
        <v>546</v>
      </c>
      <c r="D1639" s="3" t="s">
        <v>122</v>
      </c>
      <c r="E1639" s="3" t="s">
        <v>123</v>
      </c>
      <c r="F1639" s="3" t="s">
        <v>56</v>
      </c>
      <c r="G1639" s="3" t="s">
        <v>57</v>
      </c>
      <c r="H1639" s="4">
        <v>46291.272243981482</v>
      </c>
      <c r="I1639" s="4">
        <v>46291.480925231481</v>
      </c>
      <c r="J1639" s="3">
        <f>ROUND((I1639-H1639)*1440,0)</f>
        <v>301</v>
      </c>
      <c r="K1639" s="3" t="s">
        <v>657</v>
      </c>
      <c r="L1639" s="3" t="s">
        <v>22</v>
      </c>
      <c r="M1639" s="3" t="s">
        <v>22</v>
      </c>
      <c r="N1639" s="3" t="s">
        <v>23</v>
      </c>
      <c r="O1639" s="3" t="s">
        <v>658</v>
      </c>
    </row>
    <row r="1640" spans="1:15" hidden="1" x14ac:dyDescent="0.75">
      <c r="A1640" s="2">
        <v>46291</v>
      </c>
      <c r="B1640" s="3" t="s">
        <v>563</v>
      </c>
      <c r="C1640" s="3" t="s">
        <v>564</v>
      </c>
      <c r="D1640" s="3" t="s">
        <v>565</v>
      </c>
      <c r="E1640" s="3" t="s">
        <v>566</v>
      </c>
      <c r="F1640" s="3" t="s">
        <v>17</v>
      </c>
      <c r="G1640" s="3" t="s">
        <v>18</v>
      </c>
      <c r="H1640" s="4">
        <v>46291.275098148151</v>
      </c>
      <c r="I1640" s="4">
        <v>46291.489332638892</v>
      </c>
      <c r="J1640" s="3">
        <f>ROUND((I1640-H1640)*1440,0)</f>
        <v>308</v>
      </c>
      <c r="K1640" s="3" t="s">
        <v>677</v>
      </c>
      <c r="L1640" s="3" t="s">
        <v>22</v>
      </c>
      <c r="M1640" s="3" t="s">
        <v>22</v>
      </c>
      <c r="N1640" s="3" t="s">
        <v>23</v>
      </c>
      <c r="O1640" s="3" t="s">
        <v>678</v>
      </c>
    </row>
    <row r="1641" spans="1:15" hidden="1" x14ac:dyDescent="0.75">
      <c r="A1641" s="2">
        <v>46291</v>
      </c>
      <c r="B1641" s="3" t="s">
        <v>569</v>
      </c>
      <c r="C1641" s="3" t="s">
        <v>570</v>
      </c>
      <c r="D1641" s="3" t="s">
        <v>571</v>
      </c>
      <c r="E1641" s="3" t="s">
        <v>572</v>
      </c>
      <c r="F1641" s="3" t="s">
        <v>17</v>
      </c>
      <c r="G1641" s="3" t="s">
        <v>18</v>
      </c>
      <c r="H1641" s="4">
        <v>46291.278518749998</v>
      </c>
      <c r="I1641" s="4">
        <v>46291.490322453697</v>
      </c>
      <c r="J1641" s="3">
        <f>ROUND((I1641-H1641)*1440,0)</f>
        <v>305</v>
      </c>
      <c r="K1641" s="3" t="s">
        <v>1129</v>
      </c>
      <c r="L1641" s="3" t="s">
        <v>22</v>
      </c>
      <c r="M1641" s="3" t="s">
        <v>22</v>
      </c>
      <c r="N1641" s="3" t="s">
        <v>23</v>
      </c>
      <c r="O1641" s="3" t="s">
        <v>1130</v>
      </c>
    </row>
    <row r="1642" spans="1:15" hidden="1" x14ac:dyDescent="0.75">
      <c r="A1642" s="2">
        <v>46291</v>
      </c>
      <c r="B1642" s="3" t="s">
        <v>575</v>
      </c>
      <c r="C1642" s="3" t="s">
        <v>576</v>
      </c>
      <c r="D1642" s="3" t="s">
        <v>264</v>
      </c>
      <c r="E1642" s="3" t="s">
        <v>265</v>
      </c>
      <c r="F1642" s="3" t="s">
        <v>27</v>
      </c>
      <c r="G1642" s="3" t="s">
        <v>28</v>
      </c>
      <c r="H1642" s="4">
        <v>46291.296463078703</v>
      </c>
      <c r="I1642" s="4">
        <v>46291.492890393522</v>
      </c>
      <c r="J1642" s="3">
        <f>ROUND((I1642-H1642)*1440,0)</f>
        <v>283</v>
      </c>
      <c r="K1642" s="3" t="s">
        <v>461</v>
      </c>
      <c r="L1642" s="3" t="s">
        <v>22</v>
      </c>
      <c r="M1642" s="3" t="s">
        <v>22</v>
      </c>
      <c r="N1642" s="3" t="s">
        <v>23</v>
      </c>
      <c r="O1642" s="3" t="s">
        <v>462</v>
      </c>
    </row>
    <row r="1643" spans="1:15" hidden="1" x14ac:dyDescent="0.75">
      <c r="A1643" s="2">
        <v>46291</v>
      </c>
      <c r="B1643" s="3" t="s">
        <v>587</v>
      </c>
      <c r="C1643" s="3" t="s">
        <v>588</v>
      </c>
      <c r="D1643" s="3" t="s">
        <v>304</v>
      </c>
      <c r="E1643" s="3" t="s">
        <v>305</v>
      </c>
      <c r="F1643" s="3" t="s">
        <v>17</v>
      </c>
      <c r="G1643" s="3" t="s">
        <v>18</v>
      </c>
      <c r="H1643" s="4">
        <v>46291.298004050928</v>
      </c>
      <c r="I1643" s="4">
        <v>46291.509910069442</v>
      </c>
      <c r="J1643" s="3">
        <f>ROUND((I1643-H1643)*1440,0)</f>
        <v>305</v>
      </c>
      <c r="K1643" s="3" t="s">
        <v>124</v>
      </c>
      <c r="L1643" s="3" t="s">
        <v>22</v>
      </c>
      <c r="M1643" s="3" t="s">
        <v>22</v>
      </c>
      <c r="N1643" s="3" t="s">
        <v>23</v>
      </c>
      <c r="O1643" s="3" t="s">
        <v>125</v>
      </c>
    </row>
    <row r="1644" spans="1:15" hidden="1" x14ac:dyDescent="0.75">
      <c r="A1644" s="2">
        <v>46291</v>
      </c>
      <c r="B1644" s="3" t="s">
        <v>583</v>
      </c>
      <c r="C1644" s="3" t="s">
        <v>584</v>
      </c>
      <c r="D1644" s="3" t="s">
        <v>344</v>
      </c>
      <c r="E1644" s="3" t="s">
        <v>345</v>
      </c>
      <c r="F1644" s="3" t="s">
        <v>17</v>
      </c>
      <c r="G1644" s="3" t="s">
        <v>18</v>
      </c>
      <c r="H1644" s="4">
        <v>46291.306068634258</v>
      </c>
      <c r="I1644" s="4">
        <v>46291.631166550927</v>
      </c>
      <c r="J1644" s="3">
        <f>ROUND((I1644-H1644)*1440,0)</f>
        <v>468</v>
      </c>
      <c r="K1644" s="3" t="s">
        <v>346</v>
      </c>
      <c r="L1644" s="3" t="s">
        <v>43</v>
      </c>
      <c r="M1644" s="3" t="s">
        <v>44</v>
      </c>
      <c r="N1644" s="3" t="s">
        <v>23</v>
      </c>
      <c r="O1644" s="3" t="s">
        <v>347</v>
      </c>
    </row>
    <row r="1645" spans="1:15" hidden="1" x14ac:dyDescent="0.75">
      <c r="A1645" s="2">
        <v>46291</v>
      </c>
      <c r="B1645" s="3" t="s">
        <v>577</v>
      </c>
      <c r="C1645" s="3" t="s">
        <v>578</v>
      </c>
      <c r="D1645" s="3" t="s">
        <v>29</v>
      </c>
      <c r="E1645" s="3" t="s">
        <v>30</v>
      </c>
      <c r="F1645" s="3" t="s">
        <v>27</v>
      </c>
      <c r="G1645" s="3" t="s">
        <v>28</v>
      </c>
      <c r="H1645" s="4">
        <v>46291.317933796287</v>
      </c>
      <c r="I1645" s="4">
        <v>46291.524040972217</v>
      </c>
      <c r="J1645" s="3">
        <f>ROUND((I1645-H1645)*1440,0)</f>
        <v>297</v>
      </c>
      <c r="K1645" s="3" t="s">
        <v>721</v>
      </c>
      <c r="L1645" s="3" t="s">
        <v>22</v>
      </c>
      <c r="M1645" s="3" t="s">
        <v>22</v>
      </c>
      <c r="N1645" s="3" t="s">
        <v>23</v>
      </c>
      <c r="O1645" s="3" t="s">
        <v>722</v>
      </c>
    </row>
    <row r="1646" spans="1:15" hidden="1" x14ac:dyDescent="0.75">
      <c r="A1646" s="2">
        <v>46291</v>
      </c>
      <c r="B1646" s="3" t="s">
        <v>589</v>
      </c>
      <c r="C1646" s="3" t="s">
        <v>590</v>
      </c>
      <c r="D1646" s="3" t="s">
        <v>344</v>
      </c>
      <c r="E1646" s="3" t="s">
        <v>345</v>
      </c>
      <c r="F1646" s="3" t="s">
        <v>27</v>
      </c>
      <c r="G1646" s="3" t="s">
        <v>28</v>
      </c>
      <c r="H1646" s="4">
        <v>46291.328528703707</v>
      </c>
      <c r="I1646" s="4">
        <v>46291.64176053241</v>
      </c>
      <c r="J1646" s="3">
        <f>ROUND((I1646-H1646)*1440,0)</f>
        <v>451</v>
      </c>
      <c r="K1646" s="3" t="s">
        <v>42</v>
      </c>
      <c r="L1646" s="3" t="s">
        <v>43</v>
      </c>
      <c r="M1646" s="3" t="s">
        <v>44</v>
      </c>
      <c r="N1646" s="3" t="s">
        <v>23</v>
      </c>
      <c r="O1646" s="3" t="s">
        <v>46</v>
      </c>
    </row>
    <row r="1647" spans="1:15" hidden="1" x14ac:dyDescent="0.75">
      <c r="A1647" s="2">
        <v>46291</v>
      </c>
      <c r="B1647" s="3" t="s">
        <v>2349</v>
      </c>
      <c r="C1647" s="3" t="s">
        <v>2350</v>
      </c>
      <c r="D1647" s="3" t="s">
        <v>122</v>
      </c>
      <c r="E1647" s="3" t="s">
        <v>123</v>
      </c>
      <c r="F1647" s="3" t="s">
        <v>17</v>
      </c>
      <c r="G1647" s="3" t="s">
        <v>18</v>
      </c>
      <c r="H1647" s="4">
        <v>46291.341865972223</v>
      </c>
      <c r="I1647" s="4">
        <v>46291.554068750003</v>
      </c>
      <c r="J1647" s="3">
        <f>ROUND((I1647-H1647)*1440,0)</f>
        <v>306</v>
      </c>
      <c r="K1647" s="3" t="s">
        <v>497</v>
      </c>
      <c r="L1647" s="3" t="s">
        <v>22</v>
      </c>
      <c r="M1647" s="3" t="s">
        <v>22</v>
      </c>
      <c r="N1647" s="3" t="s">
        <v>23</v>
      </c>
      <c r="O1647" s="3" t="s">
        <v>498</v>
      </c>
    </row>
    <row r="1648" spans="1:15" hidden="1" x14ac:dyDescent="0.75">
      <c r="A1648" s="2">
        <v>46291</v>
      </c>
      <c r="B1648" s="3" t="s">
        <v>591</v>
      </c>
      <c r="C1648" s="3" t="s">
        <v>592</v>
      </c>
      <c r="D1648" s="3" t="s">
        <v>447</v>
      </c>
      <c r="E1648" s="3" t="s">
        <v>448</v>
      </c>
      <c r="F1648" s="3" t="s">
        <v>27</v>
      </c>
      <c r="G1648" s="3" t="s">
        <v>28</v>
      </c>
      <c r="H1648" s="4">
        <v>46291.374807986111</v>
      </c>
      <c r="I1648" s="4">
        <v>46291.744078009258</v>
      </c>
      <c r="J1648" s="3">
        <f>ROUND((I1648-H1648)*1440,0)</f>
        <v>532</v>
      </c>
      <c r="K1648" s="3" t="s">
        <v>204</v>
      </c>
      <c r="L1648" s="3" t="s">
        <v>43</v>
      </c>
      <c r="M1648" s="3" t="s">
        <v>44</v>
      </c>
      <c r="N1648" s="3" t="s">
        <v>23</v>
      </c>
      <c r="O1648" s="3" t="s">
        <v>205</v>
      </c>
    </row>
    <row r="1649" spans="1:15" hidden="1" x14ac:dyDescent="0.75">
      <c r="A1649" s="2">
        <v>46291</v>
      </c>
      <c r="B1649" s="3" t="s">
        <v>593</v>
      </c>
      <c r="C1649" s="3" t="s">
        <v>594</v>
      </c>
      <c r="D1649" s="3" t="s">
        <v>82</v>
      </c>
      <c r="E1649" s="3" t="s">
        <v>83</v>
      </c>
      <c r="F1649" s="3" t="s">
        <v>82</v>
      </c>
      <c r="G1649" s="3" t="s">
        <v>83</v>
      </c>
      <c r="H1649" s="4">
        <v>46291.378451273151</v>
      </c>
      <c r="I1649" s="4">
        <v>46291.64599409722</v>
      </c>
      <c r="J1649" s="3">
        <f>ROUND((I1649-H1649)*1440,0)</f>
        <v>385</v>
      </c>
      <c r="K1649" s="3" t="s">
        <v>665</v>
      </c>
      <c r="L1649" s="3" t="s">
        <v>36</v>
      </c>
      <c r="M1649" s="3" t="s">
        <v>36</v>
      </c>
      <c r="N1649" s="3" t="s">
        <v>23</v>
      </c>
      <c r="O1649" s="3" t="s">
        <v>666</v>
      </c>
    </row>
    <row r="1650" spans="1:15" hidden="1" x14ac:dyDescent="0.75">
      <c r="A1650" s="2">
        <v>46291</v>
      </c>
      <c r="B1650" s="3" t="s">
        <v>597</v>
      </c>
      <c r="C1650" s="3" t="s">
        <v>598</v>
      </c>
      <c r="D1650" s="3" t="s">
        <v>27</v>
      </c>
      <c r="E1650" s="3" t="s">
        <v>28</v>
      </c>
      <c r="F1650" s="3" t="s">
        <v>17</v>
      </c>
      <c r="G1650" s="3" t="s">
        <v>18</v>
      </c>
      <c r="H1650" s="4">
        <v>46291.38883009259</v>
      </c>
      <c r="I1650" s="4">
        <v>46291.426885416673</v>
      </c>
      <c r="J1650" s="3">
        <f>ROUND((I1650-H1650)*1440,0)</f>
        <v>55</v>
      </c>
      <c r="K1650" s="3" t="s">
        <v>477</v>
      </c>
      <c r="L1650" s="3" t="s">
        <v>77</v>
      </c>
      <c r="M1650" s="3" t="s">
        <v>78</v>
      </c>
      <c r="N1650" s="3" t="s">
        <v>23</v>
      </c>
      <c r="O1650" s="3" t="s">
        <v>478</v>
      </c>
    </row>
    <row r="1651" spans="1:15" hidden="1" x14ac:dyDescent="0.75">
      <c r="A1651" s="2">
        <v>46291</v>
      </c>
      <c r="B1651" s="3" t="s">
        <v>599</v>
      </c>
      <c r="C1651" s="3" t="s">
        <v>600</v>
      </c>
      <c r="D1651" s="3" t="s">
        <v>40</v>
      </c>
      <c r="E1651" s="3" t="s">
        <v>41</v>
      </c>
      <c r="F1651" s="3" t="s">
        <v>27</v>
      </c>
      <c r="G1651" s="3" t="s">
        <v>28</v>
      </c>
      <c r="H1651" s="4">
        <v>46291.395840740741</v>
      </c>
      <c r="I1651" s="4">
        <v>46291.722736342592</v>
      </c>
      <c r="J1651" s="3">
        <f>ROUND((I1651-H1651)*1440,0)</f>
        <v>471</v>
      </c>
      <c r="K1651" s="3" t="s">
        <v>340</v>
      </c>
      <c r="L1651" s="3" t="s">
        <v>43</v>
      </c>
      <c r="M1651" s="3" t="s">
        <v>44</v>
      </c>
      <c r="N1651" s="3" t="s">
        <v>23</v>
      </c>
      <c r="O1651" s="3" t="s">
        <v>341</v>
      </c>
    </row>
    <row r="1652" spans="1:15" hidden="1" x14ac:dyDescent="0.75">
      <c r="A1652" s="2">
        <v>46291</v>
      </c>
      <c r="B1652" s="3" t="s">
        <v>601</v>
      </c>
      <c r="C1652" s="3" t="s">
        <v>602</v>
      </c>
      <c r="D1652" s="3" t="s">
        <v>202</v>
      </c>
      <c r="E1652" s="3" t="s">
        <v>203</v>
      </c>
      <c r="F1652" s="3" t="s">
        <v>27</v>
      </c>
      <c r="G1652" s="3" t="s">
        <v>28</v>
      </c>
      <c r="H1652" s="4">
        <v>46291.39685740741</v>
      </c>
      <c r="I1652" s="4">
        <v>46291.717635069443</v>
      </c>
      <c r="J1652" s="3">
        <f>ROUND((I1652-H1652)*1440,0)</f>
        <v>462</v>
      </c>
      <c r="K1652" s="3" t="s">
        <v>465</v>
      </c>
      <c r="L1652" s="3" t="s">
        <v>43</v>
      </c>
      <c r="M1652" s="3" t="s">
        <v>44</v>
      </c>
      <c r="N1652" s="3" t="s">
        <v>23</v>
      </c>
      <c r="O1652" s="3" t="s">
        <v>466</v>
      </c>
    </row>
    <row r="1653" spans="1:15" hidden="1" x14ac:dyDescent="0.75">
      <c r="A1653" s="2">
        <v>46291</v>
      </c>
      <c r="B1653" s="3" t="s">
        <v>609</v>
      </c>
      <c r="C1653" s="3" t="s">
        <v>610</v>
      </c>
      <c r="D1653" s="3" t="s">
        <v>366</v>
      </c>
      <c r="E1653" s="3" t="s">
        <v>367</v>
      </c>
      <c r="F1653" s="3" t="s">
        <v>27</v>
      </c>
      <c r="G1653" s="3" t="s">
        <v>28</v>
      </c>
      <c r="H1653" s="4">
        <v>46291.407910300928</v>
      </c>
      <c r="I1653" s="4">
        <v>46291.447248842589</v>
      </c>
      <c r="J1653" s="3">
        <f>ROUND((I1653-H1653)*1440,0)</f>
        <v>57</v>
      </c>
      <c r="K1653" s="3" t="s">
        <v>939</v>
      </c>
      <c r="L1653" s="3" t="s">
        <v>77</v>
      </c>
      <c r="M1653" s="3" t="s">
        <v>78</v>
      </c>
      <c r="N1653" s="3" t="s">
        <v>23</v>
      </c>
      <c r="O1653" s="3" t="s">
        <v>940</v>
      </c>
    </row>
    <row r="1654" spans="1:15" hidden="1" x14ac:dyDescent="0.75">
      <c r="A1654" s="2">
        <v>46291</v>
      </c>
      <c r="B1654" s="3" t="s">
        <v>603</v>
      </c>
      <c r="C1654" s="3" t="s">
        <v>604</v>
      </c>
      <c r="D1654" s="3" t="s">
        <v>17</v>
      </c>
      <c r="E1654" s="3" t="s">
        <v>18</v>
      </c>
      <c r="F1654" s="3"/>
      <c r="G1654" s="3"/>
      <c r="H1654" s="4">
        <v>46291.409717476847</v>
      </c>
      <c r="I1654" s="4">
        <v>46291.548241435194</v>
      </c>
      <c r="J1654" s="3">
        <f>ROUND((I1654-H1654)*1440,0)</f>
        <v>199</v>
      </c>
      <c r="K1654" s="3" t="s">
        <v>178</v>
      </c>
      <c r="L1654" s="3" t="s">
        <v>43</v>
      </c>
      <c r="M1654" s="3" t="s">
        <v>44</v>
      </c>
      <c r="N1654" s="3" t="s">
        <v>443</v>
      </c>
      <c r="O1654" s="3" t="s">
        <v>179</v>
      </c>
    </row>
    <row r="1655" spans="1:15" hidden="1" x14ac:dyDescent="0.75">
      <c r="A1655" s="2">
        <v>46291</v>
      </c>
      <c r="B1655" s="3" t="s">
        <v>619</v>
      </c>
      <c r="C1655" s="3" t="s">
        <v>620</v>
      </c>
      <c r="D1655" s="3" t="s">
        <v>234</v>
      </c>
      <c r="E1655" s="3" t="s">
        <v>235</v>
      </c>
      <c r="F1655" s="3" t="s">
        <v>17</v>
      </c>
      <c r="G1655" s="3" t="s">
        <v>18</v>
      </c>
      <c r="H1655" s="4">
        <v>46291.412016087961</v>
      </c>
      <c r="I1655" s="4">
        <v>46291.450579398152</v>
      </c>
      <c r="J1655" s="3">
        <f>ROUND((I1655-H1655)*1440,0)</f>
        <v>56</v>
      </c>
      <c r="K1655" s="3" t="s">
        <v>931</v>
      </c>
      <c r="L1655" s="3" t="s">
        <v>77</v>
      </c>
      <c r="M1655" s="3" t="s">
        <v>78</v>
      </c>
      <c r="N1655" s="3" t="s">
        <v>23</v>
      </c>
      <c r="O1655" s="3" t="s">
        <v>932</v>
      </c>
    </row>
    <row r="1656" spans="1:15" hidden="1" x14ac:dyDescent="0.75">
      <c r="A1656" s="2">
        <v>46291</v>
      </c>
      <c r="B1656" s="3" t="s">
        <v>2177</v>
      </c>
      <c r="C1656" s="3" t="s">
        <v>2178</v>
      </c>
      <c r="D1656" s="3" t="s">
        <v>350</v>
      </c>
      <c r="E1656" s="3" t="s">
        <v>351</v>
      </c>
      <c r="F1656" s="3" t="s">
        <v>27</v>
      </c>
      <c r="G1656" s="3" t="s">
        <v>28</v>
      </c>
      <c r="H1656" s="4">
        <v>46291.412755324083</v>
      </c>
      <c r="I1656" s="4">
        <v>46291.698618518523</v>
      </c>
      <c r="J1656" s="3">
        <f>ROUND((I1656-H1656)*1440,0)</f>
        <v>412</v>
      </c>
      <c r="K1656" s="3" t="s">
        <v>561</v>
      </c>
      <c r="L1656" s="3" t="s">
        <v>43</v>
      </c>
      <c r="M1656" s="3" t="s">
        <v>44</v>
      </c>
      <c r="N1656" s="3" t="s">
        <v>23</v>
      </c>
      <c r="O1656" s="3" t="s">
        <v>562</v>
      </c>
    </row>
    <row r="1657" spans="1:15" hidden="1" x14ac:dyDescent="0.75">
      <c r="A1657" s="2">
        <v>46291</v>
      </c>
      <c r="B1657" s="3" t="s">
        <v>2179</v>
      </c>
      <c r="C1657" s="3" t="s">
        <v>2180</v>
      </c>
      <c r="D1657" s="3" t="s">
        <v>737</v>
      </c>
      <c r="E1657" s="3" t="s">
        <v>738</v>
      </c>
      <c r="F1657" s="3" t="s">
        <v>17</v>
      </c>
      <c r="G1657" s="3" t="s">
        <v>18</v>
      </c>
      <c r="H1657" s="4">
        <v>46291.414195833328</v>
      </c>
      <c r="I1657" s="4">
        <v>46291.460928009263</v>
      </c>
      <c r="J1657" s="3">
        <f>ROUND((I1657-H1657)*1440,0)</f>
        <v>67</v>
      </c>
      <c r="K1657" s="3" t="s">
        <v>1517</v>
      </c>
      <c r="L1657" s="3" t="s">
        <v>77</v>
      </c>
      <c r="M1657" s="3" t="s">
        <v>78</v>
      </c>
      <c r="N1657" s="3" t="s">
        <v>23</v>
      </c>
      <c r="O1657" s="3" t="s">
        <v>1518</v>
      </c>
    </row>
    <row r="1658" spans="1:15" hidden="1" x14ac:dyDescent="0.75">
      <c r="A1658" s="2">
        <v>46291</v>
      </c>
      <c r="B1658" s="3" t="s">
        <v>687</v>
      </c>
      <c r="C1658" s="3" t="s">
        <v>688</v>
      </c>
      <c r="D1658" s="3" t="s">
        <v>218</v>
      </c>
      <c r="E1658" s="3" t="s">
        <v>219</v>
      </c>
      <c r="F1658" s="3" t="s">
        <v>17</v>
      </c>
      <c r="G1658" s="3" t="s">
        <v>18</v>
      </c>
      <c r="H1658" s="4">
        <v>46291.414584606478</v>
      </c>
      <c r="I1658" s="4">
        <v>46291.469869560176</v>
      </c>
      <c r="J1658" s="3">
        <f>ROUND((I1658-H1658)*1440,0)</f>
        <v>80</v>
      </c>
      <c r="K1658" s="3" t="s">
        <v>160</v>
      </c>
      <c r="L1658" s="3" t="s">
        <v>77</v>
      </c>
      <c r="M1658" s="3" t="s">
        <v>78</v>
      </c>
      <c r="N1658" s="3" t="s">
        <v>23</v>
      </c>
      <c r="O1658" s="3" t="s">
        <v>161</v>
      </c>
    </row>
    <row r="1659" spans="1:15" hidden="1" x14ac:dyDescent="0.75">
      <c r="A1659" s="2">
        <v>46291</v>
      </c>
      <c r="B1659" s="3" t="s">
        <v>613</v>
      </c>
      <c r="C1659" s="3" t="s">
        <v>614</v>
      </c>
      <c r="D1659" s="3" t="s">
        <v>615</v>
      </c>
      <c r="E1659" s="3" t="s">
        <v>616</v>
      </c>
      <c r="F1659" s="3" t="s">
        <v>82</v>
      </c>
      <c r="G1659" s="3" t="s">
        <v>83</v>
      </c>
      <c r="H1659" s="4">
        <v>46291.416158333333</v>
      </c>
      <c r="I1659" s="4">
        <v>46291.586500115744</v>
      </c>
      <c r="J1659" s="3">
        <f>ROUND((I1659-H1659)*1440,0)</f>
        <v>245</v>
      </c>
      <c r="K1659" s="3" t="s">
        <v>1009</v>
      </c>
      <c r="L1659" s="3" t="s">
        <v>36</v>
      </c>
      <c r="M1659" s="3" t="s">
        <v>36</v>
      </c>
      <c r="N1659" s="3" t="s">
        <v>23</v>
      </c>
      <c r="O1659" s="3" t="s">
        <v>1010</v>
      </c>
    </row>
    <row r="1660" spans="1:15" hidden="1" x14ac:dyDescent="0.75">
      <c r="A1660" s="2">
        <v>46291</v>
      </c>
      <c r="B1660" s="3" t="s">
        <v>2175</v>
      </c>
      <c r="C1660" s="3" t="s">
        <v>2176</v>
      </c>
      <c r="D1660" s="3" t="s">
        <v>615</v>
      </c>
      <c r="E1660" s="3" t="s">
        <v>616</v>
      </c>
      <c r="F1660" s="3" t="s">
        <v>27</v>
      </c>
      <c r="G1660" s="3" t="s">
        <v>28</v>
      </c>
      <c r="H1660" s="4">
        <v>46291.417859490743</v>
      </c>
      <c r="I1660" s="4">
        <v>46291.57187673611</v>
      </c>
      <c r="J1660" s="3">
        <f>ROUND((I1660-H1660)*1440,0)</f>
        <v>222</v>
      </c>
      <c r="K1660" s="3" t="s">
        <v>1505</v>
      </c>
      <c r="L1660" s="3" t="s">
        <v>36</v>
      </c>
      <c r="M1660" s="3" t="s">
        <v>36</v>
      </c>
      <c r="N1660" s="3" t="s">
        <v>23</v>
      </c>
      <c r="O1660" s="3" t="s">
        <v>1506</v>
      </c>
    </row>
    <row r="1661" spans="1:15" hidden="1" x14ac:dyDescent="0.75">
      <c r="A1661" s="2">
        <v>46291</v>
      </c>
      <c r="B1661" s="3" t="s">
        <v>611</v>
      </c>
      <c r="C1661" s="3" t="s">
        <v>612</v>
      </c>
      <c r="D1661" s="3" t="s">
        <v>228</v>
      </c>
      <c r="E1661" s="3" t="s">
        <v>229</v>
      </c>
      <c r="F1661" s="3" t="s">
        <v>17</v>
      </c>
      <c r="G1661" s="3" t="s">
        <v>18</v>
      </c>
      <c r="H1661" s="4">
        <v>46291.419636689818</v>
      </c>
      <c r="I1661" s="4">
        <v>46291.471965625002</v>
      </c>
      <c r="J1661" s="3">
        <f>ROUND((I1661-H1661)*1440,0)</f>
        <v>75</v>
      </c>
      <c r="K1661" s="3" t="s">
        <v>2313</v>
      </c>
      <c r="L1661" s="3" t="s">
        <v>77</v>
      </c>
      <c r="M1661" s="3" t="s">
        <v>78</v>
      </c>
      <c r="N1661" s="3" t="s">
        <v>23</v>
      </c>
      <c r="O1661" s="3" t="s">
        <v>2314</v>
      </c>
    </row>
    <row r="1662" spans="1:15" hidden="1" x14ac:dyDescent="0.75">
      <c r="A1662" s="2">
        <v>46291</v>
      </c>
      <c r="B1662" s="3" t="s">
        <v>679</v>
      </c>
      <c r="C1662" s="3" t="s">
        <v>680</v>
      </c>
      <c r="D1662" s="3" t="s">
        <v>148</v>
      </c>
      <c r="E1662" s="3" t="s">
        <v>149</v>
      </c>
      <c r="F1662" s="3" t="s">
        <v>17</v>
      </c>
      <c r="G1662" s="3" t="s">
        <v>18</v>
      </c>
      <c r="H1662" s="4">
        <v>46291.419863078707</v>
      </c>
      <c r="I1662" s="4">
        <v>46291.478974074067</v>
      </c>
      <c r="J1662" s="3">
        <f>ROUND((I1662-H1662)*1440,0)</f>
        <v>85</v>
      </c>
      <c r="K1662" s="3" t="s">
        <v>112</v>
      </c>
      <c r="L1662" s="3" t="s">
        <v>36</v>
      </c>
      <c r="M1662" s="3" t="s">
        <v>36</v>
      </c>
      <c r="N1662" s="3" t="s">
        <v>23</v>
      </c>
      <c r="O1662" s="3" t="s">
        <v>113</v>
      </c>
    </row>
    <row r="1663" spans="1:15" hidden="1" x14ac:dyDescent="0.75">
      <c r="A1663" s="2">
        <v>46291</v>
      </c>
      <c r="B1663" s="3" t="s">
        <v>625</v>
      </c>
      <c r="C1663" s="3" t="s">
        <v>626</v>
      </c>
      <c r="D1663" s="3" t="s">
        <v>56</v>
      </c>
      <c r="E1663" s="3" t="s">
        <v>57</v>
      </c>
      <c r="F1663" s="3" t="s">
        <v>17</v>
      </c>
      <c r="G1663" s="3" t="s">
        <v>18</v>
      </c>
      <c r="H1663" s="4">
        <v>46291.419922685192</v>
      </c>
      <c r="I1663" s="4">
        <v>46291.524682060182</v>
      </c>
      <c r="J1663" s="3">
        <f>ROUND((I1663-H1663)*1440,0)</f>
        <v>151</v>
      </c>
      <c r="K1663" s="3" t="s">
        <v>2339</v>
      </c>
      <c r="L1663" s="3" t="s">
        <v>36</v>
      </c>
      <c r="M1663" s="3" t="s">
        <v>36</v>
      </c>
      <c r="N1663" s="3" t="s">
        <v>23</v>
      </c>
      <c r="O1663" s="3" t="s">
        <v>2340</v>
      </c>
    </row>
    <row r="1664" spans="1:15" hidden="1" x14ac:dyDescent="0.75">
      <c r="A1664" s="2">
        <v>46291</v>
      </c>
      <c r="B1664" s="3" t="s">
        <v>671</v>
      </c>
      <c r="C1664" s="3" t="s">
        <v>672</v>
      </c>
      <c r="D1664" s="3" t="s">
        <v>56</v>
      </c>
      <c r="E1664" s="3" t="s">
        <v>57</v>
      </c>
      <c r="F1664" s="3" t="s">
        <v>27</v>
      </c>
      <c r="G1664" s="3" t="s">
        <v>28</v>
      </c>
      <c r="H1664" s="4">
        <v>46291.422168865742</v>
      </c>
      <c r="I1664" s="4">
        <v>46291.540831712962</v>
      </c>
      <c r="J1664" s="3">
        <f>ROUND((I1664-H1664)*1440,0)</f>
        <v>171</v>
      </c>
      <c r="K1664" s="3" t="s">
        <v>1723</v>
      </c>
      <c r="L1664" s="3" t="s">
        <v>36</v>
      </c>
      <c r="M1664" s="3" t="s">
        <v>36</v>
      </c>
      <c r="N1664" s="3" t="s">
        <v>23</v>
      </c>
      <c r="O1664" s="3" t="s">
        <v>1724</v>
      </c>
    </row>
    <row r="1665" spans="1:15" hidden="1" x14ac:dyDescent="0.75">
      <c r="A1665" s="2">
        <v>46291</v>
      </c>
      <c r="B1665" s="3" t="s">
        <v>639</v>
      </c>
      <c r="C1665" s="3" t="s">
        <v>640</v>
      </c>
      <c r="D1665" s="3" t="s">
        <v>158</v>
      </c>
      <c r="E1665" s="3" t="s">
        <v>159</v>
      </c>
      <c r="F1665" s="3" t="s">
        <v>56</v>
      </c>
      <c r="G1665" s="3" t="s">
        <v>57</v>
      </c>
      <c r="H1665" s="4">
        <v>46291.422286226851</v>
      </c>
      <c r="I1665" s="4">
        <v>46291.503813425923</v>
      </c>
      <c r="J1665" s="3">
        <f>ROUND((I1665-H1665)*1440,0)</f>
        <v>117</v>
      </c>
      <c r="K1665" s="3" t="s">
        <v>673</v>
      </c>
      <c r="L1665" s="3" t="s">
        <v>36</v>
      </c>
      <c r="M1665" s="3" t="s">
        <v>36</v>
      </c>
      <c r="N1665" s="3" t="s">
        <v>23</v>
      </c>
      <c r="O1665" s="3" t="s">
        <v>674</v>
      </c>
    </row>
    <row r="1666" spans="1:15" hidden="1" x14ac:dyDescent="0.75">
      <c r="A1666" s="2">
        <v>46291</v>
      </c>
      <c r="B1666" s="3" t="s">
        <v>627</v>
      </c>
      <c r="C1666" s="3" t="s">
        <v>628</v>
      </c>
      <c r="D1666" s="3" t="s">
        <v>94</v>
      </c>
      <c r="E1666" s="3" t="s">
        <v>95</v>
      </c>
      <c r="F1666" s="3" t="s">
        <v>27</v>
      </c>
      <c r="G1666" s="3" t="s">
        <v>28</v>
      </c>
      <c r="H1666" s="4">
        <v>46291.422734259257</v>
      </c>
      <c r="I1666" s="4">
        <v>46291.483915046287</v>
      </c>
      <c r="J1666" s="3">
        <f>ROUND((I1666-H1666)*1440,0)</f>
        <v>88</v>
      </c>
      <c r="K1666" s="3" t="s">
        <v>2323</v>
      </c>
      <c r="L1666" s="3" t="s">
        <v>77</v>
      </c>
      <c r="M1666" s="3" t="s">
        <v>78</v>
      </c>
      <c r="N1666" s="3" t="s">
        <v>23</v>
      </c>
      <c r="O1666" s="3" t="s">
        <v>2324</v>
      </c>
    </row>
    <row r="1667" spans="1:15" hidden="1" x14ac:dyDescent="0.75">
      <c r="A1667" s="2">
        <v>46291</v>
      </c>
      <c r="B1667" s="3" t="s">
        <v>863</v>
      </c>
      <c r="C1667" s="3" t="s">
        <v>864</v>
      </c>
      <c r="D1667" s="3" t="s">
        <v>58</v>
      </c>
      <c r="E1667" s="3" t="s">
        <v>59</v>
      </c>
      <c r="F1667" s="3" t="s">
        <v>82</v>
      </c>
      <c r="G1667" s="3" t="s">
        <v>83</v>
      </c>
      <c r="H1667" s="4">
        <v>46291.423138310187</v>
      </c>
      <c r="I1667" s="4">
        <v>46291.509987384263</v>
      </c>
      <c r="J1667" s="3">
        <f>ROUND((I1667-H1667)*1440,0)</f>
        <v>125</v>
      </c>
      <c r="K1667" s="3" t="s">
        <v>2125</v>
      </c>
      <c r="L1667" s="3" t="s">
        <v>36</v>
      </c>
      <c r="M1667" s="3" t="s">
        <v>36</v>
      </c>
      <c r="N1667" s="3" t="s">
        <v>23</v>
      </c>
      <c r="O1667" s="3" t="s">
        <v>2126</v>
      </c>
    </row>
    <row r="1668" spans="1:15" hidden="1" x14ac:dyDescent="0.75">
      <c r="A1668" s="2">
        <v>46291</v>
      </c>
      <c r="B1668" s="3" t="s">
        <v>643</v>
      </c>
      <c r="C1668" s="3" t="s">
        <v>644</v>
      </c>
      <c r="D1668" s="3" t="s">
        <v>68</v>
      </c>
      <c r="E1668" s="3" t="s">
        <v>69</v>
      </c>
      <c r="F1668" s="3" t="s">
        <v>84</v>
      </c>
      <c r="G1668" s="3" t="s">
        <v>85</v>
      </c>
      <c r="H1668" s="4">
        <v>46291.423155439807</v>
      </c>
      <c r="I1668" s="4">
        <v>46291.525249999999</v>
      </c>
      <c r="J1668" s="3">
        <f>ROUND((I1668-H1668)*1440,0)</f>
        <v>147</v>
      </c>
      <c r="K1668" s="3" t="s">
        <v>60</v>
      </c>
      <c r="L1668" s="3" t="s">
        <v>36</v>
      </c>
      <c r="M1668" s="3" t="s">
        <v>36</v>
      </c>
      <c r="N1668" s="3" t="s">
        <v>45</v>
      </c>
      <c r="O1668" s="3" t="s">
        <v>61</v>
      </c>
    </row>
    <row r="1669" spans="1:15" x14ac:dyDescent="0.75">
      <c r="A1669" s="13">
        <v>46291</v>
      </c>
      <c r="B1669" s="14" t="s">
        <v>605</v>
      </c>
      <c r="C1669" s="14" t="s">
        <v>606</v>
      </c>
      <c r="D1669" s="14" t="s">
        <v>82</v>
      </c>
      <c r="E1669" s="14" t="s">
        <v>83</v>
      </c>
      <c r="F1669" s="14" t="s">
        <v>17</v>
      </c>
      <c r="G1669" s="14" t="s">
        <v>18</v>
      </c>
      <c r="H1669" s="15">
        <v>46291.423430324066</v>
      </c>
      <c r="I1669" s="15">
        <v>46291.513016898149</v>
      </c>
      <c r="J1669" s="14">
        <f>ROUND((I1669-H1669)*1440,0)</f>
        <v>129</v>
      </c>
      <c r="K1669" s="14" t="s">
        <v>1399</v>
      </c>
      <c r="L1669" s="14" t="s">
        <v>43</v>
      </c>
      <c r="M1669" s="14" t="s">
        <v>44</v>
      </c>
      <c r="N1669" s="14" t="s">
        <v>23</v>
      </c>
      <c r="O1669" s="14" t="s">
        <v>1400</v>
      </c>
    </row>
    <row r="1670" spans="1:15" hidden="1" x14ac:dyDescent="0.75">
      <c r="A1670" s="2">
        <v>46291</v>
      </c>
      <c r="B1670" s="3" t="s">
        <v>2181</v>
      </c>
      <c r="C1670" s="3" t="s">
        <v>2182</v>
      </c>
      <c r="D1670" s="3" t="s">
        <v>196</v>
      </c>
      <c r="E1670" s="3" t="s">
        <v>197</v>
      </c>
      <c r="F1670" s="3" t="s">
        <v>27</v>
      </c>
      <c r="G1670" s="3" t="s">
        <v>28</v>
      </c>
      <c r="H1670" s="4">
        <v>46291.423578587957</v>
      </c>
      <c r="I1670" s="4">
        <v>46291.473390624997</v>
      </c>
      <c r="J1670" s="3">
        <f>ROUND((I1670-H1670)*1440,0)</f>
        <v>72</v>
      </c>
      <c r="K1670" s="3" t="s">
        <v>368</v>
      </c>
      <c r="L1670" s="3" t="s">
        <v>77</v>
      </c>
      <c r="M1670" s="3" t="s">
        <v>78</v>
      </c>
      <c r="N1670" s="3" t="s">
        <v>23</v>
      </c>
      <c r="O1670" s="3" t="s">
        <v>369</v>
      </c>
    </row>
    <row r="1671" spans="1:15" hidden="1" x14ac:dyDescent="0.75">
      <c r="A1671" s="2">
        <v>46291</v>
      </c>
      <c r="B1671" s="3" t="s">
        <v>633</v>
      </c>
      <c r="C1671" s="3" t="s">
        <v>634</v>
      </c>
      <c r="D1671" s="3" t="s">
        <v>416</v>
      </c>
      <c r="E1671" s="3" t="s">
        <v>417</v>
      </c>
      <c r="F1671" s="3" t="s">
        <v>17</v>
      </c>
      <c r="G1671" s="3" t="s">
        <v>18</v>
      </c>
      <c r="H1671" s="4">
        <v>46291.42363449074</v>
      </c>
      <c r="I1671" s="4">
        <v>46291.473208680552</v>
      </c>
      <c r="J1671" s="3">
        <f>ROUND((I1671-H1671)*1440,0)</f>
        <v>71</v>
      </c>
      <c r="K1671" s="3" t="s">
        <v>961</v>
      </c>
      <c r="L1671" s="3" t="s">
        <v>36</v>
      </c>
      <c r="M1671" s="3" t="s">
        <v>36</v>
      </c>
      <c r="N1671" s="3" t="s">
        <v>23</v>
      </c>
      <c r="O1671" s="3" t="s">
        <v>962</v>
      </c>
    </row>
    <row r="1672" spans="1:15" hidden="1" x14ac:dyDescent="0.75">
      <c r="A1672" s="2">
        <v>46291</v>
      </c>
      <c r="B1672" s="3" t="s">
        <v>651</v>
      </c>
      <c r="C1672" s="3" t="s">
        <v>652</v>
      </c>
      <c r="D1672" s="3" t="s">
        <v>27</v>
      </c>
      <c r="E1672" s="3" t="s">
        <v>28</v>
      </c>
      <c r="F1672" s="3" t="s">
        <v>304</v>
      </c>
      <c r="G1672" s="3" t="s">
        <v>305</v>
      </c>
      <c r="H1672" s="4">
        <v>46291.425066898148</v>
      </c>
      <c r="I1672" s="4">
        <v>46291.655817708343</v>
      </c>
      <c r="J1672" s="3">
        <f>ROUND((I1672-H1672)*1440,0)</f>
        <v>332</v>
      </c>
      <c r="K1672" s="3" t="s">
        <v>1257</v>
      </c>
      <c r="L1672" s="3" t="s">
        <v>22</v>
      </c>
      <c r="M1672" s="3" t="s">
        <v>22</v>
      </c>
      <c r="N1672" s="3" t="s">
        <v>23</v>
      </c>
      <c r="O1672" s="3" t="s">
        <v>1258</v>
      </c>
    </row>
    <row r="1673" spans="1:15" hidden="1" x14ac:dyDescent="0.75">
      <c r="A1673" s="2">
        <v>46291</v>
      </c>
      <c r="B1673" s="3" t="s">
        <v>667</v>
      </c>
      <c r="C1673" s="3" t="s">
        <v>668</v>
      </c>
      <c r="D1673" s="3" t="s">
        <v>49</v>
      </c>
      <c r="E1673" s="3" t="s">
        <v>50</v>
      </c>
      <c r="F1673" s="3" t="s">
        <v>27</v>
      </c>
      <c r="G1673" s="3" t="s">
        <v>28</v>
      </c>
      <c r="H1673" s="4">
        <v>46291.425910879632</v>
      </c>
      <c r="I1673" s="4">
        <v>46291.461917361114</v>
      </c>
      <c r="J1673" s="3">
        <f>ROUND((I1673-H1673)*1440,0)</f>
        <v>52</v>
      </c>
      <c r="K1673" s="3" t="s">
        <v>1161</v>
      </c>
      <c r="L1673" s="3" t="s">
        <v>77</v>
      </c>
      <c r="M1673" s="3" t="s">
        <v>78</v>
      </c>
      <c r="N1673" s="3" t="s">
        <v>23</v>
      </c>
      <c r="O1673" s="3" t="s">
        <v>1162</v>
      </c>
    </row>
    <row r="1674" spans="1:15" hidden="1" x14ac:dyDescent="0.75">
      <c r="A1674" s="2">
        <v>46291</v>
      </c>
      <c r="B1674" s="3" t="s">
        <v>839</v>
      </c>
      <c r="C1674" s="3" t="s">
        <v>840</v>
      </c>
      <c r="D1674" s="3" t="s">
        <v>17</v>
      </c>
      <c r="E1674" s="3" t="s">
        <v>18</v>
      </c>
      <c r="F1674" s="3" t="s">
        <v>122</v>
      </c>
      <c r="G1674" s="3" t="s">
        <v>123</v>
      </c>
      <c r="H1674" s="4">
        <v>46291.425983796304</v>
      </c>
      <c r="I1674" s="4">
        <v>46291.659627083332</v>
      </c>
      <c r="J1674" s="3">
        <f>ROUND((I1674-H1674)*1440,0)</f>
        <v>336</v>
      </c>
      <c r="K1674" s="3" t="s">
        <v>1689</v>
      </c>
      <c r="L1674" s="3" t="s">
        <v>22</v>
      </c>
      <c r="M1674" s="3" t="s">
        <v>22</v>
      </c>
      <c r="N1674" s="3" t="s">
        <v>23</v>
      </c>
      <c r="O1674" s="3" t="s">
        <v>1690</v>
      </c>
    </row>
    <row r="1675" spans="1:15" hidden="1" x14ac:dyDescent="0.75">
      <c r="A1675" s="2">
        <v>46291</v>
      </c>
      <c r="B1675" s="3" t="s">
        <v>631</v>
      </c>
      <c r="C1675" s="3" t="s">
        <v>632</v>
      </c>
      <c r="D1675" s="3" t="s">
        <v>182</v>
      </c>
      <c r="E1675" s="3" t="s">
        <v>183</v>
      </c>
      <c r="F1675" s="3" t="s">
        <v>27</v>
      </c>
      <c r="G1675" s="3" t="s">
        <v>28</v>
      </c>
      <c r="H1675" s="4">
        <v>46291.426863541667</v>
      </c>
      <c r="I1675" s="4">
        <v>46291.527326388888</v>
      </c>
      <c r="J1675" s="3">
        <f>ROUND((I1675-H1675)*1440,0)</f>
        <v>145</v>
      </c>
      <c r="K1675" s="3" t="s">
        <v>296</v>
      </c>
      <c r="L1675" s="3" t="s">
        <v>77</v>
      </c>
      <c r="M1675" s="3" t="s">
        <v>78</v>
      </c>
      <c r="N1675" s="3" t="s">
        <v>23</v>
      </c>
      <c r="O1675" s="3" t="s">
        <v>297</v>
      </c>
    </row>
    <row r="1676" spans="1:15" hidden="1" x14ac:dyDescent="0.75">
      <c r="A1676" s="2">
        <v>46291</v>
      </c>
      <c r="B1676" s="3" t="s">
        <v>669</v>
      </c>
      <c r="C1676" s="3" t="s">
        <v>670</v>
      </c>
      <c r="D1676" s="3" t="s">
        <v>208</v>
      </c>
      <c r="E1676" s="3" t="s">
        <v>209</v>
      </c>
      <c r="F1676" s="3" t="s">
        <v>56</v>
      </c>
      <c r="G1676" s="3" t="s">
        <v>57</v>
      </c>
      <c r="H1676" s="4">
        <v>46291.427828472217</v>
      </c>
      <c r="I1676" s="4">
        <v>46291.520121180547</v>
      </c>
      <c r="J1676" s="3">
        <f>ROUND((I1676-H1676)*1440,0)</f>
        <v>133</v>
      </c>
      <c r="K1676" s="3" t="s">
        <v>252</v>
      </c>
      <c r="L1676" s="3" t="s">
        <v>36</v>
      </c>
      <c r="M1676" s="3" t="s">
        <v>36</v>
      </c>
      <c r="N1676" s="3" t="s">
        <v>23</v>
      </c>
      <c r="O1676" s="3" t="s">
        <v>253</v>
      </c>
    </row>
    <row r="1677" spans="1:15" hidden="1" x14ac:dyDescent="0.75">
      <c r="A1677" s="2">
        <v>46291</v>
      </c>
      <c r="B1677" s="3" t="s">
        <v>701</v>
      </c>
      <c r="C1677" s="3" t="s">
        <v>702</v>
      </c>
      <c r="D1677" s="3" t="s">
        <v>56</v>
      </c>
      <c r="E1677" s="3" t="s">
        <v>57</v>
      </c>
      <c r="F1677" s="3" t="s">
        <v>208</v>
      </c>
      <c r="G1677" s="3" t="s">
        <v>209</v>
      </c>
      <c r="H1677" s="4">
        <v>46291.427871874999</v>
      </c>
      <c r="I1677" s="4">
        <v>46291.528965625002</v>
      </c>
      <c r="J1677" s="3">
        <f>ROUND((I1677-H1677)*1440,0)</f>
        <v>146</v>
      </c>
      <c r="K1677" s="3" t="s">
        <v>2215</v>
      </c>
      <c r="L1677" s="3" t="s">
        <v>36</v>
      </c>
      <c r="M1677" s="3" t="s">
        <v>36</v>
      </c>
      <c r="N1677" s="3" t="s">
        <v>23</v>
      </c>
      <c r="O1677" s="3" t="s">
        <v>2216</v>
      </c>
    </row>
    <row r="1678" spans="1:15" hidden="1" x14ac:dyDescent="0.75">
      <c r="A1678" s="2">
        <v>46291</v>
      </c>
      <c r="B1678" s="3" t="s">
        <v>663</v>
      </c>
      <c r="C1678" s="3" t="s">
        <v>664</v>
      </c>
      <c r="D1678" s="3" t="s">
        <v>82</v>
      </c>
      <c r="E1678" s="3" t="s">
        <v>83</v>
      </c>
      <c r="F1678" s="3" t="s">
        <v>82</v>
      </c>
      <c r="G1678" s="3" t="s">
        <v>83</v>
      </c>
      <c r="H1678" s="4">
        <v>46291.429744675923</v>
      </c>
      <c r="I1678" s="4">
        <v>46291.720954282413</v>
      </c>
      <c r="J1678" s="3">
        <f>ROUND((I1678-H1678)*1440,0)</f>
        <v>419</v>
      </c>
      <c r="K1678" s="3" t="s">
        <v>1069</v>
      </c>
      <c r="L1678" s="3" t="s">
        <v>36</v>
      </c>
      <c r="M1678" s="3" t="s">
        <v>36</v>
      </c>
      <c r="N1678" s="3" t="s">
        <v>23</v>
      </c>
      <c r="O1678" s="3" t="s">
        <v>1070</v>
      </c>
    </row>
    <row r="1679" spans="1:15" hidden="1" x14ac:dyDescent="0.75">
      <c r="A1679" s="2">
        <v>46291</v>
      </c>
      <c r="B1679" s="3" t="s">
        <v>717</v>
      </c>
      <c r="C1679" s="3" t="s">
        <v>718</v>
      </c>
      <c r="D1679" s="3" t="s">
        <v>27</v>
      </c>
      <c r="E1679" s="3" t="s">
        <v>28</v>
      </c>
      <c r="F1679" s="3" t="s">
        <v>719</v>
      </c>
      <c r="G1679" s="3" t="s">
        <v>720</v>
      </c>
      <c r="H1679" s="4">
        <v>46291.433593287038</v>
      </c>
      <c r="I1679" s="4">
        <v>46291.557164699072</v>
      </c>
      <c r="J1679" s="3">
        <f>ROUND((I1679-H1679)*1440,0)</f>
        <v>178</v>
      </c>
      <c r="K1679" s="3" t="s">
        <v>240</v>
      </c>
      <c r="L1679" s="3" t="s">
        <v>52</v>
      </c>
      <c r="M1679" s="3"/>
      <c r="N1679" s="3" t="s">
        <v>23</v>
      </c>
      <c r="O1679" s="3" t="s">
        <v>241</v>
      </c>
    </row>
    <row r="1680" spans="1:15" hidden="1" x14ac:dyDescent="0.75">
      <c r="A1680" s="2">
        <v>46291</v>
      </c>
      <c r="B1680" s="3" t="s">
        <v>675</v>
      </c>
      <c r="C1680" s="3" t="s">
        <v>676</v>
      </c>
      <c r="D1680" s="3" t="s">
        <v>17</v>
      </c>
      <c r="E1680" s="3" t="s">
        <v>18</v>
      </c>
      <c r="F1680" s="3" t="s">
        <v>459</v>
      </c>
      <c r="G1680" s="3" t="s">
        <v>460</v>
      </c>
      <c r="H1680" s="4">
        <v>46291.435445023148</v>
      </c>
      <c r="I1680" s="4">
        <v>46291.656030787039</v>
      </c>
      <c r="J1680" s="3">
        <f>ROUND((I1680-H1680)*1440,0)</f>
        <v>318</v>
      </c>
      <c r="K1680" s="3" t="s">
        <v>653</v>
      </c>
      <c r="L1680" s="3" t="s">
        <v>22</v>
      </c>
      <c r="M1680" s="3" t="s">
        <v>22</v>
      </c>
      <c r="N1680" s="3" t="s">
        <v>23</v>
      </c>
      <c r="O1680" s="3" t="s">
        <v>654</v>
      </c>
    </row>
    <row r="1681" spans="1:15" hidden="1" x14ac:dyDescent="0.75">
      <c r="A1681" s="2">
        <v>46291</v>
      </c>
      <c r="B1681" s="3" t="s">
        <v>685</v>
      </c>
      <c r="C1681" s="3" t="s">
        <v>686</v>
      </c>
      <c r="D1681" s="3" t="s">
        <v>244</v>
      </c>
      <c r="E1681" s="3" t="s">
        <v>245</v>
      </c>
      <c r="F1681" s="3" t="s">
        <v>17</v>
      </c>
      <c r="G1681" s="3" t="s">
        <v>18</v>
      </c>
      <c r="H1681" s="4">
        <v>46291.437266898152</v>
      </c>
      <c r="I1681" s="4">
        <v>46291.466823148148</v>
      </c>
      <c r="J1681" s="3">
        <f>ROUND((I1681-H1681)*1440,0)</f>
        <v>43</v>
      </c>
      <c r="K1681" s="3" t="s">
        <v>641</v>
      </c>
      <c r="L1681" s="3" t="s">
        <v>36</v>
      </c>
      <c r="M1681" s="3" t="s">
        <v>36</v>
      </c>
      <c r="N1681" s="3" t="s">
        <v>23</v>
      </c>
      <c r="O1681" s="3" t="s">
        <v>642</v>
      </c>
    </row>
    <row r="1682" spans="1:15" hidden="1" x14ac:dyDescent="0.75">
      <c r="A1682" s="2">
        <v>46291</v>
      </c>
      <c r="B1682" s="3" t="s">
        <v>711</v>
      </c>
      <c r="C1682" s="3" t="s">
        <v>712</v>
      </c>
      <c r="D1682" s="3" t="s">
        <v>84</v>
      </c>
      <c r="E1682" s="3" t="s">
        <v>85</v>
      </c>
      <c r="F1682" s="3" t="s">
        <v>19</v>
      </c>
      <c r="G1682" s="3" t="s">
        <v>20</v>
      </c>
      <c r="H1682" s="4">
        <v>46291.43777488426</v>
      </c>
      <c r="I1682" s="4">
        <v>46291.531880902781</v>
      </c>
      <c r="J1682" s="3">
        <f>ROUND((I1682-H1682)*1440,0)</f>
        <v>136</v>
      </c>
      <c r="K1682" s="3" t="s">
        <v>434</v>
      </c>
      <c r="L1682" s="3" t="s">
        <v>36</v>
      </c>
      <c r="M1682" s="3" t="s">
        <v>36</v>
      </c>
      <c r="N1682" s="3" t="s">
        <v>23</v>
      </c>
      <c r="O1682" s="3" t="s">
        <v>435</v>
      </c>
    </row>
    <row r="1683" spans="1:15" hidden="1" x14ac:dyDescent="0.75">
      <c r="A1683" s="2">
        <v>46291</v>
      </c>
      <c r="B1683" s="3" t="s">
        <v>689</v>
      </c>
      <c r="C1683" s="3" t="s">
        <v>690</v>
      </c>
      <c r="D1683" s="3" t="s">
        <v>17</v>
      </c>
      <c r="E1683" s="3" t="s">
        <v>18</v>
      </c>
      <c r="F1683" s="3"/>
      <c r="G1683" s="3"/>
      <c r="H1683" s="4">
        <v>46291.438782175923</v>
      </c>
      <c r="I1683" s="4">
        <v>46291.491843634263</v>
      </c>
      <c r="J1683" s="3">
        <f>ROUND((I1683-H1683)*1440,0)</f>
        <v>76</v>
      </c>
      <c r="K1683" s="3" t="s">
        <v>188</v>
      </c>
      <c r="L1683" s="3" t="s">
        <v>22</v>
      </c>
      <c r="M1683" s="3" t="s">
        <v>22</v>
      </c>
      <c r="N1683" s="3" t="s">
        <v>443</v>
      </c>
      <c r="O1683" s="3" t="s">
        <v>189</v>
      </c>
    </row>
    <row r="1684" spans="1:15" hidden="1" x14ac:dyDescent="0.75">
      <c r="A1684" s="2">
        <v>46291</v>
      </c>
      <c r="B1684" s="3" t="s">
        <v>693</v>
      </c>
      <c r="C1684" s="3" t="s">
        <v>694</v>
      </c>
      <c r="D1684" s="3" t="s">
        <v>27</v>
      </c>
      <c r="E1684" s="3" t="s">
        <v>28</v>
      </c>
      <c r="F1684" s="3" t="s">
        <v>82</v>
      </c>
      <c r="G1684" s="3" t="s">
        <v>83</v>
      </c>
      <c r="H1684" s="4">
        <v>46291.439044328697</v>
      </c>
      <c r="I1684" s="4">
        <v>46291.608196759262</v>
      </c>
      <c r="J1684" s="3">
        <f>ROUND((I1684-H1684)*1440,0)</f>
        <v>244</v>
      </c>
      <c r="K1684" s="3" t="s">
        <v>1115</v>
      </c>
      <c r="L1684" s="3" t="s">
        <v>77</v>
      </c>
      <c r="M1684" s="3" t="s">
        <v>78</v>
      </c>
      <c r="N1684" s="3" t="s">
        <v>23</v>
      </c>
      <c r="O1684" s="3" t="s">
        <v>1116</v>
      </c>
    </row>
    <row r="1685" spans="1:15" hidden="1" x14ac:dyDescent="0.75">
      <c r="A1685" s="2">
        <v>46291</v>
      </c>
      <c r="B1685" s="3" t="s">
        <v>655</v>
      </c>
      <c r="C1685" s="3" t="s">
        <v>656</v>
      </c>
      <c r="D1685" s="3" t="s">
        <v>56</v>
      </c>
      <c r="E1685" s="3" t="s">
        <v>57</v>
      </c>
      <c r="F1685" s="3" t="s">
        <v>122</v>
      </c>
      <c r="G1685" s="3" t="s">
        <v>123</v>
      </c>
      <c r="H1685" s="4">
        <v>46291.439797453713</v>
      </c>
      <c r="I1685" s="4">
        <v>46291.675319560192</v>
      </c>
      <c r="J1685" s="3">
        <f>ROUND((I1685-H1685)*1440,0)</f>
        <v>339</v>
      </c>
      <c r="K1685" s="3" t="s">
        <v>276</v>
      </c>
      <c r="L1685" s="3" t="s">
        <v>22</v>
      </c>
      <c r="M1685" s="3" t="s">
        <v>22</v>
      </c>
      <c r="N1685" s="3" t="s">
        <v>23</v>
      </c>
      <c r="O1685" s="3" t="s">
        <v>277</v>
      </c>
    </row>
    <row r="1686" spans="1:15" hidden="1" x14ac:dyDescent="0.75">
      <c r="A1686" s="2">
        <v>46291</v>
      </c>
      <c r="B1686" s="3" t="s">
        <v>731</v>
      </c>
      <c r="C1686" s="3" t="s">
        <v>732</v>
      </c>
      <c r="D1686" s="3" t="s">
        <v>27</v>
      </c>
      <c r="E1686" s="3" t="s">
        <v>28</v>
      </c>
      <c r="F1686" s="3" t="s">
        <v>56</v>
      </c>
      <c r="G1686" s="3" t="s">
        <v>57</v>
      </c>
      <c r="H1686" s="4">
        <v>46291.439962384262</v>
      </c>
      <c r="I1686" s="4">
        <v>46291.558740509259</v>
      </c>
      <c r="J1686" s="3">
        <f>ROUND((I1686-H1686)*1440,0)</f>
        <v>171</v>
      </c>
      <c r="K1686" s="3" t="s">
        <v>789</v>
      </c>
      <c r="L1686" s="3" t="s">
        <v>36</v>
      </c>
      <c r="M1686" s="3" t="s">
        <v>36</v>
      </c>
      <c r="N1686" s="3" t="s">
        <v>23</v>
      </c>
      <c r="O1686" s="3" t="s">
        <v>790</v>
      </c>
    </row>
    <row r="1687" spans="1:15" hidden="1" x14ac:dyDescent="0.75">
      <c r="A1687" s="2">
        <v>46291</v>
      </c>
      <c r="B1687" s="3" t="s">
        <v>709</v>
      </c>
      <c r="C1687" s="3" t="s">
        <v>710</v>
      </c>
      <c r="D1687" s="3" t="s">
        <v>172</v>
      </c>
      <c r="E1687" s="3" t="s">
        <v>173</v>
      </c>
      <c r="F1687" s="3" t="s">
        <v>56</v>
      </c>
      <c r="G1687" s="3" t="s">
        <v>57</v>
      </c>
      <c r="H1687" s="4">
        <v>46291.441040509257</v>
      </c>
      <c r="I1687" s="4">
        <v>46291.550723379631</v>
      </c>
      <c r="J1687" s="3">
        <f>ROUND((I1687-H1687)*1440,0)</f>
        <v>158</v>
      </c>
      <c r="K1687" s="3" t="s">
        <v>985</v>
      </c>
      <c r="L1687" s="3" t="s">
        <v>36</v>
      </c>
      <c r="M1687" s="3" t="s">
        <v>36</v>
      </c>
      <c r="N1687" s="3" t="s">
        <v>23</v>
      </c>
      <c r="O1687" s="3" t="s">
        <v>986</v>
      </c>
    </row>
    <row r="1688" spans="1:15" hidden="1" x14ac:dyDescent="0.75">
      <c r="A1688" s="2">
        <v>46291</v>
      </c>
      <c r="B1688" s="3" t="s">
        <v>723</v>
      </c>
      <c r="C1688" s="3" t="s">
        <v>724</v>
      </c>
      <c r="D1688" s="3" t="s">
        <v>82</v>
      </c>
      <c r="E1688" s="3" t="s">
        <v>83</v>
      </c>
      <c r="F1688" s="3" t="s">
        <v>82</v>
      </c>
      <c r="G1688" s="3" t="s">
        <v>83</v>
      </c>
      <c r="H1688" s="4">
        <v>46291.441980787044</v>
      </c>
      <c r="I1688" s="4">
        <v>46291.823450810189</v>
      </c>
      <c r="J1688" s="3">
        <f>ROUND((I1688-H1688)*1440,0)</f>
        <v>549</v>
      </c>
      <c r="K1688" s="3" t="s">
        <v>86</v>
      </c>
      <c r="L1688" s="3" t="s">
        <v>36</v>
      </c>
      <c r="M1688" s="3" t="s">
        <v>36</v>
      </c>
      <c r="N1688" s="3" t="s">
        <v>23</v>
      </c>
      <c r="O1688" s="3" t="s">
        <v>87</v>
      </c>
    </row>
    <row r="1689" spans="1:15" hidden="1" x14ac:dyDescent="0.75">
      <c r="A1689" s="2">
        <v>46291</v>
      </c>
      <c r="B1689" s="3" t="s">
        <v>695</v>
      </c>
      <c r="C1689" s="3" t="s">
        <v>696</v>
      </c>
      <c r="D1689" s="3" t="s">
        <v>27</v>
      </c>
      <c r="E1689" s="3" t="s">
        <v>28</v>
      </c>
      <c r="F1689" s="3" t="s">
        <v>106</v>
      </c>
      <c r="G1689" s="3" t="s">
        <v>107</v>
      </c>
      <c r="H1689" s="4">
        <v>46291.443566203707</v>
      </c>
      <c r="I1689" s="4">
        <v>46291.537914120367</v>
      </c>
      <c r="J1689" s="3">
        <f>ROUND((I1689-H1689)*1440,0)</f>
        <v>136</v>
      </c>
      <c r="K1689" s="3" t="s">
        <v>1033</v>
      </c>
      <c r="L1689" s="3" t="s">
        <v>77</v>
      </c>
      <c r="M1689" s="3" t="s">
        <v>78</v>
      </c>
      <c r="N1689" s="3" t="s">
        <v>23</v>
      </c>
      <c r="O1689" s="3" t="s">
        <v>1034</v>
      </c>
    </row>
    <row r="1690" spans="1:15" hidden="1" x14ac:dyDescent="0.75">
      <c r="A1690" s="2">
        <v>46291</v>
      </c>
      <c r="B1690" s="3" t="s">
        <v>713</v>
      </c>
      <c r="C1690" s="3" t="s">
        <v>714</v>
      </c>
      <c r="D1690" s="3" t="s">
        <v>56</v>
      </c>
      <c r="E1690" s="3" t="s">
        <v>57</v>
      </c>
      <c r="F1690" s="3" t="s">
        <v>615</v>
      </c>
      <c r="G1690" s="3" t="s">
        <v>616</v>
      </c>
      <c r="H1690" s="4">
        <v>46291.445578356477</v>
      </c>
      <c r="I1690" s="4">
        <v>46291.538464814817</v>
      </c>
      <c r="J1690" s="3">
        <f>ROUND((I1690-H1690)*1440,0)</f>
        <v>134</v>
      </c>
      <c r="K1690" s="3" t="s">
        <v>645</v>
      </c>
      <c r="L1690" s="3" t="s">
        <v>36</v>
      </c>
      <c r="M1690" s="3" t="s">
        <v>36</v>
      </c>
      <c r="N1690" s="3" t="s">
        <v>23</v>
      </c>
      <c r="O1690" s="3" t="s">
        <v>646</v>
      </c>
    </row>
    <row r="1691" spans="1:15" hidden="1" x14ac:dyDescent="0.75">
      <c r="A1691" s="2">
        <v>46291</v>
      </c>
      <c r="B1691" s="3" t="s">
        <v>751</v>
      </c>
      <c r="C1691" s="3" t="s">
        <v>752</v>
      </c>
      <c r="D1691" s="3" t="s">
        <v>17</v>
      </c>
      <c r="E1691" s="3" t="s">
        <v>18</v>
      </c>
      <c r="F1691" s="3"/>
      <c r="G1691" s="3"/>
      <c r="H1691" s="4">
        <v>46291.446897800917</v>
      </c>
      <c r="I1691" s="4">
        <v>46291.499812731483</v>
      </c>
      <c r="J1691" s="3">
        <f>ROUND((I1691-H1691)*1440,0)</f>
        <v>76</v>
      </c>
      <c r="K1691" s="3" t="s">
        <v>192</v>
      </c>
      <c r="L1691" s="3" t="s">
        <v>36</v>
      </c>
      <c r="M1691" s="3" t="s">
        <v>36</v>
      </c>
      <c r="N1691" s="3" t="s">
        <v>443</v>
      </c>
      <c r="O1691" s="3" t="s">
        <v>193</v>
      </c>
    </row>
    <row r="1692" spans="1:15" hidden="1" x14ac:dyDescent="0.75">
      <c r="A1692" s="2">
        <v>46291</v>
      </c>
      <c r="B1692" s="3" t="s">
        <v>707</v>
      </c>
      <c r="C1692" s="3" t="s">
        <v>708</v>
      </c>
      <c r="D1692" s="3" t="s">
        <v>350</v>
      </c>
      <c r="E1692" s="3" t="s">
        <v>351</v>
      </c>
      <c r="F1692" s="3" t="s">
        <v>17</v>
      </c>
      <c r="G1692" s="3" t="s">
        <v>18</v>
      </c>
      <c r="H1692" s="4">
        <v>46291.446956828702</v>
      </c>
      <c r="I1692" s="4">
        <v>46291.750156249997</v>
      </c>
      <c r="J1692" s="3">
        <f>ROUND((I1692-H1692)*1440,0)</f>
        <v>437</v>
      </c>
      <c r="K1692" s="3" t="s">
        <v>455</v>
      </c>
      <c r="L1692" s="3" t="s">
        <v>43</v>
      </c>
      <c r="M1692" s="3" t="s">
        <v>44</v>
      </c>
      <c r="N1692" s="3" t="s">
        <v>23</v>
      </c>
      <c r="O1692" s="3" t="s">
        <v>456</v>
      </c>
    </row>
    <row r="1693" spans="1:15" hidden="1" x14ac:dyDescent="0.75">
      <c r="A1693" s="2">
        <v>46291</v>
      </c>
      <c r="B1693" s="3" t="s">
        <v>705</v>
      </c>
      <c r="C1693" s="3" t="s">
        <v>706</v>
      </c>
      <c r="D1693" s="3" t="s">
        <v>40</v>
      </c>
      <c r="E1693" s="3" t="s">
        <v>41</v>
      </c>
      <c r="F1693" s="3" t="s">
        <v>17</v>
      </c>
      <c r="G1693" s="3" t="s">
        <v>18</v>
      </c>
      <c r="H1693" s="4">
        <v>46291.450263194442</v>
      </c>
      <c r="I1693" s="4">
        <v>46291.800205902779</v>
      </c>
      <c r="J1693" s="3">
        <f>ROUND((I1693-H1693)*1440,0)</f>
        <v>504</v>
      </c>
      <c r="K1693" s="3" t="s">
        <v>585</v>
      </c>
      <c r="L1693" s="3" t="s">
        <v>43</v>
      </c>
      <c r="M1693" s="3" t="s">
        <v>44</v>
      </c>
      <c r="N1693" s="3" t="s">
        <v>23</v>
      </c>
      <c r="O1693" s="3" t="s">
        <v>586</v>
      </c>
    </row>
    <row r="1694" spans="1:15" hidden="1" x14ac:dyDescent="0.75">
      <c r="A1694" s="2">
        <v>46291</v>
      </c>
      <c r="B1694" s="3" t="s">
        <v>725</v>
      </c>
      <c r="C1694" s="3" t="s">
        <v>726</v>
      </c>
      <c r="D1694" s="3" t="s">
        <v>58</v>
      </c>
      <c r="E1694" s="3" t="s">
        <v>59</v>
      </c>
      <c r="F1694" s="3" t="s">
        <v>56</v>
      </c>
      <c r="G1694" s="3" t="s">
        <v>57</v>
      </c>
      <c r="H1694" s="4">
        <v>46291.450574189817</v>
      </c>
      <c r="I1694" s="4">
        <v>46291.54762060185</v>
      </c>
      <c r="J1694" s="3">
        <f>ROUND((I1694-H1694)*1440,0)</f>
        <v>140</v>
      </c>
      <c r="K1694" s="3" t="s">
        <v>813</v>
      </c>
      <c r="L1694" s="3" t="s">
        <v>36</v>
      </c>
      <c r="M1694" s="3" t="s">
        <v>36</v>
      </c>
      <c r="N1694" s="3" t="s">
        <v>23</v>
      </c>
      <c r="O1694" s="3" t="s">
        <v>814</v>
      </c>
    </row>
    <row r="1695" spans="1:15" hidden="1" x14ac:dyDescent="0.75">
      <c r="A1695" s="2">
        <v>46291</v>
      </c>
      <c r="B1695" s="3" t="s">
        <v>735</v>
      </c>
      <c r="C1695" s="3" t="s">
        <v>736</v>
      </c>
      <c r="D1695" s="3" t="s">
        <v>17</v>
      </c>
      <c r="E1695" s="3" t="s">
        <v>18</v>
      </c>
      <c r="F1695" s="3" t="s">
        <v>737</v>
      </c>
      <c r="G1695" s="3" t="s">
        <v>738</v>
      </c>
      <c r="H1695" s="4">
        <v>46291.45083159722</v>
      </c>
      <c r="I1695" s="4">
        <v>46291.485892013887</v>
      </c>
      <c r="J1695" s="3">
        <f>ROUND((I1695-H1695)*1440,0)</f>
        <v>50</v>
      </c>
      <c r="K1695" s="3" t="s">
        <v>807</v>
      </c>
      <c r="L1695" s="3" t="s">
        <v>77</v>
      </c>
      <c r="M1695" s="3" t="s">
        <v>78</v>
      </c>
      <c r="N1695" s="3" t="s">
        <v>45</v>
      </c>
      <c r="O1695" s="3" t="s">
        <v>808</v>
      </c>
    </row>
    <row r="1696" spans="1:15" hidden="1" x14ac:dyDescent="0.75">
      <c r="A1696" s="2">
        <v>46291</v>
      </c>
      <c r="B1696" s="3" t="s">
        <v>733</v>
      </c>
      <c r="C1696" s="3" t="s">
        <v>734</v>
      </c>
      <c r="D1696" s="3" t="s">
        <v>27</v>
      </c>
      <c r="E1696" s="3" t="s">
        <v>28</v>
      </c>
      <c r="F1696" s="3" t="s">
        <v>228</v>
      </c>
      <c r="G1696" s="3" t="s">
        <v>229</v>
      </c>
      <c r="H1696" s="4">
        <v>46291.451353703713</v>
      </c>
      <c r="I1696" s="4">
        <v>46291.505873726848</v>
      </c>
      <c r="J1696" s="3">
        <f>ROUND((I1696-H1696)*1440,0)</f>
        <v>79</v>
      </c>
      <c r="K1696" s="3" t="s">
        <v>1501</v>
      </c>
      <c r="L1696" s="3" t="s">
        <v>77</v>
      </c>
      <c r="M1696" s="3" t="s">
        <v>78</v>
      </c>
      <c r="N1696" s="3" t="s">
        <v>23</v>
      </c>
      <c r="O1696" s="3" t="s">
        <v>1502</v>
      </c>
    </row>
    <row r="1697" spans="1:15" hidden="1" x14ac:dyDescent="0.75">
      <c r="A1697" s="2">
        <v>46291</v>
      </c>
      <c r="B1697" s="3" t="s">
        <v>681</v>
      </c>
      <c r="C1697" s="3" t="s">
        <v>682</v>
      </c>
      <c r="D1697" s="3" t="s">
        <v>17</v>
      </c>
      <c r="E1697" s="3" t="s">
        <v>18</v>
      </c>
      <c r="F1697" s="3" t="s">
        <v>683</v>
      </c>
      <c r="G1697" s="3" t="s">
        <v>684</v>
      </c>
      <c r="H1697" s="4">
        <v>46291.45178703704</v>
      </c>
      <c r="I1697" s="4">
        <v>46291.590248726847</v>
      </c>
      <c r="J1697" s="3">
        <f>ROUND((I1697-H1697)*1440,0)</f>
        <v>199</v>
      </c>
      <c r="K1697" s="3" t="s">
        <v>485</v>
      </c>
      <c r="L1697" s="3" t="s">
        <v>36</v>
      </c>
      <c r="M1697" s="3" t="s">
        <v>36</v>
      </c>
      <c r="N1697" s="3" t="s">
        <v>23</v>
      </c>
      <c r="O1697" s="3" t="s">
        <v>486</v>
      </c>
    </row>
    <row r="1698" spans="1:15" hidden="1" x14ac:dyDescent="0.75">
      <c r="A1698" s="2">
        <v>46291</v>
      </c>
      <c r="B1698" s="3" t="s">
        <v>635</v>
      </c>
      <c r="C1698" s="3" t="s">
        <v>636</v>
      </c>
      <c r="D1698" s="3" t="s">
        <v>615</v>
      </c>
      <c r="E1698" s="3" t="s">
        <v>616</v>
      </c>
      <c r="F1698" s="3" t="s">
        <v>17</v>
      </c>
      <c r="G1698" s="3" t="s">
        <v>18</v>
      </c>
      <c r="H1698" s="4">
        <v>46291.453633912039</v>
      </c>
      <c r="I1698" s="4">
        <v>46291.59651087963</v>
      </c>
      <c r="J1698" s="3">
        <f>ROUND((I1698-H1698)*1440,0)</f>
        <v>206</v>
      </c>
      <c r="K1698" s="3" t="s">
        <v>1617</v>
      </c>
      <c r="L1698" s="3" t="s">
        <v>36</v>
      </c>
      <c r="M1698" s="3" t="s">
        <v>36</v>
      </c>
      <c r="N1698" s="3" t="s">
        <v>23</v>
      </c>
      <c r="O1698" s="3" t="s">
        <v>1618</v>
      </c>
    </row>
    <row r="1699" spans="1:15" hidden="1" x14ac:dyDescent="0.75">
      <c r="A1699" s="2">
        <v>46291</v>
      </c>
      <c r="B1699" s="3" t="s">
        <v>741</v>
      </c>
      <c r="C1699" s="3" t="s">
        <v>742</v>
      </c>
      <c r="D1699" s="3" t="s">
        <v>17</v>
      </c>
      <c r="E1699" s="3" t="s">
        <v>18</v>
      </c>
      <c r="F1699" s="3" t="s">
        <v>27</v>
      </c>
      <c r="G1699" s="3" t="s">
        <v>28</v>
      </c>
      <c r="H1699" s="4">
        <v>46291.454846064807</v>
      </c>
      <c r="I1699" s="4">
        <v>46291.482526967593</v>
      </c>
      <c r="J1699" s="3">
        <f>ROUND((I1699-H1699)*1440,0)</f>
        <v>40</v>
      </c>
      <c r="K1699" s="3" t="s">
        <v>783</v>
      </c>
      <c r="L1699" s="3" t="s">
        <v>77</v>
      </c>
      <c r="M1699" s="3" t="s">
        <v>78</v>
      </c>
      <c r="N1699" s="3" t="s">
        <v>23</v>
      </c>
      <c r="O1699" s="3" t="s">
        <v>784</v>
      </c>
    </row>
    <row r="1700" spans="1:15" hidden="1" x14ac:dyDescent="0.75">
      <c r="A1700" s="2">
        <v>46291</v>
      </c>
      <c r="B1700" s="3" t="s">
        <v>727</v>
      </c>
      <c r="C1700" s="3" t="s">
        <v>728</v>
      </c>
      <c r="D1700" s="3" t="s">
        <v>172</v>
      </c>
      <c r="E1700" s="3" t="s">
        <v>173</v>
      </c>
      <c r="F1700" s="3" t="s">
        <v>17</v>
      </c>
      <c r="G1700" s="3" t="s">
        <v>18</v>
      </c>
      <c r="H1700" s="4">
        <v>46291.455793055553</v>
      </c>
      <c r="I1700" s="4">
        <v>46291.486469212963</v>
      </c>
      <c r="J1700" s="3">
        <f>ROUND((I1700-H1700)*1440,0)</f>
        <v>44</v>
      </c>
      <c r="K1700" s="3" t="s">
        <v>108</v>
      </c>
      <c r="L1700" s="3" t="s">
        <v>36</v>
      </c>
      <c r="M1700" s="3" t="s">
        <v>36</v>
      </c>
      <c r="N1700" s="3" t="s">
        <v>23</v>
      </c>
      <c r="O1700" s="3" t="s">
        <v>109</v>
      </c>
    </row>
    <row r="1701" spans="1:15" hidden="1" x14ac:dyDescent="0.75">
      <c r="A1701" s="2">
        <v>46291</v>
      </c>
      <c r="B1701" s="3" t="s">
        <v>753</v>
      </c>
      <c r="C1701" s="3" t="s">
        <v>754</v>
      </c>
      <c r="D1701" s="3" t="s">
        <v>17</v>
      </c>
      <c r="E1701" s="3" t="s">
        <v>18</v>
      </c>
      <c r="F1701" s="3" t="s">
        <v>68</v>
      </c>
      <c r="G1701" s="3" t="s">
        <v>69</v>
      </c>
      <c r="H1701" s="4">
        <v>46291.455918749998</v>
      </c>
      <c r="I1701" s="4">
        <v>46291.547332754628</v>
      </c>
      <c r="J1701" s="3">
        <f>ROUND((I1701-H1701)*1440,0)</f>
        <v>132</v>
      </c>
      <c r="K1701" s="3" t="s">
        <v>1537</v>
      </c>
      <c r="L1701" s="3" t="s">
        <v>43</v>
      </c>
      <c r="M1701" s="3" t="s">
        <v>44</v>
      </c>
      <c r="N1701" s="3" t="s">
        <v>23</v>
      </c>
      <c r="O1701" s="3" t="s">
        <v>1538</v>
      </c>
    </row>
    <row r="1702" spans="1:15" hidden="1" x14ac:dyDescent="0.75">
      <c r="A1702" s="2">
        <v>46291</v>
      </c>
      <c r="B1702" s="3" t="s">
        <v>2191</v>
      </c>
      <c r="C1702" s="3" t="s">
        <v>2192</v>
      </c>
      <c r="D1702" s="3" t="s">
        <v>106</v>
      </c>
      <c r="E1702" s="3" t="s">
        <v>107</v>
      </c>
      <c r="F1702" s="3" t="s">
        <v>27</v>
      </c>
      <c r="G1702" s="3" t="s">
        <v>28</v>
      </c>
      <c r="H1702" s="4">
        <v>46291.457314699073</v>
      </c>
      <c r="I1702" s="4">
        <v>46291.552863773148</v>
      </c>
      <c r="J1702" s="3">
        <f>ROUND((I1702-H1702)*1440,0)</f>
        <v>138</v>
      </c>
      <c r="K1702" s="3" t="s">
        <v>372</v>
      </c>
      <c r="L1702" s="3" t="s">
        <v>77</v>
      </c>
      <c r="M1702" s="3" t="s">
        <v>78</v>
      </c>
      <c r="N1702" s="3" t="s">
        <v>23</v>
      </c>
      <c r="O1702" s="3" t="s">
        <v>373</v>
      </c>
    </row>
    <row r="1703" spans="1:15" hidden="1" x14ac:dyDescent="0.75">
      <c r="A1703" s="2">
        <v>46291</v>
      </c>
      <c r="B1703" s="3" t="s">
        <v>759</v>
      </c>
      <c r="C1703" s="3" t="s">
        <v>760</v>
      </c>
      <c r="D1703" s="3" t="s">
        <v>19</v>
      </c>
      <c r="E1703" s="3" t="s">
        <v>20</v>
      </c>
      <c r="F1703" s="3" t="s">
        <v>27</v>
      </c>
      <c r="G1703" s="3" t="s">
        <v>28</v>
      </c>
      <c r="H1703" s="4">
        <v>46291.458313194453</v>
      </c>
      <c r="I1703" s="4">
        <v>46291.567143518521</v>
      </c>
      <c r="J1703" s="3">
        <f>ROUND((I1703-H1703)*1440,0)</f>
        <v>157</v>
      </c>
      <c r="K1703" s="3" t="s">
        <v>21</v>
      </c>
      <c r="L1703" s="3" t="s">
        <v>22</v>
      </c>
      <c r="M1703" s="3" t="s">
        <v>22</v>
      </c>
      <c r="N1703" s="3" t="s">
        <v>23</v>
      </c>
      <c r="O1703" s="3" t="s">
        <v>24</v>
      </c>
    </row>
    <row r="1704" spans="1:15" hidden="1" x14ac:dyDescent="0.75">
      <c r="A1704" s="2">
        <v>46291</v>
      </c>
      <c r="B1704" s="3" t="s">
        <v>771</v>
      </c>
      <c r="C1704" s="3" t="s">
        <v>772</v>
      </c>
      <c r="D1704" s="3" t="s">
        <v>228</v>
      </c>
      <c r="E1704" s="3" t="s">
        <v>229</v>
      </c>
      <c r="F1704" s="3" t="s">
        <v>56</v>
      </c>
      <c r="G1704" s="3" t="s">
        <v>57</v>
      </c>
      <c r="H1704" s="4">
        <v>46291.459559722221</v>
      </c>
      <c r="I1704" s="4">
        <v>46291.544429050933</v>
      </c>
      <c r="J1704" s="3">
        <f>ROUND((I1704-H1704)*1440,0)</f>
        <v>122</v>
      </c>
      <c r="K1704" s="3" t="s">
        <v>184</v>
      </c>
      <c r="L1704" s="3" t="s">
        <v>77</v>
      </c>
      <c r="M1704" s="3" t="s">
        <v>78</v>
      </c>
      <c r="N1704" s="3" t="s">
        <v>23</v>
      </c>
      <c r="O1704" s="3" t="s">
        <v>185</v>
      </c>
    </row>
    <row r="1705" spans="1:15" hidden="1" x14ac:dyDescent="0.75">
      <c r="A1705" s="2">
        <v>46291</v>
      </c>
      <c r="B1705" s="3" t="s">
        <v>761</v>
      </c>
      <c r="C1705" s="3" t="s">
        <v>762</v>
      </c>
      <c r="D1705" s="3" t="s">
        <v>218</v>
      </c>
      <c r="E1705" s="3" t="s">
        <v>219</v>
      </c>
      <c r="F1705" s="3" t="s">
        <v>56</v>
      </c>
      <c r="G1705" s="3" t="s">
        <v>57</v>
      </c>
      <c r="H1705" s="4">
        <v>46291.460590162038</v>
      </c>
      <c r="I1705" s="4">
        <v>46291.560289699068</v>
      </c>
      <c r="J1705" s="3">
        <f>ROUND((I1705-H1705)*1440,0)</f>
        <v>144</v>
      </c>
      <c r="K1705" s="3" t="s">
        <v>76</v>
      </c>
      <c r="L1705" s="3" t="s">
        <v>77</v>
      </c>
      <c r="M1705" s="3" t="s">
        <v>78</v>
      </c>
      <c r="N1705" s="3" t="s">
        <v>23</v>
      </c>
      <c r="O1705" s="3" t="s">
        <v>79</v>
      </c>
    </row>
    <row r="1706" spans="1:15" hidden="1" x14ac:dyDescent="0.75">
      <c r="A1706" s="2">
        <v>46291</v>
      </c>
      <c r="B1706" s="3" t="s">
        <v>797</v>
      </c>
      <c r="C1706" s="3" t="s">
        <v>798</v>
      </c>
      <c r="D1706" s="3" t="s">
        <v>148</v>
      </c>
      <c r="E1706" s="3" t="s">
        <v>149</v>
      </c>
      <c r="F1706" s="3" t="s">
        <v>56</v>
      </c>
      <c r="G1706" s="3" t="s">
        <v>57</v>
      </c>
      <c r="H1706" s="4">
        <v>46291.46074224537</v>
      </c>
      <c r="I1706" s="4">
        <v>46291.557730671288</v>
      </c>
      <c r="J1706" s="3">
        <f>ROUND((I1706-H1706)*1440,0)</f>
        <v>140</v>
      </c>
      <c r="K1706" s="3" t="s">
        <v>272</v>
      </c>
      <c r="L1706" s="3" t="s">
        <v>36</v>
      </c>
      <c r="M1706" s="3" t="s">
        <v>36</v>
      </c>
      <c r="N1706" s="3" t="s">
        <v>23</v>
      </c>
      <c r="O1706" s="3" t="s">
        <v>273</v>
      </c>
    </row>
    <row r="1707" spans="1:15" hidden="1" x14ac:dyDescent="0.75">
      <c r="A1707" s="2">
        <v>46291</v>
      </c>
      <c r="B1707" s="3" t="s">
        <v>2189</v>
      </c>
      <c r="C1707" s="3" t="s">
        <v>2190</v>
      </c>
      <c r="D1707" s="3" t="s">
        <v>56</v>
      </c>
      <c r="E1707" s="3" t="s">
        <v>57</v>
      </c>
      <c r="F1707" s="3" t="s">
        <v>84</v>
      </c>
      <c r="G1707" s="3" t="s">
        <v>85</v>
      </c>
      <c r="H1707" s="4">
        <v>46291.460905671287</v>
      </c>
      <c r="I1707" s="4">
        <v>46291.567335763888</v>
      </c>
      <c r="J1707" s="3">
        <f>ROUND((I1707-H1707)*1440,0)</f>
        <v>153</v>
      </c>
      <c r="K1707" s="3" t="s">
        <v>1077</v>
      </c>
      <c r="L1707" s="3" t="s">
        <v>36</v>
      </c>
      <c r="M1707" s="3" t="s">
        <v>36</v>
      </c>
      <c r="N1707" s="3" t="s">
        <v>45</v>
      </c>
      <c r="O1707" s="3" t="s">
        <v>1078</v>
      </c>
    </row>
    <row r="1708" spans="1:15" hidden="1" x14ac:dyDescent="0.75">
      <c r="A1708" s="2">
        <v>46291</v>
      </c>
      <c r="B1708" s="3" t="s">
        <v>855</v>
      </c>
      <c r="C1708" s="3" t="s">
        <v>856</v>
      </c>
      <c r="D1708" s="3" t="s">
        <v>17</v>
      </c>
      <c r="E1708" s="3" t="s">
        <v>18</v>
      </c>
      <c r="F1708" s="3" t="s">
        <v>264</v>
      </c>
      <c r="G1708" s="3" t="s">
        <v>265</v>
      </c>
      <c r="H1708" s="4">
        <v>46291.461323842603</v>
      </c>
      <c r="I1708" s="4">
        <v>46291.664525347223</v>
      </c>
      <c r="J1708" s="3">
        <f>ROUND((I1708-H1708)*1440,0)</f>
        <v>293</v>
      </c>
      <c r="K1708" s="3" t="s">
        <v>473</v>
      </c>
      <c r="L1708" s="3" t="s">
        <v>43</v>
      </c>
      <c r="M1708" s="3" t="s">
        <v>44</v>
      </c>
      <c r="N1708" s="3" t="s">
        <v>23</v>
      </c>
      <c r="O1708" s="3" t="s">
        <v>474</v>
      </c>
    </row>
    <row r="1709" spans="1:15" hidden="1" x14ac:dyDescent="0.75">
      <c r="A1709" s="2">
        <v>46291</v>
      </c>
      <c r="B1709" s="3" t="s">
        <v>817</v>
      </c>
      <c r="C1709" s="3" t="s">
        <v>818</v>
      </c>
      <c r="D1709" s="3" t="s">
        <v>84</v>
      </c>
      <c r="E1709" s="3" t="s">
        <v>85</v>
      </c>
      <c r="F1709" s="3" t="s">
        <v>719</v>
      </c>
      <c r="G1709" s="3" t="s">
        <v>720</v>
      </c>
      <c r="H1709" s="4">
        <v>46291.461363425929</v>
      </c>
      <c r="I1709" s="4">
        <v>46291.565379513893</v>
      </c>
      <c r="J1709" s="3">
        <f>ROUND((I1709-H1709)*1440,0)</f>
        <v>150</v>
      </c>
      <c r="K1709" s="3" t="s">
        <v>1157</v>
      </c>
      <c r="L1709" s="3" t="s">
        <v>36</v>
      </c>
      <c r="M1709" s="3" t="s">
        <v>36</v>
      </c>
      <c r="N1709" s="3" t="s">
        <v>23</v>
      </c>
      <c r="O1709" s="3" t="s">
        <v>1158</v>
      </c>
    </row>
    <row r="1710" spans="1:15" hidden="1" x14ac:dyDescent="0.75">
      <c r="A1710" s="2">
        <v>46291</v>
      </c>
      <c r="B1710" s="3" t="s">
        <v>809</v>
      </c>
      <c r="C1710" s="3" t="s">
        <v>810</v>
      </c>
      <c r="D1710" s="3" t="s">
        <v>128</v>
      </c>
      <c r="E1710" s="3" t="s">
        <v>129</v>
      </c>
      <c r="F1710" s="3" t="s">
        <v>56</v>
      </c>
      <c r="G1710" s="3" t="s">
        <v>57</v>
      </c>
      <c r="H1710" s="4">
        <v>46291.462234143517</v>
      </c>
      <c r="I1710" s="4">
        <v>46291.56146597222</v>
      </c>
      <c r="J1710" s="3">
        <f>ROUND((I1710-H1710)*1440,0)</f>
        <v>143</v>
      </c>
      <c r="K1710" s="3" t="s">
        <v>993</v>
      </c>
      <c r="L1710" s="3" t="s">
        <v>36</v>
      </c>
      <c r="M1710" s="3" t="s">
        <v>36</v>
      </c>
      <c r="N1710" s="3" t="s">
        <v>23</v>
      </c>
      <c r="O1710" s="3" t="s">
        <v>994</v>
      </c>
    </row>
    <row r="1711" spans="1:15" hidden="1" x14ac:dyDescent="0.75">
      <c r="A1711" s="2">
        <v>46291</v>
      </c>
      <c r="B1711" s="3" t="s">
        <v>845</v>
      </c>
      <c r="C1711" s="3" t="s">
        <v>846</v>
      </c>
      <c r="D1711" s="3" t="s">
        <v>208</v>
      </c>
      <c r="E1711" s="3" t="s">
        <v>209</v>
      </c>
      <c r="F1711" s="3" t="s">
        <v>68</v>
      </c>
      <c r="G1711" s="3" t="s">
        <v>69</v>
      </c>
      <c r="H1711" s="4">
        <v>46291.462668865737</v>
      </c>
      <c r="I1711" s="4">
        <v>46291.558255439813</v>
      </c>
      <c r="J1711" s="3">
        <f>ROUND((I1711-H1711)*1440,0)</f>
        <v>138</v>
      </c>
      <c r="K1711" s="3" t="s">
        <v>1735</v>
      </c>
      <c r="L1711" s="3" t="s">
        <v>77</v>
      </c>
      <c r="M1711" s="3" t="s">
        <v>78</v>
      </c>
      <c r="N1711" s="3" t="s">
        <v>23</v>
      </c>
      <c r="O1711" s="3" t="s">
        <v>1736</v>
      </c>
    </row>
    <row r="1712" spans="1:15" hidden="1" x14ac:dyDescent="0.75">
      <c r="A1712" s="2">
        <v>46291</v>
      </c>
      <c r="B1712" s="3" t="s">
        <v>827</v>
      </c>
      <c r="C1712" s="3" t="s">
        <v>828</v>
      </c>
      <c r="D1712" s="3" t="s">
        <v>56</v>
      </c>
      <c r="E1712" s="3" t="s">
        <v>57</v>
      </c>
      <c r="F1712" s="3" t="s">
        <v>304</v>
      </c>
      <c r="G1712" s="3" t="s">
        <v>305</v>
      </c>
      <c r="H1712" s="4">
        <v>46291.462902199077</v>
      </c>
      <c r="I1712" s="4">
        <v>46291.680077662037</v>
      </c>
      <c r="J1712" s="3">
        <f>ROUND((I1712-H1712)*1440,0)</f>
        <v>313</v>
      </c>
      <c r="K1712" s="3" t="s">
        <v>426</v>
      </c>
      <c r="L1712" s="3" t="s">
        <v>22</v>
      </c>
      <c r="M1712" s="3" t="s">
        <v>22</v>
      </c>
      <c r="N1712" s="3" t="s">
        <v>23</v>
      </c>
      <c r="O1712" s="3" t="s">
        <v>427</v>
      </c>
    </row>
    <row r="1713" spans="1:15" hidden="1" x14ac:dyDescent="0.75">
      <c r="A1713" s="2">
        <v>46291</v>
      </c>
      <c r="B1713" s="3" t="s">
        <v>791</v>
      </c>
      <c r="C1713" s="3" t="s">
        <v>792</v>
      </c>
      <c r="D1713" s="3" t="s">
        <v>27</v>
      </c>
      <c r="E1713" s="3" t="s">
        <v>28</v>
      </c>
      <c r="F1713" s="3" t="s">
        <v>334</v>
      </c>
      <c r="G1713" s="3" t="s">
        <v>335</v>
      </c>
      <c r="H1713" s="4">
        <v>46291.463644328702</v>
      </c>
      <c r="I1713" s="4">
        <v>46291.54718483796</v>
      </c>
      <c r="J1713" s="3">
        <f>ROUND((I1713-H1713)*1440,0)</f>
        <v>120</v>
      </c>
      <c r="K1713" s="3" t="s">
        <v>224</v>
      </c>
      <c r="L1713" s="3" t="s">
        <v>77</v>
      </c>
      <c r="M1713" s="3" t="s">
        <v>78</v>
      </c>
      <c r="N1713" s="3" t="s">
        <v>23</v>
      </c>
      <c r="O1713" s="3" t="s">
        <v>225</v>
      </c>
    </row>
    <row r="1714" spans="1:15" hidden="1" x14ac:dyDescent="0.75">
      <c r="A1714" s="2">
        <v>46291</v>
      </c>
      <c r="B1714" s="3" t="s">
        <v>811</v>
      </c>
      <c r="C1714" s="3" t="s">
        <v>812</v>
      </c>
      <c r="D1714" s="3" t="s">
        <v>158</v>
      </c>
      <c r="E1714" s="3" t="s">
        <v>159</v>
      </c>
      <c r="F1714" s="3" t="s">
        <v>82</v>
      </c>
      <c r="G1714" s="3" t="s">
        <v>83</v>
      </c>
      <c r="H1714" s="4">
        <v>46291.46420509259</v>
      </c>
      <c r="I1714" s="4">
        <v>46291.540890046293</v>
      </c>
      <c r="J1714" s="3">
        <f>ROUND((I1714-H1714)*1440,0)</f>
        <v>110</v>
      </c>
      <c r="K1714" s="3" t="s">
        <v>384</v>
      </c>
      <c r="L1714" s="3" t="s">
        <v>36</v>
      </c>
      <c r="M1714" s="3" t="s">
        <v>36</v>
      </c>
      <c r="N1714" s="3" t="s">
        <v>23</v>
      </c>
      <c r="O1714" s="3" t="s">
        <v>385</v>
      </c>
    </row>
    <row r="1715" spans="1:15" hidden="1" x14ac:dyDescent="0.75">
      <c r="A1715" s="2">
        <v>46291</v>
      </c>
      <c r="B1715" s="3" t="s">
        <v>749</v>
      </c>
      <c r="C1715" s="3" t="s">
        <v>750</v>
      </c>
      <c r="D1715" s="3" t="s">
        <v>27</v>
      </c>
      <c r="E1715" s="3" t="s">
        <v>28</v>
      </c>
      <c r="F1715" s="3" t="s">
        <v>19</v>
      </c>
      <c r="G1715" s="3" t="s">
        <v>20</v>
      </c>
      <c r="H1715" s="4">
        <v>46291.464455208326</v>
      </c>
      <c r="I1715" s="4">
        <v>46291.580100462961</v>
      </c>
      <c r="J1715" s="3">
        <f>ROUND((I1715-H1715)*1440,0)</f>
        <v>167</v>
      </c>
      <c r="K1715" s="3" t="s">
        <v>847</v>
      </c>
      <c r="L1715" s="3" t="s">
        <v>77</v>
      </c>
      <c r="M1715" s="3" t="s">
        <v>78</v>
      </c>
      <c r="N1715" s="3" t="s">
        <v>23</v>
      </c>
      <c r="O1715" s="3" t="s">
        <v>848</v>
      </c>
    </row>
    <row r="1716" spans="1:15" hidden="1" x14ac:dyDescent="0.75">
      <c r="A1716" s="2">
        <v>46291</v>
      </c>
      <c r="B1716" s="3" t="s">
        <v>2351</v>
      </c>
      <c r="C1716" s="3" t="s">
        <v>2352</v>
      </c>
      <c r="D1716" s="3" t="s">
        <v>737</v>
      </c>
      <c r="E1716" s="3" t="s">
        <v>738</v>
      </c>
      <c r="F1716" s="3" t="s">
        <v>56</v>
      </c>
      <c r="G1716" s="3" t="s">
        <v>57</v>
      </c>
      <c r="H1716" s="4">
        <v>46291.465088310193</v>
      </c>
      <c r="I1716" s="4">
        <v>46291.566746064818</v>
      </c>
      <c r="J1716" s="3">
        <f>ROUND((I1716-H1716)*1440,0)</f>
        <v>146</v>
      </c>
      <c r="K1716" s="3" t="s">
        <v>210</v>
      </c>
      <c r="L1716" s="3" t="s">
        <v>36</v>
      </c>
      <c r="M1716" s="3" t="s">
        <v>36</v>
      </c>
      <c r="N1716" s="3" t="s">
        <v>23</v>
      </c>
      <c r="O1716" s="3" t="s">
        <v>211</v>
      </c>
    </row>
    <row r="1717" spans="1:15" hidden="1" x14ac:dyDescent="0.75">
      <c r="A1717" s="2">
        <v>46291</v>
      </c>
      <c r="B1717" s="3" t="s">
        <v>795</v>
      </c>
      <c r="C1717" s="3" t="s">
        <v>796</v>
      </c>
      <c r="D1717" s="3" t="s">
        <v>49</v>
      </c>
      <c r="E1717" s="3" t="s">
        <v>50</v>
      </c>
      <c r="F1717" s="3" t="s">
        <v>56</v>
      </c>
      <c r="G1717" s="3" t="s">
        <v>57</v>
      </c>
      <c r="H1717" s="4">
        <v>46291.465771527779</v>
      </c>
      <c r="I1717" s="4">
        <v>46291.552581249998</v>
      </c>
      <c r="J1717" s="3">
        <f>ROUND((I1717-H1717)*1440,0)</f>
        <v>125</v>
      </c>
      <c r="K1717" s="3" t="s">
        <v>775</v>
      </c>
      <c r="L1717" s="3" t="s">
        <v>36</v>
      </c>
      <c r="M1717" s="3" t="s">
        <v>36</v>
      </c>
      <c r="N1717" s="3" t="s">
        <v>23</v>
      </c>
      <c r="O1717" s="3" t="s">
        <v>776</v>
      </c>
    </row>
    <row r="1718" spans="1:15" hidden="1" x14ac:dyDescent="0.75">
      <c r="A1718" s="2">
        <v>46291</v>
      </c>
      <c r="B1718" s="3" t="s">
        <v>805</v>
      </c>
      <c r="C1718" s="3" t="s">
        <v>806</v>
      </c>
      <c r="D1718" s="3" t="s">
        <v>82</v>
      </c>
      <c r="E1718" s="3" t="s">
        <v>83</v>
      </c>
      <c r="F1718" s="3" t="s">
        <v>27</v>
      </c>
      <c r="G1718" s="3" t="s">
        <v>28</v>
      </c>
      <c r="H1718" s="4">
        <v>46291.466744675927</v>
      </c>
      <c r="I1718" s="4">
        <v>46291.575497685182</v>
      </c>
      <c r="J1718" s="3">
        <f>ROUND((I1718-H1718)*1440,0)</f>
        <v>157</v>
      </c>
      <c r="K1718" s="3" t="s">
        <v>623</v>
      </c>
      <c r="L1718" s="3" t="s">
        <v>77</v>
      </c>
      <c r="M1718" s="3" t="s">
        <v>78</v>
      </c>
      <c r="N1718" s="3" t="s">
        <v>23</v>
      </c>
      <c r="O1718" s="3" t="s">
        <v>624</v>
      </c>
    </row>
    <row r="1719" spans="1:15" hidden="1" x14ac:dyDescent="0.75">
      <c r="A1719" s="2">
        <v>46291</v>
      </c>
      <c r="B1719" s="3" t="s">
        <v>773</v>
      </c>
      <c r="C1719" s="3" t="s">
        <v>774</v>
      </c>
      <c r="D1719" s="3" t="s">
        <v>244</v>
      </c>
      <c r="E1719" s="3" t="s">
        <v>245</v>
      </c>
      <c r="F1719" s="3" t="s">
        <v>56</v>
      </c>
      <c r="G1719" s="3" t="s">
        <v>57</v>
      </c>
      <c r="H1719" s="4">
        <v>46291.466802662027</v>
      </c>
      <c r="I1719" s="4">
        <v>46291.578728935187</v>
      </c>
      <c r="J1719" s="3">
        <f>ROUND((I1719-H1719)*1440,0)</f>
        <v>161</v>
      </c>
      <c r="K1719" s="3" t="s">
        <v>887</v>
      </c>
      <c r="L1719" s="3" t="s">
        <v>36</v>
      </c>
      <c r="M1719" s="3" t="s">
        <v>36</v>
      </c>
      <c r="N1719" s="3" t="s">
        <v>23</v>
      </c>
      <c r="O1719" s="3" t="s">
        <v>888</v>
      </c>
    </row>
    <row r="1720" spans="1:15" hidden="1" x14ac:dyDescent="0.75">
      <c r="A1720" s="2">
        <v>46291</v>
      </c>
      <c r="B1720" s="3" t="s">
        <v>821</v>
      </c>
      <c r="C1720" s="3" t="s">
        <v>822</v>
      </c>
      <c r="D1720" s="3" t="s">
        <v>400</v>
      </c>
      <c r="E1720" s="3" t="s">
        <v>401</v>
      </c>
      <c r="F1720" s="3" t="s">
        <v>17</v>
      </c>
      <c r="G1720" s="3" t="s">
        <v>18</v>
      </c>
      <c r="H1720" s="4">
        <v>46291.467775925928</v>
      </c>
      <c r="I1720" s="4">
        <v>46291.511319328703</v>
      </c>
      <c r="J1720" s="3">
        <f>ROUND((I1720-H1720)*1440,0)</f>
        <v>63</v>
      </c>
      <c r="K1720" s="3" t="s">
        <v>118</v>
      </c>
      <c r="L1720" s="3" t="s">
        <v>36</v>
      </c>
      <c r="M1720" s="3" t="s">
        <v>36</v>
      </c>
      <c r="N1720" s="3" t="s">
        <v>23</v>
      </c>
      <c r="O1720" s="3" t="s">
        <v>119</v>
      </c>
    </row>
    <row r="1721" spans="1:15" hidden="1" x14ac:dyDescent="0.75">
      <c r="A1721" s="2">
        <v>46291</v>
      </c>
      <c r="B1721" s="3" t="s">
        <v>785</v>
      </c>
      <c r="C1721" s="3" t="s">
        <v>786</v>
      </c>
      <c r="D1721" s="3" t="s">
        <v>58</v>
      </c>
      <c r="E1721" s="3" t="s">
        <v>59</v>
      </c>
      <c r="F1721" s="3" t="s">
        <v>304</v>
      </c>
      <c r="G1721" s="3" t="s">
        <v>305</v>
      </c>
      <c r="H1721" s="4">
        <v>46291.467897800932</v>
      </c>
      <c r="I1721" s="4">
        <v>46291.686222685188</v>
      </c>
      <c r="J1721" s="3">
        <f>ROUND((I1721-H1721)*1440,0)</f>
        <v>314</v>
      </c>
      <c r="K1721" s="3" t="s">
        <v>523</v>
      </c>
      <c r="L1721" s="3" t="s">
        <v>22</v>
      </c>
      <c r="M1721" s="3" t="s">
        <v>22</v>
      </c>
      <c r="N1721" s="3" t="s">
        <v>23</v>
      </c>
      <c r="O1721" s="3" t="s">
        <v>524</v>
      </c>
    </row>
    <row r="1722" spans="1:15" hidden="1" x14ac:dyDescent="0.75">
      <c r="A1722" s="2">
        <v>46291</v>
      </c>
      <c r="B1722" s="3" t="s">
        <v>2205</v>
      </c>
      <c r="C1722" s="3" t="s">
        <v>2206</v>
      </c>
      <c r="D1722" s="3" t="s">
        <v>1871</v>
      </c>
      <c r="E1722" s="3" t="s">
        <v>1872</v>
      </c>
      <c r="F1722" s="3" t="s">
        <v>56</v>
      </c>
      <c r="G1722" s="3" t="s">
        <v>57</v>
      </c>
      <c r="H1722" s="4">
        <v>46291.468836111111</v>
      </c>
      <c r="I1722" s="4">
        <v>46291.575376273147</v>
      </c>
      <c r="J1722" s="3">
        <f>ROUND((I1722-H1722)*1440,0)</f>
        <v>153</v>
      </c>
      <c r="K1722" s="3" t="s">
        <v>873</v>
      </c>
      <c r="L1722" s="3" t="s">
        <v>36</v>
      </c>
      <c r="M1722" s="3" t="s">
        <v>36</v>
      </c>
      <c r="N1722" s="3" t="s">
        <v>23</v>
      </c>
      <c r="O1722" s="3" t="s">
        <v>874</v>
      </c>
    </row>
    <row r="1723" spans="1:15" hidden="1" x14ac:dyDescent="0.75">
      <c r="A1723" s="2">
        <v>46291</v>
      </c>
      <c r="B1723" s="3" t="s">
        <v>777</v>
      </c>
      <c r="C1723" s="3" t="s">
        <v>778</v>
      </c>
      <c r="D1723" s="3" t="s">
        <v>116</v>
      </c>
      <c r="E1723" s="3" t="s">
        <v>117</v>
      </c>
      <c r="F1723" s="3" t="s">
        <v>56</v>
      </c>
      <c r="G1723" s="3" t="s">
        <v>57</v>
      </c>
      <c r="H1723" s="4">
        <v>46291.468953009258</v>
      </c>
      <c r="I1723" s="4">
        <v>46291.563442129627</v>
      </c>
      <c r="J1723" s="3">
        <f>ROUND((I1723-H1723)*1440,0)</f>
        <v>136</v>
      </c>
      <c r="K1723" s="3" t="s">
        <v>1389</v>
      </c>
      <c r="L1723" s="3" t="s">
        <v>36</v>
      </c>
      <c r="M1723" s="3" t="s">
        <v>36</v>
      </c>
      <c r="N1723" s="3" t="s">
        <v>23</v>
      </c>
      <c r="O1723" s="3" t="s">
        <v>1390</v>
      </c>
    </row>
    <row r="1724" spans="1:15" hidden="1" x14ac:dyDescent="0.75">
      <c r="A1724" s="2">
        <v>46291</v>
      </c>
      <c r="B1724" s="3" t="s">
        <v>779</v>
      </c>
      <c r="C1724" s="3" t="s">
        <v>780</v>
      </c>
      <c r="D1724" s="3" t="s">
        <v>344</v>
      </c>
      <c r="E1724" s="3" t="s">
        <v>345</v>
      </c>
      <c r="F1724" s="3" t="s">
        <v>17</v>
      </c>
      <c r="G1724" s="3" t="s">
        <v>18</v>
      </c>
      <c r="H1724" s="4">
        <v>46291.469100115741</v>
      </c>
      <c r="I1724" s="4">
        <v>46291.804609375002</v>
      </c>
      <c r="J1724" s="3">
        <f>ROUND((I1724-H1724)*1440,0)</f>
        <v>483</v>
      </c>
      <c r="K1724" s="3" t="s">
        <v>352</v>
      </c>
      <c r="L1724" s="3" t="s">
        <v>43</v>
      </c>
      <c r="M1724" s="3" t="s">
        <v>44</v>
      </c>
      <c r="N1724" s="3" t="s">
        <v>23</v>
      </c>
      <c r="O1724" s="3" t="s">
        <v>353</v>
      </c>
    </row>
    <row r="1725" spans="1:15" hidden="1" x14ac:dyDescent="0.75">
      <c r="A1725" s="2">
        <v>46291</v>
      </c>
      <c r="B1725" s="3" t="s">
        <v>849</v>
      </c>
      <c r="C1725" s="3" t="s">
        <v>850</v>
      </c>
      <c r="D1725" s="3" t="s">
        <v>19</v>
      </c>
      <c r="E1725" s="3" t="s">
        <v>20</v>
      </c>
      <c r="F1725" s="3" t="s">
        <v>17</v>
      </c>
      <c r="G1725" s="3" t="s">
        <v>18</v>
      </c>
      <c r="H1725" s="4">
        <v>46291.470063657413</v>
      </c>
      <c r="I1725" s="4">
        <v>46291.565187731481</v>
      </c>
      <c r="J1725" s="3">
        <f>ROUND((I1725-H1725)*1440,0)</f>
        <v>137</v>
      </c>
      <c r="K1725" s="3" t="s">
        <v>336</v>
      </c>
      <c r="L1725" s="3" t="s">
        <v>36</v>
      </c>
      <c r="M1725" s="3" t="s">
        <v>36</v>
      </c>
      <c r="N1725" s="3" t="s">
        <v>23</v>
      </c>
      <c r="O1725" s="3" t="s">
        <v>337</v>
      </c>
    </row>
    <row r="1726" spans="1:15" hidden="1" x14ac:dyDescent="0.75">
      <c r="A1726" s="2">
        <v>46291</v>
      </c>
      <c r="B1726" s="3" t="s">
        <v>2195</v>
      </c>
      <c r="C1726" s="3" t="s">
        <v>2196</v>
      </c>
      <c r="D1726" s="3" t="s">
        <v>94</v>
      </c>
      <c r="E1726" s="3" t="s">
        <v>95</v>
      </c>
      <c r="F1726" s="3" t="s">
        <v>17</v>
      </c>
      <c r="G1726" s="3" t="s">
        <v>18</v>
      </c>
      <c r="H1726" s="4">
        <v>46291.470558333327</v>
      </c>
      <c r="I1726" s="4">
        <v>46291.52009953704</v>
      </c>
      <c r="J1726" s="3">
        <f>ROUND((I1726-H1726)*1440,0)</f>
        <v>71</v>
      </c>
      <c r="K1726" s="3" t="s">
        <v>1185</v>
      </c>
      <c r="L1726" s="3" t="s">
        <v>36</v>
      </c>
      <c r="M1726" s="3" t="s">
        <v>36</v>
      </c>
      <c r="N1726" s="3" t="s">
        <v>23</v>
      </c>
      <c r="O1726" s="3" t="s">
        <v>1186</v>
      </c>
    </row>
    <row r="1727" spans="1:15" hidden="1" x14ac:dyDescent="0.75">
      <c r="A1727" s="2">
        <v>46291</v>
      </c>
      <c r="B1727" s="3" t="s">
        <v>829</v>
      </c>
      <c r="C1727" s="3" t="s">
        <v>830</v>
      </c>
      <c r="D1727" s="3" t="s">
        <v>737</v>
      </c>
      <c r="E1727" s="3" t="s">
        <v>738</v>
      </c>
      <c r="F1727" s="3" t="s">
        <v>82</v>
      </c>
      <c r="G1727" s="3" t="s">
        <v>83</v>
      </c>
      <c r="H1727" s="4">
        <v>46291.471192592588</v>
      </c>
      <c r="I1727" s="4">
        <v>46291.61036712963</v>
      </c>
      <c r="J1727" s="3">
        <f>ROUND((I1727-H1727)*1440,0)</f>
        <v>200</v>
      </c>
      <c r="K1727" s="3" t="s">
        <v>697</v>
      </c>
      <c r="L1727" s="3" t="s">
        <v>77</v>
      </c>
      <c r="M1727" s="3" t="s">
        <v>78</v>
      </c>
      <c r="N1727" s="3" t="s">
        <v>23</v>
      </c>
      <c r="O1727" s="3" t="s">
        <v>698</v>
      </c>
    </row>
    <row r="1728" spans="1:15" hidden="1" x14ac:dyDescent="0.75">
      <c r="A1728" s="2">
        <v>46291</v>
      </c>
      <c r="B1728" s="3" t="s">
        <v>815</v>
      </c>
      <c r="C1728" s="3" t="s">
        <v>816</v>
      </c>
      <c r="D1728" s="3" t="s">
        <v>27</v>
      </c>
      <c r="E1728" s="3" t="s">
        <v>28</v>
      </c>
      <c r="F1728" s="3" t="s">
        <v>264</v>
      </c>
      <c r="G1728" s="3" t="s">
        <v>265</v>
      </c>
      <c r="H1728" s="4">
        <v>46291.472200694443</v>
      </c>
      <c r="I1728" s="4">
        <v>46291.684507407408</v>
      </c>
      <c r="J1728" s="3">
        <f>ROUND((I1728-H1728)*1440,0)</f>
        <v>306</v>
      </c>
      <c r="K1728" s="3" t="s">
        <v>2239</v>
      </c>
      <c r="L1728" s="3" t="s">
        <v>43</v>
      </c>
      <c r="M1728" s="3" t="s">
        <v>44</v>
      </c>
      <c r="N1728" s="3" t="s">
        <v>23</v>
      </c>
      <c r="O1728" s="3" t="s">
        <v>2240</v>
      </c>
    </row>
    <row r="1729" spans="1:15" hidden="1" x14ac:dyDescent="0.75">
      <c r="A1729" s="2">
        <v>46291</v>
      </c>
      <c r="B1729" s="3" t="s">
        <v>2353</v>
      </c>
      <c r="C1729" s="3" t="s">
        <v>2354</v>
      </c>
      <c r="D1729" s="3" t="s">
        <v>17</v>
      </c>
      <c r="E1729" s="3" t="s">
        <v>18</v>
      </c>
      <c r="F1729" s="3"/>
      <c r="G1729" s="3"/>
      <c r="H1729" s="4">
        <v>46291.472435648153</v>
      </c>
      <c r="I1729" s="4">
        <v>46291.526560532409</v>
      </c>
      <c r="J1729" s="3">
        <f>ROUND((I1729-H1729)*1440,0)</f>
        <v>78</v>
      </c>
      <c r="K1729" s="3" t="s">
        <v>1651</v>
      </c>
      <c r="L1729" s="3" t="s">
        <v>36</v>
      </c>
      <c r="M1729" s="3" t="s">
        <v>36</v>
      </c>
      <c r="N1729" s="3" t="s">
        <v>443</v>
      </c>
      <c r="O1729" s="3" t="s">
        <v>1652</v>
      </c>
    </row>
    <row r="1730" spans="1:15" hidden="1" x14ac:dyDescent="0.75">
      <c r="A1730" s="2">
        <v>46291</v>
      </c>
      <c r="B1730" s="3" t="s">
        <v>879</v>
      </c>
      <c r="C1730" s="3" t="s">
        <v>880</v>
      </c>
      <c r="D1730" s="3" t="s">
        <v>286</v>
      </c>
      <c r="E1730" s="3" t="s">
        <v>287</v>
      </c>
      <c r="F1730" s="3"/>
      <c r="G1730" s="3"/>
      <c r="H1730" s="4">
        <v>46291.473049189823</v>
      </c>
      <c r="I1730" s="4">
        <v>46291.543543287044</v>
      </c>
      <c r="J1730" s="3">
        <f>ROUND((I1730-H1730)*1440,0)</f>
        <v>102</v>
      </c>
      <c r="K1730" s="3" t="s">
        <v>288</v>
      </c>
      <c r="L1730" s="3" t="s">
        <v>43</v>
      </c>
      <c r="M1730" s="3" t="s">
        <v>44</v>
      </c>
      <c r="N1730" s="3" t="s">
        <v>443</v>
      </c>
      <c r="O1730" s="3" t="s">
        <v>289</v>
      </c>
    </row>
    <row r="1731" spans="1:15" hidden="1" x14ac:dyDescent="0.75">
      <c r="A1731" s="2">
        <v>46291</v>
      </c>
      <c r="B1731" s="3" t="s">
        <v>851</v>
      </c>
      <c r="C1731" s="3" t="s">
        <v>852</v>
      </c>
      <c r="D1731" s="3" t="s">
        <v>334</v>
      </c>
      <c r="E1731" s="3" t="s">
        <v>335</v>
      </c>
      <c r="F1731" s="3" t="s">
        <v>56</v>
      </c>
      <c r="G1731" s="3" t="s">
        <v>57</v>
      </c>
      <c r="H1731" s="4">
        <v>46291.47323171296</v>
      </c>
      <c r="I1731" s="4">
        <v>46291.595527083336</v>
      </c>
      <c r="J1731" s="3">
        <f>ROUND((I1731-H1731)*1440,0)</f>
        <v>176</v>
      </c>
      <c r="K1731" s="3" t="s">
        <v>102</v>
      </c>
      <c r="L1731" s="3" t="s">
        <v>36</v>
      </c>
      <c r="M1731" s="3" t="s">
        <v>36</v>
      </c>
      <c r="N1731" s="3" t="s">
        <v>23</v>
      </c>
      <c r="O1731" s="3" t="s">
        <v>103</v>
      </c>
    </row>
    <row r="1732" spans="1:15" hidden="1" x14ac:dyDescent="0.75">
      <c r="A1732" s="2">
        <v>46291</v>
      </c>
      <c r="B1732" s="3" t="s">
        <v>1209</v>
      </c>
      <c r="C1732" s="3" t="s">
        <v>1210</v>
      </c>
      <c r="D1732" s="3" t="s">
        <v>82</v>
      </c>
      <c r="E1732" s="3" t="s">
        <v>83</v>
      </c>
      <c r="F1732" s="3" t="s">
        <v>615</v>
      </c>
      <c r="G1732" s="3" t="s">
        <v>616</v>
      </c>
      <c r="H1732" s="4">
        <v>46291.473366435188</v>
      </c>
      <c r="I1732" s="4">
        <v>46291.576748842592</v>
      </c>
      <c r="J1732" s="3">
        <f>ROUND((I1732-H1732)*1440,0)</f>
        <v>149</v>
      </c>
      <c r="K1732" s="3" t="s">
        <v>154</v>
      </c>
      <c r="L1732" s="3" t="s">
        <v>36</v>
      </c>
      <c r="M1732" s="3" t="s">
        <v>36</v>
      </c>
      <c r="N1732" s="3" t="s">
        <v>45</v>
      </c>
      <c r="O1732" s="3" t="s">
        <v>155</v>
      </c>
    </row>
    <row r="1733" spans="1:15" hidden="1" x14ac:dyDescent="0.75">
      <c r="A1733" s="2">
        <v>46291</v>
      </c>
      <c r="B1733" s="3" t="s">
        <v>837</v>
      </c>
      <c r="C1733" s="3" t="s">
        <v>838</v>
      </c>
      <c r="D1733" s="3" t="s">
        <v>100</v>
      </c>
      <c r="E1733" s="3" t="s">
        <v>101</v>
      </c>
      <c r="F1733" s="3" t="s">
        <v>56</v>
      </c>
      <c r="G1733" s="3" t="s">
        <v>57</v>
      </c>
      <c r="H1733" s="4">
        <v>46291.47381585648</v>
      </c>
      <c r="I1733" s="4">
        <v>46291.508424884261</v>
      </c>
      <c r="J1733" s="3">
        <f>ROUND((I1733-H1733)*1440,0)</f>
        <v>50</v>
      </c>
      <c r="K1733" s="3" t="s">
        <v>134</v>
      </c>
      <c r="L1733" s="3" t="s">
        <v>36</v>
      </c>
      <c r="M1733" s="3" t="s">
        <v>36</v>
      </c>
      <c r="N1733" s="3" t="s">
        <v>23</v>
      </c>
      <c r="O1733" s="3" t="s">
        <v>135</v>
      </c>
    </row>
    <row r="1734" spans="1:15" hidden="1" x14ac:dyDescent="0.75">
      <c r="A1734" s="2">
        <v>46291</v>
      </c>
      <c r="B1734" s="3" t="s">
        <v>941</v>
      </c>
      <c r="C1734" s="3" t="s">
        <v>942</v>
      </c>
      <c r="D1734" s="3" t="s">
        <v>27</v>
      </c>
      <c r="E1734" s="3" t="s">
        <v>28</v>
      </c>
      <c r="F1734" s="3" t="s">
        <v>122</v>
      </c>
      <c r="G1734" s="3" t="s">
        <v>123</v>
      </c>
      <c r="H1734" s="4">
        <v>46291.474044444447</v>
      </c>
      <c r="I1734" s="4">
        <v>46291.713963310183</v>
      </c>
      <c r="J1734" s="3">
        <f>ROUND((I1734-H1734)*1440,0)</f>
        <v>345</v>
      </c>
      <c r="K1734" s="3" t="s">
        <v>769</v>
      </c>
      <c r="L1734" s="3" t="s">
        <v>43</v>
      </c>
      <c r="M1734" s="3" t="s">
        <v>44</v>
      </c>
      <c r="N1734" s="3" t="s">
        <v>23</v>
      </c>
      <c r="O1734" s="3" t="s">
        <v>770</v>
      </c>
    </row>
    <row r="1735" spans="1:15" hidden="1" x14ac:dyDescent="0.75">
      <c r="A1735" s="2">
        <v>46291</v>
      </c>
      <c r="B1735" s="3" t="s">
        <v>2355</v>
      </c>
      <c r="C1735" s="3" t="s">
        <v>2356</v>
      </c>
      <c r="D1735" s="3" t="s">
        <v>17</v>
      </c>
      <c r="E1735" s="3" t="s">
        <v>18</v>
      </c>
      <c r="F1735" s="3" t="s">
        <v>17</v>
      </c>
      <c r="G1735" s="3" t="s">
        <v>18</v>
      </c>
      <c r="H1735" s="4">
        <v>46291.474056250001</v>
      </c>
      <c r="I1735" s="4">
        <v>46291.859454398153</v>
      </c>
      <c r="J1735" s="3">
        <f>ROUND((I1735-H1735)*1440,0)</f>
        <v>555</v>
      </c>
      <c r="K1735" s="3" t="s">
        <v>481</v>
      </c>
      <c r="L1735" s="3" t="s">
        <v>22</v>
      </c>
      <c r="M1735" s="3" t="s">
        <v>22</v>
      </c>
      <c r="N1735" s="3" t="s">
        <v>23</v>
      </c>
      <c r="O1735" s="3" t="s">
        <v>482</v>
      </c>
    </row>
    <row r="1736" spans="1:15" hidden="1" x14ac:dyDescent="0.75">
      <c r="A1736" s="2">
        <v>46291</v>
      </c>
      <c r="B1736" s="3" t="s">
        <v>787</v>
      </c>
      <c r="C1736" s="3" t="s">
        <v>788</v>
      </c>
      <c r="D1736" s="3" t="s">
        <v>615</v>
      </c>
      <c r="E1736" s="3" t="s">
        <v>616</v>
      </c>
      <c r="F1736" s="3" t="s">
        <v>49</v>
      </c>
      <c r="G1736" s="3" t="s">
        <v>50</v>
      </c>
      <c r="H1736" s="4">
        <v>46291.475458333327</v>
      </c>
      <c r="I1736" s="4">
        <v>46291.621869328701</v>
      </c>
      <c r="J1736" s="3">
        <f>ROUND((I1736-H1736)*1440,0)</f>
        <v>211</v>
      </c>
      <c r="K1736" s="3" t="s">
        <v>935</v>
      </c>
      <c r="L1736" s="3" t="s">
        <v>36</v>
      </c>
      <c r="M1736" s="3" t="s">
        <v>36</v>
      </c>
      <c r="N1736" s="3" t="s">
        <v>23</v>
      </c>
      <c r="O1736" s="3" t="s">
        <v>936</v>
      </c>
    </row>
    <row r="1737" spans="1:15" hidden="1" x14ac:dyDescent="0.75">
      <c r="A1737" s="2">
        <v>46291</v>
      </c>
      <c r="B1737" s="3" t="s">
        <v>843</v>
      </c>
      <c r="C1737" s="3" t="s">
        <v>844</v>
      </c>
      <c r="D1737" s="3" t="s">
        <v>360</v>
      </c>
      <c r="E1737" s="3" t="s">
        <v>361</v>
      </c>
      <c r="F1737" s="3" t="s">
        <v>17</v>
      </c>
      <c r="G1737" s="3" t="s">
        <v>18</v>
      </c>
      <c r="H1737" s="4">
        <v>46291.476966087961</v>
      </c>
      <c r="I1737" s="4">
        <v>46291.786247453703</v>
      </c>
      <c r="J1737" s="3">
        <f>ROUND((I1737-H1737)*1440,0)</f>
        <v>445</v>
      </c>
      <c r="K1737" s="3" t="s">
        <v>533</v>
      </c>
      <c r="L1737" s="3" t="s">
        <v>43</v>
      </c>
      <c r="M1737" s="3" t="s">
        <v>44</v>
      </c>
      <c r="N1737" s="3" t="s">
        <v>23</v>
      </c>
      <c r="O1737" s="3" t="s">
        <v>534</v>
      </c>
    </row>
    <row r="1738" spans="1:15" hidden="1" x14ac:dyDescent="0.75">
      <c r="A1738" s="2">
        <v>46291</v>
      </c>
      <c r="B1738" s="3" t="s">
        <v>835</v>
      </c>
      <c r="C1738" s="3" t="s">
        <v>836</v>
      </c>
      <c r="D1738" s="3" t="s">
        <v>270</v>
      </c>
      <c r="E1738" s="3" t="s">
        <v>271</v>
      </c>
      <c r="F1738" s="3" t="s">
        <v>56</v>
      </c>
      <c r="G1738" s="3" t="s">
        <v>57</v>
      </c>
      <c r="H1738" s="4">
        <v>46291.477237962958</v>
      </c>
      <c r="I1738" s="4">
        <v>46291.564376967603</v>
      </c>
      <c r="J1738" s="3">
        <f>ROUND((I1738-H1738)*1440,0)</f>
        <v>125</v>
      </c>
      <c r="K1738" s="3" t="s">
        <v>859</v>
      </c>
      <c r="L1738" s="3" t="s">
        <v>36</v>
      </c>
      <c r="M1738" s="3" t="s">
        <v>36</v>
      </c>
      <c r="N1738" s="3" t="s">
        <v>23</v>
      </c>
      <c r="O1738" s="3" t="s">
        <v>860</v>
      </c>
    </row>
    <row r="1739" spans="1:15" hidden="1" x14ac:dyDescent="0.75">
      <c r="A1739" s="2">
        <v>46291</v>
      </c>
      <c r="B1739" s="3" t="s">
        <v>823</v>
      </c>
      <c r="C1739" s="3" t="s">
        <v>824</v>
      </c>
      <c r="D1739" s="3" t="s">
        <v>74</v>
      </c>
      <c r="E1739" s="3" t="s">
        <v>75</v>
      </c>
      <c r="F1739" s="3" t="s">
        <v>56</v>
      </c>
      <c r="G1739" s="3" t="s">
        <v>57</v>
      </c>
      <c r="H1739" s="4">
        <v>46291.477450231483</v>
      </c>
      <c r="I1739" s="4">
        <v>46291.562537500002</v>
      </c>
      <c r="J1739" s="3">
        <f>ROUND((I1739-H1739)*1440,0)</f>
        <v>123</v>
      </c>
      <c r="K1739" s="3" t="s">
        <v>220</v>
      </c>
      <c r="L1739" s="3" t="s">
        <v>77</v>
      </c>
      <c r="M1739" s="3" t="s">
        <v>78</v>
      </c>
      <c r="N1739" s="3" t="s">
        <v>23</v>
      </c>
      <c r="O1739" s="3" t="s">
        <v>221</v>
      </c>
    </row>
    <row r="1740" spans="1:15" hidden="1" x14ac:dyDescent="0.75">
      <c r="A1740" s="2">
        <v>46291</v>
      </c>
      <c r="B1740" s="3" t="s">
        <v>833</v>
      </c>
      <c r="C1740" s="3" t="s">
        <v>834</v>
      </c>
      <c r="D1740" s="3" t="s">
        <v>142</v>
      </c>
      <c r="E1740" s="3" t="s">
        <v>143</v>
      </c>
      <c r="F1740" s="3" t="s">
        <v>56</v>
      </c>
      <c r="G1740" s="3" t="s">
        <v>57</v>
      </c>
      <c r="H1740" s="4">
        <v>46291.478683333327</v>
      </c>
      <c r="I1740" s="4">
        <v>46291.581301620368</v>
      </c>
      <c r="J1740" s="3">
        <f>ROUND((I1740-H1740)*1440,0)</f>
        <v>148</v>
      </c>
      <c r="K1740" s="3" t="s">
        <v>981</v>
      </c>
      <c r="L1740" s="3" t="s">
        <v>36</v>
      </c>
      <c r="M1740" s="3" t="s">
        <v>36</v>
      </c>
      <c r="N1740" s="3" t="s">
        <v>23</v>
      </c>
      <c r="O1740" s="3" t="s">
        <v>982</v>
      </c>
    </row>
    <row r="1741" spans="1:15" hidden="1" x14ac:dyDescent="0.75">
      <c r="A1741" s="2">
        <v>46291</v>
      </c>
      <c r="B1741" s="3" t="s">
        <v>803</v>
      </c>
      <c r="C1741" s="3" t="s">
        <v>804</v>
      </c>
      <c r="D1741" s="3" t="s">
        <v>27</v>
      </c>
      <c r="E1741" s="3" t="s">
        <v>28</v>
      </c>
      <c r="F1741" s="3" t="s">
        <v>17</v>
      </c>
      <c r="G1741" s="3" t="s">
        <v>18</v>
      </c>
      <c r="H1741" s="4">
        <v>46291.479372453701</v>
      </c>
      <c r="I1741" s="4">
        <v>46291.521715509261</v>
      </c>
      <c r="J1741" s="3">
        <f>ROUND((I1741-H1741)*1440,0)</f>
        <v>61</v>
      </c>
      <c r="K1741" s="3" t="s">
        <v>236</v>
      </c>
      <c r="L1741" s="3" t="s">
        <v>77</v>
      </c>
      <c r="M1741" s="3" t="s">
        <v>78</v>
      </c>
      <c r="N1741" s="3" t="s">
        <v>23</v>
      </c>
      <c r="O1741" s="3" t="s">
        <v>237</v>
      </c>
    </row>
    <row r="1742" spans="1:15" hidden="1" x14ac:dyDescent="0.75">
      <c r="A1742" s="2">
        <v>46291</v>
      </c>
      <c r="B1742" s="3" t="s">
        <v>799</v>
      </c>
      <c r="C1742" s="3" t="s">
        <v>800</v>
      </c>
      <c r="D1742" s="3" t="s">
        <v>17</v>
      </c>
      <c r="E1742" s="3" t="s">
        <v>18</v>
      </c>
      <c r="F1742" s="3" t="s">
        <v>280</v>
      </c>
      <c r="G1742" s="3" t="s">
        <v>281</v>
      </c>
      <c r="H1742" s="4">
        <v>46291.480522685182</v>
      </c>
      <c r="I1742" s="4">
        <v>46291.587420370372</v>
      </c>
      <c r="J1742" s="3">
        <f>ROUND((I1742-H1742)*1440,0)</f>
        <v>154</v>
      </c>
      <c r="K1742" s="3" t="s">
        <v>2303</v>
      </c>
      <c r="L1742" s="3" t="s">
        <v>77</v>
      </c>
      <c r="M1742" s="3" t="s">
        <v>78</v>
      </c>
      <c r="N1742" s="3" t="s">
        <v>23</v>
      </c>
      <c r="O1742" s="3" t="s">
        <v>2304</v>
      </c>
    </row>
    <row r="1743" spans="1:15" hidden="1" x14ac:dyDescent="0.75">
      <c r="A1743" s="2">
        <v>46291</v>
      </c>
      <c r="B1743" s="3" t="s">
        <v>861</v>
      </c>
      <c r="C1743" s="3" t="s">
        <v>862</v>
      </c>
      <c r="D1743" s="3" t="s">
        <v>56</v>
      </c>
      <c r="E1743" s="3" t="s">
        <v>57</v>
      </c>
      <c r="F1743" s="3" t="s">
        <v>264</v>
      </c>
      <c r="G1743" s="3" t="s">
        <v>265</v>
      </c>
      <c r="H1743" s="4">
        <v>46291.481276736107</v>
      </c>
      <c r="I1743" s="4">
        <v>46291.678846064817</v>
      </c>
      <c r="J1743" s="3">
        <f>ROUND((I1743-H1743)*1440,0)</f>
        <v>284</v>
      </c>
      <c r="K1743" s="3" t="s">
        <v>306</v>
      </c>
      <c r="L1743" s="3" t="s">
        <v>22</v>
      </c>
      <c r="M1743" s="3" t="s">
        <v>22</v>
      </c>
      <c r="N1743" s="3" t="s">
        <v>23</v>
      </c>
      <c r="O1743" s="3" t="s">
        <v>307</v>
      </c>
    </row>
    <row r="1744" spans="1:15" hidden="1" x14ac:dyDescent="0.75">
      <c r="A1744" s="2">
        <v>46291</v>
      </c>
      <c r="B1744" s="3" t="s">
        <v>853</v>
      </c>
      <c r="C1744" s="3" t="s">
        <v>854</v>
      </c>
      <c r="D1744" s="3" t="s">
        <v>196</v>
      </c>
      <c r="E1744" s="3" t="s">
        <v>197</v>
      </c>
      <c r="F1744" s="3" t="s">
        <v>56</v>
      </c>
      <c r="G1744" s="3" t="s">
        <v>57</v>
      </c>
      <c r="H1744" s="4">
        <v>46291.484410532408</v>
      </c>
      <c r="I1744" s="4">
        <v>46291.55528912037</v>
      </c>
      <c r="J1744" s="3">
        <f>ROUND((I1744-H1744)*1440,0)</f>
        <v>102</v>
      </c>
      <c r="K1744" s="3" t="s">
        <v>1469</v>
      </c>
      <c r="L1744" s="3" t="s">
        <v>36</v>
      </c>
      <c r="M1744" s="3" t="s">
        <v>36</v>
      </c>
      <c r="N1744" s="3" t="s">
        <v>23</v>
      </c>
      <c r="O1744" s="3" t="s">
        <v>1470</v>
      </c>
    </row>
    <row r="1745" spans="1:15" hidden="1" x14ac:dyDescent="0.75">
      <c r="A1745" s="2">
        <v>46291</v>
      </c>
      <c r="B1745" s="3" t="s">
        <v>901</v>
      </c>
      <c r="C1745" s="3" t="s">
        <v>902</v>
      </c>
      <c r="D1745" s="3" t="s">
        <v>158</v>
      </c>
      <c r="E1745" s="3" t="s">
        <v>159</v>
      </c>
      <c r="F1745" s="3" t="s">
        <v>56</v>
      </c>
      <c r="G1745" s="3" t="s">
        <v>57</v>
      </c>
      <c r="H1745" s="4">
        <v>46291.485599305553</v>
      </c>
      <c r="I1745" s="4">
        <v>46291.570332175928</v>
      </c>
      <c r="J1745" s="3">
        <f>ROUND((I1745-H1745)*1440,0)</f>
        <v>122</v>
      </c>
      <c r="K1745" s="3" t="s">
        <v>1261</v>
      </c>
      <c r="L1745" s="3" t="s">
        <v>77</v>
      </c>
      <c r="M1745" s="3" t="s">
        <v>78</v>
      </c>
      <c r="N1745" s="3" t="s">
        <v>23</v>
      </c>
      <c r="O1745" s="3" t="s">
        <v>1262</v>
      </c>
    </row>
    <row r="1746" spans="1:15" hidden="1" x14ac:dyDescent="0.75">
      <c r="A1746" s="2">
        <v>46291</v>
      </c>
      <c r="B1746" s="3" t="s">
        <v>865</v>
      </c>
      <c r="C1746" s="3" t="s">
        <v>866</v>
      </c>
      <c r="D1746" s="3" t="s">
        <v>208</v>
      </c>
      <c r="E1746" s="3" t="s">
        <v>209</v>
      </c>
      <c r="F1746" s="3" t="s">
        <v>82</v>
      </c>
      <c r="G1746" s="3" t="s">
        <v>83</v>
      </c>
      <c r="H1746" s="4">
        <v>46291.486078587957</v>
      </c>
      <c r="I1746" s="4">
        <v>46291.60535208333</v>
      </c>
      <c r="J1746" s="3">
        <f>ROUND((I1746-H1746)*1440,0)</f>
        <v>172</v>
      </c>
      <c r="K1746" s="3" t="s">
        <v>310</v>
      </c>
      <c r="L1746" s="3" t="s">
        <v>36</v>
      </c>
      <c r="M1746" s="3" t="s">
        <v>36</v>
      </c>
      <c r="N1746" s="3" t="s">
        <v>23</v>
      </c>
      <c r="O1746" s="3" t="s">
        <v>311</v>
      </c>
    </row>
    <row r="1747" spans="1:15" hidden="1" x14ac:dyDescent="0.75">
      <c r="A1747" s="2">
        <v>46291</v>
      </c>
      <c r="B1747" s="3" t="s">
        <v>945</v>
      </c>
      <c r="C1747" s="3" t="s">
        <v>946</v>
      </c>
      <c r="D1747" s="3" t="s">
        <v>27</v>
      </c>
      <c r="E1747" s="3" t="s">
        <v>28</v>
      </c>
      <c r="F1747" s="3" t="s">
        <v>68</v>
      </c>
      <c r="G1747" s="3" t="s">
        <v>69</v>
      </c>
      <c r="H1747" s="4">
        <v>46291.486682407412</v>
      </c>
      <c r="I1747" s="4">
        <v>46291.595267939818</v>
      </c>
      <c r="J1747" s="3">
        <f>ROUND((I1747-H1747)*1440,0)</f>
        <v>156</v>
      </c>
      <c r="K1747" s="3" t="s">
        <v>573</v>
      </c>
      <c r="L1747" s="3" t="s">
        <v>22</v>
      </c>
      <c r="M1747" s="3" t="s">
        <v>22</v>
      </c>
      <c r="N1747" s="3" t="s">
        <v>23</v>
      </c>
      <c r="O1747" s="3" t="s">
        <v>574</v>
      </c>
    </row>
    <row r="1748" spans="1:15" hidden="1" x14ac:dyDescent="0.75">
      <c r="A1748" s="2">
        <v>46291</v>
      </c>
      <c r="B1748" s="3" t="s">
        <v>857</v>
      </c>
      <c r="C1748" s="3" t="s">
        <v>858</v>
      </c>
      <c r="D1748" s="3" t="s">
        <v>56</v>
      </c>
      <c r="E1748" s="3" t="s">
        <v>57</v>
      </c>
      <c r="F1748" s="3" t="s">
        <v>158</v>
      </c>
      <c r="G1748" s="3" t="s">
        <v>159</v>
      </c>
      <c r="H1748" s="4">
        <v>46291.486735300918</v>
      </c>
      <c r="I1748" s="4">
        <v>46291.570487962963</v>
      </c>
      <c r="J1748" s="3">
        <f>ROUND((I1748-H1748)*1440,0)</f>
        <v>121</v>
      </c>
      <c r="K1748" s="3" t="s">
        <v>489</v>
      </c>
      <c r="L1748" s="3" t="s">
        <v>36</v>
      </c>
      <c r="M1748" s="3" t="s">
        <v>36</v>
      </c>
      <c r="N1748" s="3" t="s">
        <v>23</v>
      </c>
      <c r="O1748" s="3" t="s">
        <v>490</v>
      </c>
    </row>
    <row r="1749" spans="1:15" hidden="1" x14ac:dyDescent="0.75">
      <c r="A1749" s="2">
        <v>46291</v>
      </c>
      <c r="B1749" s="3" t="s">
        <v>2357</v>
      </c>
      <c r="C1749" s="3" t="s">
        <v>2358</v>
      </c>
      <c r="D1749" s="3" t="s">
        <v>27</v>
      </c>
      <c r="E1749" s="3" t="s">
        <v>28</v>
      </c>
      <c r="F1749" s="3" t="s">
        <v>27</v>
      </c>
      <c r="G1749" s="3" t="s">
        <v>28</v>
      </c>
      <c r="H1749" s="4">
        <v>46291.488437037027</v>
      </c>
      <c r="I1749" s="4">
        <v>46291.86129108796</v>
      </c>
      <c r="J1749" s="3">
        <f>ROUND((I1749-H1749)*1440,0)</f>
        <v>537</v>
      </c>
      <c r="K1749" s="3" t="s">
        <v>891</v>
      </c>
      <c r="L1749" s="3" t="s">
        <v>77</v>
      </c>
      <c r="M1749" s="3" t="s">
        <v>78</v>
      </c>
      <c r="N1749" s="3" t="s">
        <v>23</v>
      </c>
      <c r="O1749" s="3" t="s">
        <v>892</v>
      </c>
    </row>
    <row r="1750" spans="1:15" hidden="1" x14ac:dyDescent="0.75">
      <c r="A1750" s="2">
        <v>46291</v>
      </c>
      <c r="B1750" s="3" t="s">
        <v>871</v>
      </c>
      <c r="C1750" s="3" t="s">
        <v>872</v>
      </c>
      <c r="D1750" s="3" t="s">
        <v>82</v>
      </c>
      <c r="E1750" s="3" t="s">
        <v>83</v>
      </c>
      <c r="F1750" s="3" t="s">
        <v>158</v>
      </c>
      <c r="G1750" s="3" t="s">
        <v>159</v>
      </c>
      <c r="H1750" s="4">
        <v>46291.489071643518</v>
      </c>
      <c r="I1750" s="4">
        <v>46291.563944328707</v>
      </c>
      <c r="J1750" s="3">
        <f>ROUND((I1750-H1750)*1440,0)</f>
        <v>108</v>
      </c>
      <c r="K1750" s="3" t="s">
        <v>1571</v>
      </c>
      <c r="L1750" s="3" t="s">
        <v>36</v>
      </c>
      <c r="M1750" s="3" t="s">
        <v>36</v>
      </c>
      <c r="N1750" s="3" t="s">
        <v>23</v>
      </c>
      <c r="O1750" s="3" t="s">
        <v>1572</v>
      </c>
    </row>
    <row r="1751" spans="1:15" hidden="1" x14ac:dyDescent="0.75">
      <c r="A1751" s="2">
        <v>46291</v>
      </c>
      <c r="B1751" s="3" t="s">
        <v>729</v>
      </c>
      <c r="C1751" s="3" t="s">
        <v>730</v>
      </c>
      <c r="D1751" s="3" t="s">
        <v>360</v>
      </c>
      <c r="E1751" s="3" t="s">
        <v>361</v>
      </c>
      <c r="F1751" s="3" t="s">
        <v>27</v>
      </c>
      <c r="G1751" s="3" t="s">
        <v>28</v>
      </c>
      <c r="H1751" s="4">
        <v>46291.49089641204</v>
      </c>
      <c r="I1751" s="4">
        <v>46291.786165046287</v>
      </c>
      <c r="J1751" s="3">
        <f>ROUND((I1751-H1751)*1440,0)</f>
        <v>425</v>
      </c>
      <c r="K1751" s="3" t="s">
        <v>1831</v>
      </c>
      <c r="L1751" s="3" t="s">
        <v>43</v>
      </c>
      <c r="M1751" s="3" t="s">
        <v>44</v>
      </c>
      <c r="N1751" s="3" t="s">
        <v>23</v>
      </c>
      <c r="O1751" s="3" t="s">
        <v>1832</v>
      </c>
    </row>
    <row r="1752" spans="1:15" hidden="1" x14ac:dyDescent="0.75">
      <c r="A1752" s="2">
        <v>46291</v>
      </c>
      <c r="B1752" s="3" t="s">
        <v>925</v>
      </c>
      <c r="C1752" s="3" t="s">
        <v>926</v>
      </c>
      <c r="D1752" s="3"/>
      <c r="E1752" s="3"/>
      <c r="F1752" s="3" t="s">
        <v>58</v>
      </c>
      <c r="G1752" s="3" t="s">
        <v>59</v>
      </c>
      <c r="H1752" s="4">
        <v>46291.492041203703</v>
      </c>
      <c r="I1752" s="4">
        <v>46291.563601620372</v>
      </c>
      <c r="J1752" s="3">
        <f>ROUND((I1752-H1752)*1440,0)</f>
        <v>103</v>
      </c>
      <c r="K1752" s="3" t="s">
        <v>1343</v>
      </c>
      <c r="L1752" s="3" t="s">
        <v>36</v>
      </c>
      <c r="M1752" s="3" t="s">
        <v>36</v>
      </c>
      <c r="N1752" s="3" t="s">
        <v>23</v>
      </c>
      <c r="O1752" s="3" t="s">
        <v>1344</v>
      </c>
    </row>
    <row r="1753" spans="1:15" hidden="1" x14ac:dyDescent="0.75">
      <c r="A1753" s="2">
        <v>46291</v>
      </c>
      <c r="B1753" s="3" t="s">
        <v>875</v>
      </c>
      <c r="C1753" s="3" t="s">
        <v>876</v>
      </c>
      <c r="D1753" s="3" t="s">
        <v>17</v>
      </c>
      <c r="E1753" s="3" t="s">
        <v>18</v>
      </c>
      <c r="F1753" s="3" t="s">
        <v>82</v>
      </c>
      <c r="G1753" s="3" t="s">
        <v>83</v>
      </c>
      <c r="H1753" s="4">
        <v>46291.493109143521</v>
      </c>
      <c r="I1753" s="4">
        <v>46291.58649050926</v>
      </c>
      <c r="J1753" s="3">
        <f>ROUND((I1753-H1753)*1440,0)</f>
        <v>134</v>
      </c>
      <c r="K1753" s="3" t="s">
        <v>2185</v>
      </c>
      <c r="L1753" s="3" t="s">
        <v>43</v>
      </c>
      <c r="M1753" s="3" t="s">
        <v>44</v>
      </c>
      <c r="N1753" s="3" t="s">
        <v>23</v>
      </c>
      <c r="O1753" s="3" t="s">
        <v>2186</v>
      </c>
    </row>
    <row r="1754" spans="1:15" hidden="1" x14ac:dyDescent="0.75">
      <c r="A1754" s="2">
        <v>46291</v>
      </c>
      <c r="B1754" s="3" t="s">
        <v>959</v>
      </c>
      <c r="C1754" s="3" t="s">
        <v>960</v>
      </c>
      <c r="D1754" s="3" t="s">
        <v>56</v>
      </c>
      <c r="E1754" s="3" t="s">
        <v>57</v>
      </c>
      <c r="F1754" s="3" t="s">
        <v>270</v>
      </c>
      <c r="G1754" s="3" t="s">
        <v>271</v>
      </c>
      <c r="H1754" s="4">
        <v>46291.496844444453</v>
      </c>
      <c r="I1754" s="4">
        <v>46291.585743981479</v>
      </c>
      <c r="J1754" s="3">
        <f>ROUND((I1754-H1754)*1440,0)</f>
        <v>128</v>
      </c>
      <c r="K1754" s="3" t="s">
        <v>1089</v>
      </c>
      <c r="L1754" s="3" t="s">
        <v>36</v>
      </c>
      <c r="M1754" s="3" t="s">
        <v>36</v>
      </c>
      <c r="N1754" s="3" t="s">
        <v>45</v>
      </c>
      <c r="O1754" s="3" t="s">
        <v>1090</v>
      </c>
    </row>
    <row r="1755" spans="1:15" hidden="1" x14ac:dyDescent="0.75">
      <c r="A1755" s="2">
        <v>46291</v>
      </c>
      <c r="B1755" s="3" t="s">
        <v>745</v>
      </c>
      <c r="C1755" s="3" t="s">
        <v>746</v>
      </c>
      <c r="D1755" s="3" t="s">
        <v>17</v>
      </c>
      <c r="E1755" s="3" t="s">
        <v>18</v>
      </c>
      <c r="F1755" s="3"/>
      <c r="G1755" s="3"/>
      <c r="H1755" s="4">
        <v>46291.496972800916</v>
      </c>
      <c r="I1755" s="4">
        <v>46291.534316319441</v>
      </c>
      <c r="J1755" s="3">
        <f>ROUND((I1755-H1755)*1440,0)</f>
        <v>54</v>
      </c>
      <c r="K1755" s="3" t="s">
        <v>1317</v>
      </c>
      <c r="L1755" s="3" t="s">
        <v>36</v>
      </c>
      <c r="M1755" s="3" t="s">
        <v>36</v>
      </c>
      <c r="N1755" s="3" t="s">
        <v>443</v>
      </c>
      <c r="O1755" s="3" t="s">
        <v>1318</v>
      </c>
    </row>
    <row r="1756" spans="1:15" hidden="1" x14ac:dyDescent="0.75">
      <c r="A1756" s="2">
        <v>46291</v>
      </c>
      <c r="B1756" s="3" t="s">
        <v>2359</v>
      </c>
      <c r="C1756" s="3" t="s">
        <v>2360</v>
      </c>
      <c r="D1756" s="3" t="s">
        <v>17</v>
      </c>
      <c r="E1756" s="3" t="s">
        <v>18</v>
      </c>
      <c r="F1756" s="3" t="s">
        <v>17</v>
      </c>
      <c r="G1756" s="3" t="s">
        <v>18</v>
      </c>
      <c r="H1756" s="4">
        <v>46291.497820486111</v>
      </c>
      <c r="I1756" s="4">
        <v>46291.835147453698</v>
      </c>
      <c r="J1756" s="3">
        <f>ROUND((I1756-H1756)*1440,0)</f>
        <v>486</v>
      </c>
      <c r="K1756" s="3" t="s">
        <v>418</v>
      </c>
      <c r="L1756" s="3" t="s">
        <v>36</v>
      </c>
      <c r="M1756" s="3" t="s">
        <v>36</v>
      </c>
      <c r="N1756" s="3" t="s">
        <v>23</v>
      </c>
      <c r="O1756" s="3" t="s">
        <v>419</v>
      </c>
    </row>
    <row r="1757" spans="1:15" hidden="1" x14ac:dyDescent="0.75">
      <c r="A1757" s="2">
        <v>46291</v>
      </c>
      <c r="B1757" s="3" t="s">
        <v>909</v>
      </c>
      <c r="C1757" s="3" t="s">
        <v>910</v>
      </c>
      <c r="D1757" s="3" t="s">
        <v>56</v>
      </c>
      <c r="E1757" s="3" t="s">
        <v>57</v>
      </c>
      <c r="F1757" s="3" t="s">
        <v>94</v>
      </c>
      <c r="G1757" s="3" t="s">
        <v>95</v>
      </c>
      <c r="H1757" s="4">
        <v>46291.498188541656</v>
      </c>
      <c r="I1757" s="4">
        <v>46291.581035763891</v>
      </c>
      <c r="J1757" s="3">
        <f>ROUND((I1757-H1757)*1440,0)</f>
        <v>119</v>
      </c>
      <c r="K1757" s="3" t="s">
        <v>1307</v>
      </c>
      <c r="L1757" s="3" t="s">
        <v>36</v>
      </c>
      <c r="M1757" s="3" t="s">
        <v>36</v>
      </c>
      <c r="N1757" s="3" t="s">
        <v>23</v>
      </c>
      <c r="O1757" s="3" t="s">
        <v>1308</v>
      </c>
    </row>
    <row r="1758" spans="1:15" hidden="1" x14ac:dyDescent="0.75">
      <c r="A1758" s="2">
        <v>46291</v>
      </c>
      <c r="B1758" s="3" t="s">
        <v>905</v>
      </c>
      <c r="C1758" s="3" t="s">
        <v>906</v>
      </c>
      <c r="D1758" s="3" t="s">
        <v>84</v>
      </c>
      <c r="E1758" s="3" t="s">
        <v>85</v>
      </c>
      <c r="F1758" s="3" t="s">
        <v>68</v>
      </c>
      <c r="G1758" s="3" t="s">
        <v>69</v>
      </c>
      <c r="H1758" s="4">
        <v>46291.501874884263</v>
      </c>
      <c r="I1758" s="4">
        <v>46291.593862847221</v>
      </c>
      <c r="J1758" s="3">
        <f>ROUND((I1758-H1758)*1440,0)</f>
        <v>132</v>
      </c>
      <c r="K1758" s="3" t="s">
        <v>406</v>
      </c>
      <c r="L1758" s="3" t="s">
        <v>36</v>
      </c>
      <c r="M1758" s="3" t="s">
        <v>36</v>
      </c>
      <c r="N1758" s="3" t="s">
        <v>23</v>
      </c>
      <c r="O1758" s="3" t="s">
        <v>407</v>
      </c>
    </row>
    <row r="1759" spans="1:15" hidden="1" x14ac:dyDescent="0.75">
      <c r="A1759" s="2">
        <v>46291</v>
      </c>
      <c r="B1759" s="3" t="s">
        <v>915</v>
      </c>
      <c r="C1759" s="3" t="s">
        <v>916</v>
      </c>
      <c r="D1759" s="3" t="s">
        <v>27</v>
      </c>
      <c r="E1759" s="3" t="s">
        <v>28</v>
      </c>
      <c r="F1759" s="3" t="s">
        <v>94</v>
      </c>
      <c r="G1759" s="3" t="s">
        <v>95</v>
      </c>
      <c r="H1759" s="4">
        <v>46291.502239236113</v>
      </c>
      <c r="I1759" s="4">
        <v>46291.57681215278</v>
      </c>
      <c r="J1759" s="3">
        <f>ROUND((I1759-H1759)*1440,0)</f>
        <v>107</v>
      </c>
      <c r="K1759" s="3" t="s">
        <v>1015</v>
      </c>
      <c r="L1759" s="3" t="s">
        <v>77</v>
      </c>
      <c r="M1759" s="3" t="s">
        <v>78</v>
      </c>
      <c r="N1759" s="3" t="s">
        <v>23</v>
      </c>
      <c r="O1759" s="3" t="s">
        <v>1016</v>
      </c>
    </row>
    <row r="1760" spans="1:15" hidden="1" x14ac:dyDescent="0.75">
      <c r="A1760" s="2">
        <v>46291</v>
      </c>
      <c r="B1760" s="3" t="s">
        <v>893</v>
      </c>
      <c r="C1760" s="3" t="s">
        <v>894</v>
      </c>
      <c r="D1760" s="3" t="s">
        <v>148</v>
      </c>
      <c r="E1760" s="3" t="s">
        <v>149</v>
      </c>
      <c r="F1760" s="3" t="s">
        <v>27</v>
      </c>
      <c r="G1760" s="3" t="s">
        <v>28</v>
      </c>
      <c r="H1760" s="4">
        <v>46291.503010300927</v>
      </c>
      <c r="I1760" s="4">
        <v>46291.574047337963</v>
      </c>
      <c r="J1760" s="3">
        <f>ROUND((I1760-H1760)*1440,0)</f>
        <v>102</v>
      </c>
      <c r="K1760" s="3" t="s">
        <v>1293</v>
      </c>
      <c r="L1760" s="3" t="s">
        <v>77</v>
      </c>
      <c r="M1760" s="3" t="s">
        <v>78</v>
      </c>
      <c r="N1760" s="3" t="s">
        <v>23</v>
      </c>
      <c r="O1760" s="3" t="s">
        <v>1294</v>
      </c>
    </row>
    <row r="1761" spans="1:15" hidden="1" x14ac:dyDescent="0.75">
      <c r="A1761" s="2">
        <v>46291</v>
      </c>
      <c r="B1761" s="3" t="s">
        <v>987</v>
      </c>
      <c r="C1761" s="3" t="s">
        <v>988</v>
      </c>
      <c r="D1761" s="3" t="s">
        <v>106</v>
      </c>
      <c r="E1761" s="3" t="s">
        <v>107</v>
      </c>
      <c r="F1761" s="3" t="s">
        <v>56</v>
      </c>
      <c r="G1761" s="3" t="s">
        <v>57</v>
      </c>
      <c r="H1761" s="4">
        <v>46291.503737615742</v>
      </c>
      <c r="I1761" s="4">
        <v>46291.587392592592</v>
      </c>
      <c r="J1761" s="3">
        <f>ROUND((I1761-H1761)*1440,0)</f>
        <v>120</v>
      </c>
      <c r="K1761" s="3" t="s">
        <v>438</v>
      </c>
      <c r="L1761" s="3" t="s">
        <v>36</v>
      </c>
      <c r="M1761" s="3" t="s">
        <v>36</v>
      </c>
      <c r="N1761" s="3" t="s">
        <v>23</v>
      </c>
      <c r="O1761" s="3" t="s">
        <v>439</v>
      </c>
    </row>
    <row r="1762" spans="1:15" hidden="1" x14ac:dyDescent="0.75">
      <c r="A1762" s="2">
        <v>46291</v>
      </c>
      <c r="B1762" s="3" t="s">
        <v>917</v>
      </c>
      <c r="C1762" s="3" t="s">
        <v>918</v>
      </c>
      <c r="D1762" s="3" t="s">
        <v>280</v>
      </c>
      <c r="E1762" s="3" t="s">
        <v>281</v>
      </c>
      <c r="F1762" s="3" t="s">
        <v>56</v>
      </c>
      <c r="G1762" s="3" t="s">
        <v>57</v>
      </c>
      <c r="H1762" s="4">
        <v>46291.505436574073</v>
      </c>
      <c r="I1762" s="4">
        <v>46291.572444675927</v>
      </c>
      <c r="J1762" s="3">
        <f>ROUND((I1762-H1762)*1440,0)</f>
        <v>96</v>
      </c>
      <c r="K1762" s="3" t="s">
        <v>442</v>
      </c>
      <c r="L1762" s="3" t="s">
        <v>36</v>
      </c>
      <c r="M1762" s="3" t="s">
        <v>36</v>
      </c>
      <c r="N1762" s="3" t="s">
        <v>23</v>
      </c>
      <c r="O1762" s="3" t="s">
        <v>444</v>
      </c>
    </row>
    <row r="1763" spans="1:15" hidden="1" x14ac:dyDescent="0.75">
      <c r="A1763" s="2">
        <v>46291</v>
      </c>
      <c r="B1763" s="3" t="s">
        <v>757</v>
      </c>
      <c r="C1763" s="3" t="s">
        <v>758</v>
      </c>
      <c r="D1763" s="3" t="s">
        <v>94</v>
      </c>
      <c r="E1763" s="3" t="s">
        <v>95</v>
      </c>
      <c r="F1763" s="3" t="s">
        <v>56</v>
      </c>
      <c r="G1763" s="3" t="s">
        <v>57</v>
      </c>
      <c r="H1763" s="4">
        <v>46291.505611342589</v>
      </c>
      <c r="I1763" s="4">
        <v>46291.571231018519</v>
      </c>
      <c r="J1763" s="3">
        <f>ROUND((I1763-H1763)*1440,0)</f>
        <v>94</v>
      </c>
      <c r="K1763" s="3" t="s">
        <v>1363</v>
      </c>
      <c r="L1763" s="3" t="s">
        <v>36</v>
      </c>
      <c r="M1763" s="3" t="s">
        <v>36</v>
      </c>
      <c r="N1763" s="3" t="s">
        <v>23</v>
      </c>
      <c r="O1763" s="3" t="s">
        <v>1364</v>
      </c>
    </row>
    <row r="1764" spans="1:15" hidden="1" x14ac:dyDescent="0.75">
      <c r="A1764" s="2">
        <v>46291</v>
      </c>
      <c r="B1764" s="3" t="s">
        <v>967</v>
      </c>
      <c r="C1764" s="3" t="s">
        <v>968</v>
      </c>
      <c r="D1764" s="3" t="s">
        <v>208</v>
      </c>
      <c r="E1764" s="3" t="s">
        <v>209</v>
      </c>
      <c r="F1764" s="3" t="s">
        <v>56</v>
      </c>
      <c r="G1764" s="3" t="s">
        <v>57</v>
      </c>
      <c r="H1764" s="4">
        <v>46291.506303935188</v>
      </c>
      <c r="I1764" s="4">
        <v>46291.604733101849</v>
      </c>
      <c r="J1764" s="3">
        <f>ROUND((I1764-H1764)*1440,0)</f>
        <v>142</v>
      </c>
      <c r="K1764" s="3" t="s">
        <v>35</v>
      </c>
      <c r="L1764" s="3" t="s">
        <v>36</v>
      </c>
      <c r="M1764" s="3" t="s">
        <v>36</v>
      </c>
      <c r="N1764" s="3" t="s">
        <v>23</v>
      </c>
      <c r="O1764" s="3" t="s">
        <v>37</v>
      </c>
    </row>
    <row r="1765" spans="1:15" hidden="1" x14ac:dyDescent="0.75">
      <c r="A1765" s="2">
        <v>46291</v>
      </c>
      <c r="B1765" s="3" t="s">
        <v>1695</v>
      </c>
      <c r="C1765" s="3" t="s">
        <v>1696</v>
      </c>
      <c r="D1765" s="3" t="s">
        <v>1013</v>
      </c>
      <c r="E1765" s="3" t="s">
        <v>1014</v>
      </c>
      <c r="F1765" s="3" t="s">
        <v>27</v>
      </c>
      <c r="G1765" s="3" t="s">
        <v>28</v>
      </c>
      <c r="H1765" s="4">
        <v>46291.507187847223</v>
      </c>
      <c r="I1765" s="4">
        <v>46291.628082523152</v>
      </c>
      <c r="J1765" s="3">
        <f>ROUND((I1765-H1765)*1440,0)</f>
        <v>174</v>
      </c>
      <c r="K1765" s="3" t="s">
        <v>831</v>
      </c>
      <c r="L1765" s="3" t="s">
        <v>77</v>
      </c>
      <c r="M1765" s="3" t="s">
        <v>78</v>
      </c>
      <c r="N1765" s="3" t="s">
        <v>23</v>
      </c>
      <c r="O1765" s="3" t="s">
        <v>832</v>
      </c>
    </row>
    <row r="1766" spans="1:15" hidden="1" x14ac:dyDescent="0.75">
      <c r="A1766" s="2">
        <v>46291</v>
      </c>
      <c r="B1766" s="3" t="s">
        <v>927</v>
      </c>
      <c r="C1766" s="3" t="s">
        <v>928</v>
      </c>
      <c r="D1766" s="3" t="s">
        <v>27</v>
      </c>
      <c r="E1766" s="3" t="s">
        <v>28</v>
      </c>
      <c r="F1766" s="3"/>
      <c r="G1766" s="3"/>
      <c r="H1766" s="4">
        <v>46291.50733414352</v>
      </c>
      <c r="I1766" s="4">
        <v>46291.604217129629</v>
      </c>
      <c r="J1766" s="3">
        <f>ROUND((I1766-H1766)*1440,0)</f>
        <v>140</v>
      </c>
      <c r="K1766" s="3" t="s">
        <v>955</v>
      </c>
      <c r="L1766" s="3" t="s">
        <v>77</v>
      </c>
      <c r="M1766" s="3" t="s">
        <v>78</v>
      </c>
      <c r="N1766" s="3" t="s">
        <v>45</v>
      </c>
      <c r="O1766" s="3" t="s">
        <v>956</v>
      </c>
    </row>
    <row r="1767" spans="1:15" hidden="1" x14ac:dyDescent="0.75">
      <c r="A1767" s="2">
        <v>46291</v>
      </c>
      <c r="B1767" s="3" t="s">
        <v>913</v>
      </c>
      <c r="C1767" s="3" t="s">
        <v>914</v>
      </c>
      <c r="D1767" s="3" t="s">
        <v>182</v>
      </c>
      <c r="E1767" s="3" t="s">
        <v>183</v>
      </c>
      <c r="F1767" s="3" t="s">
        <v>56</v>
      </c>
      <c r="G1767" s="3" t="s">
        <v>57</v>
      </c>
      <c r="H1767" s="4">
        <v>46291.507508912036</v>
      </c>
      <c r="I1767" s="4">
        <v>46291.569071759259</v>
      </c>
      <c r="J1767" s="3">
        <f>ROUND((I1767-H1767)*1440,0)</f>
        <v>89</v>
      </c>
      <c r="K1767" s="3" t="s">
        <v>793</v>
      </c>
      <c r="L1767" s="3" t="s">
        <v>77</v>
      </c>
      <c r="M1767" s="3" t="s">
        <v>78</v>
      </c>
      <c r="N1767" s="3" t="s">
        <v>23</v>
      </c>
      <c r="O1767" s="3" t="s">
        <v>794</v>
      </c>
    </row>
    <row r="1768" spans="1:15" hidden="1" x14ac:dyDescent="0.75">
      <c r="A1768" s="2">
        <v>46291</v>
      </c>
      <c r="B1768" s="3" t="s">
        <v>949</v>
      </c>
      <c r="C1768" s="3" t="s">
        <v>950</v>
      </c>
      <c r="D1768" s="3" t="s">
        <v>158</v>
      </c>
      <c r="E1768" s="3" t="s">
        <v>159</v>
      </c>
      <c r="F1768" s="3" t="s">
        <v>615</v>
      </c>
      <c r="G1768" s="3" t="s">
        <v>616</v>
      </c>
      <c r="H1768" s="4">
        <v>46291.509395138892</v>
      </c>
      <c r="I1768" s="4">
        <v>46291.653461574067</v>
      </c>
      <c r="J1768" s="3">
        <f>ROUND((I1768-H1768)*1440,0)</f>
        <v>207</v>
      </c>
      <c r="K1768" s="3" t="s">
        <v>2171</v>
      </c>
      <c r="L1768" s="3" t="s">
        <v>36</v>
      </c>
      <c r="M1768" s="3" t="s">
        <v>36</v>
      </c>
      <c r="N1768" s="3" t="s">
        <v>45</v>
      </c>
      <c r="O1768" s="3" t="s">
        <v>2172</v>
      </c>
    </row>
    <row r="1769" spans="1:15" hidden="1" x14ac:dyDescent="0.75">
      <c r="A1769" s="2">
        <v>46291</v>
      </c>
      <c r="B1769" s="3" t="s">
        <v>933</v>
      </c>
      <c r="C1769" s="3" t="s">
        <v>934</v>
      </c>
      <c r="D1769" s="3" t="s">
        <v>56</v>
      </c>
      <c r="E1769" s="3" t="s">
        <v>57</v>
      </c>
      <c r="F1769" s="3" t="s">
        <v>58</v>
      </c>
      <c r="G1769" s="3" t="s">
        <v>59</v>
      </c>
      <c r="H1769" s="4">
        <v>46291.51011145833</v>
      </c>
      <c r="I1769" s="4">
        <v>46291.618311226863</v>
      </c>
      <c r="J1769" s="3">
        <f>ROUND((I1769-H1769)*1440,0)</f>
        <v>156</v>
      </c>
      <c r="K1769" s="3" t="s">
        <v>138</v>
      </c>
      <c r="L1769" s="3" t="s">
        <v>36</v>
      </c>
      <c r="M1769" s="3" t="s">
        <v>36</v>
      </c>
      <c r="N1769" s="3" t="s">
        <v>23</v>
      </c>
      <c r="O1769" s="3" t="s">
        <v>139</v>
      </c>
    </row>
    <row r="1770" spans="1:15" hidden="1" x14ac:dyDescent="0.75">
      <c r="A1770" s="2">
        <v>46291</v>
      </c>
      <c r="B1770" s="3" t="s">
        <v>937</v>
      </c>
      <c r="C1770" s="3" t="s">
        <v>938</v>
      </c>
      <c r="D1770" s="3" t="s">
        <v>27</v>
      </c>
      <c r="E1770" s="3" t="s">
        <v>28</v>
      </c>
      <c r="F1770" s="3" t="s">
        <v>158</v>
      </c>
      <c r="G1770" s="3" t="s">
        <v>159</v>
      </c>
      <c r="H1770" s="4">
        <v>46291.511427199082</v>
      </c>
      <c r="I1770" s="4">
        <v>46291.561106944442</v>
      </c>
      <c r="J1770" s="3">
        <f>ROUND((I1770-H1770)*1440,0)</f>
        <v>72</v>
      </c>
      <c r="K1770" s="3" t="s">
        <v>260</v>
      </c>
      <c r="L1770" s="3" t="s">
        <v>52</v>
      </c>
      <c r="M1770" s="3"/>
      <c r="N1770" s="3" t="s">
        <v>23</v>
      </c>
      <c r="O1770" s="3" t="s">
        <v>261</v>
      </c>
    </row>
    <row r="1771" spans="1:15" hidden="1" x14ac:dyDescent="0.75">
      <c r="A1771" s="2">
        <v>46291</v>
      </c>
      <c r="B1771" s="3" t="s">
        <v>2203</v>
      </c>
      <c r="C1771" s="3" t="s">
        <v>2204</v>
      </c>
      <c r="D1771" s="3"/>
      <c r="E1771" s="3"/>
      <c r="F1771" s="3" t="s">
        <v>17</v>
      </c>
      <c r="G1771" s="3" t="s">
        <v>18</v>
      </c>
      <c r="H1771" s="4">
        <v>46291.514238773147</v>
      </c>
      <c r="I1771" s="4">
        <v>46291.575075000001</v>
      </c>
      <c r="J1771" s="3">
        <f>ROUND((I1771-H1771)*1440,0)</f>
        <v>88</v>
      </c>
      <c r="K1771" s="3" t="s">
        <v>300</v>
      </c>
      <c r="L1771" s="3" t="s">
        <v>77</v>
      </c>
      <c r="M1771" s="3" t="s">
        <v>78</v>
      </c>
      <c r="N1771" s="3" t="s">
        <v>23</v>
      </c>
      <c r="O1771" s="3" t="s">
        <v>301</v>
      </c>
    </row>
    <row r="1772" spans="1:15" hidden="1" x14ac:dyDescent="0.75">
      <c r="A1772" s="2">
        <v>46291</v>
      </c>
      <c r="B1772" s="3" t="s">
        <v>1029</v>
      </c>
      <c r="C1772" s="3" t="s">
        <v>1030</v>
      </c>
      <c r="D1772" s="3" t="s">
        <v>27</v>
      </c>
      <c r="E1772" s="3" t="s">
        <v>28</v>
      </c>
      <c r="F1772" s="3" t="s">
        <v>1031</v>
      </c>
      <c r="G1772" s="3" t="s">
        <v>1032</v>
      </c>
      <c r="H1772" s="4">
        <v>46291.517096527779</v>
      </c>
      <c r="I1772" s="4">
        <v>46291.596928356477</v>
      </c>
      <c r="J1772" s="3">
        <f>ROUND((I1772-H1772)*1440,0)</f>
        <v>115</v>
      </c>
      <c r="K1772" s="3" t="s">
        <v>356</v>
      </c>
      <c r="L1772" s="3" t="s">
        <v>77</v>
      </c>
      <c r="M1772" s="3" t="s">
        <v>78</v>
      </c>
      <c r="N1772" s="3" t="s">
        <v>23</v>
      </c>
      <c r="O1772" s="3" t="s">
        <v>357</v>
      </c>
    </row>
    <row r="1773" spans="1:15" hidden="1" x14ac:dyDescent="0.75">
      <c r="A1773" s="2">
        <v>46291</v>
      </c>
      <c r="B1773" s="3" t="s">
        <v>957</v>
      </c>
      <c r="C1773" s="3" t="s">
        <v>958</v>
      </c>
      <c r="D1773" s="3" t="s">
        <v>27</v>
      </c>
      <c r="E1773" s="3" t="s">
        <v>28</v>
      </c>
      <c r="F1773" s="3" t="s">
        <v>270</v>
      </c>
      <c r="G1773" s="3" t="s">
        <v>271</v>
      </c>
      <c r="H1773" s="4">
        <v>46291.518173032397</v>
      </c>
      <c r="I1773" s="4">
        <v>46291.664588425927</v>
      </c>
      <c r="J1773" s="3">
        <f>ROUND((I1773-H1773)*1440,0)</f>
        <v>211</v>
      </c>
      <c r="K1773" s="3" t="s">
        <v>314</v>
      </c>
      <c r="L1773" s="3" t="s">
        <v>36</v>
      </c>
      <c r="M1773" s="3" t="s">
        <v>36</v>
      </c>
      <c r="N1773" s="3" t="s">
        <v>45</v>
      </c>
      <c r="O1773" s="3" t="s">
        <v>315</v>
      </c>
    </row>
    <row r="1774" spans="1:15" hidden="1" x14ac:dyDescent="0.75">
      <c r="A1774" s="2">
        <v>46291</v>
      </c>
      <c r="B1774" s="3" t="s">
        <v>921</v>
      </c>
      <c r="C1774" s="3" t="s">
        <v>922</v>
      </c>
      <c r="D1774" s="3" t="s">
        <v>27</v>
      </c>
      <c r="E1774" s="3" t="s">
        <v>28</v>
      </c>
      <c r="F1774" s="3" t="s">
        <v>49</v>
      </c>
      <c r="G1774" s="3" t="s">
        <v>50</v>
      </c>
      <c r="H1774" s="4">
        <v>46291.519208333331</v>
      </c>
      <c r="I1774" s="4">
        <v>46291.568207060183</v>
      </c>
      <c r="J1774" s="3">
        <f>ROUND((I1774-H1774)*1440,0)</f>
        <v>71</v>
      </c>
      <c r="K1774" s="3" t="s">
        <v>1161</v>
      </c>
      <c r="L1774" s="3" t="s">
        <v>77</v>
      </c>
      <c r="M1774" s="3" t="s">
        <v>78</v>
      </c>
      <c r="N1774" s="3" t="s">
        <v>23</v>
      </c>
      <c r="O1774" s="3" t="s">
        <v>1162</v>
      </c>
    </row>
    <row r="1775" spans="1:15" hidden="1" x14ac:dyDescent="0.75">
      <c r="A1775" s="2">
        <v>46291</v>
      </c>
      <c r="B1775" s="3" t="s">
        <v>997</v>
      </c>
      <c r="C1775" s="3" t="s">
        <v>998</v>
      </c>
      <c r="D1775" s="3" t="s">
        <v>27</v>
      </c>
      <c r="E1775" s="3" t="s">
        <v>28</v>
      </c>
      <c r="F1775" s="3" t="s">
        <v>56</v>
      </c>
      <c r="G1775" s="3" t="s">
        <v>57</v>
      </c>
      <c r="H1775" s="4">
        <v>46291.520134027778</v>
      </c>
      <c r="I1775" s="4">
        <v>46291.634583333333</v>
      </c>
      <c r="J1775" s="3">
        <f>ROUND((I1775-H1775)*1440,0)</f>
        <v>165</v>
      </c>
      <c r="K1775" s="3" t="s">
        <v>999</v>
      </c>
      <c r="L1775" s="3" t="s">
        <v>36</v>
      </c>
      <c r="M1775" s="3" t="s">
        <v>36</v>
      </c>
      <c r="N1775" s="3" t="s">
        <v>23</v>
      </c>
      <c r="O1775" s="3" t="s">
        <v>1000</v>
      </c>
    </row>
    <row r="1776" spans="1:15" hidden="1" x14ac:dyDescent="0.75">
      <c r="A1776" s="2">
        <v>46291</v>
      </c>
      <c r="B1776" s="3" t="s">
        <v>979</v>
      </c>
      <c r="C1776" s="3" t="s">
        <v>980</v>
      </c>
      <c r="D1776" s="3" t="s">
        <v>84</v>
      </c>
      <c r="E1776" s="3" t="s">
        <v>85</v>
      </c>
      <c r="F1776" s="3" t="s">
        <v>82</v>
      </c>
      <c r="G1776" s="3" t="s">
        <v>83</v>
      </c>
      <c r="H1776" s="4">
        <v>46291.520255439813</v>
      </c>
      <c r="I1776" s="4">
        <v>46291.611474768521</v>
      </c>
      <c r="J1776" s="3">
        <f>ROUND((I1776-H1776)*1440,0)</f>
        <v>131</v>
      </c>
      <c r="K1776" s="3" t="s">
        <v>1045</v>
      </c>
      <c r="L1776" s="3" t="s">
        <v>36</v>
      </c>
      <c r="M1776" s="3" t="s">
        <v>36</v>
      </c>
      <c r="N1776" s="3" t="s">
        <v>23</v>
      </c>
      <c r="O1776" s="3" t="s">
        <v>1046</v>
      </c>
    </row>
    <row r="1777" spans="1:15" hidden="1" x14ac:dyDescent="0.75">
      <c r="A1777" s="2">
        <v>46291</v>
      </c>
      <c r="B1777" s="3" t="s">
        <v>989</v>
      </c>
      <c r="C1777" s="3" t="s">
        <v>990</v>
      </c>
      <c r="D1777" s="3" t="s">
        <v>244</v>
      </c>
      <c r="E1777" s="3" t="s">
        <v>245</v>
      </c>
      <c r="F1777" s="3" t="s">
        <v>68</v>
      </c>
      <c r="G1777" s="3" t="s">
        <v>69</v>
      </c>
      <c r="H1777" s="4">
        <v>46291.521128472217</v>
      </c>
      <c r="I1777" s="4">
        <v>46291.626956712957</v>
      </c>
      <c r="J1777" s="3">
        <f>ROUND((I1777-H1777)*1440,0)</f>
        <v>152</v>
      </c>
      <c r="K1777" s="3" t="s">
        <v>867</v>
      </c>
      <c r="L1777" s="3" t="s">
        <v>36</v>
      </c>
      <c r="M1777" s="3" t="s">
        <v>36</v>
      </c>
      <c r="N1777" s="3" t="s">
        <v>23</v>
      </c>
      <c r="O1777" s="3" t="s">
        <v>868</v>
      </c>
    </row>
    <row r="1778" spans="1:15" hidden="1" x14ac:dyDescent="0.75">
      <c r="A1778" s="2">
        <v>46291</v>
      </c>
      <c r="B1778" s="3" t="s">
        <v>903</v>
      </c>
      <c r="C1778" s="3" t="s">
        <v>904</v>
      </c>
      <c r="D1778" s="3" t="s">
        <v>27</v>
      </c>
      <c r="E1778" s="3" t="s">
        <v>28</v>
      </c>
      <c r="F1778" s="3" t="s">
        <v>615</v>
      </c>
      <c r="G1778" s="3" t="s">
        <v>616</v>
      </c>
      <c r="H1778" s="4">
        <v>46291.52203472222</v>
      </c>
      <c r="I1778" s="4">
        <v>46291.683798611113</v>
      </c>
      <c r="J1778" s="3">
        <f>ROUND((I1778-H1778)*1440,0)</f>
        <v>233</v>
      </c>
      <c r="K1778" s="3" t="s">
        <v>256</v>
      </c>
      <c r="L1778" s="3" t="s">
        <v>36</v>
      </c>
      <c r="M1778" s="3" t="s">
        <v>36</v>
      </c>
      <c r="N1778" s="3" t="s">
        <v>45</v>
      </c>
      <c r="O1778" s="3" t="s">
        <v>257</v>
      </c>
    </row>
    <row r="1779" spans="1:15" hidden="1" x14ac:dyDescent="0.75">
      <c r="A1779" s="2">
        <v>46291</v>
      </c>
      <c r="B1779" s="3" t="s">
        <v>991</v>
      </c>
      <c r="C1779" s="3" t="s">
        <v>992</v>
      </c>
      <c r="D1779" s="3" t="s">
        <v>615</v>
      </c>
      <c r="E1779" s="3" t="s">
        <v>616</v>
      </c>
      <c r="F1779" s="3" t="s">
        <v>82</v>
      </c>
      <c r="G1779" s="3" t="s">
        <v>83</v>
      </c>
      <c r="H1779" s="4">
        <v>46291.523762847217</v>
      </c>
      <c r="I1779" s="4">
        <v>46291.689147685189</v>
      </c>
      <c r="J1779" s="3">
        <f>ROUND((I1779-H1779)*1440,0)</f>
        <v>238</v>
      </c>
      <c r="K1779" s="3" t="s">
        <v>2289</v>
      </c>
      <c r="L1779" s="3" t="s">
        <v>36</v>
      </c>
      <c r="M1779" s="3" t="s">
        <v>36</v>
      </c>
      <c r="N1779" s="3" t="s">
        <v>23</v>
      </c>
      <c r="O1779" s="3" t="s">
        <v>2290</v>
      </c>
    </row>
    <row r="1780" spans="1:15" hidden="1" x14ac:dyDescent="0.75">
      <c r="A1780" s="2">
        <v>46291</v>
      </c>
      <c r="B1780" s="3" t="s">
        <v>1027</v>
      </c>
      <c r="C1780" s="3" t="s">
        <v>1028</v>
      </c>
      <c r="D1780" s="3"/>
      <c r="E1780" s="3"/>
      <c r="F1780" s="3" t="s">
        <v>27</v>
      </c>
      <c r="G1780" s="3" t="s">
        <v>28</v>
      </c>
      <c r="H1780" s="4">
        <v>46291.524476967592</v>
      </c>
      <c r="I1780" s="4">
        <v>46291.600423263888</v>
      </c>
      <c r="J1780" s="3">
        <f>ROUND((I1780-H1780)*1440,0)</f>
        <v>109</v>
      </c>
      <c r="K1780" s="3" t="s">
        <v>969</v>
      </c>
      <c r="L1780" s="3" t="s">
        <v>36</v>
      </c>
      <c r="M1780" s="3" t="s">
        <v>36</v>
      </c>
      <c r="N1780" s="3" t="s">
        <v>23</v>
      </c>
      <c r="O1780" s="3" t="s">
        <v>970</v>
      </c>
    </row>
    <row r="1781" spans="1:15" hidden="1" x14ac:dyDescent="0.75">
      <c r="A1781" s="2">
        <v>46291</v>
      </c>
      <c r="B1781" s="3" t="s">
        <v>1019</v>
      </c>
      <c r="C1781" s="3" t="s">
        <v>1020</v>
      </c>
      <c r="D1781" s="3" t="s">
        <v>320</v>
      </c>
      <c r="E1781" s="3" t="s">
        <v>321</v>
      </c>
      <c r="F1781" s="3" t="s">
        <v>56</v>
      </c>
      <c r="G1781" s="3" t="s">
        <v>57</v>
      </c>
      <c r="H1781" s="4">
        <v>46291.524738078697</v>
      </c>
      <c r="I1781" s="4">
        <v>46291.58975914352</v>
      </c>
      <c r="J1781" s="3">
        <f>ROUND((I1781-H1781)*1440,0)</f>
        <v>94</v>
      </c>
      <c r="K1781" s="3" t="s">
        <v>2273</v>
      </c>
      <c r="L1781" s="3" t="s">
        <v>36</v>
      </c>
      <c r="M1781" s="3" t="s">
        <v>36</v>
      </c>
      <c r="N1781" s="3" t="s">
        <v>23</v>
      </c>
      <c r="O1781" s="3" t="s">
        <v>2274</v>
      </c>
    </row>
    <row r="1782" spans="1:15" hidden="1" x14ac:dyDescent="0.75">
      <c r="A1782" s="2">
        <v>46291</v>
      </c>
      <c r="B1782" s="3" t="s">
        <v>869</v>
      </c>
      <c r="C1782" s="3" t="s">
        <v>870</v>
      </c>
      <c r="D1782" s="3" t="s">
        <v>410</v>
      </c>
      <c r="E1782" s="3" t="s">
        <v>411</v>
      </c>
      <c r="F1782" s="3"/>
      <c r="G1782" s="3"/>
      <c r="H1782" s="4">
        <v>46291.52482280093</v>
      </c>
      <c r="I1782" s="4">
        <v>46291.56631076389</v>
      </c>
      <c r="J1782" s="3">
        <f>ROUND((I1782-H1782)*1440,0)</f>
        <v>60</v>
      </c>
      <c r="K1782" s="3" t="s">
        <v>412</v>
      </c>
      <c r="L1782" s="3" t="s">
        <v>43</v>
      </c>
      <c r="M1782" s="3" t="s">
        <v>44</v>
      </c>
      <c r="N1782" s="3" t="s">
        <v>443</v>
      </c>
      <c r="O1782" s="3" t="s">
        <v>413</v>
      </c>
    </row>
    <row r="1783" spans="1:15" hidden="1" x14ac:dyDescent="0.75">
      <c r="A1783" s="2">
        <v>46291</v>
      </c>
      <c r="B1783" s="3" t="s">
        <v>983</v>
      </c>
      <c r="C1783" s="3" t="s">
        <v>984</v>
      </c>
      <c r="D1783" s="3" t="s">
        <v>615</v>
      </c>
      <c r="E1783" s="3" t="s">
        <v>616</v>
      </c>
      <c r="F1783" s="3" t="s">
        <v>244</v>
      </c>
      <c r="G1783" s="3" t="s">
        <v>245</v>
      </c>
      <c r="H1783" s="4">
        <v>46291.526060995369</v>
      </c>
      <c r="I1783" s="4">
        <v>46291.680013194447</v>
      </c>
      <c r="J1783" s="3">
        <f>ROUND((I1783-H1783)*1440,0)</f>
        <v>222</v>
      </c>
      <c r="K1783" s="3" t="s">
        <v>1989</v>
      </c>
      <c r="L1783" s="3" t="s">
        <v>36</v>
      </c>
      <c r="M1783" s="3" t="s">
        <v>36</v>
      </c>
      <c r="N1783" s="3" t="s">
        <v>45</v>
      </c>
      <c r="O1783" s="3" t="s">
        <v>1990</v>
      </c>
    </row>
    <row r="1784" spans="1:15" hidden="1" x14ac:dyDescent="0.75">
      <c r="A1784" s="2">
        <v>46291</v>
      </c>
      <c r="B1784" s="3" t="s">
        <v>2361</v>
      </c>
      <c r="C1784" s="3" t="s">
        <v>2362</v>
      </c>
      <c r="D1784" s="3" t="s">
        <v>27</v>
      </c>
      <c r="E1784" s="3" t="s">
        <v>28</v>
      </c>
      <c r="F1784" s="3"/>
      <c r="G1784" s="3"/>
      <c r="H1784" s="4">
        <v>46291.529246874998</v>
      </c>
      <c r="I1784" s="4">
        <v>46291.621787152777</v>
      </c>
      <c r="J1784" s="3">
        <f>ROUND((I1784-H1784)*1440,0)</f>
        <v>133</v>
      </c>
      <c r="K1784" s="3" t="s">
        <v>174</v>
      </c>
      <c r="L1784" s="3" t="s">
        <v>36</v>
      </c>
      <c r="M1784" s="3" t="s">
        <v>36</v>
      </c>
      <c r="N1784" s="3" t="s">
        <v>443</v>
      </c>
      <c r="O1784" s="3" t="s">
        <v>175</v>
      </c>
    </row>
    <row r="1785" spans="1:15" hidden="1" x14ac:dyDescent="0.75">
      <c r="A1785" s="2">
        <v>46291</v>
      </c>
      <c r="B1785" s="3" t="s">
        <v>975</v>
      </c>
      <c r="C1785" s="3" t="s">
        <v>976</v>
      </c>
      <c r="D1785" s="3" t="s">
        <v>17</v>
      </c>
      <c r="E1785" s="3" t="s">
        <v>18</v>
      </c>
      <c r="F1785" s="3" t="s">
        <v>977</v>
      </c>
      <c r="G1785" s="3" t="s">
        <v>978</v>
      </c>
      <c r="H1785" s="4">
        <v>46291.530558101847</v>
      </c>
      <c r="I1785" s="4">
        <v>46291.593610995369</v>
      </c>
      <c r="J1785" s="3">
        <f>ROUND((I1785-H1785)*1440,0)</f>
        <v>91</v>
      </c>
      <c r="K1785" s="3" t="s">
        <v>477</v>
      </c>
      <c r="L1785" s="3" t="s">
        <v>77</v>
      </c>
      <c r="M1785" s="3" t="s">
        <v>78</v>
      </c>
      <c r="N1785" s="3" t="s">
        <v>45</v>
      </c>
      <c r="O1785" s="3" t="s">
        <v>478</v>
      </c>
    </row>
    <row r="1786" spans="1:15" hidden="1" x14ac:dyDescent="0.75">
      <c r="A1786" s="2">
        <v>46291</v>
      </c>
      <c r="B1786" s="3" t="s">
        <v>1003</v>
      </c>
      <c r="C1786" s="3" t="s">
        <v>1004</v>
      </c>
      <c r="D1786" s="3" t="s">
        <v>27</v>
      </c>
      <c r="E1786" s="3" t="s">
        <v>28</v>
      </c>
      <c r="F1786" s="3" t="s">
        <v>1005</v>
      </c>
      <c r="G1786" s="3" t="s">
        <v>1006</v>
      </c>
      <c r="H1786" s="4">
        <v>46291.531248611107</v>
      </c>
      <c r="I1786" s="4">
        <v>46291.612987152781</v>
      </c>
      <c r="J1786" s="3">
        <f>ROUND((I1786-H1786)*1440,0)</f>
        <v>118</v>
      </c>
      <c r="K1786" s="3" t="s">
        <v>1229</v>
      </c>
      <c r="L1786" s="3" t="s">
        <v>77</v>
      </c>
      <c r="M1786" s="3" t="s">
        <v>78</v>
      </c>
      <c r="N1786" s="3" t="s">
        <v>45</v>
      </c>
      <c r="O1786" s="3" t="s">
        <v>1230</v>
      </c>
    </row>
    <row r="1787" spans="1:15" hidden="1" x14ac:dyDescent="0.75">
      <c r="A1787" s="2">
        <v>46291</v>
      </c>
      <c r="B1787" s="3" t="s">
        <v>2213</v>
      </c>
      <c r="C1787" s="3" t="s">
        <v>2214</v>
      </c>
      <c r="D1787" s="3" t="s">
        <v>1871</v>
      </c>
      <c r="E1787" s="3" t="s">
        <v>1872</v>
      </c>
      <c r="F1787" s="3" t="s">
        <v>82</v>
      </c>
      <c r="G1787" s="3" t="s">
        <v>83</v>
      </c>
      <c r="H1787" s="4">
        <v>46291.531888310194</v>
      </c>
      <c r="I1787" s="4">
        <v>46291.642423379628</v>
      </c>
      <c r="J1787" s="3">
        <f>ROUND((I1787-H1787)*1440,0)</f>
        <v>159</v>
      </c>
      <c r="K1787" s="3" t="s">
        <v>715</v>
      </c>
      <c r="L1787" s="3" t="s">
        <v>36</v>
      </c>
      <c r="M1787" s="3" t="s">
        <v>36</v>
      </c>
      <c r="N1787" s="3" t="s">
        <v>23</v>
      </c>
      <c r="O1787" s="3" t="s">
        <v>716</v>
      </c>
    </row>
    <row r="1788" spans="1:15" hidden="1" x14ac:dyDescent="0.75">
      <c r="A1788" s="2">
        <v>46291</v>
      </c>
      <c r="B1788" s="3" t="s">
        <v>1001</v>
      </c>
      <c r="C1788" s="3" t="s">
        <v>1002</v>
      </c>
      <c r="D1788" s="3" t="s">
        <v>19</v>
      </c>
      <c r="E1788" s="3" t="s">
        <v>20</v>
      </c>
      <c r="F1788" s="3" t="s">
        <v>56</v>
      </c>
      <c r="G1788" s="3" t="s">
        <v>57</v>
      </c>
      <c r="H1788" s="4">
        <v>46291.532817013889</v>
      </c>
      <c r="I1788" s="4">
        <v>46291.566141782409</v>
      </c>
      <c r="J1788" s="3">
        <f>ROUND((I1788-H1788)*1440,0)</f>
        <v>48</v>
      </c>
      <c r="K1788" s="3" t="s">
        <v>907</v>
      </c>
      <c r="L1788" s="3" t="s">
        <v>36</v>
      </c>
      <c r="M1788" s="3" t="s">
        <v>36</v>
      </c>
      <c r="N1788" s="3" t="s">
        <v>23</v>
      </c>
      <c r="O1788" s="3" t="s">
        <v>908</v>
      </c>
    </row>
    <row r="1789" spans="1:15" hidden="1" x14ac:dyDescent="0.75">
      <c r="A1789" s="2">
        <v>46291</v>
      </c>
      <c r="B1789" s="3" t="s">
        <v>1007</v>
      </c>
      <c r="C1789" s="3" t="s">
        <v>1008</v>
      </c>
      <c r="D1789" s="3" t="s">
        <v>58</v>
      </c>
      <c r="E1789" s="3" t="s">
        <v>59</v>
      </c>
      <c r="F1789" s="3" t="s">
        <v>56</v>
      </c>
      <c r="G1789" s="3" t="s">
        <v>57</v>
      </c>
      <c r="H1789" s="4">
        <v>46291.533152662043</v>
      </c>
      <c r="I1789" s="4">
        <v>46291.627097916673</v>
      </c>
      <c r="J1789" s="3">
        <f>ROUND((I1789-H1789)*1440,0)</f>
        <v>135</v>
      </c>
      <c r="K1789" s="3" t="s">
        <v>493</v>
      </c>
      <c r="L1789" s="3" t="s">
        <v>36</v>
      </c>
      <c r="M1789" s="3" t="s">
        <v>36</v>
      </c>
      <c r="N1789" s="3" t="s">
        <v>23</v>
      </c>
      <c r="O1789" s="3" t="s">
        <v>494</v>
      </c>
    </row>
    <row r="1790" spans="1:15" hidden="1" x14ac:dyDescent="0.75">
      <c r="A1790" s="2">
        <v>46291</v>
      </c>
      <c r="B1790" s="3" t="s">
        <v>1131</v>
      </c>
      <c r="C1790" s="3" t="s">
        <v>1132</v>
      </c>
      <c r="D1790" s="3" t="s">
        <v>17</v>
      </c>
      <c r="E1790" s="3" t="s">
        <v>18</v>
      </c>
      <c r="F1790" s="3" t="s">
        <v>304</v>
      </c>
      <c r="G1790" s="3" t="s">
        <v>305</v>
      </c>
      <c r="H1790" s="4">
        <v>46291.535047685182</v>
      </c>
      <c r="I1790" s="4">
        <v>46291.757043981481</v>
      </c>
      <c r="J1790" s="3">
        <f>ROUND((I1790-H1790)*1440,0)</f>
        <v>320</v>
      </c>
      <c r="K1790" s="3" t="s">
        <v>362</v>
      </c>
      <c r="L1790" s="3" t="s">
        <v>43</v>
      </c>
      <c r="M1790" s="3" t="s">
        <v>44</v>
      </c>
      <c r="N1790" s="3" t="s">
        <v>23</v>
      </c>
      <c r="O1790" s="3" t="s">
        <v>363</v>
      </c>
    </row>
    <row r="1791" spans="1:15" hidden="1" x14ac:dyDescent="0.75">
      <c r="A1791" s="2">
        <v>46291</v>
      </c>
      <c r="B1791" s="3" t="s">
        <v>929</v>
      </c>
      <c r="C1791" s="3" t="s">
        <v>930</v>
      </c>
      <c r="D1791" s="3" t="s">
        <v>17</v>
      </c>
      <c r="E1791" s="3" t="s">
        <v>18</v>
      </c>
      <c r="F1791" s="3" t="s">
        <v>270</v>
      </c>
      <c r="G1791" s="3" t="s">
        <v>271</v>
      </c>
      <c r="H1791" s="4">
        <v>46291.536755439818</v>
      </c>
      <c r="I1791" s="4">
        <v>46291.666260879632</v>
      </c>
      <c r="J1791" s="3">
        <f>ROUND((I1791-H1791)*1440,0)</f>
        <v>186</v>
      </c>
      <c r="K1791" s="3" t="s">
        <v>1177</v>
      </c>
      <c r="L1791" s="3" t="s">
        <v>77</v>
      </c>
      <c r="M1791" s="3" t="s">
        <v>78</v>
      </c>
      <c r="N1791" s="3" t="s">
        <v>45</v>
      </c>
      <c r="O1791" s="3" t="s">
        <v>1178</v>
      </c>
    </row>
    <row r="1792" spans="1:15" hidden="1" x14ac:dyDescent="0.75">
      <c r="A1792" s="2">
        <v>46291</v>
      </c>
      <c r="B1792" s="3" t="s">
        <v>1073</v>
      </c>
      <c r="C1792" s="3" t="s">
        <v>1074</v>
      </c>
      <c r="D1792" s="3" t="s">
        <v>27</v>
      </c>
      <c r="E1792" s="3" t="s">
        <v>28</v>
      </c>
      <c r="F1792" s="3" t="s">
        <v>737</v>
      </c>
      <c r="G1792" s="3" t="s">
        <v>738</v>
      </c>
      <c r="H1792" s="4">
        <v>46291.538631249998</v>
      </c>
      <c r="I1792" s="4">
        <v>46291.588785416658</v>
      </c>
      <c r="J1792" s="3">
        <f>ROUND((I1792-H1792)*1440,0)</f>
        <v>72</v>
      </c>
      <c r="K1792" s="3" t="s">
        <v>951</v>
      </c>
      <c r="L1792" s="3" t="s">
        <v>36</v>
      </c>
      <c r="M1792" s="3" t="s">
        <v>36</v>
      </c>
      <c r="N1792" s="3" t="s">
        <v>45</v>
      </c>
      <c r="O1792" s="3" t="s">
        <v>952</v>
      </c>
    </row>
    <row r="1793" spans="1:15" hidden="1" x14ac:dyDescent="0.75">
      <c r="A1793" s="2">
        <v>46291</v>
      </c>
      <c r="B1793" s="3" t="s">
        <v>1065</v>
      </c>
      <c r="C1793" s="3" t="s">
        <v>1066</v>
      </c>
      <c r="D1793" s="3" t="s">
        <v>27</v>
      </c>
      <c r="E1793" s="3" t="s">
        <v>28</v>
      </c>
      <c r="F1793" s="3" t="s">
        <v>977</v>
      </c>
      <c r="G1793" s="3" t="s">
        <v>978</v>
      </c>
      <c r="H1793" s="4">
        <v>46291.544988194437</v>
      </c>
      <c r="I1793" s="4">
        <v>46291.631513657398</v>
      </c>
      <c r="J1793" s="3">
        <f>ROUND((I1793-H1793)*1440,0)</f>
        <v>125</v>
      </c>
      <c r="K1793" s="3" t="s">
        <v>368</v>
      </c>
      <c r="L1793" s="3" t="s">
        <v>77</v>
      </c>
      <c r="M1793" s="3" t="s">
        <v>78</v>
      </c>
      <c r="N1793" s="3" t="s">
        <v>45</v>
      </c>
      <c r="O1793" s="3" t="s">
        <v>369</v>
      </c>
    </row>
    <row r="1794" spans="1:15" hidden="1" x14ac:dyDescent="0.75">
      <c r="A1794" s="2">
        <v>46291</v>
      </c>
      <c r="B1794" s="3" t="s">
        <v>1079</v>
      </c>
      <c r="C1794" s="3" t="s">
        <v>1080</v>
      </c>
      <c r="D1794" s="3" t="s">
        <v>228</v>
      </c>
      <c r="E1794" s="3" t="s">
        <v>229</v>
      </c>
      <c r="F1794" s="3" t="s">
        <v>27</v>
      </c>
      <c r="G1794" s="3" t="s">
        <v>28</v>
      </c>
      <c r="H1794" s="4">
        <v>46291.545470023149</v>
      </c>
      <c r="I1794" s="4">
        <v>46291.606325925917</v>
      </c>
      <c r="J1794" s="3">
        <f>ROUND((I1794-H1794)*1440,0)</f>
        <v>88</v>
      </c>
      <c r="K1794" s="3" t="s">
        <v>1501</v>
      </c>
      <c r="L1794" s="3" t="s">
        <v>77</v>
      </c>
      <c r="M1794" s="3" t="s">
        <v>78</v>
      </c>
      <c r="N1794" s="3" t="s">
        <v>23</v>
      </c>
      <c r="O1794" s="3" t="s">
        <v>1502</v>
      </c>
    </row>
    <row r="1795" spans="1:15" hidden="1" x14ac:dyDescent="0.75">
      <c r="A1795" s="2">
        <v>46291</v>
      </c>
      <c r="B1795" s="3" t="s">
        <v>919</v>
      </c>
      <c r="C1795" s="3" t="s">
        <v>920</v>
      </c>
      <c r="D1795" s="3" t="s">
        <v>17</v>
      </c>
      <c r="E1795" s="3" t="s">
        <v>18</v>
      </c>
      <c r="F1795" s="3" t="s">
        <v>106</v>
      </c>
      <c r="G1795" s="3" t="s">
        <v>107</v>
      </c>
      <c r="H1795" s="4">
        <v>46291.545596180556</v>
      </c>
      <c r="I1795" s="4">
        <v>46291.668039351847</v>
      </c>
      <c r="J1795" s="3">
        <f>ROUND((I1795-H1795)*1440,0)</f>
        <v>176</v>
      </c>
      <c r="K1795" s="3" t="s">
        <v>629</v>
      </c>
      <c r="L1795" s="3" t="s">
        <v>77</v>
      </c>
      <c r="M1795" s="3" t="s">
        <v>78</v>
      </c>
      <c r="N1795" s="3" t="s">
        <v>23</v>
      </c>
      <c r="O1795" s="3" t="s">
        <v>630</v>
      </c>
    </row>
    <row r="1796" spans="1:15" hidden="1" x14ac:dyDescent="0.75">
      <c r="A1796" s="2">
        <v>46291</v>
      </c>
      <c r="B1796" s="3" t="s">
        <v>1075</v>
      </c>
      <c r="C1796" s="3" t="s">
        <v>1076</v>
      </c>
      <c r="D1796" s="3" t="s">
        <v>27</v>
      </c>
      <c r="E1796" s="3" t="s">
        <v>28</v>
      </c>
      <c r="F1796" s="3" t="s">
        <v>196</v>
      </c>
      <c r="G1796" s="3" t="s">
        <v>197</v>
      </c>
      <c r="H1796" s="4">
        <v>46291.547669907413</v>
      </c>
      <c r="I1796" s="4">
        <v>46291.600529398151</v>
      </c>
      <c r="J1796" s="3">
        <f>ROUND((I1796-H1796)*1440,0)</f>
        <v>76</v>
      </c>
      <c r="K1796" s="3" t="s">
        <v>783</v>
      </c>
      <c r="L1796" s="3" t="s">
        <v>77</v>
      </c>
      <c r="M1796" s="3" t="s">
        <v>78</v>
      </c>
      <c r="N1796" s="3" t="s">
        <v>45</v>
      </c>
      <c r="O1796" s="3" t="s">
        <v>784</v>
      </c>
    </row>
    <row r="1797" spans="1:15" hidden="1" x14ac:dyDescent="0.75">
      <c r="A1797" s="2">
        <v>46291</v>
      </c>
      <c r="B1797" s="3" t="s">
        <v>1053</v>
      </c>
      <c r="C1797" s="3" t="s">
        <v>1054</v>
      </c>
      <c r="D1797" s="3" t="s">
        <v>264</v>
      </c>
      <c r="E1797" s="3" t="s">
        <v>265</v>
      </c>
      <c r="F1797" s="3" t="s">
        <v>17</v>
      </c>
      <c r="G1797" s="3" t="s">
        <v>18</v>
      </c>
      <c r="H1797" s="4">
        <v>46291.548307638892</v>
      </c>
      <c r="I1797" s="4">
        <v>46291.738937499998</v>
      </c>
      <c r="J1797" s="3">
        <f>ROUND((I1797-H1797)*1440,0)</f>
        <v>275</v>
      </c>
      <c r="K1797" s="3" t="s">
        <v>1181</v>
      </c>
      <c r="L1797" s="3" t="s">
        <v>22</v>
      </c>
      <c r="M1797" s="3" t="s">
        <v>22</v>
      </c>
      <c r="N1797" s="3" t="s">
        <v>23</v>
      </c>
      <c r="O1797" s="3" t="s">
        <v>1182</v>
      </c>
    </row>
    <row r="1798" spans="1:15" hidden="1" x14ac:dyDescent="0.75">
      <c r="A1798" s="2">
        <v>46291</v>
      </c>
      <c r="B1798" s="3" t="s">
        <v>1063</v>
      </c>
      <c r="C1798" s="3" t="s">
        <v>1064</v>
      </c>
      <c r="D1798" s="3" t="s">
        <v>122</v>
      </c>
      <c r="E1798" s="3" t="s">
        <v>123</v>
      </c>
      <c r="F1798" s="3" t="s">
        <v>17</v>
      </c>
      <c r="G1798" s="3" t="s">
        <v>18</v>
      </c>
      <c r="H1798" s="4">
        <v>46291.549261342603</v>
      </c>
      <c r="I1798" s="4">
        <v>46291.763529398151</v>
      </c>
      <c r="J1798" s="3">
        <f>ROUND((I1798-H1798)*1440,0)</f>
        <v>309</v>
      </c>
      <c r="K1798" s="3" t="s">
        <v>547</v>
      </c>
      <c r="L1798" s="3" t="s">
        <v>22</v>
      </c>
      <c r="M1798" s="3" t="s">
        <v>22</v>
      </c>
      <c r="N1798" s="3" t="s">
        <v>23</v>
      </c>
      <c r="O1798" s="3" t="s">
        <v>548</v>
      </c>
    </row>
    <row r="1799" spans="1:15" hidden="1" x14ac:dyDescent="0.75">
      <c r="A1799" s="2">
        <v>46291</v>
      </c>
      <c r="B1799" s="3" t="s">
        <v>1039</v>
      </c>
      <c r="C1799" s="3" t="s">
        <v>1040</v>
      </c>
      <c r="D1799" s="3" t="s">
        <v>17</v>
      </c>
      <c r="E1799" s="3" t="s">
        <v>18</v>
      </c>
      <c r="F1799" s="3" t="s">
        <v>344</v>
      </c>
      <c r="G1799" s="3" t="s">
        <v>345</v>
      </c>
      <c r="H1799" s="4">
        <v>46291.54978587963</v>
      </c>
      <c r="I1799" s="4">
        <v>46291.806101967602</v>
      </c>
      <c r="J1799" s="3">
        <f>ROUND((I1799-H1799)*1440,0)</f>
        <v>369</v>
      </c>
      <c r="K1799" s="3" t="s">
        <v>1041</v>
      </c>
      <c r="L1799" s="3" t="s">
        <v>43</v>
      </c>
      <c r="M1799" s="3" t="s">
        <v>44</v>
      </c>
      <c r="N1799" s="3" t="s">
        <v>23</v>
      </c>
      <c r="O1799" s="3" t="s">
        <v>1042</v>
      </c>
    </row>
    <row r="1800" spans="1:15" hidden="1" x14ac:dyDescent="0.75">
      <c r="A1800" s="2">
        <v>46291</v>
      </c>
      <c r="B1800" s="3" t="s">
        <v>1067</v>
      </c>
      <c r="C1800" s="3" t="s">
        <v>1068</v>
      </c>
      <c r="D1800" s="3" t="s">
        <v>615</v>
      </c>
      <c r="E1800" s="3" t="s">
        <v>616</v>
      </c>
      <c r="F1800" s="3" t="s">
        <v>56</v>
      </c>
      <c r="G1800" s="3" t="s">
        <v>57</v>
      </c>
      <c r="H1800" s="4">
        <v>46291.550932060192</v>
      </c>
      <c r="I1800" s="4">
        <v>46291.646059143517</v>
      </c>
      <c r="J1800" s="3">
        <f>ROUND((I1800-H1800)*1440,0)</f>
        <v>137</v>
      </c>
      <c r="K1800" s="3" t="s">
        <v>168</v>
      </c>
      <c r="L1800" s="3" t="s">
        <v>36</v>
      </c>
      <c r="M1800" s="3" t="s">
        <v>36</v>
      </c>
      <c r="N1800" s="3" t="s">
        <v>23</v>
      </c>
      <c r="O1800" s="3" t="s">
        <v>169</v>
      </c>
    </row>
    <row r="1801" spans="1:15" hidden="1" x14ac:dyDescent="0.75">
      <c r="A1801" s="2">
        <v>46291</v>
      </c>
      <c r="B1801" s="3" t="s">
        <v>1111</v>
      </c>
      <c r="C1801" s="3" t="s">
        <v>1112</v>
      </c>
      <c r="D1801" s="3" t="s">
        <v>27</v>
      </c>
      <c r="E1801" s="3" t="s">
        <v>28</v>
      </c>
      <c r="F1801" s="3" t="s">
        <v>1113</v>
      </c>
      <c r="G1801" s="3" t="s">
        <v>1114</v>
      </c>
      <c r="H1801" s="4">
        <v>46291.55151203704</v>
      </c>
      <c r="I1801" s="4">
        <v>46291.707770370369</v>
      </c>
      <c r="J1801" s="3">
        <f>ROUND((I1801-H1801)*1440,0)</f>
        <v>225</v>
      </c>
      <c r="K1801" s="3" t="s">
        <v>2323</v>
      </c>
      <c r="L1801" s="3" t="s">
        <v>77</v>
      </c>
      <c r="M1801" s="3" t="s">
        <v>78</v>
      </c>
      <c r="N1801" s="3" t="s">
        <v>23</v>
      </c>
      <c r="O1801" s="3" t="s">
        <v>2324</v>
      </c>
    </row>
    <row r="1802" spans="1:15" hidden="1" x14ac:dyDescent="0.75">
      <c r="A1802" s="2">
        <v>46291</v>
      </c>
      <c r="B1802" s="3" t="s">
        <v>1059</v>
      </c>
      <c r="C1802" s="3" t="s">
        <v>1060</v>
      </c>
      <c r="D1802" s="3" t="s">
        <v>737</v>
      </c>
      <c r="E1802" s="3" t="s">
        <v>738</v>
      </c>
      <c r="F1802" s="3" t="s">
        <v>27</v>
      </c>
      <c r="G1802" s="3" t="s">
        <v>28</v>
      </c>
      <c r="H1802" s="4">
        <v>46291.551615393517</v>
      </c>
      <c r="I1802" s="4">
        <v>46291.60268935185</v>
      </c>
      <c r="J1802" s="3">
        <f>ROUND((I1802-H1802)*1440,0)</f>
        <v>74</v>
      </c>
      <c r="K1802" s="3" t="s">
        <v>807</v>
      </c>
      <c r="L1802" s="3" t="s">
        <v>77</v>
      </c>
      <c r="M1802" s="3" t="s">
        <v>78</v>
      </c>
      <c r="N1802" s="3" t="s">
        <v>23</v>
      </c>
      <c r="O1802" s="3" t="s">
        <v>808</v>
      </c>
    </row>
    <row r="1803" spans="1:15" hidden="1" x14ac:dyDescent="0.75">
      <c r="A1803" s="2">
        <v>46291</v>
      </c>
      <c r="B1803" s="3" t="s">
        <v>2363</v>
      </c>
      <c r="C1803" s="3" t="s">
        <v>2364</v>
      </c>
      <c r="D1803" s="3"/>
      <c r="E1803" s="3"/>
      <c r="F1803" s="3"/>
      <c r="G1803" s="3"/>
      <c r="H1803" s="4">
        <v>46291.552113194448</v>
      </c>
      <c r="I1803" s="4">
        <v>46291.569696412043</v>
      </c>
      <c r="J1803" s="3">
        <f>ROUND((I1803-H1803)*1440,0)</f>
        <v>25</v>
      </c>
      <c r="K1803" s="3" t="s">
        <v>947</v>
      </c>
      <c r="L1803" s="3" t="s">
        <v>22</v>
      </c>
      <c r="M1803" s="3" t="s">
        <v>22</v>
      </c>
      <c r="N1803" s="3" t="s">
        <v>443</v>
      </c>
      <c r="O1803" s="3" t="s">
        <v>948</v>
      </c>
    </row>
    <row r="1804" spans="1:15" hidden="1" x14ac:dyDescent="0.75">
      <c r="A1804" s="2">
        <v>46291</v>
      </c>
      <c r="B1804" s="3" t="s">
        <v>1057</v>
      </c>
      <c r="C1804" s="3" t="s">
        <v>1058</v>
      </c>
      <c r="D1804" s="3" t="s">
        <v>304</v>
      </c>
      <c r="E1804" s="3" t="s">
        <v>305</v>
      </c>
      <c r="F1804" s="3" t="s">
        <v>58</v>
      </c>
      <c r="G1804" s="3" t="s">
        <v>59</v>
      </c>
      <c r="H1804" s="4">
        <v>46291.553213425927</v>
      </c>
      <c r="I1804" s="4">
        <v>46291.763828356481</v>
      </c>
      <c r="J1804" s="3">
        <f>ROUND((I1804-H1804)*1440,0)</f>
        <v>303</v>
      </c>
      <c r="K1804" s="3" t="s">
        <v>469</v>
      </c>
      <c r="L1804" s="3" t="s">
        <v>22</v>
      </c>
      <c r="M1804" s="3" t="s">
        <v>22</v>
      </c>
      <c r="N1804" s="3" t="s">
        <v>23</v>
      </c>
      <c r="O1804" s="3" t="s">
        <v>470</v>
      </c>
    </row>
    <row r="1805" spans="1:15" hidden="1" x14ac:dyDescent="0.75">
      <c r="A1805" s="2">
        <v>46291</v>
      </c>
      <c r="B1805" s="3" t="s">
        <v>1047</v>
      </c>
      <c r="C1805" s="3" t="s">
        <v>1048</v>
      </c>
      <c r="D1805" s="3" t="s">
        <v>56</v>
      </c>
      <c r="E1805" s="3" t="s">
        <v>57</v>
      </c>
      <c r="F1805" s="3" t="s">
        <v>17</v>
      </c>
      <c r="G1805" s="3" t="s">
        <v>18</v>
      </c>
      <c r="H1805" s="4">
        <v>46291.553332870368</v>
      </c>
      <c r="I1805" s="4">
        <v>46291.655298032398</v>
      </c>
      <c r="J1805" s="3">
        <f>ROUND((I1805-H1805)*1440,0)</f>
        <v>147</v>
      </c>
      <c r="K1805" s="3" t="s">
        <v>1685</v>
      </c>
      <c r="L1805" s="3" t="s">
        <v>22</v>
      </c>
      <c r="M1805" s="3" t="s">
        <v>22</v>
      </c>
      <c r="N1805" s="3" t="s">
        <v>23</v>
      </c>
      <c r="O1805" s="3" t="s">
        <v>1686</v>
      </c>
    </row>
    <row r="1806" spans="1:15" hidden="1" x14ac:dyDescent="0.75">
      <c r="A1806" s="2">
        <v>46291</v>
      </c>
      <c r="B1806" s="3" t="s">
        <v>1081</v>
      </c>
      <c r="C1806" s="3" t="s">
        <v>1082</v>
      </c>
      <c r="D1806" s="3" t="s">
        <v>82</v>
      </c>
      <c r="E1806" s="3" t="s">
        <v>83</v>
      </c>
      <c r="F1806" s="3" t="s">
        <v>84</v>
      </c>
      <c r="G1806" s="3" t="s">
        <v>85</v>
      </c>
      <c r="H1806" s="4">
        <v>46291.553502083327</v>
      </c>
      <c r="I1806" s="4">
        <v>46291.650887152777</v>
      </c>
      <c r="J1806" s="3">
        <f>ROUND((I1806-H1806)*1440,0)</f>
        <v>140</v>
      </c>
      <c r="K1806" s="3" t="s">
        <v>1873</v>
      </c>
      <c r="L1806" s="3" t="s">
        <v>36</v>
      </c>
      <c r="M1806" s="3" t="s">
        <v>36</v>
      </c>
      <c r="N1806" s="3" t="s">
        <v>23</v>
      </c>
      <c r="O1806" s="3" t="s">
        <v>1874</v>
      </c>
    </row>
    <row r="1807" spans="1:15" hidden="1" x14ac:dyDescent="0.75">
      <c r="A1807" s="2">
        <v>46291</v>
      </c>
      <c r="B1807" s="3" t="s">
        <v>1159</v>
      </c>
      <c r="C1807" s="3" t="s">
        <v>1160</v>
      </c>
      <c r="D1807" s="3" t="s">
        <v>218</v>
      </c>
      <c r="E1807" s="3" t="s">
        <v>219</v>
      </c>
      <c r="F1807" s="3" t="s">
        <v>27</v>
      </c>
      <c r="G1807" s="3" t="s">
        <v>28</v>
      </c>
      <c r="H1807" s="4">
        <v>46291.553711921297</v>
      </c>
      <c r="I1807" s="4">
        <v>46291.62054398148</v>
      </c>
      <c r="J1807" s="3">
        <f>ROUND((I1807-H1807)*1440,0)</f>
        <v>96</v>
      </c>
      <c r="K1807" s="3" t="s">
        <v>51</v>
      </c>
      <c r="L1807" s="3" t="s">
        <v>52</v>
      </c>
      <c r="M1807" s="3"/>
      <c r="N1807" s="3" t="s">
        <v>23</v>
      </c>
      <c r="O1807" s="3" t="s">
        <v>53</v>
      </c>
    </row>
    <row r="1808" spans="1:15" hidden="1" x14ac:dyDescent="0.75">
      <c r="A1808" s="2">
        <v>46291</v>
      </c>
      <c r="B1808" s="3" t="s">
        <v>1103</v>
      </c>
      <c r="C1808" s="3" t="s">
        <v>1104</v>
      </c>
      <c r="D1808" s="3" t="s">
        <v>82</v>
      </c>
      <c r="E1808" s="3" t="s">
        <v>83</v>
      </c>
      <c r="F1808" s="3" t="s">
        <v>615</v>
      </c>
      <c r="G1808" s="3" t="s">
        <v>616</v>
      </c>
      <c r="H1808" s="4">
        <v>46291.554362499999</v>
      </c>
      <c r="I1808" s="4">
        <v>46291.739213657413</v>
      </c>
      <c r="J1808" s="3">
        <f>ROUND((I1808-H1808)*1440,0)</f>
        <v>266</v>
      </c>
      <c r="K1808" s="3" t="s">
        <v>402</v>
      </c>
      <c r="L1808" s="3" t="s">
        <v>36</v>
      </c>
      <c r="M1808" s="3" t="s">
        <v>36</v>
      </c>
      <c r="N1808" s="3" t="s">
        <v>45</v>
      </c>
      <c r="O1808" s="3" t="s">
        <v>403</v>
      </c>
    </row>
    <row r="1809" spans="1:15" hidden="1" x14ac:dyDescent="0.75">
      <c r="A1809" s="2">
        <v>46291</v>
      </c>
      <c r="B1809" s="3" t="s">
        <v>1087</v>
      </c>
      <c r="C1809" s="3" t="s">
        <v>1088</v>
      </c>
      <c r="D1809" s="3" t="s">
        <v>56</v>
      </c>
      <c r="E1809" s="3" t="s">
        <v>57</v>
      </c>
      <c r="F1809" s="3" t="s">
        <v>128</v>
      </c>
      <c r="G1809" s="3" t="s">
        <v>129</v>
      </c>
      <c r="H1809" s="4">
        <v>46291.554387847224</v>
      </c>
      <c r="I1809" s="4">
        <v>46291.667164236111</v>
      </c>
      <c r="J1809" s="3">
        <f>ROUND((I1809-H1809)*1440,0)</f>
        <v>162</v>
      </c>
      <c r="K1809" s="3" t="s">
        <v>1715</v>
      </c>
      <c r="L1809" s="3" t="s">
        <v>36</v>
      </c>
      <c r="M1809" s="3" t="s">
        <v>36</v>
      </c>
      <c r="N1809" s="3" t="s">
        <v>23</v>
      </c>
      <c r="O1809" s="3" t="s">
        <v>1716</v>
      </c>
    </row>
    <row r="1810" spans="1:15" hidden="1" x14ac:dyDescent="0.75">
      <c r="A1810" s="2">
        <v>46291</v>
      </c>
      <c r="B1810" s="3" t="s">
        <v>1043</v>
      </c>
      <c r="C1810" s="3" t="s">
        <v>1044</v>
      </c>
      <c r="D1810" s="3" t="s">
        <v>82</v>
      </c>
      <c r="E1810" s="3" t="s">
        <v>83</v>
      </c>
      <c r="F1810" s="3" t="s">
        <v>56</v>
      </c>
      <c r="G1810" s="3" t="s">
        <v>57</v>
      </c>
      <c r="H1810" s="4">
        <v>46291.555357060177</v>
      </c>
      <c r="I1810" s="4">
        <v>46291.583996296293</v>
      </c>
      <c r="J1810" s="3">
        <f>ROUND((I1810-H1810)*1440,0)</f>
        <v>41</v>
      </c>
      <c r="K1810" s="3" t="s">
        <v>2307</v>
      </c>
      <c r="L1810" s="3" t="s">
        <v>36</v>
      </c>
      <c r="M1810" s="3" t="s">
        <v>36</v>
      </c>
      <c r="N1810" s="3" t="s">
        <v>23</v>
      </c>
      <c r="O1810" s="3" t="s">
        <v>2308</v>
      </c>
    </row>
    <row r="1811" spans="1:15" hidden="1" x14ac:dyDescent="0.75">
      <c r="A1811" s="2">
        <v>46291</v>
      </c>
      <c r="B1811" s="3" t="s">
        <v>1097</v>
      </c>
      <c r="C1811" s="3" t="s">
        <v>1098</v>
      </c>
      <c r="D1811" s="3" t="s">
        <v>234</v>
      </c>
      <c r="E1811" s="3" t="s">
        <v>235</v>
      </c>
      <c r="F1811" s="3" t="s">
        <v>27</v>
      </c>
      <c r="G1811" s="3" t="s">
        <v>28</v>
      </c>
      <c r="H1811" s="4">
        <v>46291.558324768521</v>
      </c>
      <c r="I1811" s="4">
        <v>46291.599211574066</v>
      </c>
      <c r="J1811" s="3">
        <f>ROUND((I1811-H1811)*1440,0)</f>
        <v>59</v>
      </c>
      <c r="K1811" s="3" t="s">
        <v>1911</v>
      </c>
      <c r="L1811" s="3" t="s">
        <v>77</v>
      </c>
      <c r="M1811" s="3" t="s">
        <v>78</v>
      </c>
      <c r="N1811" s="3" t="s">
        <v>23</v>
      </c>
      <c r="O1811" s="3" t="s">
        <v>1912</v>
      </c>
    </row>
    <row r="1812" spans="1:15" hidden="1" x14ac:dyDescent="0.75">
      <c r="A1812" s="2">
        <v>46291</v>
      </c>
      <c r="B1812" s="3" t="s">
        <v>1107</v>
      </c>
      <c r="C1812" s="3" t="s">
        <v>1108</v>
      </c>
      <c r="D1812" s="3"/>
      <c r="E1812" s="3"/>
      <c r="F1812" s="3" t="s">
        <v>17</v>
      </c>
      <c r="G1812" s="3" t="s">
        <v>18</v>
      </c>
      <c r="H1812" s="4">
        <v>46291.559954976852</v>
      </c>
      <c r="I1812" s="4">
        <v>46291.598452430553</v>
      </c>
      <c r="J1812" s="3">
        <f>ROUND((I1812-H1812)*1440,0)</f>
        <v>55</v>
      </c>
      <c r="K1812" s="3" t="s">
        <v>1215</v>
      </c>
      <c r="L1812" s="3" t="s">
        <v>22</v>
      </c>
      <c r="M1812" s="3" t="s">
        <v>22</v>
      </c>
      <c r="N1812" s="3" t="s">
        <v>23</v>
      </c>
      <c r="O1812" s="3" t="s">
        <v>1216</v>
      </c>
    </row>
    <row r="1813" spans="1:15" hidden="1" x14ac:dyDescent="0.75">
      <c r="A1813" s="2">
        <v>46291</v>
      </c>
      <c r="B1813" s="3" t="s">
        <v>2225</v>
      </c>
      <c r="C1813" s="3" t="s">
        <v>2226</v>
      </c>
      <c r="D1813" s="3" t="s">
        <v>27</v>
      </c>
      <c r="E1813" s="3" t="s">
        <v>28</v>
      </c>
      <c r="F1813" s="3" t="s">
        <v>100</v>
      </c>
      <c r="G1813" s="3" t="s">
        <v>101</v>
      </c>
      <c r="H1813" s="4">
        <v>46291.560939467592</v>
      </c>
      <c r="I1813" s="4">
        <v>46291.653910416673</v>
      </c>
      <c r="J1813" s="3">
        <f>ROUND((I1813-H1813)*1440,0)</f>
        <v>134</v>
      </c>
      <c r="K1813" s="3" t="s">
        <v>150</v>
      </c>
      <c r="L1813" s="3" t="s">
        <v>36</v>
      </c>
      <c r="M1813" s="3" t="s">
        <v>36</v>
      </c>
      <c r="N1813" s="3" t="s">
        <v>45</v>
      </c>
      <c r="O1813" s="3" t="s">
        <v>151</v>
      </c>
    </row>
    <row r="1814" spans="1:15" hidden="1" x14ac:dyDescent="0.75">
      <c r="A1814" s="2">
        <v>46291</v>
      </c>
      <c r="B1814" s="3" t="s">
        <v>953</v>
      </c>
      <c r="C1814" s="3" t="s">
        <v>954</v>
      </c>
      <c r="D1814" s="3" t="s">
        <v>17</v>
      </c>
      <c r="E1814" s="3" t="s">
        <v>18</v>
      </c>
      <c r="F1814" s="3" t="s">
        <v>334</v>
      </c>
      <c r="G1814" s="3" t="s">
        <v>335</v>
      </c>
      <c r="H1814" s="4">
        <v>46291.560940277777</v>
      </c>
      <c r="I1814" s="4">
        <v>46291.637124884262</v>
      </c>
      <c r="J1814" s="3">
        <f>ROUND((I1814-H1814)*1440,0)</f>
        <v>110</v>
      </c>
      <c r="K1814" s="3" t="s">
        <v>931</v>
      </c>
      <c r="L1814" s="3" t="s">
        <v>77</v>
      </c>
      <c r="M1814" s="3" t="s">
        <v>78</v>
      </c>
      <c r="N1814" s="3" t="s">
        <v>23</v>
      </c>
      <c r="O1814" s="3" t="s">
        <v>932</v>
      </c>
    </row>
    <row r="1815" spans="1:15" hidden="1" x14ac:dyDescent="0.75">
      <c r="A1815" s="2">
        <v>46291</v>
      </c>
      <c r="B1815" s="3" t="s">
        <v>1219</v>
      </c>
      <c r="C1815" s="3" t="s">
        <v>1220</v>
      </c>
      <c r="D1815" s="3" t="s">
        <v>17</v>
      </c>
      <c r="E1815" s="3" t="s">
        <v>18</v>
      </c>
      <c r="F1815" s="3" t="s">
        <v>56</v>
      </c>
      <c r="G1815" s="3" t="s">
        <v>57</v>
      </c>
      <c r="H1815" s="4">
        <v>46291.561629861113</v>
      </c>
      <c r="I1815" s="4">
        <v>46291.653036574076</v>
      </c>
      <c r="J1815" s="3">
        <f>ROUND((I1815-H1815)*1440,0)</f>
        <v>132</v>
      </c>
      <c r="K1815" s="3" t="s">
        <v>961</v>
      </c>
      <c r="L1815" s="3" t="s">
        <v>36</v>
      </c>
      <c r="M1815" s="3" t="s">
        <v>36</v>
      </c>
      <c r="N1815" s="3" t="s">
        <v>23</v>
      </c>
      <c r="O1815" s="3" t="s">
        <v>962</v>
      </c>
    </row>
    <row r="1816" spans="1:15" hidden="1" x14ac:dyDescent="0.75">
      <c r="A1816" s="2">
        <v>46291</v>
      </c>
      <c r="B1816" s="3" t="s">
        <v>2365</v>
      </c>
      <c r="C1816" s="3" t="s">
        <v>2366</v>
      </c>
      <c r="D1816" s="3" t="s">
        <v>17</v>
      </c>
      <c r="E1816" s="3" t="s">
        <v>18</v>
      </c>
      <c r="F1816" s="3"/>
      <c r="G1816" s="3"/>
      <c r="H1816" s="4">
        <v>46291.563124189823</v>
      </c>
      <c r="I1816" s="4">
        <v>46291.999918287038</v>
      </c>
      <c r="J1816" s="3">
        <f>ROUND((I1816-H1816)*1440,0)</f>
        <v>629</v>
      </c>
      <c r="K1816" s="3" t="s">
        <v>1055</v>
      </c>
      <c r="L1816" s="3" t="s">
        <v>22</v>
      </c>
      <c r="M1816" s="3" t="s">
        <v>22</v>
      </c>
      <c r="N1816" s="3" t="s">
        <v>2367</v>
      </c>
      <c r="O1816" s="3" t="s">
        <v>1056</v>
      </c>
    </row>
    <row r="1817" spans="1:15" hidden="1" x14ac:dyDescent="0.75">
      <c r="A1817" s="2">
        <v>46291</v>
      </c>
      <c r="B1817" s="3" t="s">
        <v>2368</v>
      </c>
      <c r="C1817" s="3" t="s">
        <v>2369</v>
      </c>
      <c r="D1817" s="3" t="s">
        <v>17</v>
      </c>
      <c r="E1817" s="3" t="s">
        <v>18</v>
      </c>
      <c r="F1817" s="3"/>
      <c r="G1817" s="3"/>
      <c r="H1817" s="4">
        <v>46291.56397210648</v>
      </c>
      <c r="I1817" s="4">
        <v>46291.999891319443</v>
      </c>
      <c r="J1817" s="3">
        <f>ROUND((I1817-H1817)*1440,0)</f>
        <v>628</v>
      </c>
      <c r="K1817" s="3" t="s">
        <v>661</v>
      </c>
      <c r="L1817" s="3" t="s">
        <v>22</v>
      </c>
      <c r="M1817" s="3" t="s">
        <v>22</v>
      </c>
      <c r="N1817" s="3" t="s">
        <v>2367</v>
      </c>
      <c r="O1817" s="3" t="s">
        <v>662</v>
      </c>
    </row>
    <row r="1818" spans="1:15" hidden="1" x14ac:dyDescent="0.75">
      <c r="A1818" s="2">
        <v>46291</v>
      </c>
      <c r="B1818" s="3" t="s">
        <v>1127</v>
      </c>
      <c r="C1818" s="3" t="s">
        <v>1128</v>
      </c>
      <c r="D1818" s="3" t="s">
        <v>615</v>
      </c>
      <c r="E1818" s="3" t="s">
        <v>616</v>
      </c>
      <c r="F1818" s="3" t="s">
        <v>19</v>
      </c>
      <c r="G1818" s="3" t="s">
        <v>20</v>
      </c>
      <c r="H1818" s="4">
        <v>46291.566180208327</v>
      </c>
      <c r="I1818" s="4">
        <v>46291.676578472223</v>
      </c>
      <c r="J1818" s="3">
        <f>ROUND((I1818-H1818)*1440,0)</f>
        <v>159</v>
      </c>
      <c r="K1818" s="3" t="s">
        <v>1109</v>
      </c>
      <c r="L1818" s="3" t="s">
        <v>22</v>
      </c>
      <c r="M1818" s="3" t="s">
        <v>22</v>
      </c>
      <c r="N1818" s="3" t="s">
        <v>23</v>
      </c>
      <c r="O1818" s="3" t="s">
        <v>1110</v>
      </c>
    </row>
    <row r="1819" spans="1:15" hidden="1" x14ac:dyDescent="0.75">
      <c r="A1819" s="2">
        <v>46291</v>
      </c>
      <c r="B1819" s="3" t="s">
        <v>2370</v>
      </c>
      <c r="C1819" s="3" t="s">
        <v>2371</v>
      </c>
      <c r="D1819" s="3" t="s">
        <v>264</v>
      </c>
      <c r="E1819" s="3" t="s">
        <v>265</v>
      </c>
      <c r="F1819" s="3" t="s">
        <v>56</v>
      </c>
      <c r="G1819" s="3" t="s">
        <v>57</v>
      </c>
      <c r="H1819" s="4">
        <v>46291.567033564817</v>
      </c>
      <c r="I1819" s="4">
        <v>46291.741264699071</v>
      </c>
      <c r="J1819" s="3">
        <f>ROUND((I1819-H1819)*1440,0)</f>
        <v>251</v>
      </c>
      <c r="K1819" s="3" t="s">
        <v>2231</v>
      </c>
      <c r="L1819" s="3" t="s">
        <v>36</v>
      </c>
      <c r="M1819" s="3" t="s">
        <v>36</v>
      </c>
      <c r="N1819" s="3" t="s">
        <v>23</v>
      </c>
      <c r="O1819" s="3" t="s">
        <v>2232</v>
      </c>
    </row>
    <row r="1820" spans="1:15" hidden="1" x14ac:dyDescent="0.75">
      <c r="A1820" s="2">
        <v>46291</v>
      </c>
      <c r="B1820" s="3" t="s">
        <v>1467</v>
      </c>
      <c r="C1820" s="3" t="s">
        <v>1468</v>
      </c>
      <c r="D1820" s="3" t="s">
        <v>172</v>
      </c>
      <c r="E1820" s="3" t="s">
        <v>173</v>
      </c>
      <c r="F1820" s="3" t="s">
        <v>68</v>
      </c>
      <c r="G1820" s="3" t="s">
        <v>69</v>
      </c>
      <c r="H1820" s="4">
        <v>46291.56987835648</v>
      </c>
      <c r="I1820" s="4">
        <v>46291.669600578702</v>
      </c>
      <c r="J1820" s="3">
        <f>ROUND((I1820-H1820)*1440,0)</f>
        <v>144</v>
      </c>
      <c r="K1820" s="3" t="s">
        <v>537</v>
      </c>
      <c r="L1820" s="3" t="s">
        <v>36</v>
      </c>
      <c r="M1820" s="3" t="s">
        <v>36</v>
      </c>
      <c r="N1820" s="3" t="s">
        <v>23</v>
      </c>
      <c r="O1820" s="3" t="s">
        <v>538</v>
      </c>
    </row>
    <row r="1821" spans="1:15" hidden="1" x14ac:dyDescent="0.75">
      <c r="A1821" s="2">
        <v>46291</v>
      </c>
      <c r="B1821" s="3" t="s">
        <v>1071</v>
      </c>
      <c r="C1821" s="3" t="s">
        <v>1072</v>
      </c>
      <c r="D1821" s="3" t="s">
        <v>17</v>
      </c>
      <c r="E1821" s="3" t="s">
        <v>18</v>
      </c>
      <c r="F1821" s="3"/>
      <c r="G1821" s="3"/>
      <c r="H1821" s="4">
        <v>46291.570375000003</v>
      </c>
      <c r="I1821" s="4">
        <v>46291.60719490741</v>
      </c>
      <c r="J1821" s="3">
        <f>ROUND((I1821-H1821)*1440,0)</f>
        <v>53</v>
      </c>
      <c r="K1821" s="3" t="s">
        <v>108</v>
      </c>
      <c r="L1821" s="3" t="s">
        <v>36</v>
      </c>
      <c r="M1821" s="3" t="s">
        <v>36</v>
      </c>
      <c r="N1821" s="3" t="s">
        <v>443</v>
      </c>
      <c r="O1821" s="3" t="s">
        <v>109</v>
      </c>
    </row>
    <row r="1822" spans="1:15" hidden="1" x14ac:dyDescent="0.75">
      <c r="A1822" s="2">
        <v>46291</v>
      </c>
      <c r="B1822" s="3" t="s">
        <v>1149</v>
      </c>
      <c r="C1822" s="3" t="s">
        <v>1150</v>
      </c>
      <c r="D1822" s="3" t="s">
        <v>82</v>
      </c>
      <c r="E1822" s="3" t="s">
        <v>83</v>
      </c>
      <c r="F1822" s="3" t="s">
        <v>17</v>
      </c>
      <c r="G1822" s="3" t="s">
        <v>18</v>
      </c>
      <c r="H1822" s="4">
        <v>46291.571640393522</v>
      </c>
      <c r="I1822" s="4">
        <v>46291.660057986111</v>
      </c>
      <c r="J1822" s="3">
        <f>ROUND((I1822-H1822)*1440,0)</f>
        <v>127</v>
      </c>
      <c r="K1822" s="3" t="s">
        <v>877</v>
      </c>
      <c r="L1822" s="3" t="s">
        <v>22</v>
      </c>
      <c r="M1822" s="3" t="s">
        <v>22</v>
      </c>
      <c r="N1822" s="3" t="s">
        <v>23</v>
      </c>
      <c r="O1822" s="3" t="s">
        <v>878</v>
      </c>
    </row>
    <row r="1823" spans="1:15" hidden="1" x14ac:dyDescent="0.75">
      <c r="A1823" s="2">
        <v>46291</v>
      </c>
      <c r="B1823" s="3" t="s">
        <v>1155</v>
      </c>
      <c r="C1823" s="3" t="s">
        <v>1156</v>
      </c>
      <c r="D1823" s="3" t="s">
        <v>56</v>
      </c>
      <c r="E1823" s="3" t="s">
        <v>57</v>
      </c>
      <c r="F1823" s="3" t="s">
        <v>208</v>
      </c>
      <c r="G1823" s="3" t="s">
        <v>209</v>
      </c>
      <c r="H1823" s="4">
        <v>46291.572619444443</v>
      </c>
      <c r="I1823" s="4">
        <v>46291.673816203707</v>
      </c>
      <c r="J1823" s="3">
        <f>ROUND((I1823-H1823)*1440,0)</f>
        <v>146</v>
      </c>
      <c r="K1823" s="3" t="s">
        <v>134</v>
      </c>
      <c r="L1823" s="3" t="s">
        <v>36</v>
      </c>
      <c r="M1823" s="3" t="s">
        <v>36</v>
      </c>
      <c r="N1823" s="3" t="s">
        <v>23</v>
      </c>
      <c r="O1823" s="3" t="s">
        <v>135</v>
      </c>
    </row>
    <row r="1824" spans="1:15" hidden="1" x14ac:dyDescent="0.75">
      <c r="A1824" s="2">
        <v>46291</v>
      </c>
      <c r="B1824" s="3" t="s">
        <v>1137</v>
      </c>
      <c r="C1824" s="3" t="s">
        <v>1138</v>
      </c>
      <c r="D1824" s="3" t="s">
        <v>56</v>
      </c>
      <c r="E1824" s="3" t="s">
        <v>57</v>
      </c>
      <c r="F1824" s="3" t="s">
        <v>304</v>
      </c>
      <c r="G1824" s="3" t="s">
        <v>305</v>
      </c>
      <c r="H1824" s="4">
        <v>46291.573412384263</v>
      </c>
      <c r="I1824" s="4">
        <v>46291.779804398153</v>
      </c>
      <c r="J1824" s="3">
        <f>ROUND((I1824-H1824)*1440,0)</f>
        <v>297</v>
      </c>
      <c r="K1824" s="3" t="s">
        <v>649</v>
      </c>
      <c r="L1824" s="3" t="s">
        <v>22</v>
      </c>
      <c r="M1824" s="3" t="s">
        <v>22</v>
      </c>
      <c r="N1824" s="3" t="s">
        <v>23</v>
      </c>
      <c r="O1824" s="3" t="s">
        <v>650</v>
      </c>
    </row>
    <row r="1825" spans="1:15" hidden="1" x14ac:dyDescent="0.75">
      <c r="A1825" s="2">
        <v>46291</v>
      </c>
      <c r="B1825" s="3" t="s">
        <v>1187</v>
      </c>
      <c r="C1825" s="3" t="s">
        <v>1188</v>
      </c>
      <c r="D1825" s="3" t="s">
        <v>56</v>
      </c>
      <c r="E1825" s="3" t="s">
        <v>57</v>
      </c>
      <c r="F1825" s="3" t="s">
        <v>142</v>
      </c>
      <c r="G1825" s="3" t="s">
        <v>143</v>
      </c>
      <c r="H1825" s="4">
        <v>46291.576217592592</v>
      </c>
      <c r="I1825" s="4">
        <v>46291.680880555563</v>
      </c>
      <c r="J1825" s="3">
        <f>ROUND((I1825-H1825)*1440,0)</f>
        <v>151</v>
      </c>
      <c r="K1825" s="3" t="s">
        <v>673</v>
      </c>
      <c r="L1825" s="3" t="s">
        <v>36</v>
      </c>
      <c r="M1825" s="3" t="s">
        <v>36</v>
      </c>
      <c r="N1825" s="3" t="s">
        <v>23</v>
      </c>
      <c r="O1825" s="3" t="s">
        <v>674</v>
      </c>
    </row>
    <row r="1826" spans="1:15" hidden="1" x14ac:dyDescent="0.75">
      <c r="A1826" s="2">
        <v>46291</v>
      </c>
      <c r="B1826" s="3" t="s">
        <v>1145</v>
      </c>
      <c r="C1826" s="3" t="s">
        <v>1146</v>
      </c>
      <c r="D1826" s="3" t="s">
        <v>82</v>
      </c>
      <c r="E1826" s="3" t="s">
        <v>83</v>
      </c>
      <c r="F1826" s="3" t="s">
        <v>264</v>
      </c>
      <c r="G1826" s="3" t="s">
        <v>265</v>
      </c>
      <c r="H1826" s="4">
        <v>46291.577647569437</v>
      </c>
      <c r="I1826" s="4">
        <v>46291.763489699071</v>
      </c>
      <c r="J1826" s="3">
        <f>ROUND((I1826-H1826)*1440,0)</f>
        <v>268</v>
      </c>
      <c r="K1826" s="3" t="s">
        <v>1199</v>
      </c>
      <c r="L1826" s="3" t="s">
        <v>22</v>
      </c>
      <c r="M1826" s="3" t="s">
        <v>22</v>
      </c>
      <c r="N1826" s="3" t="s">
        <v>23</v>
      </c>
      <c r="O1826" s="3" t="s">
        <v>1200</v>
      </c>
    </row>
    <row r="1827" spans="1:15" hidden="1" x14ac:dyDescent="0.75">
      <c r="A1827" s="2">
        <v>46291</v>
      </c>
      <c r="B1827" s="3" t="s">
        <v>1243</v>
      </c>
      <c r="C1827" s="3" t="s">
        <v>1244</v>
      </c>
      <c r="D1827" s="3" t="s">
        <v>304</v>
      </c>
      <c r="E1827" s="3" t="s">
        <v>305</v>
      </c>
      <c r="F1827" s="3" t="s">
        <v>27</v>
      </c>
      <c r="G1827" s="3" t="s">
        <v>28</v>
      </c>
      <c r="H1827" s="4">
        <v>46291.57784085648</v>
      </c>
      <c r="I1827" s="4">
        <v>46291.813324421288</v>
      </c>
      <c r="J1827" s="3">
        <f>ROUND((I1827-H1827)*1440,0)</f>
        <v>339</v>
      </c>
      <c r="K1827" s="3" t="s">
        <v>509</v>
      </c>
      <c r="L1827" s="3" t="s">
        <v>22</v>
      </c>
      <c r="M1827" s="3" t="s">
        <v>22</v>
      </c>
      <c r="N1827" s="3" t="s">
        <v>23</v>
      </c>
      <c r="O1827" s="3" t="s">
        <v>510</v>
      </c>
    </row>
    <row r="1828" spans="1:15" hidden="1" x14ac:dyDescent="0.75">
      <c r="A1828" s="2">
        <v>46291</v>
      </c>
      <c r="B1828" s="3" t="s">
        <v>1167</v>
      </c>
      <c r="C1828" s="3" t="s">
        <v>1168</v>
      </c>
      <c r="D1828" s="3" t="s">
        <v>84</v>
      </c>
      <c r="E1828" s="3" t="s">
        <v>85</v>
      </c>
      <c r="F1828" s="3" t="s">
        <v>56</v>
      </c>
      <c r="G1828" s="3" t="s">
        <v>57</v>
      </c>
      <c r="H1828" s="4">
        <v>46291.578377430553</v>
      </c>
      <c r="I1828" s="4">
        <v>46291.675010648149</v>
      </c>
      <c r="J1828" s="3">
        <f>ROUND((I1828-H1828)*1440,0)</f>
        <v>139</v>
      </c>
      <c r="K1828" s="3" t="s">
        <v>60</v>
      </c>
      <c r="L1828" s="3" t="s">
        <v>36</v>
      </c>
      <c r="M1828" s="3" t="s">
        <v>36</v>
      </c>
      <c r="N1828" s="3" t="s">
        <v>23</v>
      </c>
      <c r="O1828" s="3" t="s">
        <v>61</v>
      </c>
    </row>
    <row r="1829" spans="1:15" hidden="1" x14ac:dyDescent="0.75">
      <c r="A1829" s="2">
        <v>46291</v>
      </c>
      <c r="B1829" s="3" t="s">
        <v>2372</v>
      </c>
      <c r="C1829" s="3" t="s">
        <v>2373</v>
      </c>
      <c r="D1829" s="3" t="s">
        <v>17</v>
      </c>
      <c r="E1829" s="3" t="s">
        <v>18</v>
      </c>
      <c r="F1829" s="3" t="s">
        <v>1355</v>
      </c>
      <c r="G1829" s="3" t="s">
        <v>1356</v>
      </c>
      <c r="H1829" s="4">
        <v>46291.580308217592</v>
      </c>
      <c r="I1829" s="4">
        <v>46291.766742476852</v>
      </c>
      <c r="J1829" s="3">
        <f>ROUND((I1829-H1829)*1440,0)</f>
        <v>268</v>
      </c>
      <c r="K1829" s="3" t="s">
        <v>112</v>
      </c>
      <c r="L1829" s="3" t="s">
        <v>36</v>
      </c>
      <c r="M1829" s="3" t="s">
        <v>36</v>
      </c>
      <c r="N1829" s="3" t="s">
        <v>45</v>
      </c>
      <c r="O1829" s="3" t="s">
        <v>113</v>
      </c>
    </row>
    <row r="1830" spans="1:15" hidden="1" x14ac:dyDescent="0.75">
      <c r="A1830" s="2">
        <v>46291</v>
      </c>
      <c r="B1830" s="3" t="s">
        <v>1341</v>
      </c>
      <c r="C1830" s="3" t="s">
        <v>1342</v>
      </c>
      <c r="D1830" s="3" t="s">
        <v>82</v>
      </c>
      <c r="E1830" s="3" t="s">
        <v>83</v>
      </c>
      <c r="F1830" s="3" t="s">
        <v>58</v>
      </c>
      <c r="G1830" s="3" t="s">
        <v>59</v>
      </c>
      <c r="H1830" s="4">
        <v>46291.581245254631</v>
      </c>
      <c r="I1830" s="4">
        <v>46291.670160185182</v>
      </c>
      <c r="J1830" s="3">
        <f>ROUND((I1830-H1830)*1440,0)</f>
        <v>128</v>
      </c>
      <c r="K1830" s="3" t="s">
        <v>2125</v>
      </c>
      <c r="L1830" s="3" t="s">
        <v>36</v>
      </c>
      <c r="M1830" s="3" t="s">
        <v>36</v>
      </c>
      <c r="N1830" s="3" t="s">
        <v>23</v>
      </c>
      <c r="O1830" s="3" t="s">
        <v>2126</v>
      </c>
    </row>
    <row r="1831" spans="1:15" hidden="1" x14ac:dyDescent="0.75">
      <c r="A1831" s="2">
        <v>46291</v>
      </c>
      <c r="B1831" s="3" t="s">
        <v>1175</v>
      </c>
      <c r="C1831" s="3" t="s">
        <v>1176</v>
      </c>
      <c r="D1831" s="3" t="s">
        <v>27</v>
      </c>
      <c r="E1831" s="3" t="s">
        <v>28</v>
      </c>
      <c r="F1831" s="3" t="s">
        <v>17</v>
      </c>
      <c r="G1831" s="3" t="s">
        <v>18</v>
      </c>
      <c r="H1831" s="4">
        <v>46291.583289236107</v>
      </c>
      <c r="I1831" s="4">
        <v>46291.624663773153</v>
      </c>
      <c r="J1831" s="3">
        <f>ROUND((I1831-H1831)*1440,0)</f>
        <v>60</v>
      </c>
      <c r="K1831" s="3" t="s">
        <v>296</v>
      </c>
      <c r="L1831" s="3" t="s">
        <v>77</v>
      </c>
      <c r="M1831" s="3" t="s">
        <v>78</v>
      </c>
      <c r="N1831" s="3" t="s">
        <v>23</v>
      </c>
      <c r="O1831" s="3" t="s">
        <v>297</v>
      </c>
    </row>
    <row r="1832" spans="1:15" hidden="1" x14ac:dyDescent="0.75">
      <c r="A1832" s="2">
        <v>46291</v>
      </c>
      <c r="B1832" s="3" t="s">
        <v>2374</v>
      </c>
      <c r="C1832" s="3" t="s">
        <v>2375</v>
      </c>
      <c r="D1832" s="3" t="s">
        <v>27</v>
      </c>
      <c r="E1832" s="3" t="s">
        <v>28</v>
      </c>
      <c r="F1832" s="3" t="s">
        <v>19</v>
      </c>
      <c r="G1832" s="3" t="s">
        <v>20</v>
      </c>
      <c r="H1832" s="4">
        <v>46291.585521875</v>
      </c>
      <c r="I1832" s="4">
        <v>46291.86078333333</v>
      </c>
      <c r="J1832" s="3">
        <f>ROUND((I1832-H1832)*1440,0)</f>
        <v>396</v>
      </c>
      <c r="K1832" s="3" t="s">
        <v>164</v>
      </c>
      <c r="L1832" s="3" t="s">
        <v>36</v>
      </c>
      <c r="M1832" s="3" t="s">
        <v>36</v>
      </c>
      <c r="N1832" s="3" t="s">
        <v>23</v>
      </c>
      <c r="O1832" s="3" t="s">
        <v>165</v>
      </c>
    </row>
    <row r="1833" spans="1:15" hidden="1" x14ac:dyDescent="0.75">
      <c r="A1833" s="2">
        <v>46291</v>
      </c>
      <c r="B1833" s="3" t="s">
        <v>1083</v>
      </c>
      <c r="C1833" s="3" t="s">
        <v>1084</v>
      </c>
      <c r="D1833" s="3" t="s">
        <v>17</v>
      </c>
      <c r="E1833" s="3" t="s">
        <v>18</v>
      </c>
      <c r="F1833" s="3" t="s">
        <v>1085</v>
      </c>
      <c r="G1833" s="3" t="s">
        <v>1086</v>
      </c>
      <c r="H1833" s="4">
        <v>46291.585983912039</v>
      </c>
      <c r="I1833" s="4">
        <v>46291.772983564813</v>
      </c>
      <c r="J1833" s="3">
        <f>ROUND((I1833-H1833)*1440,0)</f>
        <v>269</v>
      </c>
      <c r="K1833" s="3" t="s">
        <v>1119</v>
      </c>
      <c r="L1833" s="3" t="s">
        <v>43</v>
      </c>
      <c r="M1833" s="3" t="s">
        <v>44</v>
      </c>
      <c r="N1833" s="3" t="s">
        <v>23</v>
      </c>
      <c r="O1833" s="3" t="s">
        <v>1120</v>
      </c>
    </row>
    <row r="1834" spans="1:15" hidden="1" x14ac:dyDescent="0.75">
      <c r="A1834" s="2">
        <v>46291</v>
      </c>
      <c r="B1834" s="3" t="s">
        <v>1169</v>
      </c>
      <c r="C1834" s="3" t="s">
        <v>1170</v>
      </c>
      <c r="D1834" s="3" t="s">
        <v>27</v>
      </c>
      <c r="E1834" s="3" t="s">
        <v>28</v>
      </c>
      <c r="F1834" s="3" t="s">
        <v>459</v>
      </c>
      <c r="G1834" s="3" t="s">
        <v>460</v>
      </c>
      <c r="H1834" s="4">
        <v>46291.586514236107</v>
      </c>
      <c r="I1834" s="4">
        <v>46291.819621180563</v>
      </c>
      <c r="J1834" s="3">
        <f>ROUND((I1834-H1834)*1440,0)</f>
        <v>336</v>
      </c>
      <c r="K1834" s="3" t="s">
        <v>841</v>
      </c>
      <c r="L1834" s="3" t="s">
        <v>22</v>
      </c>
      <c r="M1834" s="3" t="s">
        <v>22</v>
      </c>
      <c r="N1834" s="3" t="s">
        <v>23</v>
      </c>
      <c r="O1834" s="3" t="s">
        <v>842</v>
      </c>
    </row>
    <row r="1835" spans="1:15" hidden="1" x14ac:dyDescent="0.75">
      <c r="A1835" s="2">
        <v>46291</v>
      </c>
      <c r="B1835" s="3" t="s">
        <v>1139</v>
      </c>
      <c r="C1835" s="3" t="s">
        <v>1140</v>
      </c>
      <c r="D1835" s="3" t="s">
        <v>17</v>
      </c>
      <c r="E1835" s="3" t="s">
        <v>18</v>
      </c>
      <c r="F1835" s="3" t="s">
        <v>27</v>
      </c>
      <c r="G1835" s="3" t="s">
        <v>28</v>
      </c>
      <c r="H1835" s="4">
        <v>46291.58684733796</v>
      </c>
      <c r="I1835" s="4">
        <v>46291.622529629632</v>
      </c>
      <c r="J1835" s="3">
        <f>ROUND((I1835-H1835)*1440,0)</f>
        <v>51</v>
      </c>
      <c r="K1835" s="3" t="s">
        <v>160</v>
      </c>
      <c r="L1835" s="3" t="s">
        <v>77</v>
      </c>
      <c r="M1835" s="3" t="s">
        <v>78</v>
      </c>
      <c r="N1835" s="3" t="s">
        <v>23</v>
      </c>
      <c r="O1835" s="3" t="s">
        <v>161</v>
      </c>
    </row>
    <row r="1836" spans="1:15" hidden="1" x14ac:dyDescent="0.75">
      <c r="A1836" s="2">
        <v>46291</v>
      </c>
      <c r="B1836" s="3" t="s">
        <v>1205</v>
      </c>
      <c r="C1836" s="3" t="s">
        <v>1206</v>
      </c>
      <c r="D1836" s="3" t="s">
        <v>82</v>
      </c>
      <c r="E1836" s="3" t="s">
        <v>83</v>
      </c>
      <c r="F1836" s="3" t="s">
        <v>1207</v>
      </c>
      <c r="G1836" s="3" t="s">
        <v>1208</v>
      </c>
      <c r="H1836" s="4">
        <v>46291.586860995369</v>
      </c>
      <c r="I1836" s="4">
        <v>46291.691186805547</v>
      </c>
      <c r="J1836" s="3">
        <f>ROUND((I1836-H1836)*1440,0)</f>
        <v>150</v>
      </c>
      <c r="K1836" s="3" t="s">
        <v>1009</v>
      </c>
      <c r="L1836" s="3" t="s">
        <v>36</v>
      </c>
      <c r="M1836" s="3" t="s">
        <v>36</v>
      </c>
      <c r="N1836" s="3" t="s">
        <v>23</v>
      </c>
      <c r="O1836" s="3" t="s">
        <v>1010</v>
      </c>
    </row>
    <row r="1837" spans="1:15" hidden="1" x14ac:dyDescent="0.75">
      <c r="A1837" s="2">
        <v>46291</v>
      </c>
      <c r="B1837" s="3" t="s">
        <v>1179</v>
      </c>
      <c r="C1837" s="3" t="s">
        <v>1180</v>
      </c>
      <c r="D1837" s="3" t="s">
        <v>264</v>
      </c>
      <c r="E1837" s="3" t="s">
        <v>265</v>
      </c>
      <c r="F1837" s="3" t="s">
        <v>56</v>
      </c>
      <c r="G1837" s="3" t="s">
        <v>57</v>
      </c>
      <c r="H1837" s="4">
        <v>46291.587290162039</v>
      </c>
      <c r="I1837" s="4">
        <v>46291.764385069437</v>
      </c>
      <c r="J1837" s="3">
        <f>ROUND((I1837-H1837)*1440,0)</f>
        <v>255</v>
      </c>
      <c r="K1837" s="3" t="s">
        <v>1147</v>
      </c>
      <c r="L1837" s="3" t="s">
        <v>22</v>
      </c>
      <c r="M1837" s="3" t="s">
        <v>22</v>
      </c>
      <c r="N1837" s="3" t="s">
        <v>23</v>
      </c>
      <c r="O1837" s="3" t="s">
        <v>1148</v>
      </c>
    </row>
    <row r="1838" spans="1:15" hidden="1" x14ac:dyDescent="0.75">
      <c r="A1838" s="2">
        <v>46291</v>
      </c>
      <c r="B1838" s="3" t="s">
        <v>1123</v>
      </c>
      <c r="C1838" s="3" t="s">
        <v>1124</v>
      </c>
      <c r="D1838" s="3" t="s">
        <v>82</v>
      </c>
      <c r="E1838" s="3" t="s">
        <v>83</v>
      </c>
      <c r="F1838" s="3" t="s">
        <v>400</v>
      </c>
      <c r="G1838" s="3" t="s">
        <v>401</v>
      </c>
      <c r="H1838" s="4">
        <v>46291.587920717589</v>
      </c>
      <c r="I1838" s="4">
        <v>46291.677267708343</v>
      </c>
      <c r="J1838" s="3">
        <f>ROUND((I1838-H1838)*1440,0)</f>
        <v>129</v>
      </c>
      <c r="K1838" s="3" t="s">
        <v>1191</v>
      </c>
      <c r="L1838" s="3" t="s">
        <v>36</v>
      </c>
      <c r="M1838" s="3" t="s">
        <v>36</v>
      </c>
      <c r="N1838" s="3" t="s">
        <v>23</v>
      </c>
      <c r="O1838" s="3" t="s">
        <v>1192</v>
      </c>
    </row>
    <row r="1839" spans="1:15" hidden="1" x14ac:dyDescent="0.75">
      <c r="A1839" s="2">
        <v>46291</v>
      </c>
      <c r="B1839" s="3" t="s">
        <v>1245</v>
      </c>
      <c r="C1839" s="3" t="s">
        <v>1246</v>
      </c>
      <c r="D1839" s="3" t="s">
        <v>56</v>
      </c>
      <c r="E1839" s="3" t="s">
        <v>57</v>
      </c>
      <c r="F1839" s="3" t="s">
        <v>27</v>
      </c>
      <c r="G1839" s="3" t="s">
        <v>28</v>
      </c>
      <c r="H1839" s="4">
        <v>46291.589156249996</v>
      </c>
      <c r="I1839" s="4">
        <v>46291.710606712957</v>
      </c>
      <c r="J1839" s="3">
        <f>ROUND((I1839-H1839)*1440,0)</f>
        <v>175</v>
      </c>
      <c r="K1839" s="3" t="s">
        <v>392</v>
      </c>
      <c r="L1839" s="3" t="s">
        <v>22</v>
      </c>
      <c r="M1839" s="3" t="s">
        <v>22</v>
      </c>
      <c r="N1839" s="3" t="s">
        <v>23</v>
      </c>
      <c r="O1839" s="3" t="s">
        <v>393</v>
      </c>
    </row>
    <row r="1840" spans="1:15" hidden="1" x14ac:dyDescent="0.75">
      <c r="A1840" s="2">
        <v>46291</v>
      </c>
      <c r="B1840" s="3" t="s">
        <v>1217</v>
      </c>
      <c r="C1840" s="3" t="s">
        <v>1218</v>
      </c>
      <c r="D1840" s="3" t="s">
        <v>27</v>
      </c>
      <c r="E1840" s="3" t="s">
        <v>28</v>
      </c>
      <c r="F1840" s="3" t="s">
        <v>142</v>
      </c>
      <c r="G1840" s="3" t="s">
        <v>143</v>
      </c>
      <c r="H1840" s="4">
        <v>46291.591003472233</v>
      </c>
      <c r="I1840" s="4">
        <v>46291.749009027779</v>
      </c>
      <c r="J1840" s="3">
        <f>ROUND((I1840-H1840)*1440,0)</f>
        <v>228</v>
      </c>
      <c r="K1840" s="3" t="s">
        <v>939</v>
      </c>
      <c r="L1840" s="3" t="s">
        <v>77</v>
      </c>
      <c r="M1840" s="3" t="s">
        <v>78</v>
      </c>
      <c r="N1840" s="3" t="s">
        <v>23</v>
      </c>
      <c r="O1840" s="3" t="s">
        <v>940</v>
      </c>
    </row>
    <row r="1841" spans="1:15" hidden="1" x14ac:dyDescent="0.75">
      <c r="A1841" s="2">
        <v>46291</v>
      </c>
      <c r="B1841" s="3" t="s">
        <v>1153</v>
      </c>
      <c r="C1841" s="3" t="s">
        <v>1154</v>
      </c>
      <c r="D1841" s="3" t="s">
        <v>17</v>
      </c>
      <c r="E1841" s="3" t="s">
        <v>18</v>
      </c>
      <c r="F1841" s="3"/>
      <c r="G1841" s="3"/>
      <c r="H1841" s="4">
        <v>46291.591687615743</v>
      </c>
      <c r="I1841" s="4">
        <v>46291.66753726852</v>
      </c>
      <c r="J1841" s="3">
        <f>ROUND((I1841-H1841)*1440,0)</f>
        <v>109</v>
      </c>
      <c r="K1841" s="3" t="s">
        <v>2193</v>
      </c>
      <c r="L1841" s="3" t="s">
        <v>77</v>
      </c>
      <c r="M1841" s="3" t="s">
        <v>78</v>
      </c>
      <c r="N1841" s="3" t="s">
        <v>443</v>
      </c>
      <c r="O1841" s="3" t="s">
        <v>2194</v>
      </c>
    </row>
    <row r="1842" spans="1:15" hidden="1" x14ac:dyDescent="0.75">
      <c r="A1842" s="2">
        <v>46291</v>
      </c>
      <c r="B1842" s="3" t="s">
        <v>1183</v>
      </c>
      <c r="C1842" s="3" t="s">
        <v>1184</v>
      </c>
      <c r="D1842" s="3" t="s">
        <v>244</v>
      </c>
      <c r="E1842" s="3" t="s">
        <v>245</v>
      </c>
      <c r="F1842" s="3" t="s">
        <v>82</v>
      </c>
      <c r="G1842" s="3" t="s">
        <v>83</v>
      </c>
      <c r="H1842" s="4">
        <v>46291.593161805547</v>
      </c>
      <c r="I1842" s="4">
        <v>46291.690726157409</v>
      </c>
      <c r="J1842" s="3">
        <f>ROUND((I1842-H1842)*1440,0)</f>
        <v>140</v>
      </c>
      <c r="K1842" s="3" t="s">
        <v>130</v>
      </c>
      <c r="L1842" s="3" t="s">
        <v>36</v>
      </c>
      <c r="M1842" s="3" t="s">
        <v>36</v>
      </c>
      <c r="N1842" s="3" t="s">
        <v>23</v>
      </c>
      <c r="O1842" s="3" t="s">
        <v>131</v>
      </c>
    </row>
    <row r="1843" spans="1:15" hidden="1" x14ac:dyDescent="0.75">
      <c r="A1843" s="2">
        <v>46291</v>
      </c>
      <c r="B1843" s="3" t="s">
        <v>1807</v>
      </c>
      <c r="C1843" s="3" t="s">
        <v>1808</v>
      </c>
      <c r="D1843" s="3" t="s">
        <v>17</v>
      </c>
      <c r="E1843" s="3" t="s">
        <v>18</v>
      </c>
      <c r="F1843" s="3" t="s">
        <v>17</v>
      </c>
      <c r="G1843" s="3" t="s">
        <v>18</v>
      </c>
      <c r="H1843" s="4">
        <v>46291.593397800927</v>
      </c>
      <c r="I1843" s="4">
        <v>46291.922015972217</v>
      </c>
      <c r="J1843" s="3">
        <f>ROUND((I1843-H1843)*1440,0)</f>
        <v>473</v>
      </c>
      <c r="K1843" s="3" t="s">
        <v>118</v>
      </c>
      <c r="L1843" s="3" t="s">
        <v>36</v>
      </c>
      <c r="M1843" s="3" t="s">
        <v>36</v>
      </c>
      <c r="N1843" s="3" t="s">
        <v>23</v>
      </c>
      <c r="O1843" s="3" t="s">
        <v>119</v>
      </c>
    </row>
    <row r="1844" spans="1:15" hidden="1" x14ac:dyDescent="0.75">
      <c r="A1844" s="2">
        <v>46291</v>
      </c>
      <c r="B1844" s="3" t="s">
        <v>1151</v>
      </c>
      <c r="C1844" s="3" t="s">
        <v>1152</v>
      </c>
      <c r="D1844" s="3" t="s">
        <v>182</v>
      </c>
      <c r="E1844" s="3" t="s">
        <v>183</v>
      </c>
      <c r="F1844" s="3" t="s">
        <v>17</v>
      </c>
      <c r="G1844" s="3" t="s">
        <v>18</v>
      </c>
      <c r="H1844" s="4">
        <v>46291.595661226849</v>
      </c>
      <c r="I1844" s="4">
        <v>46291.668908449072</v>
      </c>
      <c r="J1844" s="3">
        <f>ROUND((I1844-H1844)*1440,0)</f>
        <v>105</v>
      </c>
      <c r="K1844" s="3" t="s">
        <v>529</v>
      </c>
      <c r="L1844" s="3" t="s">
        <v>77</v>
      </c>
      <c r="M1844" s="3" t="s">
        <v>78</v>
      </c>
      <c r="N1844" s="3" t="s">
        <v>23</v>
      </c>
      <c r="O1844" s="3" t="s">
        <v>530</v>
      </c>
    </row>
    <row r="1845" spans="1:15" hidden="1" x14ac:dyDescent="0.75">
      <c r="A1845" s="2">
        <v>46291</v>
      </c>
      <c r="B1845" s="3" t="s">
        <v>2243</v>
      </c>
      <c r="C1845" s="3" t="s">
        <v>2244</v>
      </c>
      <c r="D1845" s="3" t="s">
        <v>27</v>
      </c>
      <c r="E1845" s="3" t="s">
        <v>28</v>
      </c>
      <c r="F1845" s="3"/>
      <c r="G1845" s="3"/>
      <c r="H1845" s="4">
        <v>46291.597942361113</v>
      </c>
      <c r="I1845" s="4">
        <v>46291.651943750003</v>
      </c>
      <c r="J1845" s="3">
        <f>ROUND((I1845-H1845)*1440,0)</f>
        <v>78</v>
      </c>
      <c r="K1845" s="3" t="s">
        <v>519</v>
      </c>
      <c r="L1845" s="3" t="s">
        <v>22</v>
      </c>
      <c r="M1845" s="3" t="s">
        <v>22</v>
      </c>
      <c r="N1845" s="3" t="s">
        <v>443</v>
      </c>
      <c r="O1845" s="3" t="s">
        <v>520</v>
      </c>
    </row>
    <row r="1846" spans="1:15" hidden="1" x14ac:dyDescent="0.75">
      <c r="A1846" s="2">
        <v>46291</v>
      </c>
      <c r="B1846" s="3" t="s">
        <v>1239</v>
      </c>
      <c r="C1846" s="3" t="s">
        <v>1240</v>
      </c>
      <c r="D1846" s="3" t="s">
        <v>27</v>
      </c>
      <c r="E1846" s="3" t="s">
        <v>28</v>
      </c>
      <c r="F1846" s="3" t="s">
        <v>280</v>
      </c>
      <c r="G1846" s="3" t="s">
        <v>281</v>
      </c>
      <c r="H1846" s="4">
        <v>46291.599377430553</v>
      </c>
      <c r="I1846" s="4">
        <v>46291.724289814818</v>
      </c>
      <c r="J1846" s="3">
        <f>ROUND((I1846-H1846)*1440,0)</f>
        <v>180</v>
      </c>
      <c r="K1846" s="3" t="s">
        <v>1723</v>
      </c>
      <c r="L1846" s="3" t="s">
        <v>36</v>
      </c>
      <c r="M1846" s="3" t="s">
        <v>36</v>
      </c>
      <c r="N1846" s="3" t="s">
        <v>23</v>
      </c>
      <c r="O1846" s="3" t="s">
        <v>1724</v>
      </c>
    </row>
    <row r="1847" spans="1:15" hidden="1" x14ac:dyDescent="0.75">
      <c r="A1847" s="2">
        <v>46291</v>
      </c>
      <c r="B1847" s="3" t="s">
        <v>1225</v>
      </c>
      <c r="C1847" s="3" t="s">
        <v>1226</v>
      </c>
      <c r="D1847" s="3" t="s">
        <v>106</v>
      </c>
      <c r="E1847" s="3" t="s">
        <v>107</v>
      </c>
      <c r="F1847" s="3" t="s">
        <v>27</v>
      </c>
      <c r="G1847" s="3" t="s">
        <v>28</v>
      </c>
      <c r="H1847" s="4">
        <v>46291.600025115738</v>
      </c>
      <c r="I1847" s="4">
        <v>46291.702259143523</v>
      </c>
      <c r="J1847" s="3">
        <f>ROUND((I1847-H1847)*1440,0)</f>
        <v>147</v>
      </c>
      <c r="K1847" s="3" t="s">
        <v>1033</v>
      </c>
      <c r="L1847" s="3" t="s">
        <v>77</v>
      </c>
      <c r="M1847" s="3" t="s">
        <v>78</v>
      </c>
      <c r="N1847" s="3" t="s">
        <v>23</v>
      </c>
      <c r="O1847" s="3" t="s">
        <v>1034</v>
      </c>
    </row>
    <row r="1848" spans="1:15" hidden="1" x14ac:dyDescent="0.75">
      <c r="A1848" s="2">
        <v>46291</v>
      </c>
      <c r="B1848" s="3" t="s">
        <v>1251</v>
      </c>
      <c r="C1848" s="3" t="s">
        <v>1252</v>
      </c>
      <c r="D1848" s="3" t="s">
        <v>82</v>
      </c>
      <c r="E1848" s="3" t="s">
        <v>83</v>
      </c>
      <c r="F1848" s="3" t="s">
        <v>244</v>
      </c>
      <c r="G1848" s="3" t="s">
        <v>245</v>
      </c>
      <c r="H1848" s="4">
        <v>46291.600193865743</v>
      </c>
      <c r="I1848" s="4">
        <v>46291.694433217592</v>
      </c>
      <c r="J1848" s="3">
        <f>ROUND((I1848-H1848)*1440,0)</f>
        <v>136</v>
      </c>
      <c r="K1848" s="3" t="s">
        <v>198</v>
      </c>
      <c r="L1848" s="3" t="s">
        <v>36</v>
      </c>
      <c r="M1848" s="3" t="s">
        <v>36</v>
      </c>
      <c r="N1848" s="3" t="s">
        <v>45</v>
      </c>
      <c r="O1848" s="3" t="s">
        <v>199</v>
      </c>
    </row>
    <row r="1849" spans="1:15" hidden="1" x14ac:dyDescent="0.75">
      <c r="A1849" s="2">
        <v>46291</v>
      </c>
      <c r="B1849" s="3" t="s">
        <v>1163</v>
      </c>
      <c r="C1849" s="3" t="s">
        <v>1164</v>
      </c>
      <c r="D1849" s="3" t="s">
        <v>17</v>
      </c>
      <c r="E1849" s="3" t="s">
        <v>18</v>
      </c>
      <c r="F1849" s="3" t="s">
        <v>17</v>
      </c>
      <c r="G1849" s="3" t="s">
        <v>18</v>
      </c>
      <c r="H1849" s="4">
        <v>46291.601460879632</v>
      </c>
      <c r="I1849" s="4">
        <v>46291.953587962962</v>
      </c>
      <c r="J1849" s="3">
        <f>ROUND((I1849-H1849)*1440,0)</f>
        <v>507</v>
      </c>
      <c r="K1849" s="3" t="s">
        <v>330</v>
      </c>
      <c r="L1849" s="3" t="s">
        <v>43</v>
      </c>
      <c r="M1849" s="3" t="s">
        <v>44</v>
      </c>
      <c r="N1849" s="3" t="s">
        <v>23</v>
      </c>
      <c r="O1849" s="3" t="s">
        <v>331</v>
      </c>
    </row>
    <row r="1850" spans="1:15" hidden="1" x14ac:dyDescent="0.75">
      <c r="A1850" s="2">
        <v>46291</v>
      </c>
      <c r="B1850" s="3" t="s">
        <v>1565</v>
      </c>
      <c r="C1850" s="3" t="s">
        <v>1566</v>
      </c>
      <c r="D1850" s="3" t="s">
        <v>208</v>
      </c>
      <c r="E1850" s="3" t="s">
        <v>209</v>
      </c>
      <c r="F1850" s="3" t="s">
        <v>82</v>
      </c>
      <c r="G1850" s="3" t="s">
        <v>83</v>
      </c>
      <c r="H1850" s="4">
        <v>46291.602260995372</v>
      </c>
      <c r="I1850" s="4">
        <v>46291.691764351854</v>
      </c>
      <c r="J1850" s="3">
        <f>ROUND((I1850-H1850)*1440,0)</f>
        <v>129</v>
      </c>
      <c r="K1850" s="3" t="s">
        <v>2215</v>
      </c>
      <c r="L1850" s="3" t="s">
        <v>36</v>
      </c>
      <c r="M1850" s="3" t="s">
        <v>36</v>
      </c>
      <c r="N1850" s="3" t="s">
        <v>23</v>
      </c>
      <c r="O1850" s="3" t="s">
        <v>2216</v>
      </c>
    </row>
    <row r="1851" spans="1:15" hidden="1" x14ac:dyDescent="0.75">
      <c r="A1851" s="2">
        <v>46291</v>
      </c>
      <c r="B1851" s="3" t="s">
        <v>881</v>
      </c>
      <c r="C1851" s="3" t="s">
        <v>882</v>
      </c>
      <c r="D1851" s="3" t="s">
        <v>17</v>
      </c>
      <c r="E1851" s="3" t="s">
        <v>18</v>
      </c>
      <c r="F1851" s="3"/>
      <c r="G1851" s="3"/>
      <c r="H1851" s="4">
        <v>46291.603391898148</v>
      </c>
      <c r="I1851" s="4">
        <v>46291.683116319437</v>
      </c>
      <c r="J1851" s="3">
        <f>ROUND((I1851-H1851)*1440,0)</f>
        <v>115</v>
      </c>
      <c r="K1851" s="3" t="s">
        <v>1129</v>
      </c>
      <c r="L1851" s="3" t="s">
        <v>22</v>
      </c>
      <c r="M1851" s="3" t="s">
        <v>22</v>
      </c>
      <c r="N1851" s="3" t="s">
        <v>443</v>
      </c>
      <c r="O1851" s="3" t="s">
        <v>1130</v>
      </c>
    </row>
    <row r="1852" spans="1:15" hidden="1" x14ac:dyDescent="0.75">
      <c r="A1852" s="2">
        <v>46291</v>
      </c>
      <c r="B1852" s="3" t="s">
        <v>1231</v>
      </c>
      <c r="C1852" s="3" t="s">
        <v>1232</v>
      </c>
      <c r="D1852" s="3" t="s">
        <v>82</v>
      </c>
      <c r="E1852" s="3" t="s">
        <v>83</v>
      </c>
      <c r="F1852" s="3" t="s">
        <v>27</v>
      </c>
      <c r="G1852" s="3" t="s">
        <v>28</v>
      </c>
      <c r="H1852" s="4">
        <v>46291.606534143517</v>
      </c>
      <c r="I1852" s="4">
        <v>46291.71956701389</v>
      </c>
      <c r="J1852" s="3">
        <f>ROUND((I1852-H1852)*1440,0)</f>
        <v>163</v>
      </c>
      <c r="K1852" s="3" t="s">
        <v>747</v>
      </c>
      <c r="L1852" s="3" t="s">
        <v>22</v>
      </c>
      <c r="M1852" s="3" t="s">
        <v>22</v>
      </c>
      <c r="N1852" s="3" t="s">
        <v>23</v>
      </c>
      <c r="O1852" s="3" t="s">
        <v>748</v>
      </c>
    </row>
    <row r="1853" spans="1:15" hidden="1" x14ac:dyDescent="0.75">
      <c r="A1853" s="2">
        <v>46291</v>
      </c>
      <c r="B1853" s="3" t="s">
        <v>1227</v>
      </c>
      <c r="C1853" s="3" t="s">
        <v>1228</v>
      </c>
      <c r="D1853" s="3" t="s">
        <v>17</v>
      </c>
      <c r="E1853" s="3" t="s">
        <v>18</v>
      </c>
      <c r="F1853" s="3"/>
      <c r="G1853" s="3"/>
      <c r="H1853" s="4">
        <v>46291.608394791663</v>
      </c>
      <c r="I1853" s="4">
        <v>46291.68874513889</v>
      </c>
      <c r="J1853" s="3">
        <f>ROUND((I1853-H1853)*1440,0)</f>
        <v>116</v>
      </c>
      <c r="K1853" s="3" t="s">
        <v>1517</v>
      </c>
      <c r="L1853" s="3" t="s">
        <v>77</v>
      </c>
      <c r="M1853" s="3" t="s">
        <v>78</v>
      </c>
      <c r="N1853" s="3" t="s">
        <v>443</v>
      </c>
      <c r="O1853" s="3" t="s">
        <v>1518</v>
      </c>
    </row>
    <row r="1854" spans="1:15" hidden="1" x14ac:dyDescent="0.75">
      <c r="A1854" s="2">
        <v>46291</v>
      </c>
      <c r="B1854" s="3" t="s">
        <v>1449</v>
      </c>
      <c r="C1854" s="3" t="s">
        <v>1450</v>
      </c>
      <c r="D1854" s="3" t="s">
        <v>719</v>
      </c>
      <c r="E1854" s="3" t="s">
        <v>720</v>
      </c>
      <c r="F1854" s="3"/>
      <c r="G1854" s="3"/>
      <c r="H1854" s="4">
        <v>46291.609306018523</v>
      </c>
      <c r="I1854" s="4">
        <v>46291.680866087961</v>
      </c>
      <c r="J1854" s="3">
        <f>ROUND((I1854-H1854)*1440,0)</f>
        <v>103</v>
      </c>
      <c r="K1854" s="3" t="s">
        <v>240</v>
      </c>
      <c r="L1854" s="3" t="s">
        <v>52</v>
      </c>
      <c r="M1854" s="3"/>
      <c r="N1854" s="3" t="s">
        <v>23</v>
      </c>
      <c r="O1854" s="3" t="s">
        <v>241</v>
      </c>
    </row>
    <row r="1855" spans="1:15" hidden="1" x14ac:dyDescent="0.75">
      <c r="A1855" s="2">
        <v>46291</v>
      </c>
      <c r="B1855" s="3" t="s">
        <v>1193</v>
      </c>
      <c r="C1855" s="3" t="s">
        <v>1194</v>
      </c>
      <c r="D1855" s="3" t="s">
        <v>17</v>
      </c>
      <c r="E1855" s="3" t="s">
        <v>18</v>
      </c>
      <c r="F1855" s="3" t="s">
        <v>1195</v>
      </c>
      <c r="G1855" s="3" t="s">
        <v>1196</v>
      </c>
      <c r="H1855" s="4">
        <v>46291.609731365737</v>
      </c>
      <c r="I1855" s="4">
        <v>46291.80806909722</v>
      </c>
      <c r="J1855" s="3">
        <f>ROUND((I1855-H1855)*1440,0)</f>
        <v>286</v>
      </c>
      <c r="K1855" s="3" t="s">
        <v>2339</v>
      </c>
      <c r="L1855" s="3" t="s">
        <v>36</v>
      </c>
      <c r="M1855" s="3" t="s">
        <v>36</v>
      </c>
      <c r="N1855" s="3" t="s">
        <v>23</v>
      </c>
      <c r="O1855" s="3" t="s">
        <v>2340</v>
      </c>
    </row>
    <row r="1856" spans="1:15" hidden="1" x14ac:dyDescent="0.75">
      <c r="A1856" s="2">
        <v>46291</v>
      </c>
      <c r="B1856" s="3" t="s">
        <v>2376</v>
      </c>
      <c r="C1856" s="3" t="s">
        <v>2377</v>
      </c>
      <c r="D1856" s="3" t="s">
        <v>17</v>
      </c>
      <c r="E1856" s="3" t="s">
        <v>18</v>
      </c>
      <c r="F1856" s="3"/>
      <c r="G1856" s="3"/>
      <c r="H1856" s="4">
        <v>46291.610434490744</v>
      </c>
      <c r="I1856" s="4">
        <v>46291.999855324073</v>
      </c>
      <c r="J1856" s="3">
        <f>ROUND((I1856-H1856)*1440,0)</f>
        <v>561</v>
      </c>
      <c r="K1856" s="3" t="s">
        <v>557</v>
      </c>
      <c r="L1856" s="3" t="s">
        <v>22</v>
      </c>
      <c r="M1856" s="3" t="s">
        <v>22</v>
      </c>
      <c r="N1856" s="3" t="s">
        <v>2367</v>
      </c>
      <c r="O1856" s="3" t="s">
        <v>558</v>
      </c>
    </row>
    <row r="1857" spans="1:15" hidden="1" x14ac:dyDescent="0.75">
      <c r="A1857" s="2">
        <v>46291</v>
      </c>
      <c r="B1857" s="3" t="s">
        <v>1255</v>
      </c>
      <c r="C1857" s="3" t="s">
        <v>1256</v>
      </c>
      <c r="D1857" s="3" t="s">
        <v>27</v>
      </c>
      <c r="E1857" s="3" t="s">
        <v>28</v>
      </c>
      <c r="F1857" s="3" t="s">
        <v>264</v>
      </c>
      <c r="G1857" s="3" t="s">
        <v>265</v>
      </c>
      <c r="H1857" s="4">
        <v>46291.611447337957</v>
      </c>
      <c r="I1857" s="4">
        <v>46291.825676736109</v>
      </c>
      <c r="J1857" s="3">
        <f>ROUND((I1857-H1857)*1440,0)</f>
        <v>308</v>
      </c>
      <c r="K1857" s="3" t="s">
        <v>461</v>
      </c>
      <c r="L1857" s="3" t="s">
        <v>22</v>
      </c>
      <c r="M1857" s="3" t="s">
        <v>22</v>
      </c>
      <c r="N1857" s="3" t="s">
        <v>23</v>
      </c>
      <c r="O1857" s="3" t="s">
        <v>462</v>
      </c>
    </row>
    <row r="1858" spans="1:15" hidden="1" x14ac:dyDescent="0.75">
      <c r="A1858" s="2">
        <v>46291</v>
      </c>
      <c r="B1858" s="3" t="s">
        <v>1279</v>
      </c>
      <c r="C1858" s="3" t="s">
        <v>1280</v>
      </c>
      <c r="D1858" s="3" t="s">
        <v>27</v>
      </c>
      <c r="E1858" s="3" t="s">
        <v>28</v>
      </c>
      <c r="F1858" s="3" t="s">
        <v>82</v>
      </c>
      <c r="G1858" s="3" t="s">
        <v>83</v>
      </c>
      <c r="H1858" s="4">
        <v>46291.613181597233</v>
      </c>
      <c r="I1858" s="4">
        <v>46291.717223726853</v>
      </c>
      <c r="J1858" s="3">
        <f>ROUND((I1858-H1858)*1440,0)</f>
        <v>150</v>
      </c>
      <c r="K1858" s="3" t="s">
        <v>2209</v>
      </c>
      <c r="L1858" s="3" t="s">
        <v>22</v>
      </c>
      <c r="M1858" s="3" t="s">
        <v>22</v>
      </c>
      <c r="N1858" s="3" t="s">
        <v>23</v>
      </c>
      <c r="O1858" s="3" t="s">
        <v>2210</v>
      </c>
    </row>
    <row r="1859" spans="1:15" hidden="1" x14ac:dyDescent="0.75">
      <c r="A1859" s="2">
        <v>46291</v>
      </c>
      <c r="B1859" s="3" t="s">
        <v>1141</v>
      </c>
      <c r="C1859" s="3" t="s">
        <v>1142</v>
      </c>
      <c r="D1859" s="3" t="s">
        <v>17</v>
      </c>
      <c r="E1859" s="3" t="s">
        <v>18</v>
      </c>
      <c r="F1859" s="3" t="s">
        <v>615</v>
      </c>
      <c r="G1859" s="3" t="s">
        <v>616</v>
      </c>
      <c r="H1859" s="4">
        <v>46291.614354513891</v>
      </c>
      <c r="I1859" s="4">
        <v>46291.762868171303</v>
      </c>
      <c r="J1859" s="3">
        <f>ROUND((I1859-H1859)*1440,0)</f>
        <v>214</v>
      </c>
      <c r="K1859" s="3" t="s">
        <v>2127</v>
      </c>
      <c r="L1859" s="3" t="s">
        <v>22</v>
      </c>
      <c r="M1859" s="3" t="s">
        <v>22</v>
      </c>
      <c r="N1859" s="3" t="s">
        <v>45</v>
      </c>
      <c r="O1859" s="3" t="s">
        <v>2128</v>
      </c>
    </row>
    <row r="1860" spans="1:15" hidden="1" x14ac:dyDescent="0.75">
      <c r="A1860" s="2">
        <v>46291</v>
      </c>
      <c r="B1860" s="3" t="s">
        <v>1277</v>
      </c>
      <c r="C1860" s="3" t="s">
        <v>1278</v>
      </c>
      <c r="D1860" s="3" t="s">
        <v>56</v>
      </c>
      <c r="E1860" s="3" t="s">
        <v>57</v>
      </c>
      <c r="F1860" s="3" t="s">
        <v>182</v>
      </c>
      <c r="G1860" s="3" t="s">
        <v>183</v>
      </c>
      <c r="H1860" s="4">
        <v>46291.614563773153</v>
      </c>
      <c r="I1860" s="4">
        <v>46291.67386354167</v>
      </c>
      <c r="J1860" s="3">
        <f>ROUND((I1860-H1860)*1440,0)</f>
        <v>85</v>
      </c>
      <c r="K1860" s="3" t="s">
        <v>501</v>
      </c>
      <c r="L1860" s="3" t="s">
        <v>77</v>
      </c>
      <c r="M1860" s="3" t="s">
        <v>78</v>
      </c>
      <c r="N1860" s="3" t="s">
        <v>23</v>
      </c>
      <c r="O1860" s="3" t="s">
        <v>502</v>
      </c>
    </row>
    <row r="1861" spans="1:15" hidden="1" x14ac:dyDescent="0.75">
      <c r="A1861" s="2">
        <v>46291</v>
      </c>
      <c r="B1861" s="3" t="s">
        <v>1477</v>
      </c>
      <c r="C1861" s="3" t="s">
        <v>1478</v>
      </c>
      <c r="D1861" s="3" t="s">
        <v>82</v>
      </c>
      <c r="E1861" s="3" t="s">
        <v>83</v>
      </c>
      <c r="F1861" s="3" t="s">
        <v>615</v>
      </c>
      <c r="G1861" s="3" t="s">
        <v>616</v>
      </c>
      <c r="H1861" s="4">
        <v>46291.61534340278</v>
      </c>
      <c r="I1861" s="4">
        <v>46291.717743055553</v>
      </c>
      <c r="J1861" s="3">
        <f>ROUND((I1861-H1861)*1440,0)</f>
        <v>147</v>
      </c>
      <c r="K1861" s="3" t="s">
        <v>384</v>
      </c>
      <c r="L1861" s="3" t="s">
        <v>36</v>
      </c>
      <c r="M1861" s="3" t="s">
        <v>36</v>
      </c>
      <c r="N1861" s="3" t="s">
        <v>45</v>
      </c>
      <c r="O1861" s="3" t="s">
        <v>385</v>
      </c>
    </row>
    <row r="1862" spans="1:15" hidden="1" x14ac:dyDescent="0.75">
      <c r="A1862" s="2">
        <v>46291</v>
      </c>
      <c r="B1862" s="3" t="s">
        <v>763</v>
      </c>
      <c r="C1862" s="3" t="s">
        <v>764</v>
      </c>
      <c r="D1862" s="3" t="s">
        <v>17</v>
      </c>
      <c r="E1862" s="3" t="s">
        <v>18</v>
      </c>
      <c r="F1862" s="3" t="s">
        <v>56</v>
      </c>
      <c r="G1862" s="3" t="s">
        <v>57</v>
      </c>
      <c r="H1862" s="4">
        <v>46291.616059259257</v>
      </c>
      <c r="I1862" s="4">
        <v>46291.710674421287</v>
      </c>
      <c r="J1862" s="3">
        <f>ROUND((I1862-H1862)*1440,0)</f>
        <v>136</v>
      </c>
      <c r="K1862" s="3" t="s">
        <v>1093</v>
      </c>
      <c r="L1862" s="3" t="s">
        <v>43</v>
      </c>
      <c r="M1862" s="3" t="s">
        <v>44</v>
      </c>
      <c r="N1862" s="3" t="s">
        <v>23</v>
      </c>
      <c r="O1862" s="3" t="s">
        <v>1094</v>
      </c>
    </row>
    <row r="1863" spans="1:15" hidden="1" x14ac:dyDescent="0.75">
      <c r="A1863" s="2">
        <v>46291</v>
      </c>
      <c r="B1863" s="3" t="s">
        <v>1297</v>
      </c>
      <c r="C1863" s="3" t="s">
        <v>1298</v>
      </c>
      <c r="D1863" s="3" t="s">
        <v>334</v>
      </c>
      <c r="E1863" s="3" t="s">
        <v>335</v>
      </c>
      <c r="F1863" s="3" t="s">
        <v>27</v>
      </c>
      <c r="G1863" s="3" t="s">
        <v>28</v>
      </c>
      <c r="H1863" s="4">
        <v>46291.616997800927</v>
      </c>
      <c r="I1863" s="4">
        <v>46291.706173379629</v>
      </c>
      <c r="J1863" s="3">
        <f>ROUND((I1863-H1863)*1440,0)</f>
        <v>128</v>
      </c>
      <c r="K1863" s="3" t="s">
        <v>224</v>
      </c>
      <c r="L1863" s="3" t="s">
        <v>77</v>
      </c>
      <c r="M1863" s="3" t="s">
        <v>78</v>
      </c>
      <c r="N1863" s="3" t="s">
        <v>23</v>
      </c>
      <c r="O1863" s="3" t="s">
        <v>225</v>
      </c>
    </row>
    <row r="1864" spans="1:15" hidden="1" x14ac:dyDescent="0.75">
      <c r="A1864" s="2">
        <v>46291</v>
      </c>
      <c r="B1864" s="3" t="s">
        <v>1303</v>
      </c>
      <c r="C1864" s="3" t="s">
        <v>1304</v>
      </c>
      <c r="D1864" s="3" t="s">
        <v>49</v>
      </c>
      <c r="E1864" s="3" t="s">
        <v>50</v>
      </c>
      <c r="F1864" s="3" t="s">
        <v>27</v>
      </c>
      <c r="G1864" s="3" t="s">
        <v>28</v>
      </c>
      <c r="H1864" s="4">
        <v>46291.617121875002</v>
      </c>
      <c r="I1864" s="4">
        <v>46291.679576620372</v>
      </c>
      <c r="J1864" s="3">
        <f>ROUND((I1864-H1864)*1440,0)</f>
        <v>90</v>
      </c>
      <c r="K1864" s="3" t="s">
        <v>1161</v>
      </c>
      <c r="L1864" s="3" t="s">
        <v>77</v>
      </c>
      <c r="M1864" s="3" t="s">
        <v>78</v>
      </c>
      <c r="N1864" s="3" t="s">
        <v>23</v>
      </c>
      <c r="O1864" s="3" t="s">
        <v>1162</v>
      </c>
    </row>
    <row r="1865" spans="1:15" hidden="1" x14ac:dyDescent="0.75">
      <c r="A1865" s="2">
        <v>46291</v>
      </c>
      <c r="B1865" s="3" t="s">
        <v>1291</v>
      </c>
      <c r="C1865" s="3" t="s">
        <v>1292</v>
      </c>
      <c r="D1865" s="3" t="s">
        <v>27</v>
      </c>
      <c r="E1865" s="3" t="s">
        <v>28</v>
      </c>
      <c r="F1865" s="3" t="s">
        <v>228</v>
      </c>
      <c r="G1865" s="3" t="s">
        <v>229</v>
      </c>
      <c r="H1865" s="4">
        <v>46291.617344907398</v>
      </c>
      <c r="I1865" s="4">
        <v>46291.667642129629</v>
      </c>
      <c r="J1865" s="3">
        <f>ROUND((I1865-H1865)*1440,0)</f>
        <v>72</v>
      </c>
      <c r="K1865" s="3" t="s">
        <v>372</v>
      </c>
      <c r="L1865" s="3" t="s">
        <v>77</v>
      </c>
      <c r="M1865" s="3" t="s">
        <v>78</v>
      </c>
      <c r="N1865" s="3" t="s">
        <v>23</v>
      </c>
      <c r="O1865" s="3" t="s">
        <v>373</v>
      </c>
    </row>
    <row r="1866" spans="1:15" hidden="1" x14ac:dyDescent="0.75">
      <c r="A1866" s="2">
        <v>46291</v>
      </c>
      <c r="B1866" s="3" t="s">
        <v>1305</v>
      </c>
      <c r="C1866" s="3" t="s">
        <v>1306</v>
      </c>
      <c r="D1866" s="3" t="s">
        <v>84</v>
      </c>
      <c r="E1866" s="3" t="s">
        <v>85</v>
      </c>
      <c r="F1866" s="3" t="s">
        <v>68</v>
      </c>
      <c r="G1866" s="3" t="s">
        <v>69</v>
      </c>
      <c r="H1866" s="4">
        <v>46291.617564930559</v>
      </c>
      <c r="I1866" s="4">
        <v>46291.708939814816</v>
      </c>
      <c r="J1866" s="3">
        <f>ROUND((I1866-H1866)*1440,0)</f>
        <v>132</v>
      </c>
      <c r="K1866" s="3" t="s">
        <v>1077</v>
      </c>
      <c r="L1866" s="3" t="s">
        <v>36</v>
      </c>
      <c r="M1866" s="3" t="s">
        <v>36</v>
      </c>
      <c r="N1866" s="3" t="s">
        <v>23</v>
      </c>
      <c r="O1866" s="3" t="s">
        <v>1078</v>
      </c>
    </row>
    <row r="1867" spans="1:15" hidden="1" x14ac:dyDescent="0.75">
      <c r="A1867" s="2">
        <v>46291</v>
      </c>
      <c r="B1867" s="3" t="s">
        <v>1649</v>
      </c>
      <c r="C1867" s="3" t="s">
        <v>1650</v>
      </c>
      <c r="D1867" s="3" t="s">
        <v>615</v>
      </c>
      <c r="E1867" s="3" t="s">
        <v>616</v>
      </c>
      <c r="F1867" s="3" t="s">
        <v>56</v>
      </c>
      <c r="G1867" s="3" t="s">
        <v>57</v>
      </c>
      <c r="H1867" s="4">
        <v>46291.618184375002</v>
      </c>
      <c r="I1867" s="4">
        <v>46291.906485416657</v>
      </c>
      <c r="J1867" s="3">
        <f>ROUND((I1867-H1867)*1440,0)</f>
        <v>415</v>
      </c>
      <c r="K1867" s="3" t="s">
        <v>645</v>
      </c>
      <c r="L1867" s="3" t="s">
        <v>36</v>
      </c>
      <c r="M1867" s="3" t="s">
        <v>36</v>
      </c>
      <c r="N1867" s="3" t="s">
        <v>23</v>
      </c>
      <c r="O1867" s="3" t="s">
        <v>646</v>
      </c>
    </row>
    <row r="1868" spans="1:15" hidden="1" x14ac:dyDescent="0.75">
      <c r="A1868" s="2">
        <v>46291</v>
      </c>
      <c r="B1868" s="3" t="s">
        <v>1311</v>
      </c>
      <c r="C1868" s="3" t="s">
        <v>1312</v>
      </c>
      <c r="D1868" s="3" t="s">
        <v>719</v>
      </c>
      <c r="E1868" s="3" t="s">
        <v>720</v>
      </c>
      <c r="F1868" s="3" t="s">
        <v>84</v>
      </c>
      <c r="G1868" s="3" t="s">
        <v>85</v>
      </c>
      <c r="H1868" s="4">
        <v>46291.618784606479</v>
      </c>
      <c r="I1868" s="4">
        <v>46291.72250300926</v>
      </c>
      <c r="J1868" s="3">
        <f>ROUND((I1868-H1868)*1440,0)</f>
        <v>149</v>
      </c>
      <c r="K1868" s="3" t="s">
        <v>1157</v>
      </c>
      <c r="L1868" s="3" t="s">
        <v>36</v>
      </c>
      <c r="M1868" s="3" t="s">
        <v>36</v>
      </c>
      <c r="N1868" s="3" t="s">
        <v>45</v>
      </c>
      <c r="O1868" s="3" t="s">
        <v>1158</v>
      </c>
    </row>
    <row r="1869" spans="1:15" hidden="1" x14ac:dyDescent="0.75">
      <c r="A1869" s="2">
        <v>46291</v>
      </c>
      <c r="B1869" s="3" t="s">
        <v>1285</v>
      </c>
      <c r="C1869" s="3" t="s">
        <v>1286</v>
      </c>
      <c r="D1869" s="3" t="s">
        <v>68</v>
      </c>
      <c r="E1869" s="3" t="s">
        <v>69</v>
      </c>
      <c r="F1869" s="3" t="s">
        <v>17</v>
      </c>
      <c r="G1869" s="3" t="s">
        <v>18</v>
      </c>
      <c r="H1869" s="4">
        <v>46291.619958680552</v>
      </c>
      <c r="I1869" s="4">
        <v>46291.715773032411</v>
      </c>
      <c r="J1869" s="3">
        <f>ROUND((I1869-H1869)*1440,0)</f>
        <v>138</v>
      </c>
      <c r="K1869" s="3" t="s">
        <v>1537</v>
      </c>
      <c r="L1869" s="3" t="s">
        <v>43</v>
      </c>
      <c r="M1869" s="3" t="s">
        <v>44</v>
      </c>
      <c r="N1869" s="3" t="s">
        <v>23</v>
      </c>
      <c r="O1869" s="3" t="s">
        <v>1538</v>
      </c>
    </row>
    <row r="1870" spans="1:15" hidden="1" x14ac:dyDescent="0.75">
      <c r="A1870" s="2">
        <v>46291</v>
      </c>
      <c r="B1870" s="3" t="s">
        <v>1213</v>
      </c>
      <c r="C1870" s="3" t="s">
        <v>1214</v>
      </c>
      <c r="D1870" s="3" t="s">
        <v>17</v>
      </c>
      <c r="E1870" s="3" t="s">
        <v>18</v>
      </c>
      <c r="F1870" s="3"/>
      <c r="G1870" s="3"/>
      <c r="H1870" s="4">
        <v>46291.620667592593</v>
      </c>
      <c r="I1870" s="4">
        <v>46291.694262268516</v>
      </c>
      <c r="J1870" s="3">
        <f>ROUND((I1870-H1870)*1440,0)</f>
        <v>106</v>
      </c>
      <c r="K1870" s="3" t="s">
        <v>1143</v>
      </c>
      <c r="L1870" s="3" t="s">
        <v>22</v>
      </c>
      <c r="M1870" s="3" t="s">
        <v>22</v>
      </c>
      <c r="N1870" s="3" t="s">
        <v>443</v>
      </c>
      <c r="O1870" s="3" t="s">
        <v>1144</v>
      </c>
    </row>
    <row r="1871" spans="1:15" hidden="1" x14ac:dyDescent="0.75">
      <c r="A1871" s="2">
        <v>46291</v>
      </c>
      <c r="B1871" s="3" t="s">
        <v>1133</v>
      </c>
      <c r="C1871" s="3" t="s">
        <v>1134</v>
      </c>
      <c r="D1871" s="3" t="s">
        <v>17</v>
      </c>
      <c r="E1871" s="3" t="s">
        <v>18</v>
      </c>
      <c r="F1871" s="3" t="s">
        <v>122</v>
      </c>
      <c r="G1871" s="3" t="s">
        <v>123</v>
      </c>
      <c r="H1871" s="4">
        <v>46291.621301620369</v>
      </c>
      <c r="I1871" s="4">
        <v>46291.852755439817</v>
      </c>
      <c r="J1871" s="3">
        <f>ROUND((I1871-H1871)*1440,0)</f>
        <v>333</v>
      </c>
      <c r="K1871" s="3" t="s">
        <v>677</v>
      </c>
      <c r="L1871" s="3" t="s">
        <v>22</v>
      </c>
      <c r="M1871" s="3" t="s">
        <v>22</v>
      </c>
      <c r="N1871" s="3" t="s">
        <v>23</v>
      </c>
      <c r="O1871" s="3" t="s">
        <v>678</v>
      </c>
    </row>
    <row r="1872" spans="1:15" hidden="1" x14ac:dyDescent="0.75">
      <c r="A1872" s="2">
        <v>46291</v>
      </c>
      <c r="B1872" s="3" t="s">
        <v>1249</v>
      </c>
      <c r="C1872" s="3" t="s">
        <v>1250</v>
      </c>
      <c r="D1872" s="3" t="s">
        <v>17</v>
      </c>
      <c r="E1872" s="3" t="s">
        <v>18</v>
      </c>
      <c r="F1872" s="3"/>
      <c r="G1872" s="3"/>
      <c r="H1872" s="4">
        <v>46291.621987500002</v>
      </c>
      <c r="I1872" s="4">
        <v>46291.705911805548</v>
      </c>
      <c r="J1872" s="3">
        <f>ROUND((I1872-H1872)*1440,0)</f>
        <v>121</v>
      </c>
      <c r="K1872" s="3" t="s">
        <v>607</v>
      </c>
      <c r="L1872" s="3" t="s">
        <v>22</v>
      </c>
      <c r="M1872" s="3" t="s">
        <v>22</v>
      </c>
      <c r="N1872" s="3" t="s">
        <v>443</v>
      </c>
      <c r="O1872" s="3" t="s">
        <v>608</v>
      </c>
    </row>
    <row r="1873" spans="1:15" hidden="1" x14ac:dyDescent="0.75">
      <c r="A1873" s="2">
        <v>46291</v>
      </c>
      <c r="B1873" s="3" t="s">
        <v>1453</v>
      </c>
      <c r="C1873" s="3" t="s">
        <v>1454</v>
      </c>
      <c r="D1873" s="3" t="s">
        <v>122</v>
      </c>
      <c r="E1873" s="3" t="s">
        <v>123</v>
      </c>
      <c r="F1873" s="3" t="s">
        <v>27</v>
      </c>
      <c r="G1873" s="3" t="s">
        <v>28</v>
      </c>
      <c r="H1873" s="4">
        <v>46291.62264050926</v>
      </c>
      <c r="I1873" s="4">
        <v>46291.855512037037</v>
      </c>
      <c r="J1873" s="3">
        <f>ROUND((I1873-H1873)*1440,0)</f>
        <v>335</v>
      </c>
      <c r="K1873" s="3" t="s">
        <v>581</v>
      </c>
      <c r="L1873" s="3" t="s">
        <v>22</v>
      </c>
      <c r="M1873" s="3" t="s">
        <v>22</v>
      </c>
      <c r="N1873" s="3" t="s">
        <v>23</v>
      </c>
      <c r="O1873" s="3" t="s">
        <v>582</v>
      </c>
    </row>
    <row r="1874" spans="1:15" hidden="1" x14ac:dyDescent="0.75">
      <c r="A1874" s="2">
        <v>46291</v>
      </c>
      <c r="B1874" s="3" t="s">
        <v>1289</v>
      </c>
      <c r="C1874" s="3" t="s">
        <v>1290</v>
      </c>
      <c r="D1874" s="3" t="s">
        <v>19</v>
      </c>
      <c r="E1874" s="3" t="s">
        <v>20</v>
      </c>
      <c r="F1874" s="3"/>
      <c r="G1874" s="3"/>
      <c r="H1874" s="4">
        <v>46291.625884837973</v>
      </c>
      <c r="I1874" s="4">
        <v>46291.650213194443</v>
      </c>
      <c r="J1874" s="3">
        <f>ROUND((I1874-H1874)*1440,0)</f>
        <v>35</v>
      </c>
      <c r="K1874" s="3" t="s">
        <v>434</v>
      </c>
      <c r="L1874" s="3" t="s">
        <v>36</v>
      </c>
      <c r="M1874" s="3" t="s">
        <v>36</v>
      </c>
      <c r="N1874" s="3" t="s">
        <v>443</v>
      </c>
      <c r="O1874" s="3" t="s">
        <v>435</v>
      </c>
    </row>
    <row r="1875" spans="1:15" hidden="1" x14ac:dyDescent="0.75">
      <c r="A1875" s="2">
        <v>46291</v>
      </c>
      <c r="B1875" s="3" t="s">
        <v>1267</v>
      </c>
      <c r="C1875" s="3" t="s">
        <v>1268</v>
      </c>
      <c r="D1875" s="3" t="s">
        <v>17</v>
      </c>
      <c r="E1875" s="3" t="s">
        <v>18</v>
      </c>
      <c r="F1875" s="3" t="s">
        <v>1269</v>
      </c>
      <c r="G1875" s="3" t="s">
        <v>1270</v>
      </c>
      <c r="H1875" s="4">
        <v>46291.626153935184</v>
      </c>
      <c r="I1875" s="4">
        <v>46291.699148148153</v>
      </c>
      <c r="J1875" s="3">
        <f>ROUND((I1875-H1875)*1440,0)</f>
        <v>105</v>
      </c>
      <c r="K1875" s="3" t="s">
        <v>641</v>
      </c>
      <c r="L1875" s="3" t="s">
        <v>36</v>
      </c>
      <c r="M1875" s="3" t="s">
        <v>36</v>
      </c>
      <c r="N1875" s="3" t="s">
        <v>45</v>
      </c>
      <c r="O1875" s="3" t="s">
        <v>642</v>
      </c>
    </row>
    <row r="1876" spans="1:15" hidden="1" x14ac:dyDescent="0.75">
      <c r="A1876" s="2">
        <v>46291</v>
      </c>
      <c r="B1876" s="3" t="s">
        <v>2378</v>
      </c>
      <c r="C1876" s="3" t="s">
        <v>2379</v>
      </c>
      <c r="D1876" s="3" t="s">
        <v>737</v>
      </c>
      <c r="E1876" s="3" t="s">
        <v>738</v>
      </c>
      <c r="F1876" s="3" t="s">
        <v>615</v>
      </c>
      <c r="G1876" s="3" t="s">
        <v>616</v>
      </c>
      <c r="H1876" s="4">
        <v>46291.626481712963</v>
      </c>
      <c r="I1876" s="4">
        <v>46291.789089351849</v>
      </c>
      <c r="J1876" s="3">
        <f>ROUND((I1876-H1876)*1440,0)</f>
        <v>234</v>
      </c>
      <c r="K1876" s="3" t="s">
        <v>951</v>
      </c>
      <c r="L1876" s="3" t="s">
        <v>36</v>
      </c>
      <c r="M1876" s="3" t="s">
        <v>36</v>
      </c>
      <c r="N1876" s="3" t="s">
        <v>45</v>
      </c>
      <c r="O1876" s="3" t="s">
        <v>952</v>
      </c>
    </row>
    <row r="1877" spans="1:15" hidden="1" x14ac:dyDescent="0.75">
      <c r="A1877" s="2">
        <v>46291</v>
      </c>
      <c r="B1877" s="3" t="s">
        <v>1315</v>
      </c>
      <c r="C1877" s="3" t="s">
        <v>1316</v>
      </c>
      <c r="D1877" s="3" t="s">
        <v>17</v>
      </c>
      <c r="E1877" s="3" t="s">
        <v>18</v>
      </c>
      <c r="F1877" s="3" t="s">
        <v>19</v>
      </c>
      <c r="G1877" s="3" t="s">
        <v>20</v>
      </c>
      <c r="H1877" s="4">
        <v>46291.626836226853</v>
      </c>
      <c r="I1877" s="4">
        <v>46291.722264236108</v>
      </c>
      <c r="J1877" s="3">
        <f>ROUND((I1877-H1877)*1440,0)</f>
        <v>137</v>
      </c>
      <c r="K1877" s="3" t="s">
        <v>236</v>
      </c>
      <c r="L1877" s="3" t="s">
        <v>77</v>
      </c>
      <c r="M1877" s="3" t="s">
        <v>78</v>
      </c>
      <c r="N1877" s="3" t="s">
        <v>23</v>
      </c>
      <c r="O1877" s="3" t="s">
        <v>237</v>
      </c>
    </row>
    <row r="1878" spans="1:15" hidden="1" x14ac:dyDescent="0.75">
      <c r="A1878" s="2">
        <v>46291</v>
      </c>
      <c r="B1878" s="3" t="s">
        <v>1299</v>
      </c>
      <c r="C1878" s="3" t="s">
        <v>1300</v>
      </c>
      <c r="D1878" s="3" t="s">
        <v>304</v>
      </c>
      <c r="E1878" s="3" t="s">
        <v>305</v>
      </c>
      <c r="F1878" s="3" t="s">
        <v>17</v>
      </c>
      <c r="G1878" s="3" t="s">
        <v>18</v>
      </c>
      <c r="H1878" s="4">
        <v>46291.626849189823</v>
      </c>
      <c r="I1878" s="4">
        <v>46291.841087962966</v>
      </c>
      <c r="J1878" s="3">
        <f>ROUND((I1878-H1878)*1440,0)</f>
        <v>309</v>
      </c>
      <c r="K1878" s="3" t="s">
        <v>567</v>
      </c>
      <c r="L1878" s="3" t="s">
        <v>22</v>
      </c>
      <c r="M1878" s="3" t="s">
        <v>22</v>
      </c>
      <c r="N1878" s="3" t="s">
        <v>23</v>
      </c>
      <c r="O1878" s="3" t="s">
        <v>568</v>
      </c>
    </row>
    <row r="1879" spans="1:15" hidden="1" x14ac:dyDescent="0.75">
      <c r="A1879" s="2">
        <v>46291</v>
      </c>
      <c r="B1879" s="3" t="s">
        <v>1241</v>
      </c>
      <c r="C1879" s="3" t="s">
        <v>1242</v>
      </c>
      <c r="D1879" s="3" t="s">
        <v>17</v>
      </c>
      <c r="E1879" s="3" t="s">
        <v>18</v>
      </c>
      <c r="F1879" s="3" t="s">
        <v>82</v>
      </c>
      <c r="G1879" s="3" t="s">
        <v>83</v>
      </c>
      <c r="H1879" s="4">
        <v>46291.628048726852</v>
      </c>
      <c r="I1879" s="4">
        <v>46291.71596400463</v>
      </c>
      <c r="J1879" s="3">
        <f>ROUND((I1879-H1879)*1440,0)</f>
        <v>127</v>
      </c>
      <c r="K1879" s="3" t="s">
        <v>637</v>
      </c>
      <c r="L1879" s="3" t="s">
        <v>22</v>
      </c>
      <c r="M1879" s="3" t="s">
        <v>22</v>
      </c>
      <c r="N1879" s="3" t="s">
        <v>23</v>
      </c>
      <c r="O1879" s="3" t="s">
        <v>638</v>
      </c>
    </row>
    <row r="1880" spans="1:15" hidden="1" x14ac:dyDescent="0.75">
      <c r="A1880" s="2">
        <v>46291</v>
      </c>
      <c r="B1880" s="3" t="s">
        <v>1275</v>
      </c>
      <c r="C1880" s="3" t="s">
        <v>1276</v>
      </c>
      <c r="D1880" s="3" t="s">
        <v>17</v>
      </c>
      <c r="E1880" s="3" t="s">
        <v>18</v>
      </c>
      <c r="F1880" s="3" t="s">
        <v>56</v>
      </c>
      <c r="G1880" s="3" t="s">
        <v>57</v>
      </c>
      <c r="H1880" s="4">
        <v>46291.628944675933</v>
      </c>
      <c r="I1880" s="4">
        <v>46291.8872505787</v>
      </c>
      <c r="J1880" s="3">
        <f>ROUND((I1880-H1880)*1440,0)</f>
        <v>372</v>
      </c>
      <c r="K1880" s="3" t="s">
        <v>1185</v>
      </c>
      <c r="L1880" s="3" t="s">
        <v>36</v>
      </c>
      <c r="M1880" s="3" t="s">
        <v>36</v>
      </c>
      <c r="N1880" s="3" t="s">
        <v>23</v>
      </c>
      <c r="O1880" s="3" t="s">
        <v>1186</v>
      </c>
    </row>
    <row r="1881" spans="1:15" hidden="1" x14ac:dyDescent="0.75">
      <c r="A1881" s="2">
        <v>46291</v>
      </c>
      <c r="B1881" s="3" t="s">
        <v>1901</v>
      </c>
      <c r="C1881" s="3" t="s">
        <v>1902</v>
      </c>
      <c r="D1881" s="3" t="s">
        <v>27</v>
      </c>
      <c r="E1881" s="3" t="s">
        <v>28</v>
      </c>
      <c r="F1881" s="3" t="s">
        <v>148</v>
      </c>
      <c r="G1881" s="3" t="s">
        <v>149</v>
      </c>
      <c r="H1881" s="4">
        <v>46291.632531134259</v>
      </c>
      <c r="I1881" s="4">
        <v>46291.695036111108</v>
      </c>
      <c r="J1881" s="3">
        <f>ROUND((I1881-H1881)*1440,0)</f>
        <v>90</v>
      </c>
      <c r="K1881" s="3" t="s">
        <v>1293</v>
      </c>
      <c r="L1881" s="3" t="s">
        <v>77</v>
      </c>
      <c r="M1881" s="3" t="s">
        <v>78</v>
      </c>
      <c r="N1881" s="3" t="s">
        <v>23</v>
      </c>
      <c r="O1881" s="3" t="s">
        <v>1294</v>
      </c>
    </row>
    <row r="1882" spans="1:15" hidden="1" x14ac:dyDescent="0.75">
      <c r="A1882" s="2">
        <v>46291</v>
      </c>
      <c r="B1882" s="3" t="s">
        <v>1347</v>
      </c>
      <c r="C1882" s="3" t="s">
        <v>1348</v>
      </c>
      <c r="D1882" s="3" t="s">
        <v>56</v>
      </c>
      <c r="E1882" s="3" t="s">
        <v>57</v>
      </c>
      <c r="F1882" s="3" t="s">
        <v>615</v>
      </c>
      <c r="G1882" s="3" t="s">
        <v>616</v>
      </c>
      <c r="H1882" s="4">
        <v>46291.632700810187</v>
      </c>
      <c r="I1882" s="4">
        <v>46291.727739930553</v>
      </c>
      <c r="J1882" s="3">
        <f>ROUND((I1882-H1882)*1440,0)</f>
        <v>137</v>
      </c>
      <c r="K1882" s="3" t="s">
        <v>993</v>
      </c>
      <c r="L1882" s="3" t="s">
        <v>36</v>
      </c>
      <c r="M1882" s="3" t="s">
        <v>36</v>
      </c>
      <c r="N1882" s="3" t="s">
        <v>45</v>
      </c>
      <c r="O1882" s="3" t="s">
        <v>994</v>
      </c>
    </row>
    <row r="1883" spans="1:15" hidden="1" x14ac:dyDescent="0.75">
      <c r="A1883" s="2">
        <v>46291</v>
      </c>
      <c r="B1883" s="3" t="s">
        <v>2249</v>
      </c>
      <c r="C1883" s="3" t="s">
        <v>2250</v>
      </c>
      <c r="D1883" s="3" t="s">
        <v>56</v>
      </c>
      <c r="E1883" s="3" t="s">
        <v>57</v>
      </c>
      <c r="F1883" s="3" t="s">
        <v>56</v>
      </c>
      <c r="G1883" s="3" t="s">
        <v>57</v>
      </c>
      <c r="H1883" s="4">
        <v>46291.634487152784</v>
      </c>
      <c r="I1883" s="4">
        <v>46291.909592824071</v>
      </c>
      <c r="J1883" s="3">
        <f>ROUND((I1883-H1883)*1440,0)</f>
        <v>396</v>
      </c>
      <c r="K1883" s="3" t="s">
        <v>1469</v>
      </c>
      <c r="L1883" s="3" t="s">
        <v>36</v>
      </c>
      <c r="M1883" s="3" t="s">
        <v>36</v>
      </c>
      <c r="N1883" s="3" t="s">
        <v>23</v>
      </c>
      <c r="O1883" s="3" t="s">
        <v>1470</v>
      </c>
    </row>
    <row r="1884" spans="1:15" hidden="1" x14ac:dyDescent="0.75">
      <c r="A1884" s="2">
        <v>46291</v>
      </c>
      <c r="B1884" s="3" t="s">
        <v>1415</v>
      </c>
      <c r="C1884" s="3" t="s">
        <v>1416</v>
      </c>
      <c r="D1884" s="3" t="s">
        <v>94</v>
      </c>
      <c r="E1884" s="3" t="s">
        <v>95</v>
      </c>
      <c r="F1884" s="3" t="s">
        <v>27</v>
      </c>
      <c r="G1884" s="3" t="s">
        <v>28</v>
      </c>
      <c r="H1884" s="4">
        <v>46291.637299189817</v>
      </c>
      <c r="I1884" s="4">
        <v>46291.704225462963</v>
      </c>
      <c r="J1884" s="3">
        <f>ROUND((I1884-H1884)*1440,0)</f>
        <v>96</v>
      </c>
      <c r="K1884" s="3" t="s">
        <v>1015</v>
      </c>
      <c r="L1884" s="3" t="s">
        <v>77</v>
      </c>
      <c r="M1884" s="3" t="s">
        <v>78</v>
      </c>
      <c r="N1884" s="3" t="s">
        <v>23</v>
      </c>
      <c r="O1884" s="3" t="s">
        <v>1016</v>
      </c>
    </row>
    <row r="1885" spans="1:15" hidden="1" x14ac:dyDescent="0.75">
      <c r="A1885" s="2">
        <v>46291</v>
      </c>
      <c r="B1885" s="3" t="s">
        <v>1319</v>
      </c>
      <c r="C1885" s="3" t="s">
        <v>1320</v>
      </c>
      <c r="D1885" s="3" t="s">
        <v>122</v>
      </c>
      <c r="E1885" s="3" t="s">
        <v>123</v>
      </c>
      <c r="F1885" s="3" t="s">
        <v>17</v>
      </c>
      <c r="G1885" s="3" t="s">
        <v>18</v>
      </c>
      <c r="H1885" s="4">
        <v>46291.638284837973</v>
      </c>
      <c r="I1885" s="4">
        <v>46291.856473611108</v>
      </c>
      <c r="J1885" s="3">
        <f>ROUND((I1885-H1885)*1440,0)</f>
        <v>314</v>
      </c>
      <c r="K1885" s="3" t="s">
        <v>326</v>
      </c>
      <c r="L1885" s="3" t="s">
        <v>22</v>
      </c>
      <c r="M1885" s="3" t="s">
        <v>22</v>
      </c>
      <c r="N1885" s="3" t="s">
        <v>23</v>
      </c>
      <c r="O1885" s="3" t="s">
        <v>327</v>
      </c>
    </row>
    <row r="1886" spans="1:15" hidden="1" x14ac:dyDescent="0.75">
      <c r="A1886" s="2">
        <v>46291</v>
      </c>
      <c r="B1886" s="3" t="s">
        <v>1331</v>
      </c>
      <c r="C1886" s="3" t="s">
        <v>1332</v>
      </c>
      <c r="D1886" s="3" t="s">
        <v>17</v>
      </c>
      <c r="E1886" s="3" t="s">
        <v>18</v>
      </c>
      <c r="F1886" s="3" t="s">
        <v>182</v>
      </c>
      <c r="G1886" s="3" t="s">
        <v>183</v>
      </c>
      <c r="H1886" s="4">
        <v>46291.638349421293</v>
      </c>
      <c r="I1886" s="4">
        <v>46291.713811689813</v>
      </c>
      <c r="J1886" s="3">
        <f>ROUND((I1886-H1886)*1440,0)</f>
        <v>109</v>
      </c>
      <c r="K1886" s="3" t="s">
        <v>553</v>
      </c>
      <c r="L1886" s="3" t="s">
        <v>77</v>
      </c>
      <c r="M1886" s="3" t="s">
        <v>78</v>
      </c>
      <c r="N1886" s="3" t="s">
        <v>23</v>
      </c>
      <c r="O1886" s="3" t="s">
        <v>554</v>
      </c>
    </row>
    <row r="1887" spans="1:15" hidden="1" x14ac:dyDescent="0.75">
      <c r="A1887" s="2">
        <v>46291</v>
      </c>
      <c r="B1887" s="3" t="s">
        <v>2380</v>
      </c>
      <c r="C1887" s="3" t="s">
        <v>2381</v>
      </c>
      <c r="D1887" s="3" t="s">
        <v>56</v>
      </c>
      <c r="E1887" s="3" t="s">
        <v>57</v>
      </c>
      <c r="F1887" s="3" t="s">
        <v>27</v>
      </c>
      <c r="G1887" s="3" t="s">
        <v>28</v>
      </c>
      <c r="H1887" s="4">
        <v>46291.638384143524</v>
      </c>
      <c r="I1887" s="4">
        <v>46291.991528472223</v>
      </c>
      <c r="J1887" s="3">
        <f>ROUND((I1887-H1887)*1440,0)</f>
        <v>509</v>
      </c>
      <c r="K1887" s="3" t="s">
        <v>859</v>
      </c>
      <c r="L1887" s="3" t="s">
        <v>36</v>
      </c>
      <c r="M1887" s="3" t="s">
        <v>36</v>
      </c>
      <c r="N1887" s="3" t="s">
        <v>23</v>
      </c>
      <c r="O1887" s="3" t="s">
        <v>860</v>
      </c>
    </row>
    <row r="1888" spans="1:15" hidden="1" x14ac:dyDescent="0.75">
      <c r="A1888" s="2">
        <v>46291</v>
      </c>
      <c r="B1888" s="3" t="s">
        <v>1329</v>
      </c>
      <c r="C1888" s="3" t="s">
        <v>1330</v>
      </c>
      <c r="D1888" s="3" t="s">
        <v>27</v>
      </c>
      <c r="E1888" s="3" t="s">
        <v>28</v>
      </c>
      <c r="F1888" s="3" t="s">
        <v>19</v>
      </c>
      <c r="G1888" s="3" t="s">
        <v>20</v>
      </c>
      <c r="H1888" s="4">
        <v>46291.638418518523</v>
      </c>
      <c r="I1888" s="4">
        <v>46291.752066782406</v>
      </c>
      <c r="J1888" s="3">
        <f>ROUND((I1888-H1888)*1440,0)</f>
        <v>164</v>
      </c>
      <c r="K1888" s="3" t="s">
        <v>21</v>
      </c>
      <c r="L1888" s="3" t="s">
        <v>22</v>
      </c>
      <c r="M1888" s="3" t="s">
        <v>22</v>
      </c>
      <c r="N1888" s="3" t="s">
        <v>23</v>
      </c>
      <c r="O1888" s="3" t="s">
        <v>24</v>
      </c>
    </row>
    <row r="1889" spans="1:15" hidden="1" x14ac:dyDescent="0.75">
      <c r="A1889" s="2">
        <v>46291</v>
      </c>
      <c r="B1889" s="3" t="s">
        <v>1425</v>
      </c>
      <c r="C1889" s="3" t="s">
        <v>1426</v>
      </c>
      <c r="D1889" s="3" t="s">
        <v>56</v>
      </c>
      <c r="E1889" s="3" t="s">
        <v>57</v>
      </c>
      <c r="F1889" s="3" t="s">
        <v>17</v>
      </c>
      <c r="G1889" s="3" t="s">
        <v>18</v>
      </c>
      <c r="H1889" s="4">
        <v>46291.638973263893</v>
      </c>
      <c r="I1889" s="4">
        <v>46291.822545254632</v>
      </c>
      <c r="J1889" s="3">
        <f>ROUND((I1889-H1889)*1440,0)</f>
        <v>264</v>
      </c>
      <c r="K1889" s="3" t="s">
        <v>775</v>
      </c>
      <c r="L1889" s="3" t="s">
        <v>36</v>
      </c>
      <c r="M1889" s="3" t="s">
        <v>36</v>
      </c>
      <c r="N1889" s="3" t="s">
        <v>23</v>
      </c>
      <c r="O1889" s="3" t="s">
        <v>776</v>
      </c>
    </row>
    <row r="1890" spans="1:15" hidden="1" x14ac:dyDescent="0.75">
      <c r="A1890" s="2">
        <v>46291</v>
      </c>
      <c r="B1890" s="3" t="s">
        <v>1435</v>
      </c>
      <c r="C1890" s="3" t="s">
        <v>1436</v>
      </c>
      <c r="D1890" s="3" t="s">
        <v>19</v>
      </c>
      <c r="E1890" s="3" t="s">
        <v>20</v>
      </c>
      <c r="F1890" s="3" t="s">
        <v>27</v>
      </c>
      <c r="G1890" s="3" t="s">
        <v>28</v>
      </c>
      <c r="H1890" s="4">
        <v>46291.639031365739</v>
      </c>
      <c r="I1890" s="4">
        <v>46291.769322685177</v>
      </c>
      <c r="J1890" s="3">
        <f>ROUND((I1890-H1890)*1440,0)</f>
        <v>188</v>
      </c>
      <c r="K1890" s="3" t="s">
        <v>847</v>
      </c>
      <c r="L1890" s="3" t="s">
        <v>77</v>
      </c>
      <c r="M1890" s="3" t="s">
        <v>78</v>
      </c>
      <c r="N1890" s="3" t="s">
        <v>23</v>
      </c>
      <c r="O1890" s="3" t="s">
        <v>848</v>
      </c>
    </row>
    <row r="1891" spans="1:15" hidden="1" x14ac:dyDescent="0.75">
      <c r="A1891" s="2">
        <v>46291</v>
      </c>
      <c r="B1891" s="3" t="s">
        <v>1325</v>
      </c>
      <c r="C1891" s="3" t="s">
        <v>1326</v>
      </c>
      <c r="D1891" s="3" t="s">
        <v>683</v>
      </c>
      <c r="E1891" s="3" t="s">
        <v>684</v>
      </c>
      <c r="F1891" s="3" t="s">
        <v>17</v>
      </c>
      <c r="G1891" s="3" t="s">
        <v>18</v>
      </c>
      <c r="H1891" s="4">
        <v>46291.639298495371</v>
      </c>
      <c r="I1891" s="4">
        <v>46291.793155671287</v>
      </c>
      <c r="J1891" s="3">
        <f>ROUND((I1891-H1891)*1440,0)</f>
        <v>222</v>
      </c>
      <c r="K1891" s="3" t="s">
        <v>485</v>
      </c>
      <c r="L1891" s="3" t="s">
        <v>36</v>
      </c>
      <c r="M1891" s="3" t="s">
        <v>36</v>
      </c>
      <c r="N1891" s="3" t="s">
        <v>23</v>
      </c>
      <c r="O1891" s="3" t="s">
        <v>486</v>
      </c>
    </row>
    <row r="1892" spans="1:15" hidden="1" x14ac:dyDescent="0.75">
      <c r="A1892" s="2">
        <v>46291</v>
      </c>
      <c r="B1892" s="3" t="s">
        <v>1345</v>
      </c>
      <c r="C1892" s="3" t="s">
        <v>1346</v>
      </c>
      <c r="D1892" s="3" t="s">
        <v>977</v>
      </c>
      <c r="E1892" s="3" t="s">
        <v>978</v>
      </c>
      <c r="F1892" s="3" t="s">
        <v>17</v>
      </c>
      <c r="G1892" s="3" t="s">
        <v>18</v>
      </c>
      <c r="H1892" s="4">
        <v>46291.639599884264</v>
      </c>
      <c r="I1892" s="4">
        <v>46291.701263773153</v>
      </c>
      <c r="J1892" s="3">
        <f>ROUND((I1892-H1892)*1440,0)</f>
        <v>89</v>
      </c>
      <c r="K1892" s="3" t="s">
        <v>477</v>
      </c>
      <c r="L1892" s="3" t="s">
        <v>77</v>
      </c>
      <c r="M1892" s="3" t="s">
        <v>78</v>
      </c>
      <c r="N1892" s="3" t="s">
        <v>23</v>
      </c>
      <c r="O1892" s="3" t="s">
        <v>478</v>
      </c>
    </row>
    <row r="1893" spans="1:15" hidden="1" x14ac:dyDescent="0.75">
      <c r="A1893" s="2">
        <v>46291</v>
      </c>
      <c r="B1893" s="3" t="s">
        <v>1321</v>
      </c>
      <c r="C1893" s="3" t="s">
        <v>1322</v>
      </c>
      <c r="D1893" s="3" t="s">
        <v>82</v>
      </c>
      <c r="E1893" s="3" t="s">
        <v>83</v>
      </c>
      <c r="F1893" s="3"/>
      <c r="G1893" s="3"/>
      <c r="H1893" s="4">
        <v>46291.639687962961</v>
      </c>
      <c r="I1893" s="4">
        <v>46291.697716666669</v>
      </c>
      <c r="J1893" s="3">
        <f>ROUND((I1893-H1893)*1440,0)</f>
        <v>84</v>
      </c>
      <c r="K1893" s="3" t="s">
        <v>697</v>
      </c>
      <c r="L1893" s="3" t="s">
        <v>77</v>
      </c>
      <c r="M1893" s="3" t="s">
        <v>78</v>
      </c>
      <c r="N1893" s="3" t="s">
        <v>443</v>
      </c>
      <c r="O1893" s="3" t="s">
        <v>698</v>
      </c>
    </row>
    <row r="1894" spans="1:15" hidden="1" x14ac:dyDescent="0.75">
      <c r="A1894" s="2">
        <v>46291</v>
      </c>
      <c r="B1894" s="3" t="s">
        <v>1381</v>
      </c>
      <c r="C1894" s="3" t="s">
        <v>1382</v>
      </c>
      <c r="D1894" s="3" t="s">
        <v>56</v>
      </c>
      <c r="E1894" s="3" t="s">
        <v>57</v>
      </c>
      <c r="F1894" s="3" t="s">
        <v>56</v>
      </c>
      <c r="G1894" s="3" t="s">
        <v>57</v>
      </c>
      <c r="H1894" s="4">
        <v>46291.640499305548</v>
      </c>
      <c r="I1894" s="4">
        <v>46291.903108680563</v>
      </c>
      <c r="J1894" s="3">
        <f>ROUND((I1894-H1894)*1440,0)</f>
        <v>378</v>
      </c>
      <c r="K1894" s="3" t="s">
        <v>985</v>
      </c>
      <c r="L1894" s="3" t="s">
        <v>36</v>
      </c>
      <c r="M1894" s="3" t="s">
        <v>36</v>
      </c>
      <c r="N1894" s="3" t="s">
        <v>23</v>
      </c>
      <c r="O1894" s="3" t="s">
        <v>986</v>
      </c>
    </row>
    <row r="1895" spans="1:15" hidden="1" x14ac:dyDescent="0.75">
      <c r="A1895" s="2">
        <v>46291</v>
      </c>
      <c r="B1895" s="3" t="s">
        <v>1273</v>
      </c>
      <c r="C1895" s="3" t="s">
        <v>1274</v>
      </c>
      <c r="D1895" s="3" t="s">
        <v>56</v>
      </c>
      <c r="E1895" s="3" t="s">
        <v>57</v>
      </c>
      <c r="F1895" s="3" t="s">
        <v>82</v>
      </c>
      <c r="G1895" s="3" t="s">
        <v>83</v>
      </c>
      <c r="H1895" s="4">
        <v>46291.641898032409</v>
      </c>
      <c r="I1895" s="4">
        <v>46291.685610879627</v>
      </c>
      <c r="J1895" s="3">
        <f>ROUND((I1895-H1895)*1440,0)</f>
        <v>63</v>
      </c>
      <c r="K1895" s="3" t="s">
        <v>907</v>
      </c>
      <c r="L1895" s="3" t="s">
        <v>36</v>
      </c>
      <c r="M1895" s="3" t="s">
        <v>36</v>
      </c>
      <c r="N1895" s="3" t="s">
        <v>23</v>
      </c>
      <c r="O1895" s="3" t="s">
        <v>908</v>
      </c>
    </row>
    <row r="1896" spans="1:15" hidden="1" x14ac:dyDescent="0.75">
      <c r="A1896" s="2">
        <v>46291</v>
      </c>
      <c r="B1896" s="3" t="s">
        <v>1335</v>
      </c>
      <c r="C1896" s="3" t="s">
        <v>1336</v>
      </c>
      <c r="D1896" s="3" t="s">
        <v>17</v>
      </c>
      <c r="E1896" s="3" t="s">
        <v>18</v>
      </c>
      <c r="F1896" s="3"/>
      <c r="G1896" s="3"/>
      <c r="H1896" s="4">
        <v>46291.642365509259</v>
      </c>
      <c r="I1896" s="4">
        <v>46291.679011921296</v>
      </c>
      <c r="J1896" s="3">
        <f>ROUND((I1896-H1896)*1440,0)</f>
        <v>53</v>
      </c>
      <c r="K1896" s="3" t="s">
        <v>497</v>
      </c>
      <c r="L1896" s="3" t="s">
        <v>22</v>
      </c>
      <c r="M1896" s="3" t="s">
        <v>22</v>
      </c>
      <c r="N1896" s="3" t="s">
        <v>443</v>
      </c>
      <c r="O1896" s="3" t="s">
        <v>498</v>
      </c>
    </row>
    <row r="1897" spans="1:15" hidden="1" x14ac:dyDescent="0.75">
      <c r="A1897" s="2">
        <v>46291</v>
      </c>
      <c r="B1897" s="3" t="s">
        <v>1259</v>
      </c>
      <c r="C1897" s="3" t="s">
        <v>1260</v>
      </c>
      <c r="D1897" s="3" t="s">
        <v>17</v>
      </c>
      <c r="E1897" s="3" t="s">
        <v>18</v>
      </c>
      <c r="F1897" s="3" t="s">
        <v>94</v>
      </c>
      <c r="G1897" s="3" t="s">
        <v>95</v>
      </c>
      <c r="H1897" s="4">
        <v>46291.643301041673</v>
      </c>
      <c r="I1897" s="4">
        <v>46291.690947453702</v>
      </c>
      <c r="J1897" s="3">
        <f>ROUND((I1897-H1897)*1440,0)</f>
        <v>69</v>
      </c>
      <c r="K1897" s="3" t="s">
        <v>300</v>
      </c>
      <c r="L1897" s="3" t="s">
        <v>77</v>
      </c>
      <c r="M1897" s="3" t="s">
        <v>78</v>
      </c>
      <c r="N1897" s="3" t="s">
        <v>23</v>
      </c>
      <c r="O1897" s="3" t="s">
        <v>301</v>
      </c>
    </row>
    <row r="1898" spans="1:15" hidden="1" x14ac:dyDescent="0.75">
      <c r="A1898" s="2">
        <v>46291</v>
      </c>
      <c r="B1898" s="3" t="s">
        <v>1783</v>
      </c>
      <c r="C1898" s="3" t="s">
        <v>1784</v>
      </c>
      <c r="D1898" s="3" t="s">
        <v>56</v>
      </c>
      <c r="E1898" s="3" t="s">
        <v>57</v>
      </c>
      <c r="F1898" s="3" t="s">
        <v>56</v>
      </c>
      <c r="G1898" s="3" t="s">
        <v>57</v>
      </c>
      <c r="H1898" s="4">
        <v>46291.64582719907</v>
      </c>
      <c r="I1898" s="4">
        <v>46291.907700925927</v>
      </c>
      <c r="J1898" s="3">
        <f>ROUND((I1898-H1898)*1440,0)</f>
        <v>377</v>
      </c>
      <c r="K1898" s="3" t="s">
        <v>789</v>
      </c>
      <c r="L1898" s="3" t="s">
        <v>36</v>
      </c>
      <c r="M1898" s="3" t="s">
        <v>36</v>
      </c>
      <c r="N1898" s="3" t="s">
        <v>23</v>
      </c>
      <c r="O1898" s="3" t="s">
        <v>790</v>
      </c>
    </row>
    <row r="1899" spans="1:15" hidden="1" x14ac:dyDescent="0.75">
      <c r="A1899" s="2">
        <v>46291</v>
      </c>
      <c r="B1899" s="3" t="s">
        <v>1333</v>
      </c>
      <c r="C1899" s="3" t="s">
        <v>1334</v>
      </c>
      <c r="D1899" s="3" t="s">
        <v>27</v>
      </c>
      <c r="E1899" s="3" t="s">
        <v>28</v>
      </c>
      <c r="F1899" s="3" t="s">
        <v>17</v>
      </c>
      <c r="G1899" s="3" t="s">
        <v>18</v>
      </c>
      <c r="H1899" s="4">
        <v>46291.646550925929</v>
      </c>
      <c r="I1899" s="4">
        <v>46291.677339351852</v>
      </c>
      <c r="J1899" s="3">
        <f>ROUND((I1899-H1899)*1440,0)</f>
        <v>44</v>
      </c>
      <c r="K1899" s="3" t="s">
        <v>623</v>
      </c>
      <c r="L1899" s="3" t="s">
        <v>77</v>
      </c>
      <c r="M1899" s="3" t="s">
        <v>78</v>
      </c>
      <c r="N1899" s="3" t="s">
        <v>23</v>
      </c>
      <c r="O1899" s="3" t="s">
        <v>624</v>
      </c>
    </row>
    <row r="1900" spans="1:15" hidden="1" x14ac:dyDescent="0.75">
      <c r="A1900" s="2">
        <v>46291</v>
      </c>
      <c r="B1900" s="3" t="s">
        <v>2382</v>
      </c>
      <c r="C1900" s="3" t="s">
        <v>2383</v>
      </c>
      <c r="D1900" s="3" t="s">
        <v>56</v>
      </c>
      <c r="E1900" s="3" t="s">
        <v>57</v>
      </c>
      <c r="F1900" s="3"/>
      <c r="G1900" s="3"/>
      <c r="H1900" s="4">
        <v>46291.647107175922</v>
      </c>
      <c r="I1900" s="4">
        <v>46291.673576388886</v>
      </c>
      <c r="J1900" s="3">
        <f>ROUND((I1900-H1900)*1440,0)</f>
        <v>38</v>
      </c>
      <c r="K1900" s="3" t="s">
        <v>873</v>
      </c>
      <c r="L1900" s="3" t="s">
        <v>36</v>
      </c>
      <c r="M1900" s="3" t="s">
        <v>36</v>
      </c>
      <c r="N1900" s="3" t="s">
        <v>443</v>
      </c>
      <c r="O1900" s="3" t="s">
        <v>874</v>
      </c>
    </row>
    <row r="1901" spans="1:15" hidden="1" x14ac:dyDescent="0.75">
      <c r="A1901" s="2">
        <v>46291</v>
      </c>
      <c r="B1901" s="3" t="s">
        <v>1379</v>
      </c>
      <c r="C1901" s="3" t="s">
        <v>1380</v>
      </c>
      <c r="D1901" s="3" t="s">
        <v>280</v>
      </c>
      <c r="E1901" s="3" t="s">
        <v>281</v>
      </c>
      <c r="F1901" s="3" t="s">
        <v>17</v>
      </c>
      <c r="G1901" s="3" t="s">
        <v>18</v>
      </c>
      <c r="H1901" s="4">
        <v>46291.648723148151</v>
      </c>
      <c r="I1901" s="4">
        <v>46291.758356597224</v>
      </c>
      <c r="J1901" s="3">
        <f>ROUND((I1901-H1901)*1440,0)</f>
        <v>158</v>
      </c>
      <c r="K1901" s="3" t="s">
        <v>2303</v>
      </c>
      <c r="L1901" s="3" t="s">
        <v>77</v>
      </c>
      <c r="M1901" s="3" t="s">
        <v>78</v>
      </c>
      <c r="N1901" s="3" t="s">
        <v>23</v>
      </c>
      <c r="O1901" s="3" t="s">
        <v>2304</v>
      </c>
    </row>
    <row r="1902" spans="1:15" hidden="1" x14ac:dyDescent="0.75">
      <c r="A1902" s="2">
        <v>46291</v>
      </c>
      <c r="B1902" s="3" t="s">
        <v>1351</v>
      </c>
      <c r="C1902" s="3" t="s">
        <v>1352</v>
      </c>
      <c r="D1902" s="3" t="s">
        <v>56</v>
      </c>
      <c r="E1902" s="3" t="s">
        <v>57</v>
      </c>
      <c r="F1902" s="3"/>
      <c r="G1902" s="3"/>
      <c r="H1902" s="4">
        <v>46291.65021122685</v>
      </c>
      <c r="I1902" s="4">
        <v>46291.671527662038</v>
      </c>
      <c r="J1902" s="3">
        <f>ROUND((I1902-H1902)*1440,0)</f>
        <v>31</v>
      </c>
      <c r="K1902" s="3" t="s">
        <v>2307</v>
      </c>
      <c r="L1902" s="3" t="s">
        <v>36</v>
      </c>
      <c r="M1902" s="3" t="s">
        <v>36</v>
      </c>
      <c r="N1902" s="3" t="s">
        <v>443</v>
      </c>
      <c r="O1902" s="3" t="s">
        <v>2308</v>
      </c>
    </row>
    <row r="1903" spans="1:15" hidden="1" x14ac:dyDescent="0.75">
      <c r="A1903" s="2">
        <v>46291</v>
      </c>
      <c r="B1903" s="3" t="s">
        <v>1405</v>
      </c>
      <c r="C1903" s="3" t="s">
        <v>1406</v>
      </c>
      <c r="D1903" s="3" t="s">
        <v>27</v>
      </c>
      <c r="E1903" s="3" t="s">
        <v>28</v>
      </c>
      <c r="F1903" s="3"/>
      <c r="G1903" s="3"/>
      <c r="H1903" s="4">
        <v>46291.651451041667</v>
      </c>
      <c r="I1903" s="4">
        <v>46291.706572337956</v>
      </c>
      <c r="J1903" s="3">
        <f>ROUND((I1903-H1903)*1440,0)</f>
        <v>79</v>
      </c>
      <c r="K1903" s="3" t="s">
        <v>721</v>
      </c>
      <c r="L1903" s="3" t="s">
        <v>22</v>
      </c>
      <c r="M1903" s="3" t="s">
        <v>22</v>
      </c>
      <c r="N1903" s="3" t="s">
        <v>443</v>
      </c>
      <c r="O1903" s="3" t="s">
        <v>722</v>
      </c>
    </row>
    <row r="1904" spans="1:15" hidden="1" x14ac:dyDescent="0.75">
      <c r="A1904" s="2">
        <v>46291</v>
      </c>
      <c r="B1904" s="3" t="s">
        <v>1361</v>
      </c>
      <c r="C1904" s="3" t="s">
        <v>1362</v>
      </c>
      <c r="D1904" s="3" t="s">
        <v>56</v>
      </c>
      <c r="E1904" s="3" t="s">
        <v>57</v>
      </c>
      <c r="F1904" s="3" t="s">
        <v>334</v>
      </c>
      <c r="G1904" s="3" t="s">
        <v>335</v>
      </c>
      <c r="H1904" s="4">
        <v>46291.652164930558</v>
      </c>
      <c r="I1904" s="4">
        <v>46291.763094907408</v>
      </c>
      <c r="J1904" s="3">
        <f>ROUND((I1904-H1904)*1440,0)</f>
        <v>160</v>
      </c>
      <c r="K1904" s="3" t="s">
        <v>102</v>
      </c>
      <c r="L1904" s="3" t="s">
        <v>36</v>
      </c>
      <c r="M1904" s="3" t="s">
        <v>36</v>
      </c>
      <c r="N1904" s="3" t="s">
        <v>23</v>
      </c>
      <c r="O1904" s="3" t="s">
        <v>103</v>
      </c>
    </row>
    <row r="1905" spans="1:15" hidden="1" x14ac:dyDescent="0.75">
      <c r="A1905" s="2">
        <v>46291</v>
      </c>
      <c r="B1905" s="3" t="s">
        <v>1407</v>
      </c>
      <c r="C1905" s="3" t="s">
        <v>1408</v>
      </c>
      <c r="D1905" s="3" t="s">
        <v>196</v>
      </c>
      <c r="E1905" s="3" t="s">
        <v>197</v>
      </c>
      <c r="F1905" s="3" t="s">
        <v>27</v>
      </c>
      <c r="G1905" s="3" t="s">
        <v>28</v>
      </c>
      <c r="H1905" s="4">
        <v>46291.652255555557</v>
      </c>
      <c r="I1905" s="4">
        <v>46291.725242129629</v>
      </c>
      <c r="J1905" s="3">
        <f>ROUND((I1905-H1905)*1440,0)</f>
        <v>105</v>
      </c>
      <c r="K1905" s="3" t="s">
        <v>783</v>
      </c>
      <c r="L1905" s="3" t="s">
        <v>77</v>
      </c>
      <c r="M1905" s="3" t="s">
        <v>78</v>
      </c>
      <c r="N1905" s="3" t="s">
        <v>23</v>
      </c>
      <c r="O1905" s="3" t="s">
        <v>784</v>
      </c>
    </row>
    <row r="1906" spans="1:15" hidden="1" x14ac:dyDescent="0.75">
      <c r="A1906" s="2">
        <v>46291</v>
      </c>
      <c r="B1906" s="3" t="s">
        <v>1397</v>
      </c>
      <c r="C1906" s="3" t="s">
        <v>1398</v>
      </c>
      <c r="D1906" s="3" t="s">
        <v>17</v>
      </c>
      <c r="E1906" s="3" t="s">
        <v>18</v>
      </c>
      <c r="F1906" s="3" t="s">
        <v>56</v>
      </c>
      <c r="G1906" s="3" t="s">
        <v>57</v>
      </c>
      <c r="H1906" s="4">
        <v>46291.65244247685</v>
      </c>
      <c r="I1906" s="4">
        <v>46291.747155671299</v>
      </c>
      <c r="J1906" s="3">
        <f>ROUND((I1906-H1906)*1440,0)</f>
        <v>136</v>
      </c>
      <c r="K1906" s="3" t="s">
        <v>1247</v>
      </c>
      <c r="L1906" s="3" t="s">
        <v>22</v>
      </c>
      <c r="M1906" s="3" t="s">
        <v>22</v>
      </c>
      <c r="N1906" s="3" t="s">
        <v>23</v>
      </c>
      <c r="O1906" s="3" t="s">
        <v>1248</v>
      </c>
    </row>
    <row r="1907" spans="1:15" hidden="1" x14ac:dyDescent="0.75">
      <c r="A1907" s="2">
        <v>46291</v>
      </c>
      <c r="B1907" s="3" t="s">
        <v>2384</v>
      </c>
      <c r="C1907" s="3" t="s">
        <v>2385</v>
      </c>
      <c r="D1907" s="3" t="s">
        <v>615</v>
      </c>
      <c r="E1907" s="3" t="s">
        <v>616</v>
      </c>
      <c r="F1907" s="3" t="s">
        <v>27</v>
      </c>
      <c r="G1907" s="3" t="s">
        <v>28</v>
      </c>
      <c r="H1907" s="4">
        <v>46291.6526443287</v>
      </c>
      <c r="I1907" s="4">
        <v>46291.914131365738</v>
      </c>
      <c r="J1907" s="3">
        <f>ROUND((I1907-H1907)*1440,0)</f>
        <v>377</v>
      </c>
      <c r="K1907" s="3" t="s">
        <v>911</v>
      </c>
      <c r="L1907" s="3" t="s">
        <v>36</v>
      </c>
      <c r="M1907" s="3" t="s">
        <v>36</v>
      </c>
      <c r="N1907" s="3" t="s">
        <v>23</v>
      </c>
      <c r="O1907" s="3" t="s">
        <v>912</v>
      </c>
    </row>
    <row r="1908" spans="1:15" hidden="1" x14ac:dyDescent="0.75">
      <c r="A1908" s="2">
        <v>46291</v>
      </c>
      <c r="B1908" s="3" t="s">
        <v>1323</v>
      </c>
      <c r="C1908" s="3" t="s">
        <v>1324</v>
      </c>
      <c r="D1908" s="3" t="s">
        <v>56</v>
      </c>
      <c r="E1908" s="3" t="s">
        <v>57</v>
      </c>
      <c r="F1908" s="3" t="s">
        <v>56</v>
      </c>
      <c r="G1908" s="3" t="s">
        <v>57</v>
      </c>
      <c r="H1908" s="4">
        <v>46291.652719907397</v>
      </c>
      <c r="I1908" s="4">
        <v>46291.874984490743</v>
      </c>
      <c r="J1908" s="3">
        <f>ROUND((I1908-H1908)*1440,0)</f>
        <v>320</v>
      </c>
      <c r="K1908" s="3" t="s">
        <v>252</v>
      </c>
      <c r="L1908" s="3" t="s">
        <v>36</v>
      </c>
      <c r="M1908" s="3" t="s">
        <v>36</v>
      </c>
      <c r="N1908" s="3" t="s">
        <v>23</v>
      </c>
      <c r="O1908" s="3" t="s">
        <v>253</v>
      </c>
    </row>
    <row r="1909" spans="1:15" hidden="1" x14ac:dyDescent="0.75">
      <c r="A1909" s="2">
        <v>46291</v>
      </c>
      <c r="B1909" s="3" t="s">
        <v>1387</v>
      </c>
      <c r="C1909" s="3" t="s">
        <v>1388</v>
      </c>
      <c r="D1909" s="3" t="s">
        <v>17</v>
      </c>
      <c r="E1909" s="3" t="s">
        <v>18</v>
      </c>
      <c r="F1909" s="3" t="s">
        <v>56</v>
      </c>
      <c r="G1909" s="3" t="s">
        <v>57</v>
      </c>
      <c r="H1909" s="4">
        <v>46291.65329328704</v>
      </c>
      <c r="I1909" s="4">
        <v>46291.857026041667</v>
      </c>
      <c r="J1909" s="3">
        <f>ROUND((I1909-H1909)*1440,0)</f>
        <v>293</v>
      </c>
      <c r="K1909" s="3" t="s">
        <v>336</v>
      </c>
      <c r="L1909" s="3" t="s">
        <v>36</v>
      </c>
      <c r="M1909" s="3" t="s">
        <v>36</v>
      </c>
      <c r="N1909" s="3" t="s">
        <v>23</v>
      </c>
      <c r="O1909" s="3" t="s">
        <v>337</v>
      </c>
    </row>
    <row r="1910" spans="1:15" hidden="1" x14ac:dyDescent="0.75">
      <c r="A1910" s="2">
        <v>46291</v>
      </c>
      <c r="B1910" s="3" t="s">
        <v>1433</v>
      </c>
      <c r="C1910" s="3" t="s">
        <v>1434</v>
      </c>
      <c r="D1910" s="3" t="s">
        <v>17</v>
      </c>
      <c r="E1910" s="3" t="s">
        <v>18</v>
      </c>
      <c r="F1910" s="3" t="s">
        <v>719</v>
      </c>
      <c r="G1910" s="3" t="s">
        <v>720</v>
      </c>
      <c r="H1910" s="4">
        <v>46291.653942129633</v>
      </c>
      <c r="I1910" s="4">
        <v>46291.759229629628</v>
      </c>
      <c r="J1910" s="3">
        <f>ROUND((I1910-H1910)*1440,0)</f>
        <v>152</v>
      </c>
      <c r="K1910" s="3" t="s">
        <v>1271</v>
      </c>
      <c r="L1910" s="3" t="s">
        <v>36</v>
      </c>
      <c r="M1910" s="3" t="s">
        <v>36</v>
      </c>
      <c r="N1910" s="3" t="s">
        <v>23</v>
      </c>
      <c r="O1910" s="3" t="s">
        <v>1272</v>
      </c>
    </row>
    <row r="1911" spans="1:15" hidden="1" x14ac:dyDescent="0.75">
      <c r="A1911" s="2">
        <v>46291</v>
      </c>
      <c r="B1911" s="3" t="s">
        <v>1287</v>
      </c>
      <c r="C1911" s="3" t="s">
        <v>1288</v>
      </c>
      <c r="D1911" s="3" t="s">
        <v>68</v>
      </c>
      <c r="E1911" s="3" t="s">
        <v>69</v>
      </c>
      <c r="F1911" s="3" t="s">
        <v>158</v>
      </c>
      <c r="G1911" s="3" t="s">
        <v>159</v>
      </c>
      <c r="H1911" s="4">
        <v>46291.654681365741</v>
      </c>
      <c r="I1911" s="4">
        <v>46291.737643287037</v>
      </c>
      <c r="J1911" s="3">
        <f>ROUND((I1911-H1911)*1440,0)</f>
        <v>119</v>
      </c>
      <c r="K1911" s="3" t="s">
        <v>1735</v>
      </c>
      <c r="L1911" s="3" t="s">
        <v>77</v>
      </c>
      <c r="M1911" s="3" t="s">
        <v>78</v>
      </c>
      <c r="N1911" s="3" t="s">
        <v>23</v>
      </c>
      <c r="O1911" s="3" t="s">
        <v>1736</v>
      </c>
    </row>
    <row r="1912" spans="1:15" hidden="1" x14ac:dyDescent="0.75">
      <c r="A1912" s="2">
        <v>46291</v>
      </c>
      <c r="B1912" s="3" t="s">
        <v>1403</v>
      </c>
      <c r="C1912" s="3" t="s">
        <v>1404</v>
      </c>
      <c r="D1912" s="3" t="s">
        <v>56</v>
      </c>
      <c r="E1912" s="3" t="s">
        <v>57</v>
      </c>
      <c r="F1912" s="3" t="s">
        <v>56</v>
      </c>
      <c r="G1912" s="3" t="s">
        <v>57</v>
      </c>
      <c r="H1912" s="4">
        <v>46291.655358217591</v>
      </c>
      <c r="I1912" s="4">
        <v>46291.891863194447</v>
      </c>
      <c r="J1912" s="3">
        <f>ROUND((I1912-H1912)*1440,0)</f>
        <v>341</v>
      </c>
      <c r="K1912" s="3" t="s">
        <v>813</v>
      </c>
      <c r="L1912" s="3" t="s">
        <v>36</v>
      </c>
      <c r="M1912" s="3" t="s">
        <v>36</v>
      </c>
      <c r="N1912" s="3" t="s">
        <v>23</v>
      </c>
      <c r="O1912" s="3" t="s">
        <v>814</v>
      </c>
    </row>
    <row r="1913" spans="1:15" hidden="1" x14ac:dyDescent="0.75">
      <c r="A1913" s="2">
        <v>46291</v>
      </c>
      <c r="B1913" s="3" t="s">
        <v>1411</v>
      </c>
      <c r="C1913" s="3" t="s">
        <v>1412</v>
      </c>
      <c r="D1913" s="3" t="s">
        <v>27</v>
      </c>
      <c r="E1913" s="3" t="s">
        <v>28</v>
      </c>
      <c r="F1913" s="3" t="s">
        <v>977</v>
      </c>
      <c r="G1913" s="3" t="s">
        <v>978</v>
      </c>
      <c r="H1913" s="4">
        <v>46291.655552430559</v>
      </c>
      <c r="I1913" s="4">
        <v>46291.740043055557</v>
      </c>
      <c r="J1913" s="3">
        <f>ROUND((I1913-H1913)*1440,0)</f>
        <v>122</v>
      </c>
      <c r="K1913" s="3" t="s">
        <v>807</v>
      </c>
      <c r="L1913" s="3" t="s">
        <v>77</v>
      </c>
      <c r="M1913" s="3" t="s">
        <v>78</v>
      </c>
      <c r="N1913" s="3" t="s">
        <v>45</v>
      </c>
      <c r="O1913" s="3" t="s">
        <v>808</v>
      </c>
    </row>
    <row r="1914" spans="1:15" hidden="1" x14ac:dyDescent="0.75">
      <c r="A1914" s="2">
        <v>46291</v>
      </c>
      <c r="B1914" s="3" t="s">
        <v>1495</v>
      </c>
      <c r="C1914" s="3" t="s">
        <v>1496</v>
      </c>
      <c r="D1914" s="3" t="s">
        <v>1005</v>
      </c>
      <c r="E1914" s="3" t="s">
        <v>1006</v>
      </c>
      <c r="F1914" s="3" t="s">
        <v>27</v>
      </c>
      <c r="G1914" s="3" t="s">
        <v>28</v>
      </c>
      <c r="H1914" s="4">
        <v>46291.6557875</v>
      </c>
      <c r="I1914" s="4">
        <v>46291.750516898152</v>
      </c>
      <c r="J1914" s="3">
        <f>ROUND((I1914-H1914)*1440,0)</f>
        <v>136</v>
      </c>
      <c r="K1914" s="3" t="s">
        <v>1229</v>
      </c>
      <c r="L1914" s="3" t="s">
        <v>77</v>
      </c>
      <c r="M1914" s="3" t="s">
        <v>78</v>
      </c>
      <c r="N1914" s="3" t="s">
        <v>23</v>
      </c>
      <c r="O1914" s="3" t="s">
        <v>1230</v>
      </c>
    </row>
    <row r="1915" spans="1:15" hidden="1" x14ac:dyDescent="0.75">
      <c r="A1915" s="2">
        <v>46291</v>
      </c>
      <c r="B1915" s="3" t="s">
        <v>1393</v>
      </c>
      <c r="C1915" s="3" t="s">
        <v>1394</v>
      </c>
      <c r="D1915" s="3" t="s">
        <v>68</v>
      </c>
      <c r="E1915" s="3" t="s">
        <v>69</v>
      </c>
      <c r="F1915" s="3" t="s">
        <v>116</v>
      </c>
      <c r="G1915" s="3" t="s">
        <v>117</v>
      </c>
      <c r="H1915" s="4">
        <v>46291.656381134257</v>
      </c>
      <c r="I1915" s="4">
        <v>46291.758035879633</v>
      </c>
      <c r="J1915" s="3">
        <f>ROUND((I1915-H1915)*1440,0)</f>
        <v>146</v>
      </c>
      <c r="K1915" s="3" t="s">
        <v>406</v>
      </c>
      <c r="L1915" s="3" t="s">
        <v>36</v>
      </c>
      <c r="M1915" s="3" t="s">
        <v>36</v>
      </c>
      <c r="N1915" s="3" t="s">
        <v>45</v>
      </c>
      <c r="O1915" s="3" t="s">
        <v>407</v>
      </c>
    </row>
    <row r="1916" spans="1:15" hidden="1" x14ac:dyDescent="0.75">
      <c r="A1916" s="2">
        <v>46291</v>
      </c>
      <c r="B1916" s="3" t="s">
        <v>2386</v>
      </c>
      <c r="C1916" s="3" t="s">
        <v>2387</v>
      </c>
      <c r="D1916" s="3" t="s">
        <v>17</v>
      </c>
      <c r="E1916" s="3" t="s">
        <v>18</v>
      </c>
      <c r="F1916" s="3"/>
      <c r="G1916" s="3"/>
      <c r="H1916" s="4">
        <v>46291.657387037027</v>
      </c>
      <c r="I1916" s="4">
        <v>46291.999840277778</v>
      </c>
      <c r="J1916" s="3">
        <f>ROUND((I1916-H1916)*1440,0)</f>
        <v>493</v>
      </c>
      <c r="K1916" s="3" t="s">
        <v>883</v>
      </c>
      <c r="L1916" s="3" t="s">
        <v>22</v>
      </c>
      <c r="M1916" s="3" t="s">
        <v>22</v>
      </c>
      <c r="N1916" s="3" t="s">
        <v>2367</v>
      </c>
      <c r="O1916" s="3" t="s">
        <v>884</v>
      </c>
    </row>
    <row r="1917" spans="1:15" hidden="1" x14ac:dyDescent="0.75">
      <c r="A1917" s="2">
        <v>46291</v>
      </c>
      <c r="B1917" s="3" t="s">
        <v>1423</v>
      </c>
      <c r="C1917" s="3" t="s">
        <v>1424</v>
      </c>
      <c r="D1917" s="3" t="s">
        <v>1031</v>
      </c>
      <c r="E1917" s="3" t="s">
        <v>1032</v>
      </c>
      <c r="F1917" s="3" t="s">
        <v>27</v>
      </c>
      <c r="G1917" s="3" t="s">
        <v>28</v>
      </c>
      <c r="H1917" s="4">
        <v>46291.657511805563</v>
      </c>
      <c r="I1917" s="4">
        <v>46291.735517824083</v>
      </c>
      <c r="J1917" s="3">
        <f>ROUND((I1917-H1917)*1440,0)</f>
        <v>112</v>
      </c>
      <c r="K1917" s="3" t="s">
        <v>356</v>
      </c>
      <c r="L1917" s="3" t="s">
        <v>77</v>
      </c>
      <c r="M1917" s="3" t="s">
        <v>78</v>
      </c>
      <c r="N1917" s="3" t="s">
        <v>23</v>
      </c>
      <c r="O1917" s="3" t="s">
        <v>357</v>
      </c>
    </row>
    <row r="1918" spans="1:15" hidden="1" x14ac:dyDescent="0.75">
      <c r="A1918" s="2">
        <v>46291</v>
      </c>
      <c r="B1918" s="3" t="s">
        <v>1507</v>
      </c>
      <c r="C1918" s="3" t="s">
        <v>1508</v>
      </c>
      <c r="D1918" s="3" t="s">
        <v>100</v>
      </c>
      <c r="E1918" s="3" t="s">
        <v>101</v>
      </c>
      <c r="F1918" s="3" t="s">
        <v>27</v>
      </c>
      <c r="G1918" s="3" t="s">
        <v>28</v>
      </c>
      <c r="H1918" s="4">
        <v>46291.658625925927</v>
      </c>
      <c r="I1918" s="4">
        <v>46291.770539583333</v>
      </c>
      <c r="J1918" s="3">
        <f>ROUND((I1918-H1918)*1440,0)</f>
        <v>161</v>
      </c>
      <c r="K1918" s="3" t="s">
        <v>955</v>
      </c>
      <c r="L1918" s="3" t="s">
        <v>77</v>
      </c>
      <c r="M1918" s="3" t="s">
        <v>78</v>
      </c>
      <c r="N1918" s="3" t="s">
        <v>23</v>
      </c>
      <c r="O1918" s="3" t="s">
        <v>956</v>
      </c>
    </row>
    <row r="1919" spans="1:15" hidden="1" x14ac:dyDescent="0.75">
      <c r="A1919" s="2">
        <v>46291</v>
      </c>
      <c r="B1919" s="3" t="s">
        <v>1413</v>
      </c>
      <c r="C1919" s="3" t="s">
        <v>1414</v>
      </c>
      <c r="D1919" s="3" t="s">
        <v>56</v>
      </c>
      <c r="E1919" s="3" t="s">
        <v>57</v>
      </c>
      <c r="F1919" s="3"/>
      <c r="G1919" s="3"/>
      <c r="H1919" s="4">
        <v>46291.658802662037</v>
      </c>
      <c r="I1919" s="4">
        <v>46291.67642210648</v>
      </c>
      <c r="J1919" s="3">
        <f>ROUND((I1919-H1919)*1440,0)</f>
        <v>25</v>
      </c>
      <c r="K1919" s="3" t="s">
        <v>793</v>
      </c>
      <c r="L1919" s="3" t="s">
        <v>77</v>
      </c>
      <c r="M1919" s="3" t="s">
        <v>78</v>
      </c>
      <c r="N1919" s="3" t="s">
        <v>443</v>
      </c>
      <c r="O1919" s="3" t="s">
        <v>794</v>
      </c>
    </row>
    <row r="1920" spans="1:15" hidden="1" x14ac:dyDescent="0.75">
      <c r="A1920" s="2">
        <v>46291</v>
      </c>
      <c r="B1920" s="3" t="s">
        <v>1515</v>
      </c>
      <c r="C1920" s="3" t="s">
        <v>1516</v>
      </c>
      <c r="D1920" s="3" t="s">
        <v>737</v>
      </c>
      <c r="E1920" s="3" t="s">
        <v>738</v>
      </c>
      <c r="F1920" s="3" t="s">
        <v>17</v>
      </c>
      <c r="G1920" s="3" t="s">
        <v>18</v>
      </c>
      <c r="H1920" s="4">
        <v>46291.659124537036</v>
      </c>
      <c r="I1920" s="4">
        <v>46291.702717939806</v>
      </c>
      <c r="J1920" s="3">
        <f>ROUND((I1920-H1920)*1440,0)</f>
        <v>63</v>
      </c>
      <c r="K1920" s="3" t="s">
        <v>2187</v>
      </c>
      <c r="L1920" s="3" t="s">
        <v>77</v>
      </c>
      <c r="M1920" s="3" t="s">
        <v>78</v>
      </c>
      <c r="N1920" s="3" t="s">
        <v>23</v>
      </c>
      <c r="O1920" s="3" t="s">
        <v>2188</v>
      </c>
    </row>
    <row r="1921" spans="1:15" hidden="1" x14ac:dyDescent="0.75">
      <c r="A1921" s="2">
        <v>46291</v>
      </c>
      <c r="B1921" s="3" t="s">
        <v>1373</v>
      </c>
      <c r="C1921" s="3" t="s">
        <v>1374</v>
      </c>
      <c r="D1921" s="3" t="s">
        <v>27</v>
      </c>
      <c r="E1921" s="3" t="s">
        <v>28</v>
      </c>
      <c r="F1921" s="3" t="s">
        <v>1375</v>
      </c>
      <c r="G1921" s="3" t="s">
        <v>1376</v>
      </c>
      <c r="H1921" s="4">
        <v>46291.659339351849</v>
      </c>
      <c r="I1921" s="4">
        <v>46291.726358796303</v>
      </c>
      <c r="J1921" s="3">
        <f>ROUND((I1921-H1921)*1440,0)</f>
        <v>97</v>
      </c>
      <c r="K1921" s="3" t="s">
        <v>1911</v>
      </c>
      <c r="L1921" s="3" t="s">
        <v>77</v>
      </c>
      <c r="M1921" s="3" t="s">
        <v>78</v>
      </c>
      <c r="N1921" s="3" t="s">
        <v>45</v>
      </c>
      <c r="O1921" s="3" t="s">
        <v>1912</v>
      </c>
    </row>
    <row r="1922" spans="1:15" hidden="1" x14ac:dyDescent="0.75">
      <c r="A1922" s="2">
        <v>46291</v>
      </c>
      <c r="B1922" s="3" t="s">
        <v>1419</v>
      </c>
      <c r="C1922" s="3" t="s">
        <v>1420</v>
      </c>
      <c r="D1922" s="3" t="s">
        <v>56</v>
      </c>
      <c r="E1922" s="3" t="s">
        <v>57</v>
      </c>
      <c r="F1922" s="3" t="s">
        <v>148</v>
      </c>
      <c r="G1922" s="3" t="s">
        <v>149</v>
      </c>
      <c r="H1922" s="4">
        <v>46291.659734375004</v>
      </c>
      <c r="I1922" s="4">
        <v>46291.76740138889</v>
      </c>
      <c r="J1922" s="3">
        <f>ROUND((I1922-H1922)*1440,0)</f>
        <v>155</v>
      </c>
      <c r="K1922" s="3" t="s">
        <v>981</v>
      </c>
      <c r="L1922" s="3" t="s">
        <v>36</v>
      </c>
      <c r="M1922" s="3" t="s">
        <v>36</v>
      </c>
      <c r="N1922" s="3" t="s">
        <v>23</v>
      </c>
      <c r="O1922" s="3" t="s">
        <v>982</v>
      </c>
    </row>
    <row r="1923" spans="1:15" hidden="1" x14ac:dyDescent="0.75">
      <c r="A1923" s="2">
        <v>46291</v>
      </c>
      <c r="B1923" s="3" t="s">
        <v>1953</v>
      </c>
      <c r="C1923" s="3" t="s">
        <v>1954</v>
      </c>
      <c r="D1923" s="3" t="s">
        <v>56</v>
      </c>
      <c r="E1923" s="3" t="s">
        <v>57</v>
      </c>
      <c r="F1923" s="3" t="s">
        <v>17</v>
      </c>
      <c r="G1923" s="3" t="s">
        <v>18</v>
      </c>
      <c r="H1923" s="4">
        <v>46291.660707060182</v>
      </c>
      <c r="I1923" s="4">
        <v>46291.968658217593</v>
      </c>
      <c r="J1923" s="3">
        <f>ROUND((I1923-H1923)*1440,0)</f>
        <v>443</v>
      </c>
      <c r="K1923" s="3" t="s">
        <v>1261</v>
      </c>
      <c r="L1923" s="3" t="s">
        <v>77</v>
      </c>
      <c r="M1923" s="3" t="s">
        <v>78</v>
      </c>
      <c r="N1923" s="3" t="s">
        <v>23</v>
      </c>
      <c r="O1923" s="3" t="s">
        <v>1262</v>
      </c>
    </row>
    <row r="1924" spans="1:15" hidden="1" x14ac:dyDescent="0.75">
      <c r="A1924" s="2">
        <v>46291</v>
      </c>
      <c r="B1924" s="3" t="s">
        <v>1409</v>
      </c>
      <c r="C1924" s="3" t="s">
        <v>1410</v>
      </c>
      <c r="D1924" s="3" t="s">
        <v>27</v>
      </c>
      <c r="E1924" s="3" t="s">
        <v>28</v>
      </c>
      <c r="F1924" s="3" t="s">
        <v>94</v>
      </c>
      <c r="G1924" s="3" t="s">
        <v>95</v>
      </c>
      <c r="H1924" s="4">
        <v>46291.661036226848</v>
      </c>
      <c r="I1924" s="4">
        <v>46291.725438657413</v>
      </c>
      <c r="J1924" s="3">
        <f>ROUND((I1924-H1924)*1440,0)</f>
        <v>93</v>
      </c>
      <c r="K1924" s="3" t="s">
        <v>1505</v>
      </c>
      <c r="L1924" s="3" t="s">
        <v>36</v>
      </c>
      <c r="M1924" s="3" t="s">
        <v>36</v>
      </c>
      <c r="N1924" s="3" t="s">
        <v>23</v>
      </c>
      <c r="O1924" s="3" t="s">
        <v>1506</v>
      </c>
    </row>
    <row r="1925" spans="1:15" hidden="1" x14ac:dyDescent="0.75">
      <c r="A1925" s="2">
        <v>46291</v>
      </c>
      <c r="B1925" s="3" t="s">
        <v>1401</v>
      </c>
      <c r="C1925" s="3" t="s">
        <v>1402</v>
      </c>
      <c r="D1925" s="3" t="s">
        <v>82</v>
      </c>
      <c r="E1925" s="3" t="s">
        <v>83</v>
      </c>
      <c r="F1925" s="3" t="s">
        <v>84</v>
      </c>
      <c r="G1925" s="3" t="s">
        <v>85</v>
      </c>
      <c r="H1925" s="4">
        <v>46291.661101273137</v>
      </c>
      <c r="I1925" s="4">
        <v>46291.754453240741</v>
      </c>
      <c r="J1925" s="3">
        <f>ROUND((I1925-H1925)*1440,0)</f>
        <v>134</v>
      </c>
      <c r="K1925" s="3" t="s">
        <v>310</v>
      </c>
      <c r="L1925" s="3" t="s">
        <v>36</v>
      </c>
      <c r="M1925" s="3" t="s">
        <v>36</v>
      </c>
      <c r="N1925" s="3" t="s">
        <v>45</v>
      </c>
      <c r="O1925" s="3" t="s">
        <v>311</v>
      </c>
    </row>
    <row r="1926" spans="1:15" hidden="1" x14ac:dyDescent="0.75">
      <c r="A1926" s="2">
        <v>46291</v>
      </c>
      <c r="B1926" s="3" t="s">
        <v>1391</v>
      </c>
      <c r="C1926" s="3" t="s">
        <v>1392</v>
      </c>
      <c r="D1926" s="3" t="s">
        <v>56</v>
      </c>
      <c r="E1926" s="3" t="s">
        <v>57</v>
      </c>
      <c r="F1926" s="3" t="s">
        <v>17</v>
      </c>
      <c r="G1926" s="3" t="s">
        <v>18</v>
      </c>
      <c r="H1926" s="4">
        <v>46291.66343148148</v>
      </c>
      <c r="I1926" s="4">
        <v>46291.934830902777</v>
      </c>
      <c r="J1926" s="3">
        <f>ROUND((I1926-H1926)*1440,0)</f>
        <v>391</v>
      </c>
      <c r="K1926" s="3" t="s">
        <v>272</v>
      </c>
      <c r="L1926" s="3" t="s">
        <v>36</v>
      </c>
      <c r="M1926" s="3" t="s">
        <v>36</v>
      </c>
      <c r="N1926" s="3" t="s">
        <v>23</v>
      </c>
      <c r="O1926" s="3" t="s">
        <v>273</v>
      </c>
    </row>
    <row r="1927" spans="1:15" hidden="1" x14ac:dyDescent="0.75">
      <c r="A1927" s="2">
        <v>46291</v>
      </c>
      <c r="B1927" s="3" t="s">
        <v>1445</v>
      </c>
      <c r="C1927" s="3" t="s">
        <v>1446</v>
      </c>
      <c r="D1927" s="3" t="s">
        <v>56</v>
      </c>
      <c r="E1927" s="3" t="s">
        <v>57</v>
      </c>
      <c r="F1927" s="3" t="s">
        <v>615</v>
      </c>
      <c r="G1927" s="3" t="s">
        <v>616</v>
      </c>
      <c r="H1927" s="4">
        <v>46291.66495046296</v>
      </c>
      <c r="I1927" s="4">
        <v>46291.969666319441</v>
      </c>
      <c r="J1927" s="3">
        <f>ROUND((I1927-H1927)*1440,0)</f>
        <v>439</v>
      </c>
      <c r="K1927" s="3" t="s">
        <v>438</v>
      </c>
      <c r="L1927" s="3" t="s">
        <v>36</v>
      </c>
      <c r="M1927" s="3" t="s">
        <v>36</v>
      </c>
      <c r="N1927" s="3" t="s">
        <v>45</v>
      </c>
      <c r="O1927" s="3" t="s">
        <v>439</v>
      </c>
    </row>
    <row r="1928" spans="1:15" hidden="1" x14ac:dyDescent="0.75">
      <c r="A1928" s="2">
        <v>46291</v>
      </c>
      <c r="B1928" s="3" t="s">
        <v>1509</v>
      </c>
      <c r="C1928" s="3" t="s">
        <v>1510</v>
      </c>
      <c r="D1928" s="3" t="s">
        <v>270</v>
      </c>
      <c r="E1928" s="3" t="s">
        <v>271</v>
      </c>
      <c r="F1928" s="3" t="s">
        <v>27</v>
      </c>
      <c r="G1928" s="3" t="s">
        <v>28</v>
      </c>
      <c r="H1928" s="4">
        <v>46291.668545717592</v>
      </c>
      <c r="I1928" s="4">
        <v>46291.820646990738</v>
      </c>
      <c r="J1928" s="3">
        <f>ROUND((I1928-H1928)*1440,0)</f>
        <v>219</v>
      </c>
      <c r="K1928" s="3" t="s">
        <v>1089</v>
      </c>
      <c r="L1928" s="3" t="s">
        <v>36</v>
      </c>
      <c r="M1928" s="3" t="s">
        <v>36</v>
      </c>
      <c r="N1928" s="3" t="s">
        <v>23</v>
      </c>
      <c r="O1928" s="3" t="s">
        <v>1090</v>
      </c>
    </row>
    <row r="1929" spans="1:15" hidden="1" x14ac:dyDescent="0.75">
      <c r="A1929" s="2">
        <v>46291</v>
      </c>
      <c r="B1929" s="3" t="s">
        <v>1383</v>
      </c>
      <c r="C1929" s="3" t="s">
        <v>1384</v>
      </c>
      <c r="D1929" s="3" t="s">
        <v>106</v>
      </c>
      <c r="E1929" s="3" t="s">
        <v>107</v>
      </c>
      <c r="F1929" s="3" t="s">
        <v>17</v>
      </c>
      <c r="G1929" s="3" t="s">
        <v>18</v>
      </c>
      <c r="H1929" s="4">
        <v>46291.669435069452</v>
      </c>
      <c r="I1929" s="4">
        <v>46291.749481250001</v>
      </c>
      <c r="J1929" s="3">
        <f>ROUND((I1929-H1929)*1440,0)</f>
        <v>115</v>
      </c>
      <c r="K1929" s="3" t="s">
        <v>629</v>
      </c>
      <c r="L1929" s="3" t="s">
        <v>77</v>
      </c>
      <c r="M1929" s="3" t="s">
        <v>78</v>
      </c>
      <c r="N1929" s="3" t="s">
        <v>23</v>
      </c>
      <c r="O1929" s="3" t="s">
        <v>630</v>
      </c>
    </row>
    <row r="1930" spans="1:15" hidden="1" x14ac:dyDescent="0.75">
      <c r="A1930" s="2">
        <v>46291</v>
      </c>
      <c r="B1930" s="3" t="s">
        <v>1417</v>
      </c>
      <c r="C1930" s="3" t="s">
        <v>1418</v>
      </c>
      <c r="D1930" s="3" t="s">
        <v>56</v>
      </c>
      <c r="E1930" s="3" t="s">
        <v>57</v>
      </c>
      <c r="F1930" s="3" t="s">
        <v>19</v>
      </c>
      <c r="G1930" s="3" t="s">
        <v>20</v>
      </c>
      <c r="H1930" s="4">
        <v>46291.669546064812</v>
      </c>
      <c r="I1930" s="4">
        <v>46291.695482060182</v>
      </c>
      <c r="J1930" s="3">
        <f>ROUND((I1930-H1930)*1440,0)</f>
        <v>37</v>
      </c>
      <c r="K1930" s="3" t="s">
        <v>887</v>
      </c>
      <c r="L1930" s="3" t="s">
        <v>36</v>
      </c>
      <c r="M1930" s="3" t="s">
        <v>36</v>
      </c>
      <c r="N1930" s="3" t="s">
        <v>23</v>
      </c>
      <c r="O1930" s="3" t="s">
        <v>888</v>
      </c>
    </row>
    <row r="1931" spans="1:15" hidden="1" x14ac:dyDescent="0.75">
      <c r="A1931" s="2">
        <v>46291</v>
      </c>
      <c r="B1931" s="3" t="s">
        <v>1447</v>
      </c>
      <c r="C1931" s="3" t="s">
        <v>1448</v>
      </c>
      <c r="D1931" s="3" t="s">
        <v>158</v>
      </c>
      <c r="E1931" s="3" t="s">
        <v>159</v>
      </c>
      <c r="F1931" s="3" t="s">
        <v>82</v>
      </c>
      <c r="G1931" s="3" t="s">
        <v>83</v>
      </c>
      <c r="H1931" s="4">
        <v>46291.669595833337</v>
      </c>
      <c r="I1931" s="4">
        <v>46291.739607754629</v>
      </c>
      <c r="J1931" s="3">
        <f>ROUND((I1931-H1931)*1440,0)</f>
        <v>101</v>
      </c>
      <c r="K1931" s="3" t="s">
        <v>489</v>
      </c>
      <c r="L1931" s="3" t="s">
        <v>36</v>
      </c>
      <c r="M1931" s="3" t="s">
        <v>36</v>
      </c>
      <c r="N1931" s="3" t="s">
        <v>23</v>
      </c>
      <c r="O1931" s="3" t="s">
        <v>490</v>
      </c>
    </row>
    <row r="1932" spans="1:15" hidden="1" x14ac:dyDescent="0.75">
      <c r="A1932" s="2">
        <v>46291</v>
      </c>
      <c r="B1932" s="3" t="s">
        <v>1451</v>
      </c>
      <c r="C1932" s="3" t="s">
        <v>1452</v>
      </c>
      <c r="D1932" s="3" t="s">
        <v>56</v>
      </c>
      <c r="E1932" s="3" t="s">
        <v>57</v>
      </c>
      <c r="F1932" s="3" t="s">
        <v>106</v>
      </c>
      <c r="G1932" s="3" t="s">
        <v>107</v>
      </c>
      <c r="H1932" s="4">
        <v>46291.672152777777</v>
      </c>
      <c r="I1932" s="4">
        <v>46291.750307407397</v>
      </c>
      <c r="J1932" s="3">
        <f>ROUND((I1932-H1932)*1440,0)</f>
        <v>113</v>
      </c>
      <c r="K1932" s="3" t="s">
        <v>1363</v>
      </c>
      <c r="L1932" s="3" t="s">
        <v>36</v>
      </c>
      <c r="M1932" s="3" t="s">
        <v>36</v>
      </c>
      <c r="N1932" s="3" t="s">
        <v>23</v>
      </c>
      <c r="O1932" s="3" t="s">
        <v>1364</v>
      </c>
    </row>
    <row r="1933" spans="1:15" hidden="1" x14ac:dyDescent="0.75">
      <c r="A1933" s="2">
        <v>46291</v>
      </c>
      <c r="B1933" s="3" t="s">
        <v>1421</v>
      </c>
      <c r="C1933" s="3" t="s">
        <v>1422</v>
      </c>
      <c r="D1933" s="3" t="s">
        <v>49</v>
      </c>
      <c r="E1933" s="3" t="s">
        <v>50</v>
      </c>
      <c r="F1933" s="3" t="s">
        <v>615</v>
      </c>
      <c r="G1933" s="3" t="s">
        <v>616</v>
      </c>
      <c r="H1933" s="4">
        <v>46291.672635648138</v>
      </c>
      <c r="I1933" s="4">
        <v>46291.827835300923</v>
      </c>
      <c r="J1933" s="3">
        <f>ROUND((I1933-H1933)*1440,0)</f>
        <v>223</v>
      </c>
      <c r="K1933" s="3" t="s">
        <v>935</v>
      </c>
      <c r="L1933" s="3" t="s">
        <v>36</v>
      </c>
      <c r="M1933" s="3" t="s">
        <v>36</v>
      </c>
      <c r="N1933" s="3" t="s">
        <v>45</v>
      </c>
      <c r="O1933" s="3" t="s">
        <v>936</v>
      </c>
    </row>
    <row r="1934" spans="1:15" hidden="1" x14ac:dyDescent="0.75">
      <c r="A1934" s="2">
        <v>46291</v>
      </c>
      <c r="B1934" s="3" t="s">
        <v>1579</v>
      </c>
      <c r="C1934" s="3" t="s">
        <v>1580</v>
      </c>
      <c r="D1934" s="3" t="s">
        <v>68</v>
      </c>
      <c r="E1934" s="3" t="s">
        <v>69</v>
      </c>
      <c r="F1934" s="3" t="s">
        <v>27</v>
      </c>
      <c r="G1934" s="3" t="s">
        <v>28</v>
      </c>
      <c r="H1934" s="4">
        <v>46291.672931944442</v>
      </c>
      <c r="I1934" s="4">
        <v>46291.795376041657</v>
      </c>
      <c r="J1934" s="3">
        <f>ROUND((I1934-H1934)*1440,0)</f>
        <v>176</v>
      </c>
      <c r="K1934" s="3" t="s">
        <v>573</v>
      </c>
      <c r="L1934" s="3" t="s">
        <v>22</v>
      </c>
      <c r="M1934" s="3" t="s">
        <v>22</v>
      </c>
      <c r="N1934" s="3" t="s">
        <v>23</v>
      </c>
      <c r="O1934" s="3" t="s">
        <v>574</v>
      </c>
    </row>
    <row r="1935" spans="1:15" hidden="1" x14ac:dyDescent="0.75">
      <c r="A1935" s="2">
        <v>46291</v>
      </c>
      <c r="B1935" s="3" t="s">
        <v>1439</v>
      </c>
      <c r="C1935" s="3" t="s">
        <v>1440</v>
      </c>
      <c r="D1935" s="3" t="s">
        <v>56</v>
      </c>
      <c r="E1935" s="3" t="s">
        <v>57</v>
      </c>
      <c r="F1935" s="3"/>
      <c r="G1935" s="3"/>
      <c r="H1935" s="4">
        <v>46291.673927199066</v>
      </c>
      <c r="I1935" s="4">
        <v>46291.735751157408</v>
      </c>
      <c r="J1935" s="3">
        <f>ROUND((I1935-H1935)*1440,0)</f>
        <v>89</v>
      </c>
      <c r="K1935" s="3" t="s">
        <v>1441</v>
      </c>
      <c r="L1935" s="3" t="s">
        <v>43</v>
      </c>
      <c r="M1935" s="3" t="s">
        <v>44</v>
      </c>
      <c r="N1935" s="3" t="s">
        <v>443</v>
      </c>
      <c r="O1935" s="3" t="s">
        <v>1442</v>
      </c>
    </row>
    <row r="1936" spans="1:15" hidden="1" x14ac:dyDescent="0.75">
      <c r="A1936" s="2">
        <v>46291</v>
      </c>
      <c r="B1936" s="3" t="s">
        <v>1443</v>
      </c>
      <c r="C1936" s="3" t="s">
        <v>1444</v>
      </c>
      <c r="D1936" s="3" t="s">
        <v>56</v>
      </c>
      <c r="E1936" s="3" t="s">
        <v>57</v>
      </c>
      <c r="F1936" s="3" t="s">
        <v>320</v>
      </c>
      <c r="G1936" s="3" t="s">
        <v>321</v>
      </c>
      <c r="H1936" s="4">
        <v>46291.676922106482</v>
      </c>
      <c r="I1936" s="4">
        <v>46291.741934143523</v>
      </c>
      <c r="J1936" s="3">
        <f>ROUND((I1936-H1936)*1440,0)</f>
        <v>94</v>
      </c>
      <c r="K1936" s="3" t="s">
        <v>2273</v>
      </c>
      <c r="L1936" s="3" t="s">
        <v>36</v>
      </c>
      <c r="M1936" s="3" t="s">
        <v>36</v>
      </c>
      <c r="N1936" s="3" t="s">
        <v>23</v>
      </c>
      <c r="O1936" s="3" t="s">
        <v>2274</v>
      </c>
    </row>
    <row r="1937" spans="1:15" hidden="1" x14ac:dyDescent="0.75">
      <c r="A1937" s="2">
        <v>46291</v>
      </c>
      <c r="B1937" s="3" t="s">
        <v>781</v>
      </c>
      <c r="C1937" s="3" t="s">
        <v>782</v>
      </c>
      <c r="D1937" s="3" t="s">
        <v>17</v>
      </c>
      <c r="E1937" s="3" t="s">
        <v>18</v>
      </c>
      <c r="F1937" s="3"/>
      <c r="G1937" s="3"/>
      <c r="H1937" s="4">
        <v>46291.677259722223</v>
      </c>
      <c r="I1937" s="4">
        <v>46291.753598263887</v>
      </c>
      <c r="J1937" s="3">
        <f>ROUND((I1937-H1937)*1440,0)</f>
        <v>110</v>
      </c>
      <c r="K1937" s="3" t="s">
        <v>2313</v>
      </c>
      <c r="L1937" s="3" t="s">
        <v>77</v>
      </c>
      <c r="M1937" s="3" t="s">
        <v>78</v>
      </c>
      <c r="N1937" s="3" t="s">
        <v>45</v>
      </c>
      <c r="O1937" s="3" t="s">
        <v>2314</v>
      </c>
    </row>
    <row r="1938" spans="1:15" hidden="1" x14ac:dyDescent="0.75">
      <c r="A1938" s="2">
        <v>46291</v>
      </c>
      <c r="B1938" s="3" t="s">
        <v>1457</v>
      </c>
      <c r="C1938" s="3" t="s">
        <v>1458</v>
      </c>
      <c r="D1938" s="3" t="s">
        <v>17</v>
      </c>
      <c r="E1938" s="3" t="s">
        <v>18</v>
      </c>
      <c r="F1938" s="3" t="s">
        <v>264</v>
      </c>
      <c r="G1938" s="3" t="s">
        <v>265</v>
      </c>
      <c r="H1938" s="4">
        <v>46291.679464236113</v>
      </c>
      <c r="I1938" s="4">
        <v>46291.879722337973</v>
      </c>
      <c r="J1938" s="3">
        <f>ROUND((I1938-H1938)*1440,0)</f>
        <v>288</v>
      </c>
      <c r="K1938" s="3" t="s">
        <v>124</v>
      </c>
      <c r="L1938" s="3" t="s">
        <v>22</v>
      </c>
      <c r="M1938" s="3" t="s">
        <v>22</v>
      </c>
      <c r="N1938" s="3" t="s">
        <v>23</v>
      </c>
      <c r="O1938" s="3" t="s">
        <v>125</v>
      </c>
    </row>
    <row r="1939" spans="1:15" hidden="1" x14ac:dyDescent="0.75">
      <c r="A1939" s="2">
        <v>46291</v>
      </c>
      <c r="B1939" s="3" t="s">
        <v>1455</v>
      </c>
      <c r="C1939" s="3" t="s">
        <v>1456</v>
      </c>
      <c r="D1939" s="3" t="s">
        <v>17</v>
      </c>
      <c r="E1939" s="3" t="s">
        <v>18</v>
      </c>
      <c r="F1939" s="3" t="s">
        <v>1113</v>
      </c>
      <c r="G1939" s="3" t="s">
        <v>1114</v>
      </c>
      <c r="H1939" s="4">
        <v>46291.680736342591</v>
      </c>
      <c r="I1939" s="4">
        <v>46291.82667962963</v>
      </c>
      <c r="J1939" s="3">
        <f>ROUND((I1939-H1939)*1440,0)</f>
        <v>210</v>
      </c>
      <c r="K1939" s="3" t="s">
        <v>296</v>
      </c>
      <c r="L1939" s="3" t="s">
        <v>77</v>
      </c>
      <c r="M1939" s="3" t="s">
        <v>78</v>
      </c>
      <c r="N1939" s="3" t="s">
        <v>23</v>
      </c>
      <c r="O1939" s="3" t="s">
        <v>297</v>
      </c>
    </row>
    <row r="1940" spans="1:15" hidden="1" x14ac:dyDescent="0.75">
      <c r="A1940" s="2">
        <v>46291</v>
      </c>
      <c r="B1940" s="3" t="s">
        <v>1449</v>
      </c>
      <c r="C1940" s="3" t="s">
        <v>1450</v>
      </c>
      <c r="D1940" s="3"/>
      <c r="E1940" s="3"/>
      <c r="F1940" s="3"/>
      <c r="G1940" s="3"/>
      <c r="H1940" s="4">
        <v>46291.680871643519</v>
      </c>
      <c r="I1940" s="4">
        <v>46291.681618518523</v>
      </c>
      <c r="J1940" s="3">
        <f>ROUND((I1940-H1940)*1440,0)</f>
        <v>1</v>
      </c>
      <c r="K1940" s="3" t="s">
        <v>240</v>
      </c>
      <c r="L1940" s="3" t="s">
        <v>52</v>
      </c>
      <c r="M1940" s="3"/>
      <c r="N1940" s="3" t="s">
        <v>23</v>
      </c>
      <c r="O1940" s="3" t="s">
        <v>241</v>
      </c>
    </row>
    <row r="1941" spans="1:15" hidden="1" x14ac:dyDescent="0.75">
      <c r="A1941" s="2">
        <v>46291</v>
      </c>
      <c r="B1941" s="3" t="s">
        <v>1449</v>
      </c>
      <c r="C1941" s="3" t="s">
        <v>1450</v>
      </c>
      <c r="D1941" s="3"/>
      <c r="E1941" s="3"/>
      <c r="F1941" s="3" t="s">
        <v>2388</v>
      </c>
      <c r="G1941" s="3" t="s">
        <v>2389</v>
      </c>
      <c r="H1941" s="4">
        <v>46291.681620601848</v>
      </c>
      <c r="I1941" s="4">
        <v>46291.682080902778</v>
      </c>
      <c r="J1941" s="3">
        <f>ROUND((I1941-H1941)*1440,0)</f>
        <v>1</v>
      </c>
      <c r="K1941" s="3" t="s">
        <v>240</v>
      </c>
      <c r="L1941" s="3" t="s">
        <v>52</v>
      </c>
      <c r="M1941" s="3"/>
      <c r="N1941" s="3" t="s">
        <v>23</v>
      </c>
      <c r="O1941" s="3" t="s">
        <v>241</v>
      </c>
    </row>
    <row r="1942" spans="1:15" hidden="1" x14ac:dyDescent="0.75">
      <c r="A1942" s="2">
        <v>46291</v>
      </c>
      <c r="B1942" s="3" t="s">
        <v>1449</v>
      </c>
      <c r="C1942" s="3" t="s">
        <v>1450</v>
      </c>
      <c r="D1942" s="3" t="s">
        <v>2388</v>
      </c>
      <c r="E1942" s="3" t="s">
        <v>2389</v>
      </c>
      <c r="F1942" s="3"/>
      <c r="G1942" s="3"/>
      <c r="H1942" s="4">
        <v>46291.68208136574</v>
      </c>
      <c r="I1942" s="4">
        <v>46291.684174884263</v>
      </c>
      <c r="J1942" s="3">
        <f>ROUND((I1942-H1942)*1440,0)</f>
        <v>3</v>
      </c>
      <c r="K1942" s="3" t="s">
        <v>240</v>
      </c>
      <c r="L1942" s="3" t="s">
        <v>52</v>
      </c>
      <c r="M1942" s="3"/>
      <c r="N1942" s="3" t="s">
        <v>23</v>
      </c>
      <c r="O1942" s="3" t="s">
        <v>241</v>
      </c>
    </row>
    <row r="1943" spans="1:15" hidden="1" x14ac:dyDescent="0.75">
      <c r="A1943" s="2">
        <v>46291</v>
      </c>
      <c r="B1943" s="3" t="s">
        <v>1449</v>
      </c>
      <c r="C1943" s="3" t="s">
        <v>1450</v>
      </c>
      <c r="D1943" s="3"/>
      <c r="E1943" s="3"/>
      <c r="F1943" s="3"/>
      <c r="G1943" s="3"/>
      <c r="H1943" s="4">
        <v>46291.684178009258</v>
      </c>
      <c r="I1943" s="4">
        <v>46291.685151620368</v>
      </c>
      <c r="J1943" s="3">
        <f>ROUND((I1943-H1943)*1440,0)</f>
        <v>1</v>
      </c>
      <c r="K1943" s="3" t="s">
        <v>240</v>
      </c>
      <c r="L1943" s="3" t="s">
        <v>52</v>
      </c>
      <c r="M1943" s="3"/>
      <c r="N1943" s="3" t="s">
        <v>23</v>
      </c>
      <c r="O1943" s="3" t="s">
        <v>241</v>
      </c>
    </row>
    <row r="1944" spans="1:15" hidden="1" x14ac:dyDescent="0.75">
      <c r="A1944" s="2">
        <v>46291</v>
      </c>
      <c r="B1944" s="3" t="s">
        <v>1449</v>
      </c>
      <c r="C1944" s="3" t="s">
        <v>1450</v>
      </c>
      <c r="D1944" s="3"/>
      <c r="E1944" s="3"/>
      <c r="F1944" s="3"/>
      <c r="G1944" s="3"/>
      <c r="H1944" s="4">
        <v>46291.685152777784</v>
      </c>
      <c r="I1944" s="4">
        <v>46291.685622337973</v>
      </c>
      <c r="J1944" s="3">
        <f>ROUND((I1944-H1944)*1440,0)</f>
        <v>1</v>
      </c>
      <c r="K1944" s="3" t="s">
        <v>240</v>
      </c>
      <c r="L1944" s="3" t="s">
        <v>52</v>
      </c>
      <c r="M1944" s="3"/>
      <c r="N1944" s="3" t="s">
        <v>23</v>
      </c>
      <c r="O1944" s="3" t="s">
        <v>241</v>
      </c>
    </row>
    <row r="1945" spans="1:15" hidden="1" x14ac:dyDescent="0.75">
      <c r="A1945" s="2">
        <v>46291</v>
      </c>
      <c r="B1945" s="3" t="s">
        <v>1473</v>
      </c>
      <c r="C1945" s="3" t="s">
        <v>1474</v>
      </c>
      <c r="D1945" s="3" t="s">
        <v>56</v>
      </c>
      <c r="E1945" s="3" t="s">
        <v>57</v>
      </c>
      <c r="F1945" s="3" t="s">
        <v>208</v>
      </c>
      <c r="G1945" s="3" t="s">
        <v>209</v>
      </c>
      <c r="H1945" s="4">
        <v>46291.685615509261</v>
      </c>
      <c r="I1945" s="4">
        <v>46291.79290763889</v>
      </c>
      <c r="J1945" s="3">
        <f>ROUND((I1945-H1945)*1440,0)</f>
        <v>155</v>
      </c>
      <c r="K1945" s="3" t="s">
        <v>442</v>
      </c>
      <c r="L1945" s="3" t="s">
        <v>36</v>
      </c>
      <c r="M1945" s="3" t="s">
        <v>36</v>
      </c>
      <c r="N1945" s="3" t="s">
        <v>23</v>
      </c>
      <c r="O1945" s="3" t="s">
        <v>444</v>
      </c>
    </row>
    <row r="1946" spans="1:15" hidden="1" x14ac:dyDescent="0.75">
      <c r="A1946" s="2">
        <v>46291</v>
      </c>
      <c r="B1946" s="3" t="s">
        <v>1449</v>
      </c>
      <c r="C1946" s="3" t="s">
        <v>1450</v>
      </c>
      <c r="D1946" s="3"/>
      <c r="E1946" s="3"/>
      <c r="F1946" s="3"/>
      <c r="G1946" s="3"/>
      <c r="H1946" s="4">
        <v>46291.685623726851</v>
      </c>
      <c r="I1946" s="4">
        <v>46291.686437615739</v>
      </c>
      <c r="J1946" s="3">
        <f>ROUND((I1946-H1946)*1440,0)</f>
        <v>1</v>
      </c>
      <c r="K1946" s="3" t="s">
        <v>240</v>
      </c>
      <c r="L1946" s="3" t="s">
        <v>52</v>
      </c>
      <c r="M1946" s="3"/>
      <c r="N1946" s="3" t="s">
        <v>23</v>
      </c>
      <c r="O1946" s="3" t="s">
        <v>241</v>
      </c>
    </row>
    <row r="1947" spans="1:15" x14ac:dyDescent="0.75">
      <c r="A1947" s="13">
        <v>46291</v>
      </c>
      <c r="B1947" s="14" t="s">
        <v>1491</v>
      </c>
      <c r="C1947" s="14" t="s">
        <v>1492</v>
      </c>
      <c r="D1947" s="14" t="s">
        <v>17</v>
      </c>
      <c r="E1947" s="14" t="s">
        <v>18</v>
      </c>
      <c r="F1947" s="14" t="s">
        <v>82</v>
      </c>
      <c r="G1947" s="14" t="s">
        <v>83</v>
      </c>
      <c r="H1947" s="15">
        <v>46291.685973263891</v>
      </c>
      <c r="I1947" s="15">
        <v>46291.772656597219</v>
      </c>
      <c r="J1947" s="14">
        <f>ROUND((I1947-H1947)*1440,0)</f>
        <v>125</v>
      </c>
      <c r="K1947" s="14" t="s">
        <v>1399</v>
      </c>
      <c r="L1947" s="14" t="s">
        <v>43</v>
      </c>
      <c r="M1947" s="14" t="s">
        <v>44</v>
      </c>
      <c r="N1947" s="14" t="s">
        <v>23</v>
      </c>
      <c r="O1947" s="14" t="s">
        <v>1400</v>
      </c>
    </row>
    <row r="1948" spans="1:15" hidden="1" x14ac:dyDescent="0.75">
      <c r="A1948" s="2">
        <v>46291</v>
      </c>
      <c r="B1948" s="3" t="s">
        <v>1449</v>
      </c>
      <c r="C1948" s="3" t="s">
        <v>1450</v>
      </c>
      <c r="D1948" s="3"/>
      <c r="E1948" s="3"/>
      <c r="F1948" s="3"/>
      <c r="G1948" s="3"/>
      <c r="H1948" s="4">
        <v>46291.686437962962</v>
      </c>
      <c r="I1948" s="4">
        <v>46291.687884375002</v>
      </c>
      <c r="J1948" s="3">
        <f>ROUND((I1948-H1948)*1440,0)</f>
        <v>2</v>
      </c>
      <c r="K1948" s="3" t="s">
        <v>240</v>
      </c>
      <c r="L1948" s="3" t="s">
        <v>52</v>
      </c>
      <c r="M1948" s="3"/>
      <c r="N1948" s="3" t="s">
        <v>23</v>
      </c>
      <c r="O1948" s="3" t="s">
        <v>241</v>
      </c>
    </row>
    <row r="1949" spans="1:15" hidden="1" x14ac:dyDescent="0.75">
      <c r="A1949" s="2">
        <v>46291</v>
      </c>
      <c r="B1949" s="3" t="s">
        <v>1479</v>
      </c>
      <c r="C1949" s="3" t="s">
        <v>1480</v>
      </c>
      <c r="D1949" s="3" t="s">
        <v>17</v>
      </c>
      <c r="E1949" s="3" t="s">
        <v>18</v>
      </c>
      <c r="F1949" s="3" t="s">
        <v>615</v>
      </c>
      <c r="G1949" s="3" t="s">
        <v>616</v>
      </c>
      <c r="H1949" s="4">
        <v>46291.686690162038</v>
      </c>
      <c r="I1949" s="4">
        <v>46291.845790740743</v>
      </c>
      <c r="J1949" s="3">
        <f>ROUND((I1949-H1949)*1440,0)</f>
        <v>229</v>
      </c>
      <c r="K1949" s="3" t="s">
        <v>1233</v>
      </c>
      <c r="L1949" s="3" t="s">
        <v>22</v>
      </c>
      <c r="M1949" s="3" t="s">
        <v>22</v>
      </c>
      <c r="N1949" s="3" t="s">
        <v>45</v>
      </c>
      <c r="O1949" s="3" t="s">
        <v>1234</v>
      </c>
    </row>
    <row r="1950" spans="1:15" hidden="1" x14ac:dyDescent="0.75">
      <c r="A1950" s="2">
        <v>46291</v>
      </c>
      <c r="B1950" s="3" t="s">
        <v>1463</v>
      </c>
      <c r="C1950" s="3" t="s">
        <v>1464</v>
      </c>
      <c r="D1950" s="3" t="s">
        <v>27</v>
      </c>
      <c r="E1950" s="3" t="s">
        <v>28</v>
      </c>
      <c r="F1950" s="3" t="s">
        <v>1269</v>
      </c>
      <c r="G1950" s="3" t="s">
        <v>1270</v>
      </c>
      <c r="H1950" s="4">
        <v>46291.687817939812</v>
      </c>
      <c r="I1950" s="4">
        <v>46291.779771296293</v>
      </c>
      <c r="J1950" s="3">
        <f>ROUND((I1950-H1950)*1440,0)</f>
        <v>132</v>
      </c>
      <c r="K1950" s="3" t="s">
        <v>160</v>
      </c>
      <c r="L1950" s="3" t="s">
        <v>77</v>
      </c>
      <c r="M1950" s="3" t="s">
        <v>78</v>
      </c>
      <c r="N1950" s="3" t="s">
        <v>45</v>
      </c>
      <c r="O1950" s="3" t="s">
        <v>161</v>
      </c>
    </row>
    <row r="1951" spans="1:15" hidden="1" x14ac:dyDescent="0.75">
      <c r="A1951" s="2">
        <v>46291</v>
      </c>
      <c r="B1951" s="3" t="s">
        <v>1449</v>
      </c>
      <c r="C1951" s="3" t="s">
        <v>1450</v>
      </c>
      <c r="D1951" s="3"/>
      <c r="E1951" s="3"/>
      <c r="F1951" s="3"/>
      <c r="G1951" s="3"/>
      <c r="H1951" s="4">
        <v>46291.687889004628</v>
      </c>
      <c r="I1951" s="4">
        <v>46291.688004629628</v>
      </c>
      <c r="J1951" s="3">
        <f>ROUND((I1951-H1951)*1440,0)</f>
        <v>0</v>
      </c>
      <c r="K1951" s="3" t="s">
        <v>240</v>
      </c>
      <c r="L1951" s="3" t="s">
        <v>52</v>
      </c>
      <c r="M1951" s="3"/>
      <c r="N1951" s="3" t="s">
        <v>23</v>
      </c>
      <c r="O1951" s="3" t="s">
        <v>241</v>
      </c>
    </row>
    <row r="1952" spans="1:15" hidden="1" x14ac:dyDescent="0.75">
      <c r="A1952" s="2">
        <v>46291</v>
      </c>
      <c r="B1952" s="3" t="s">
        <v>1449</v>
      </c>
      <c r="C1952" s="3" t="s">
        <v>1450</v>
      </c>
      <c r="D1952" s="3"/>
      <c r="E1952" s="3"/>
      <c r="F1952" s="3"/>
      <c r="G1952" s="3"/>
      <c r="H1952" s="4">
        <v>46291.688006481483</v>
      </c>
      <c r="I1952" s="4">
        <v>46291.68886736111</v>
      </c>
      <c r="J1952" s="3">
        <f>ROUND((I1952-H1952)*1440,0)</f>
        <v>1</v>
      </c>
      <c r="K1952" s="3" t="s">
        <v>240</v>
      </c>
      <c r="L1952" s="3" t="s">
        <v>52</v>
      </c>
      <c r="M1952" s="3"/>
      <c r="N1952" s="3" t="s">
        <v>23</v>
      </c>
      <c r="O1952" s="3" t="s">
        <v>241</v>
      </c>
    </row>
    <row r="1953" spans="1:15" hidden="1" x14ac:dyDescent="0.75">
      <c r="A1953" s="2">
        <v>46291</v>
      </c>
      <c r="B1953" s="3" t="s">
        <v>1449</v>
      </c>
      <c r="C1953" s="3" t="s">
        <v>1450</v>
      </c>
      <c r="D1953" s="3"/>
      <c r="E1953" s="3"/>
      <c r="F1953" s="3" t="s">
        <v>2390</v>
      </c>
      <c r="G1953" s="3" t="s">
        <v>2391</v>
      </c>
      <c r="H1953" s="4">
        <v>46291.68886898148</v>
      </c>
      <c r="I1953" s="4">
        <v>46291.690656365739</v>
      </c>
      <c r="J1953" s="3">
        <f>ROUND((I1953-H1953)*1440,0)</f>
        <v>3</v>
      </c>
      <c r="K1953" s="3" t="s">
        <v>240</v>
      </c>
      <c r="L1953" s="3" t="s">
        <v>52</v>
      </c>
      <c r="M1953" s="3"/>
      <c r="N1953" s="3" t="s">
        <v>23</v>
      </c>
      <c r="O1953" s="3" t="s">
        <v>241</v>
      </c>
    </row>
    <row r="1954" spans="1:15" hidden="1" x14ac:dyDescent="0.75">
      <c r="A1954" s="2">
        <v>46291</v>
      </c>
      <c r="B1954" s="3" t="s">
        <v>1487</v>
      </c>
      <c r="C1954" s="3" t="s">
        <v>1488</v>
      </c>
      <c r="D1954" s="3" t="s">
        <v>68</v>
      </c>
      <c r="E1954" s="3" t="s">
        <v>69</v>
      </c>
      <c r="F1954" s="3" t="s">
        <v>84</v>
      </c>
      <c r="G1954" s="3" t="s">
        <v>85</v>
      </c>
      <c r="H1954" s="4">
        <v>46291.689651388893</v>
      </c>
      <c r="I1954" s="4">
        <v>46291.791802546293</v>
      </c>
      <c r="J1954" s="3">
        <f>ROUND((I1954-H1954)*1440,0)</f>
        <v>147</v>
      </c>
      <c r="K1954" s="3" t="s">
        <v>867</v>
      </c>
      <c r="L1954" s="3" t="s">
        <v>36</v>
      </c>
      <c r="M1954" s="3" t="s">
        <v>36</v>
      </c>
      <c r="N1954" s="3" t="s">
        <v>45</v>
      </c>
      <c r="O1954" s="3" t="s">
        <v>868</v>
      </c>
    </row>
    <row r="1955" spans="1:15" hidden="1" x14ac:dyDescent="0.75">
      <c r="A1955" s="2">
        <v>46291</v>
      </c>
      <c r="B1955" s="3" t="s">
        <v>1449</v>
      </c>
      <c r="C1955" s="3" t="s">
        <v>1450</v>
      </c>
      <c r="D1955" s="3" t="s">
        <v>2390</v>
      </c>
      <c r="E1955" s="3" t="s">
        <v>2391</v>
      </c>
      <c r="F1955" s="3" t="s">
        <v>2390</v>
      </c>
      <c r="G1955" s="3" t="s">
        <v>2391</v>
      </c>
      <c r="H1955" s="4">
        <v>46291.690660185188</v>
      </c>
      <c r="I1955" s="4">
        <v>46291.690771759262</v>
      </c>
      <c r="J1955" s="3">
        <f>ROUND((I1955-H1955)*1440,0)</f>
        <v>0</v>
      </c>
      <c r="K1955" s="3" t="s">
        <v>240</v>
      </c>
      <c r="L1955" s="3" t="s">
        <v>52</v>
      </c>
      <c r="M1955" s="3"/>
      <c r="N1955" s="3" t="s">
        <v>23</v>
      </c>
      <c r="O1955" s="3" t="s">
        <v>241</v>
      </c>
    </row>
    <row r="1956" spans="1:15" hidden="1" x14ac:dyDescent="0.75">
      <c r="A1956" s="2">
        <v>46291</v>
      </c>
      <c r="B1956" s="3" t="s">
        <v>1449</v>
      </c>
      <c r="C1956" s="3" t="s">
        <v>1450</v>
      </c>
      <c r="D1956" s="3" t="s">
        <v>2390</v>
      </c>
      <c r="E1956" s="3" t="s">
        <v>2391</v>
      </c>
      <c r="F1956" s="3" t="s">
        <v>2390</v>
      </c>
      <c r="G1956" s="3" t="s">
        <v>2391</v>
      </c>
      <c r="H1956" s="4">
        <v>46291.690775694442</v>
      </c>
      <c r="I1956" s="4">
        <v>46291.691061458332</v>
      </c>
      <c r="J1956" s="3">
        <f>ROUND((I1956-H1956)*1440,0)</f>
        <v>0</v>
      </c>
      <c r="K1956" s="3" t="s">
        <v>240</v>
      </c>
      <c r="L1956" s="3" t="s">
        <v>52</v>
      </c>
      <c r="M1956" s="3"/>
      <c r="N1956" s="3" t="s">
        <v>23</v>
      </c>
      <c r="O1956" s="3" t="s">
        <v>241</v>
      </c>
    </row>
    <row r="1957" spans="1:15" hidden="1" x14ac:dyDescent="0.75">
      <c r="A1957" s="2">
        <v>46291</v>
      </c>
      <c r="B1957" s="3" t="s">
        <v>1449</v>
      </c>
      <c r="C1957" s="3" t="s">
        <v>1450</v>
      </c>
      <c r="D1957" s="3" t="s">
        <v>2390</v>
      </c>
      <c r="E1957" s="3" t="s">
        <v>2391</v>
      </c>
      <c r="F1957" s="3"/>
      <c r="G1957" s="3"/>
      <c r="H1957" s="4">
        <v>46291.691063194441</v>
      </c>
      <c r="I1957" s="4">
        <v>46291.692496527779</v>
      </c>
      <c r="J1957" s="3">
        <f>ROUND((I1957-H1957)*1440,0)</f>
        <v>2</v>
      </c>
      <c r="K1957" s="3" t="s">
        <v>240</v>
      </c>
      <c r="L1957" s="3" t="s">
        <v>52</v>
      </c>
      <c r="M1957" s="3"/>
      <c r="N1957" s="3" t="s">
        <v>23</v>
      </c>
      <c r="O1957" s="3" t="s">
        <v>241</v>
      </c>
    </row>
    <row r="1958" spans="1:15" hidden="1" x14ac:dyDescent="0.75">
      <c r="A1958" s="2">
        <v>46291</v>
      </c>
      <c r="B1958" s="3" t="s">
        <v>1449</v>
      </c>
      <c r="C1958" s="3" t="s">
        <v>1450</v>
      </c>
      <c r="D1958" s="3"/>
      <c r="E1958" s="3"/>
      <c r="F1958" s="3"/>
      <c r="G1958" s="3"/>
      <c r="H1958" s="4">
        <v>46291.692499421297</v>
      </c>
      <c r="I1958" s="4">
        <v>46291.694405324073</v>
      </c>
      <c r="J1958" s="3">
        <f>ROUND((I1958-H1958)*1440,0)</f>
        <v>3</v>
      </c>
      <c r="K1958" s="3" t="s">
        <v>240</v>
      </c>
      <c r="L1958" s="3" t="s">
        <v>52</v>
      </c>
      <c r="M1958" s="3"/>
      <c r="N1958" s="3" t="s">
        <v>23</v>
      </c>
      <c r="O1958" s="3" t="s">
        <v>241</v>
      </c>
    </row>
    <row r="1959" spans="1:15" hidden="1" x14ac:dyDescent="0.75">
      <c r="A1959" s="2">
        <v>46291</v>
      </c>
      <c r="B1959" s="3" t="s">
        <v>1459</v>
      </c>
      <c r="C1959" s="3" t="s">
        <v>1460</v>
      </c>
      <c r="D1959" s="3" t="s">
        <v>56</v>
      </c>
      <c r="E1959" s="3" t="s">
        <v>57</v>
      </c>
      <c r="F1959" s="3" t="s">
        <v>1207</v>
      </c>
      <c r="G1959" s="3" t="s">
        <v>1208</v>
      </c>
      <c r="H1959" s="4">
        <v>46291.693398379633</v>
      </c>
      <c r="I1959" s="4">
        <v>46291.807171875</v>
      </c>
      <c r="J1959" s="3">
        <f>ROUND((I1959-H1959)*1440,0)</f>
        <v>164</v>
      </c>
      <c r="K1959" s="3" t="s">
        <v>210</v>
      </c>
      <c r="L1959" s="3" t="s">
        <v>36</v>
      </c>
      <c r="M1959" s="3" t="s">
        <v>36</v>
      </c>
      <c r="N1959" s="3" t="s">
        <v>23</v>
      </c>
      <c r="O1959" s="3" t="s">
        <v>211</v>
      </c>
    </row>
    <row r="1960" spans="1:15" hidden="1" x14ac:dyDescent="0.75">
      <c r="A1960" s="2">
        <v>46291</v>
      </c>
      <c r="B1960" s="3" t="s">
        <v>1461</v>
      </c>
      <c r="C1960" s="3" t="s">
        <v>1462</v>
      </c>
      <c r="D1960" s="3" t="s">
        <v>82</v>
      </c>
      <c r="E1960" s="3" t="s">
        <v>83</v>
      </c>
      <c r="F1960" s="3" t="s">
        <v>208</v>
      </c>
      <c r="G1960" s="3" t="s">
        <v>209</v>
      </c>
      <c r="H1960" s="4">
        <v>46291.693425115744</v>
      </c>
      <c r="I1960" s="4">
        <v>46291.786067245368</v>
      </c>
      <c r="J1960" s="3">
        <f>ROUND((I1960-H1960)*1440,0)</f>
        <v>133</v>
      </c>
      <c r="K1960" s="3" t="s">
        <v>1045</v>
      </c>
      <c r="L1960" s="3" t="s">
        <v>36</v>
      </c>
      <c r="M1960" s="3" t="s">
        <v>36</v>
      </c>
      <c r="N1960" s="3" t="s">
        <v>23</v>
      </c>
      <c r="O1960" s="3" t="s">
        <v>1046</v>
      </c>
    </row>
    <row r="1961" spans="1:15" hidden="1" x14ac:dyDescent="0.75">
      <c r="A1961" s="2">
        <v>46291</v>
      </c>
      <c r="B1961" s="3" t="s">
        <v>1449</v>
      </c>
      <c r="C1961" s="3" t="s">
        <v>1450</v>
      </c>
      <c r="D1961" s="3"/>
      <c r="E1961" s="3"/>
      <c r="F1961" s="3"/>
      <c r="G1961" s="3"/>
      <c r="H1961" s="4">
        <v>46291.694409027783</v>
      </c>
      <c r="I1961" s="4">
        <v>46291.696259027784</v>
      </c>
      <c r="J1961" s="3">
        <f>ROUND((I1961-H1961)*1440,0)</f>
        <v>3</v>
      </c>
      <c r="K1961" s="3" t="s">
        <v>240</v>
      </c>
      <c r="L1961" s="3" t="s">
        <v>52</v>
      </c>
      <c r="M1961" s="3"/>
      <c r="N1961" s="3" t="s">
        <v>23</v>
      </c>
      <c r="O1961" s="3" t="s">
        <v>241</v>
      </c>
    </row>
    <row r="1962" spans="1:15" hidden="1" x14ac:dyDescent="0.75">
      <c r="A1962" s="2">
        <v>46291</v>
      </c>
      <c r="B1962" s="3" t="s">
        <v>1503</v>
      </c>
      <c r="C1962" s="3" t="s">
        <v>1504</v>
      </c>
      <c r="D1962" s="3" t="s">
        <v>56</v>
      </c>
      <c r="E1962" s="3" t="s">
        <v>57</v>
      </c>
      <c r="F1962" s="3" t="s">
        <v>56</v>
      </c>
      <c r="G1962" s="3" t="s">
        <v>57</v>
      </c>
      <c r="H1962" s="4">
        <v>46291.695581018517</v>
      </c>
      <c r="I1962" s="4">
        <v>46291.923840509262</v>
      </c>
      <c r="J1962" s="3">
        <f>ROUND((I1962-H1962)*1440,0)</f>
        <v>329</v>
      </c>
      <c r="K1962" s="3" t="s">
        <v>35</v>
      </c>
      <c r="L1962" s="3" t="s">
        <v>36</v>
      </c>
      <c r="M1962" s="3" t="s">
        <v>36</v>
      </c>
      <c r="N1962" s="3" t="s">
        <v>23</v>
      </c>
      <c r="O1962" s="3" t="s">
        <v>37</v>
      </c>
    </row>
    <row r="1963" spans="1:15" hidden="1" x14ac:dyDescent="0.75">
      <c r="A1963" s="2">
        <v>46291</v>
      </c>
      <c r="B1963" s="3" t="s">
        <v>1449</v>
      </c>
      <c r="C1963" s="3" t="s">
        <v>1450</v>
      </c>
      <c r="D1963" s="3"/>
      <c r="E1963" s="3"/>
      <c r="F1963" s="3"/>
      <c r="G1963" s="3"/>
      <c r="H1963" s="4">
        <v>46291.69626365741</v>
      </c>
      <c r="I1963" s="4">
        <v>46291.69741458333</v>
      </c>
      <c r="J1963" s="3">
        <f>ROUND((I1963-H1963)*1440,0)</f>
        <v>2</v>
      </c>
      <c r="K1963" s="3" t="s">
        <v>240</v>
      </c>
      <c r="L1963" s="3" t="s">
        <v>52</v>
      </c>
      <c r="M1963" s="3"/>
      <c r="N1963" s="3" t="s">
        <v>23</v>
      </c>
      <c r="O1963" s="3" t="s">
        <v>241</v>
      </c>
    </row>
    <row r="1964" spans="1:15" hidden="1" x14ac:dyDescent="0.75">
      <c r="A1964" s="2">
        <v>46291</v>
      </c>
      <c r="B1964" s="3" t="s">
        <v>1497</v>
      </c>
      <c r="C1964" s="3" t="s">
        <v>1498</v>
      </c>
      <c r="D1964" s="3" t="s">
        <v>56</v>
      </c>
      <c r="E1964" s="3" t="s">
        <v>57</v>
      </c>
      <c r="F1964" s="3" t="s">
        <v>74</v>
      </c>
      <c r="G1964" s="3" t="s">
        <v>75</v>
      </c>
      <c r="H1964" s="4">
        <v>46291.696580671298</v>
      </c>
      <c r="I1964" s="4">
        <v>46291.784944328712</v>
      </c>
      <c r="J1964" s="3">
        <f>ROUND((I1964-H1964)*1440,0)</f>
        <v>127</v>
      </c>
      <c r="K1964" s="3" t="s">
        <v>220</v>
      </c>
      <c r="L1964" s="3" t="s">
        <v>77</v>
      </c>
      <c r="M1964" s="3" t="s">
        <v>78</v>
      </c>
      <c r="N1964" s="3" t="s">
        <v>23</v>
      </c>
      <c r="O1964" s="3" t="s">
        <v>221</v>
      </c>
    </row>
    <row r="1965" spans="1:15" hidden="1" x14ac:dyDescent="0.75">
      <c r="A1965" s="2">
        <v>46291</v>
      </c>
      <c r="B1965" s="3" t="s">
        <v>1449</v>
      </c>
      <c r="C1965" s="3" t="s">
        <v>1450</v>
      </c>
      <c r="D1965" s="3"/>
      <c r="E1965" s="3"/>
      <c r="F1965" s="3"/>
      <c r="G1965" s="3"/>
      <c r="H1965" s="4">
        <v>46291.697420023149</v>
      </c>
      <c r="I1965" s="4">
        <v>46291.697472453707</v>
      </c>
      <c r="J1965" s="3">
        <f>ROUND((I1965-H1965)*1440,0)</f>
        <v>0</v>
      </c>
      <c r="K1965" s="3" t="s">
        <v>240</v>
      </c>
      <c r="L1965" s="3" t="s">
        <v>52</v>
      </c>
      <c r="M1965" s="3"/>
      <c r="N1965" s="3" t="s">
        <v>23</v>
      </c>
      <c r="O1965" s="3" t="s">
        <v>241</v>
      </c>
    </row>
    <row r="1966" spans="1:15" hidden="1" x14ac:dyDescent="0.75">
      <c r="A1966" s="2">
        <v>46291</v>
      </c>
      <c r="B1966" s="3" t="s">
        <v>1449</v>
      </c>
      <c r="C1966" s="3" t="s">
        <v>1450</v>
      </c>
      <c r="D1966" s="3"/>
      <c r="E1966" s="3"/>
      <c r="F1966" s="3"/>
      <c r="G1966" s="3"/>
      <c r="H1966" s="4">
        <v>46291.69747777778</v>
      </c>
      <c r="I1966" s="4">
        <v>46291.701056134261</v>
      </c>
      <c r="J1966" s="3">
        <f>ROUND((I1966-H1966)*1440,0)</f>
        <v>5</v>
      </c>
      <c r="K1966" s="3" t="s">
        <v>240</v>
      </c>
      <c r="L1966" s="3" t="s">
        <v>52</v>
      </c>
      <c r="M1966" s="3"/>
      <c r="N1966" s="3" t="s">
        <v>23</v>
      </c>
      <c r="O1966" s="3" t="s">
        <v>241</v>
      </c>
    </row>
    <row r="1967" spans="1:15" hidden="1" x14ac:dyDescent="0.75">
      <c r="A1967" s="2">
        <v>46291</v>
      </c>
      <c r="B1967" s="3" t="s">
        <v>1485</v>
      </c>
      <c r="C1967" s="3" t="s">
        <v>1486</v>
      </c>
      <c r="D1967" s="3" t="s">
        <v>82</v>
      </c>
      <c r="E1967" s="3" t="s">
        <v>83</v>
      </c>
      <c r="F1967" s="3" t="s">
        <v>615</v>
      </c>
      <c r="G1967" s="3" t="s">
        <v>616</v>
      </c>
      <c r="H1967" s="4">
        <v>46291.699958796293</v>
      </c>
      <c r="I1967" s="4">
        <v>46291.801538657397</v>
      </c>
      <c r="J1967" s="3">
        <f>ROUND((I1967-H1967)*1440,0)</f>
        <v>146</v>
      </c>
      <c r="K1967" s="3" t="s">
        <v>2289</v>
      </c>
      <c r="L1967" s="3" t="s">
        <v>36</v>
      </c>
      <c r="M1967" s="3" t="s">
        <v>36</v>
      </c>
      <c r="N1967" s="3" t="s">
        <v>45</v>
      </c>
      <c r="O1967" s="3" t="s">
        <v>2290</v>
      </c>
    </row>
    <row r="1968" spans="1:15" hidden="1" x14ac:dyDescent="0.75">
      <c r="A1968" s="2">
        <v>46291</v>
      </c>
      <c r="B1968" s="3" t="s">
        <v>1449</v>
      </c>
      <c r="C1968" s="3" t="s">
        <v>1450</v>
      </c>
      <c r="D1968" s="3"/>
      <c r="E1968" s="3"/>
      <c r="F1968" s="3"/>
      <c r="G1968" s="3"/>
      <c r="H1968" s="4">
        <v>46291.701059837957</v>
      </c>
      <c r="I1968" s="4">
        <v>46291.701407638888</v>
      </c>
      <c r="J1968" s="3">
        <f>ROUND((I1968-H1968)*1440,0)</f>
        <v>1</v>
      </c>
      <c r="K1968" s="3" t="s">
        <v>240</v>
      </c>
      <c r="L1968" s="3" t="s">
        <v>52</v>
      </c>
      <c r="M1968" s="3"/>
      <c r="N1968" s="3" t="s">
        <v>23</v>
      </c>
      <c r="O1968" s="3" t="s">
        <v>241</v>
      </c>
    </row>
    <row r="1969" spans="1:15" hidden="1" x14ac:dyDescent="0.75">
      <c r="A1969" s="2">
        <v>46291</v>
      </c>
      <c r="B1969" s="3" t="s">
        <v>1449</v>
      </c>
      <c r="C1969" s="3" t="s">
        <v>1450</v>
      </c>
      <c r="D1969" s="3"/>
      <c r="E1969" s="3"/>
      <c r="F1969" s="3"/>
      <c r="G1969" s="3"/>
      <c r="H1969" s="4">
        <v>46291.701411921298</v>
      </c>
      <c r="I1969" s="4">
        <v>46291.701523263888</v>
      </c>
      <c r="J1969" s="3">
        <f>ROUND((I1969-H1969)*1440,0)</f>
        <v>0</v>
      </c>
      <c r="K1969" s="3" t="s">
        <v>240</v>
      </c>
      <c r="L1969" s="3" t="s">
        <v>52</v>
      </c>
      <c r="M1969" s="3"/>
      <c r="N1969" s="3" t="s">
        <v>23</v>
      </c>
      <c r="O1969" s="3" t="s">
        <v>241</v>
      </c>
    </row>
    <row r="1970" spans="1:15" hidden="1" x14ac:dyDescent="0.75">
      <c r="A1970" s="2">
        <v>46291</v>
      </c>
      <c r="B1970" s="3" t="s">
        <v>1449</v>
      </c>
      <c r="C1970" s="3" t="s">
        <v>1450</v>
      </c>
      <c r="D1970" s="3"/>
      <c r="E1970" s="3"/>
      <c r="F1970" s="3"/>
      <c r="G1970" s="3"/>
      <c r="H1970" s="4">
        <v>46291.701526041667</v>
      </c>
      <c r="I1970" s="4">
        <v>46291.702495717589</v>
      </c>
      <c r="J1970" s="3">
        <f>ROUND((I1970-H1970)*1440,0)</f>
        <v>1</v>
      </c>
      <c r="K1970" s="3" t="s">
        <v>240</v>
      </c>
      <c r="L1970" s="3" t="s">
        <v>52</v>
      </c>
      <c r="M1970" s="3"/>
      <c r="N1970" s="3" t="s">
        <v>23</v>
      </c>
      <c r="O1970" s="3" t="s">
        <v>241</v>
      </c>
    </row>
    <row r="1971" spans="1:15" hidden="1" x14ac:dyDescent="0.75">
      <c r="A1971" s="2">
        <v>46291</v>
      </c>
      <c r="B1971" s="3" t="s">
        <v>1449</v>
      </c>
      <c r="C1971" s="3" t="s">
        <v>1450</v>
      </c>
      <c r="D1971" s="3"/>
      <c r="E1971" s="3"/>
      <c r="F1971" s="3"/>
      <c r="G1971" s="3"/>
      <c r="H1971" s="4">
        <v>46291.702497800929</v>
      </c>
      <c r="I1971" s="4">
        <v>46291.705372453704</v>
      </c>
      <c r="J1971" s="3">
        <f>ROUND((I1971-H1971)*1440,0)</f>
        <v>4</v>
      </c>
      <c r="K1971" s="3" t="s">
        <v>240</v>
      </c>
      <c r="L1971" s="3" t="s">
        <v>52</v>
      </c>
      <c r="M1971" s="3"/>
      <c r="N1971" s="3" t="s">
        <v>23</v>
      </c>
      <c r="O1971" s="3" t="s">
        <v>241</v>
      </c>
    </row>
    <row r="1972" spans="1:15" hidden="1" x14ac:dyDescent="0.75">
      <c r="A1972" s="2">
        <v>46291</v>
      </c>
      <c r="B1972" s="3" t="s">
        <v>1551</v>
      </c>
      <c r="C1972" s="3" t="s">
        <v>1552</v>
      </c>
      <c r="D1972" s="3" t="s">
        <v>977</v>
      </c>
      <c r="E1972" s="3" t="s">
        <v>978</v>
      </c>
      <c r="F1972" s="3" t="s">
        <v>27</v>
      </c>
      <c r="G1972" s="3" t="s">
        <v>28</v>
      </c>
      <c r="H1972" s="4">
        <v>46291.705192592592</v>
      </c>
      <c r="I1972" s="4">
        <v>46291.791881712961</v>
      </c>
      <c r="J1972" s="3">
        <f>ROUND((I1972-H1972)*1440,0)</f>
        <v>125</v>
      </c>
      <c r="K1972" s="3" t="s">
        <v>368</v>
      </c>
      <c r="L1972" s="3" t="s">
        <v>77</v>
      </c>
      <c r="M1972" s="3" t="s">
        <v>78</v>
      </c>
      <c r="N1972" s="3" t="s">
        <v>23</v>
      </c>
      <c r="O1972" s="3" t="s">
        <v>369</v>
      </c>
    </row>
    <row r="1973" spans="1:15" hidden="1" x14ac:dyDescent="0.75">
      <c r="A1973" s="2">
        <v>46291</v>
      </c>
      <c r="B1973" s="3" t="s">
        <v>1449</v>
      </c>
      <c r="C1973" s="3" t="s">
        <v>1450</v>
      </c>
      <c r="D1973" s="3"/>
      <c r="E1973" s="3"/>
      <c r="F1973" s="3"/>
      <c r="G1973" s="3"/>
      <c r="H1973" s="4">
        <v>46291.705376620368</v>
      </c>
      <c r="I1973" s="4">
        <v>46291.705599074077</v>
      </c>
      <c r="J1973" s="3">
        <f>ROUND((I1973-H1973)*1440,0)</f>
        <v>0</v>
      </c>
      <c r="K1973" s="3" t="s">
        <v>240</v>
      </c>
      <c r="L1973" s="3" t="s">
        <v>52</v>
      </c>
      <c r="M1973" s="3"/>
      <c r="N1973" s="3" t="s">
        <v>23</v>
      </c>
      <c r="O1973" s="3" t="s">
        <v>241</v>
      </c>
    </row>
    <row r="1974" spans="1:15" hidden="1" x14ac:dyDescent="0.75">
      <c r="A1974" s="2">
        <v>46291</v>
      </c>
      <c r="B1974" s="3" t="s">
        <v>1449</v>
      </c>
      <c r="C1974" s="3" t="s">
        <v>1450</v>
      </c>
      <c r="D1974" s="3"/>
      <c r="E1974" s="3"/>
      <c r="F1974" s="3"/>
      <c r="G1974" s="3"/>
      <c r="H1974" s="4">
        <v>46291.705599652778</v>
      </c>
      <c r="I1974" s="4">
        <v>46291.711493287039</v>
      </c>
      <c r="J1974" s="3">
        <f>ROUND((I1974-H1974)*1440,0)</f>
        <v>8</v>
      </c>
      <c r="K1974" s="3" t="s">
        <v>240</v>
      </c>
      <c r="L1974" s="3" t="s">
        <v>52</v>
      </c>
      <c r="M1974" s="3"/>
      <c r="N1974" s="3" t="s">
        <v>23</v>
      </c>
      <c r="O1974" s="3" t="s">
        <v>241</v>
      </c>
    </row>
    <row r="1975" spans="1:15" hidden="1" x14ac:dyDescent="0.75">
      <c r="A1975" s="2">
        <v>46291</v>
      </c>
      <c r="B1975" s="3" t="s">
        <v>1841</v>
      </c>
      <c r="C1975" s="3" t="s">
        <v>1842</v>
      </c>
      <c r="D1975" s="3" t="s">
        <v>304</v>
      </c>
      <c r="E1975" s="3" t="s">
        <v>305</v>
      </c>
      <c r="F1975" s="3" t="s">
        <v>27</v>
      </c>
      <c r="G1975" s="3" t="s">
        <v>28</v>
      </c>
      <c r="H1975" s="4">
        <v>46291.707220486111</v>
      </c>
      <c r="I1975" s="4">
        <v>46291.938946875001</v>
      </c>
      <c r="J1975" s="3">
        <f>ROUND((I1975-H1975)*1440,0)</f>
        <v>334</v>
      </c>
      <c r="K1975" s="3" t="s">
        <v>388</v>
      </c>
      <c r="L1975" s="3" t="s">
        <v>22</v>
      </c>
      <c r="M1975" s="3" t="s">
        <v>22</v>
      </c>
      <c r="N1975" s="3" t="s">
        <v>23</v>
      </c>
      <c r="O1975" s="3" t="s">
        <v>389</v>
      </c>
    </row>
    <row r="1976" spans="1:15" hidden="1" x14ac:dyDescent="0.75">
      <c r="A1976" s="2">
        <v>46291</v>
      </c>
      <c r="B1976" s="3" t="s">
        <v>1759</v>
      </c>
      <c r="C1976" s="3" t="s">
        <v>1760</v>
      </c>
      <c r="D1976" s="3" t="s">
        <v>615</v>
      </c>
      <c r="E1976" s="3" t="s">
        <v>616</v>
      </c>
      <c r="F1976" s="3" t="s">
        <v>17</v>
      </c>
      <c r="G1976" s="3" t="s">
        <v>18</v>
      </c>
      <c r="H1976" s="4">
        <v>46291.707237847222</v>
      </c>
      <c r="I1976" s="4">
        <v>46291.858352546296</v>
      </c>
      <c r="J1976" s="3">
        <f>ROUND((I1976-H1976)*1440,0)</f>
        <v>218</v>
      </c>
      <c r="K1976" s="3" t="s">
        <v>1165</v>
      </c>
      <c r="L1976" s="3" t="s">
        <v>22</v>
      </c>
      <c r="M1976" s="3" t="s">
        <v>22</v>
      </c>
      <c r="N1976" s="3" t="s">
        <v>23</v>
      </c>
      <c r="O1976" s="3" t="s">
        <v>1166</v>
      </c>
    </row>
    <row r="1977" spans="1:15" hidden="1" x14ac:dyDescent="0.75">
      <c r="A1977" s="2">
        <v>46291</v>
      </c>
      <c r="B1977" s="3" t="s">
        <v>1481</v>
      </c>
      <c r="C1977" s="3" t="s">
        <v>1482</v>
      </c>
      <c r="D1977" s="3" t="s">
        <v>27</v>
      </c>
      <c r="E1977" s="3" t="s">
        <v>28</v>
      </c>
      <c r="F1977" s="3" t="s">
        <v>737</v>
      </c>
      <c r="G1977" s="3" t="s">
        <v>738</v>
      </c>
      <c r="H1977" s="4">
        <v>46291.708244907408</v>
      </c>
      <c r="I1977" s="4">
        <v>46291.75114479167</v>
      </c>
      <c r="J1977" s="3">
        <f>ROUND((I1977-H1977)*1440,0)</f>
        <v>62</v>
      </c>
      <c r="K1977" s="3" t="s">
        <v>2263</v>
      </c>
      <c r="L1977" s="3" t="s">
        <v>77</v>
      </c>
      <c r="M1977" s="3" t="s">
        <v>78</v>
      </c>
      <c r="N1977" s="3" t="s">
        <v>45</v>
      </c>
      <c r="O1977" s="3" t="s">
        <v>2264</v>
      </c>
    </row>
    <row r="1978" spans="1:15" hidden="1" x14ac:dyDescent="0.75">
      <c r="A1978" s="2">
        <v>46291</v>
      </c>
      <c r="B1978" s="3" t="s">
        <v>324</v>
      </c>
      <c r="C1978" s="3" t="s">
        <v>325</v>
      </c>
      <c r="D1978" s="3" t="s">
        <v>17</v>
      </c>
      <c r="E1978" s="3" t="s">
        <v>18</v>
      </c>
      <c r="F1978" s="3" t="s">
        <v>304</v>
      </c>
      <c r="G1978" s="3" t="s">
        <v>305</v>
      </c>
      <c r="H1978" s="4">
        <v>46291.711378703701</v>
      </c>
      <c r="I1978" s="4">
        <v>46291.930262499998</v>
      </c>
      <c r="J1978" s="3">
        <f>ROUND((I1978-H1978)*1440,0)</f>
        <v>315</v>
      </c>
      <c r="K1978" s="3" t="s">
        <v>1301</v>
      </c>
      <c r="L1978" s="3" t="s">
        <v>22</v>
      </c>
      <c r="M1978" s="3" t="s">
        <v>22</v>
      </c>
      <c r="N1978" s="3" t="s">
        <v>23</v>
      </c>
      <c r="O1978" s="3" t="s">
        <v>1302</v>
      </c>
    </row>
    <row r="1979" spans="1:15" hidden="1" x14ac:dyDescent="0.75">
      <c r="A1979" s="2">
        <v>46291</v>
      </c>
      <c r="B1979" s="3" t="s">
        <v>1449</v>
      </c>
      <c r="C1979" s="3" t="s">
        <v>1450</v>
      </c>
      <c r="D1979" s="3"/>
      <c r="E1979" s="3"/>
      <c r="F1979" s="3"/>
      <c r="G1979" s="3"/>
      <c r="H1979" s="4">
        <v>46291.711493981478</v>
      </c>
      <c r="I1979" s="4">
        <v>46291.712478935187</v>
      </c>
      <c r="J1979" s="3">
        <f>ROUND((I1979-H1979)*1440,0)</f>
        <v>1</v>
      </c>
      <c r="K1979" s="3" t="s">
        <v>240</v>
      </c>
      <c r="L1979" s="3" t="s">
        <v>52</v>
      </c>
      <c r="M1979" s="3"/>
      <c r="N1979" s="3" t="s">
        <v>23</v>
      </c>
      <c r="O1979" s="3" t="s">
        <v>241</v>
      </c>
    </row>
    <row r="1980" spans="1:15" hidden="1" x14ac:dyDescent="0.75">
      <c r="A1980" s="2">
        <v>46291</v>
      </c>
      <c r="B1980" s="3" t="s">
        <v>1449</v>
      </c>
      <c r="C1980" s="3" t="s">
        <v>1450</v>
      </c>
      <c r="D1980" s="3"/>
      <c r="E1980" s="3"/>
      <c r="F1980" s="3"/>
      <c r="G1980" s="3"/>
      <c r="H1980" s="4">
        <v>46291.712480902781</v>
      </c>
      <c r="I1980" s="4">
        <v>46291.71294513889</v>
      </c>
      <c r="J1980" s="3">
        <f>ROUND((I1980-H1980)*1440,0)</f>
        <v>1</v>
      </c>
      <c r="K1980" s="3" t="s">
        <v>240</v>
      </c>
      <c r="L1980" s="3" t="s">
        <v>52</v>
      </c>
      <c r="M1980" s="3"/>
      <c r="N1980" s="3" t="s">
        <v>23</v>
      </c>
      <c r="O1980" s="3" t="s">
        <v>241</v>
      </c>
    </row>
    <row r="1981" spans="1:15" hidden="1" x14ac:dyDescent="0.75">
      <c r="A1981" s="2">
        <v>46291</v>
      </c>
      <c r="B1981" s="3" t="s">
        <v>1449</v>
      </c>
      <c r="C1981" s="3" t="s">
        <v>1450</v>
      </c>
      <c r="D1981" s="3"/>
      <c r="E1981" s="3"/>
      <c r="F1981" s="3"/>
      <c r="G1981" s="3"/>
      <c r="H1981" s="4">
        <v>46291.712945601852</v>
      </c>
      <c r="I1981" s="4">
        <v>46291.713527083331</v>
      </c>
      <c r="J1981" s="3">
        <f>ROUND((I1981-H1981)*1440,0)</f>
        <v>1</v>
      </c>
      <c r="K1981" s="3" t="s">
        <v>240</v>
      </c>
      <c r="L1981" s="3" t="s">
        <v>52</v>
      </c>
      <c r="M1981" s="3"/>
      <c r="N1981" s="3" t="s">
        <v>23</v>
      </c>
      <c r="O1981" s="3" t="s">
        <v>241</v>
      </c>
    </row>
    <row r="1982" spans="1:15" hidden="1" x14ac:dyDescent="0.75">
      <c r="A1982" s="2">
        <v>46291</v>
      </c>
      <c r="B1982" s="3" t="s">
        <v>1907</v>
      </c>
      <c r="C1982" s="3" t="s">
        <v>1908</v>
      </c>
      <c r="D1982" s="3" t="s">
        <v>27</v>
      </c>
      <c r="E1982" s="3" t="s">
        <v>28</v>
      </c>
      <c r="F1982" s="3" t="s">
        <v>122</v>
      </c>
      <c r="G1982" s="3" t="s">
        <v>123</v>
      </c>
      <c r="H1982" s="4">
        <v>46291.713005787038</v>
      </c>
      <c r="I1982" s="4">
        <v>46291.956203819442</v>
      </c>
      <c r="J1982" s="3">
        <f>ROUND((I1982-H1982)*1440,0)</f>
        <v>350</v>
      </c>
      <c r="K1982" s="3" t="s">
        <v>965</v>
      </c>
      <c r="L1982" s="3" t="s">
        <v>22</v>
      </c>
      <c r="M1982" s="3" t="s">
        <v>22</v>
      </c>
      <c r="N1982" s="3" t="s">
        <v>23</v>
      </c>
      <c r="O1982" s="3" t="s">
        <v>966</v>
      </c>
    </row>
    <row r="1983" spans="1:15" hidden="1" x14ac:dyDescent="0.75">
      <c r="A1983" s="2">
        <v>46291</v>
      </c>
      <c r="B1983" s="3" t="s">
        <v>1449</v>
      </c>
      <c r="C1983" s="3" t="s">
        <v>1450</v>
      </c>
      <c r="D1983" s="3"/>
      <c r="E1983" s="3"/>
      <c r="F1983" s="3"/>
      <c r="G1983" s="3"/>
      <c r="H1983" s="4">
        <v>46291.713532870373</v>
      </c>
      <c r="I1983" s="4">
        <v>46291.714281597233</v>
      </c>
      <c r="J1983" s="3">
        <f>ROUND((I1983-H1983)*1440,0)</f>
        <v>1</v>
      </c>
      <c r="K1983" s="3" t="s">
        <v>240</v>
      </c>
      <c r="L1983" s="3" t="s">
        <v>52</v>
      </c>
      <c r="M1983" s="3"/>
      <c r="N1983" s="3" t="s">
        <v>23</v>
      </c>
      <c r="O1983" s="3" t="s">
        <v>241</v>
      </c>
    </row>
    <row r="1984" spans="1:15" hidden="1" x14ac:dyDescent="0.75">
      <c r="A1984" s="2">
        <v>46291</v>
      </c>
      <c r="B1984" s="3" t="s">
        <v>1523</v>
      </c>
      <c r="C1984" s="3" t="s">
        <v>1524</v>
      </c>
      <c r="D1984" s="3" t="s">
        <v>27</v>
      </c>
      <c r="E1984" s="3" t="s">
        <v>28</v>
      </c>
      <c r="F1984" s="3" t="s">
        <v>100</v>
      </c>
      <c r="G1984" s="3" t="s">
        <v>101</v>
      </c>
      <c r="H1984" s="4">
        <v>46291.713789004629</v>
      </c>
      <c r="I1984" s="4">
        <v>46291.809602777779</v>
      </c>
      <c r="J1984" s="3">
        <f>ROUND((I1984-H1984)*1440,0)</f>
        <v>138</v>
      </c>
      <c r="K1984" s="3" t="s">
        <v>969</v>
      </c>
      <c r="L1984" s="3" t="s">
        <v>36</v>
      </c>
      <c r="M1984" s="3" t="s">
        <v>36</v>
      </c>
      <c r="N1984" s="3" t="s">
        <v>45</v>
      </c>
      <c r="O1984" s="3" t="s">
        <v>970</v>
      </c>
    </row>
    <row r="1985" spans="1:15" hidden="1" x14ac:dyDescent="0.75">
      <c r="A1985" s="2">
        <v>46291</v>
      </c>
      <c r="B1985" s="3" t="s">
        <v>1449</v>
      </c>
      <c r="C1985" s="3" t="s">
        <v>1450</v>
      </c>
      <c r="D1985" s="3"/>
      <c r="E1985" s="3"/>
      <c r="F1985" s="3"/>
      <c r="G1985" s="3"/>
      <c r="H1985" s="4">
        <v>46291.714282754627</v>
      </c>
      <c r="I1985" s="4">
        <v>46291.714683333332</v>
      </c>
      <c r="J1985" s="3">
        <f>ROUND((I1985-H1985)*1440,0)</f>
        <v>1</v>
      </c>
      <c r="K1985" s="3" t="s">
        <v>240</v>
      </c>
      <c r="L1985" s="3" t="s">
        <v>52</v>
      </c>
      <c r="M1985" s="3"/>
      <c r="N1985" s="3" t="s">
        <v>23</v>
      </c>
      <c r="O1985" s="3" t="s">
        <v>241</v>
      </c>
    </row>
    <row r="1986" spans="1:15" hidden="1" x14ac:dyDescent="0.75">
      <c r="A1986" s="2">
        <v>46291</v>
      </c>
      <c r="B1986" s="3" t="s">
        <v>1449</v>
      </c>
      <c r="C1986" s="3" t="s">
        <v>1450</v>
      </c>
      <c r="D1986" s="3"/>
      <c r="E1986" s="3"/>
      <c r="F1986" s="3"/>
      <c r="G1986" s="3"/>
      <c r="H1986" s="4">
        <v>46291.714685879633</v>
      </c>
      <c r="I1986" s="4">
        <v>46291.714858449071</v>
      </c>
      <c r="J1986" s="3">
        <f>ROUND((I1986-H1986)*1440,0)</f>
        <v>0</v>
      </c>
      <c r="K1986" s="3" t="s">
        <v>240</v>
      </c>
      <c r="L1986" s="3" t="s">
        <v>52</v>
      </c>
      <c r="M1986" s="3"/>
      <c r="N1986" s="3" t="s">
        <v>23</v>
      </c>
      <c r="O1986" s="3" t="s">
        <v>241</v>
      </c>
    </row>
    <row r="1987" spans="1:15" hidden="1" x14ac:dyDescent="0.75">
      <c r="A1987" s="2">
        <v>46291</v>
      </c>
      <c r="B1987" s="3" t="s">
        <v>1449</v>
      </c>
      <c r="C1987" s="3" t="s">
        <v>1450</v>
      </c>
      <c r="D1987" s="3"/>
      <c r="E1987" s="3"/>
      <c r="F1987" s="3"/>
      <c r="G1987" s="3"/>
      <c r="H1987" s="4">
        <v>46291.714861921297</v>
      </c>
      <c r="I1987" s="4">
        <v>46291.714914583332</v>
      </c>
      <c r="J1987" s="3">
        <f>ROUND((I1987-H1987)*1440,0)</f>
        <v>0</v>
      </c>
      <c r="K1987" s="3" t="s">
        <v>240</v>
      </c>
      <c r="L1987" s="3" t="s">
        <v>52</v>
      </c>
      <c r="M1987" s="3"/>
      <c r="N1987" s="3" t="s">
        <v>23</v>
      </c>
      <c r="O1987" s="3" t="s">
        <v>241</v>
      </c>
    </row>
    <row r="1988" spans="1:15" hidden="1" x14ac:dyDescent="0.75">
      <c r="A1988" s="2">
        <v>46291</v>
      </c>
      <c r="B1988" s="3" t="s">
        <v>1449</v>
      </c>
      <c r="C1988" s="3" t="s">
        <v>1450</v>
      </c>
      <c r="D1988" s="3"/>
      <c r="E1988" s="3"/>
      <c r="F1988" s="3"/>
      <c r="G1988" s="3"/>
      <c r="H1988" s="4">
        <v>46291.714917013887</v>
      </c>
      <c r="I1988" s="4">
        <v>46291.715144444453</v>
      </c>
      <c r="J1988" s="3">
        <f>ROUND((I1988-H1988)*1440,0)</f>
        <v>0</v>
      </c>
      <c r="K1988" s="3" t="s">
        <v>240</v>
      </c>
      <c r="L1988" s="3" t="s">
        <v>52</v>
      </c>
      <c r="M1988" s="3"/>
      <c r="N1988" s="3" t="s">
        <v>23</v>
      </c>
      <c r="O1988" s="3" t="s">
        <v>241</v>
      </c>
    </row>
    <row r="1989" spans="1:15" hidden="1" x14ac:dyDescent="0.75">
      <c r="A1989" s="2">
        <v>46291</v>
      </c>
      <c r="B1989" s="3" t="s">
        <v>1527</v>
      </c>
      <c r="C1989" s="3" t="s">
        <v>1528</v>
      </c>
      <c r="D1989" s="3" t="s">
        <v>82</v>
      </c>
      <c r="E1989" s="3" t="s">
        <v>83</v>
      </c>
      <c r="F1989" s="3" t="s">
        <v>116</v>
      </c>
      <c r="G1989" s="3" t="s">
        <v>117</v>
      </c>
      <c r="H1989" s="4">
        <v>46291.715018287039</v>
      </c>
      <c r="I1989" s="4">
        <v>46291.807803703698</v>
      </c>
      <c r="J1989" s="3">
        <f>ROUND((I1989-H1989)*1440,0)</f>
        <v>134</v>
      </c>
      <c r="K1989" s="3" t="s">
        <v>665</v>
      </c>
      <c r="L1989" s="3" t="s">
        <v>36</v>
      </c>
      <c r="M1989" s="3" t="s">
        <v>36</v>
      </c>
      <c r="N1989" s="3" t="s">
        <v>45</v>
      </c>
      <c r="O1989" s="3" t="s">
        <v>666</v>
      </c>
    </row>
    <row r="1990" spans="1:15" hidden="1" x14ac:dyDescent="0.75">
      <c r="A1990" s="2">
        <v>46291</v>
      </c>
      <c r="B1990" s="3" t="s">
        <v>1449</v>
      </c>
      <c r="C1990" s="3" t="s">
        <v>1450</v>
      </c>
      <c r="D1990" s="3"/>
      <c r="E1990" s="3"/>
      <c r="F1990" s="3"/>
      <c r="G1990" s="3"/>
      <c r="H1990" s="4">
        <v>46291.715145717593</v>
      </c>
      <c r="I1990" s="4">
        <v>46291.715724652779</v>
      </c>
      <c r="J1990" s="3">
        <f>ROUND((I1990-H1990)*1440,0)</f>
        <v>1</v>
      </c>
      <c r="K1990" s="3" t="s">
        <v>240</v>
      </c>
      <c r="L1990" s="3" t="s">
        <v>52</v>
      </c>
      <c r="M1990" s="3"/>
      <c r="N1990" s="3" t="s">
        <v>23</v>
      </c>
      <c r="O1990" s="3" t="s">
        <v>241</v>
      </c>
    </row>
    <row r="1991" spans="1:15" hidden="1" x14ac:dyDescent="0.75">
      <c r="A1991" s="2">
        <v>46291</v>
      </c>
      <c r="B1991" s="3" t="s">
        <v>1449</v>
      </c>
      <c r="C1991" s="3" t="s">
        <v>1450</v>
      </c>
      <c r="D1991" s="3"/>
      <c r="E1991" s="3"/>
      <c r="F1991" s="3"/>
      <c r="G1991" s="3"/>
      <c r="H1991" s="4">
        <v>46291.715732060176</v>
      </c>
      <c r="I1991" s="4">
        <v>46291.717984490737</v>
      </c>
      <c r="J1991" s="3">
        <f>ROUND((I1991-H1991)*1440,0)</f>
        <v>3</v>
      </c>
      <c r="K1991" s="3" t="s">
        <v>240</v>
      </c>
      <c r="L1991" s="3" t="s">
        <v>52</v>
      </c>
      <c r="M1991" s="3"/>
      <c r="N1991" s="3" t="s">
        <v>23</v>
      </c>
      <c r="O1991" s="3" t="s">
        <v>241</v>
      </c>
    </row>
    <row r="1992" spans="1:15" hidden="1" x14ac:dyDescent="0.75">
      <c r="A1992" s="2">
        <v>46291</v>
      </c>
      <c r="B1992" s="3" t="s">
        <v>1637</v>
      </c>
      <c r="C1992" s="3" t="s">
        <v>1638</v>
      </c>
      <c r="D1992" s="3" t="s">
        <v>17</v>
      </c>
      <c r="E1992" s="3" t="s">
        <v>18</v>
      </c>
      <c r="F1992" s="3" t="s">
        <v>737</v>
      </c>
      <c r="G1992" s="3" t="s">
        <v>738</v>
      </c>
      <c r="H1992" s="4">
        <v>46291.71615266204</v>
      </c>
      <c r="I1992" s="4">
        <v>46291.752341319443</v>
      </c>
      <c r="J1992" s="3">
        <f>ROUND((I1992-H1992)*1440,0)</f>
        <v>52</v>
      </c>
      <c r="K1992" s="3" t="s">
        <v>214</v>
      </c>
      <c r="L1992" s="3" t="s">
        <v>77</v>
      </c>
      <c r="M1992" s="3" t="s">
        <v>78</v>
      </c>
      <c r="N1992" s="3" t="s">
        <v>45</v>
      </c>
      <c r="O1992" s="3" t="s">
        <v>215</v>
      </c>
    </row>
    <row r="1993" spans="1:15" hidden="1" x14ac:dyDescent="0.75">
      <c r="A1993" s="2">
        <v>46291</v>
      </c>
      <c r="B1993" s="3" t="s">
        <v>1533</v>
      </c>
      <c r="C1993" s="3" t="s">
        <v>1534</v>
      </c>
      <c r="D1993" s="3" t="s">
        <v>128</v>
      </c>
      <c r="E1993" s="3" t="s">
        <v>129</v>
      </c>
      <c r="F1993" s="3" t="s">
        <v>56</v>
      </c>
      <c r="G1993" s="3" t="s">
        <v>57</v>
      </c>
      <c r="H1993" s="4">
        <v>46291.717304745369</v>
      </c>
      <c r="I1993" s="4">
        <v>46291.816307291658</v>
      </c>
      <c r="J1993" s="3">
        <f>ROUND((I1993-H1993)*1440,0)</f>
        <v>143</v>
      </c>
      <c r="K1993" s="3" t="s">
        <v>1715</v>
      </c>
      <c r="L1993" s="3" t="s">
        <v>36</v>
      </c>
      <c r="M1993" s="3" t="s">
        <v>36</v>
      </c>
      <c r="N1993" s="3" t="s">
        <v>23</v>
      </c>
      <c r="O1993" s="3" t="s">
        <v>1716</v>
      </c>
    </row>
    <row r="1994" spans="1:15" hidden="1" x14ac:dyDescent="0.75">
      <c r="A1994" s="2">
        <v>46291</v>
      </c>
      <c r="B1994" s="3" t="s">
        <v>1529</v>
      </c>
      <c r="C1994" s="3" t="s">
        <v>1530</v>
      </c>
      <c r="D1994" s="3" t="s">
        <v>56</v>
      </c>
      <c r="E1994" s="3" t="s">
        <v>57</v>
      </c>
      <c r="F1994" s="3" t="s">
        <v>100</v>
      </c>
      <c r="G1994" s="3" t="s">
        <v>101</v>
      </c>
      <c r="H1994" s="4">
        <v>46291.717329398147</v>
      </c>
      <c r="I1994" s="4">
        <v>46291.749449074072</v>
      </c>
      <c r="J1994" s="3">
        <f>ROUND((I1994-H1994)*1440,0)</f>
        <v>46</v>
      </c>
      <c r="K1994" s="3" t="s">
        <v>493</v>
      </c>
      <c r="L1994" s="3" t="s">
        <v>36</v>
      </c>
      <c r="M1994" s="3" t="s">
        <v>36</v>
      </c>
      <c r="N1994" s="3" t="s">
        <v>45</v>
      </c>
      <c r="O1994" s="3" t="s">
        <v>494</v>
      </c>
    </row>
    <row r="1995" spans="1:15" hidden="1" x14ac:dyDescent="0.75">
      <c r="A1995" s="2">
        <v>46291</v>
      </c>
      <c r="B1995" s="3" t="s">
        <v>1521</v>
      </c>
      <c r="C1995" s="3" t="s">
        <v>1522</v>
      </c>
      <c r="D1995" s="3" t="s">
        <v>94</v>
      </c>
      <c r="E1995" s="3" t="s">
        <v>95</v>
      </c>
      <c r="F1995" s="3" t="s">
        <v>56</v>
      </c>
      <c r="G1995" s="3" t="s">
        <v>57</v>
      </c>
      <c r="H1995" s="4">
        <v>46291.717883449077</v>
      </c>
      <c r="I1995" s="4">
        <v>46291.781800462973</v>
      </c>
      <c r="J1995" s="3">
        <f>ROUND((I1995-H1995)*1440,0)</f>
        <v>92</v>
      </c>
      <c r="K1995" s="3" t="s">
        <v>1307</v>
      </c>
      <c r="L1995" s="3" t="s">
        <v>36</v>
      </c>
      <c r="M1995" s="3" t="s">
        <v>36</v>
      </c>
      <c r="N1995" s="3" t="s">
        <v>23</v>
      </c>
      <c r="O1995" s="3" t="s">
        <v>1308</v>
      </c>
    </row>
    <row r="1996" spans="1:15" hidden="1" x14ac:dyDescent="0.75">
      <c r="A1996" s="2">
        <v>46291</v>
      </c>
      <c r="B1996" s="3" t="s">
        <v>1449</v>
      </c>
      <c r="C1996" s="3" t="s">
        <v>1450</v>
      </c>
      <c r="D1996" s="3"/>
      <c r="E1996" s="3"/>
      <c r="F1996" s="3"/>
      <c r="G1996" s="3"/>
      <c r="H1996" s="4">
        <v>46291.717990625002</v>
      </c>
      <c r="I1996" s="4">
        <v>46291.718619212967</v>
      </c>
      <c r="J1996" s="3">
        <f>ROUND((I1996-H1996)*1440,0)</f>
        <v>1</v>
      </c>
      <c r="K1996" s="3" t="s">
        <v>240</v>
      </c>
      <c r="L1996" s="3" t="s">
        <v>52</v>
      </c>
      <c r="M1996" s="3"/>
      <c r="N1996" s="3" t="s">
        <v>23</v>
      </c>
      <c r="O1996" s="3" t="s">
        <v>241</v>
      </c>
    </row>
    <row r="1997" spans="1:15" hidden="1" x14ac:dyDescent="0.75">
      <c r="A1997" s="2">
        <v>46291</v>
      </c>
      <c r="B1997" s="3" t="s">
        <v>1449</v>
      </c>
      <c r="C1997" s="3" t="s">
        <v>1450</v>
      </c>
      <c r="D1997" s="3"/>
      <c r="E1997" s="3"/>
      <c r="F1997" s="3"/>
      <c r="G1997" s="3"/>
      <c r="H1997" s="4">
        <v>46291.718621527783</v>
      </c>
      <c r="I1997" s="4">
        <v>46291.719765624999</v>
      </c>
      <c r="J1997" s="3">
        <f>ROUND((I1997-H1997)*1440,0)</f>
        <v>2</v>
      </c>
      <c r="K1997" s="3" t="s">
        <v>240</v>
      </c>
      <c r="L1997" s="3" t="s">
        <v>52</v>
      </c>
      <c r="M1997" s="3"/>
      <c r="N1997" s="3" t="s">
        <v>23</v>
      </c>
      <c r="O1997" s="3" t="s">
        <v>241</v>
      </c>
    </row>
    <row r="1998" spans="1:15" hidden="1" x14ac:dyDescent="0.75">
      <c r="A1998" s="2">
        <v>46291</v>
      </c>
      <c r="B1998" s="3" t="s">
        <v>1675</v>
      </c>
      <c r="C1998" s="3" t="s">
        <v>1676</v>
      </c>
      <c r="D1998" s="3"/>
      <c r="E1998" s="3"/>
      <c r="F1998" s="3" t="s">
        <v>17</v>
      </c>
      <c r="G1998" s="3" t="s">
        <v>18</v>
      </c>
      <c r="H1998" s="4">
        <v>46291.719010532397</v>
      </c>
      <c r="I1998" s="4">
        <v>46291.815941319437</v>
      </c>
      <c r="J1998" s="3">
        <f>ROUND((I1998-H1998)*1440,0)</f>
        <v>140</v>
      </c>
      <c r="K1998" s="3" t="s">
        <v>192</v>
      </c>
      <c r="L1998" s="3" t="s">
        <v>36</v>
      </c>
      <c r="M1998" s="3" t="s">
        <v>36</v>
      </c>
      <c r="N1998" s="3" t="s">
        <v>23</v>
      </c>
      <c r="O1998" s="3" t="s">
        <v>193</v>
      </c>
    </row>
    <row r="1999" spans="1:15" hidden="1" x14ac:dyDescent="0.75">
      <c r="A1999" s="2">
        <v>46291</v>
      </c>
      <c r="B1999" s="3" t="s">
        <v>1857</v>
      </c>
      <c r="C1999" s="3" t="s">
        <v>1858</v>
      </c>
      <c r="D1999" s="3" t="s">
        <v>82</v>
      </c>
      <c r="E1999" s="3" t="s">
        <v>83</v>
      </c>
      <c r="F1999" s="3" t="s">
        <v>82</v>
      </c>
      <c r="G1999" s="3" t="s">
        <v>83</v>
      </c>
      <c r="H1999" s="4">
        <v>46291.71905659722</v>
      </c>
      <c r="I1999" s="4">
        <v>46291.915312037039</v>
      </c>
      <c r="J1999" s="3">
        <f>ROUND((I1999-H1999)*1440,0)</f>
        <v>283</v>
      </c>
      <c r="K1999" s="3" t="s">
        <v>907</v>
      </c>
      <c r="L1999" s="3" t="s">
        <v>36</v>
      </c>
      <c r="M1999" s="3" t="s">
        <v>36</v>
      </c>
      <c r="N1999" s="3" t="s">
        <v>23</v>
      </c>
      <c r="O1999" s="3" t="s">
        <v>908</v>
      </c>
    </row>
    <row r="2000" spans="1:15" hidden="1" x14ac:dyDescent="0.75">
      <c r="A2000" s="2">
        <v>46291</v>
      </c>
      <c r="B2000" s="3" t="s">
        <v>1449</v>
      </c>
      <c r="C2000" s="3" t="s">
        <v>1450</v>
      </c>
      <c r="D2000" s="3"/>
      <c r="E2000" s="3"/>
      <c r="F2000" s="3"/>
      <c r="G2000" s="3"/>
      <c r="H2000" s="4">
        <v>46291.719767361108</v>
      </c>
      <c r="I2000" s="4">
        <v>46291.720347106479</v>
      </c>
      <c r="J2000" s="3">
        <f>ROUND((I2000-H2000)*1440,0)</f>
        <v>1</v>
      </c>
      <c r="K2000" s="3" t="s">
        <v>240</v>
      </c>
      <c r="L2000" s="3" t="s">
        <v>52</v>
      </c>
      <c r="M2000" s="3"/>
      <c r="N2000" s="3" t="s">
        <v>23</v>
      </c>
      <c r="O2000" s="3" t="s">
        <v>241</v>
      </c>
    </row>
    <row r="2001" spans="1:15" hidden="1" x14ac:dyDescent="0.75">
      <c r="A2001" s="2">
        <v>46291</v>
      </c>
      <c r="B2001" s="3" t="s">
        <v>1449</v>
      </c>
      <c r="C2001" s="3" t="s">
        <v>1450</v>
      </c>
      <c r="D2001" s="3"/>
      <c r="E2001" s="3"/>
      <c r="F2001" s="3"/>
      <c r="G2001" s="3"/>
      <c r="H2001" s="4">
        <v>46291.720352893521</v>
      </c>
      <c r="I2001" s="4">
        <v>46291.721500462962</v>
      </c>
      <c r="J2001" s="3">
        <f>ROUND((I2001-H2001)*1440,0)</f>
        <v>2</v>
      </c>
      <c r="K2001" s="3" t="s">
        <v>240</v>
      </c>
      <c r="L2001" s="3" t="s">
        <v>52</v>
      </c>
      <c r="M2001" s="3"/>
      <c r="N2001" s="3" t="s">
        <v>23</v>
      </c>
      <c r="O2001" s="3" t="s">
        <v>241</v>
      </c>
    </row>
    <row r="2002" spans="1:15" hidden="1" x14ac:dyDescent="0.75">
      <c r="A2002" s="2">
        <v>46291</v>
      </c>
      <c r="B2002" s="3" t="s">
        <v>1719</v>
      </c>
      <c r="C2002" s="3" t="s">
        <v>1720</v>
      </c>
      <c r="D2002" s="3" t="s">
        <v>17</v>
      </c>
      <c r="E2002" s="3" t="s">
        <v>18</v>
      </c>
      <c r="F2002" s="3" t="s">
        <v>27</v>
      </c>
      <c r="G2002" s="3" t="s">
        <v>28</v>
      </c>
      <c r="H2002" s="4">
        <v>46291.720596064813</v>
      </c>
      <c r="I2002" s="4">
        <v>46291.75173009259</v>
      </c>
      <c r="J2002" s="3">
        <f>ROUND((I2002-H2002)*1440,0)</f>
        <v>45</v>
      </c>
      <c r="K2002" s="3" t="s">
        <v>529</v>
      </c>
      <c r="L2002" s="3" t="s">
        <v>77</v>
      </c>
      <c r="M2002" s="3" t="s">
        <v>78</v>
      </c>
      <c r="N2002" s="3" t="s">
        <v>23</v>
      </c>
      <c r="O2002" s="3" t="s">
        <v>530</v>
      </c>
    </row>
    <row r="2003" spans="1:15" hidden="1" x14ac:dyDescent="0.75">
      <c r="A2003" s="2">
        <v>46291</v>
      </c>
      <c r="B2003" s="3" t="s">
        <v>1705</v>
      </c>
      <c r="C2003" s="3" t="s">
        <v>1706</v>
      </c>
      <c r="D2003" s="3" t="s">
        <v>228</v>
      </c>
      <c r="E2003" s="3" t="s">
        <v>229</v>
      </c>
      <c r="F2003" s="3" t="s">
        <v>27</v>
      </c>
      <c r="G2003" s="3" t="s">
        <v>28</v>
      </c>
      <c r="H2003" s="4">
        <v>46291.721025694453</v>
      </c>
      <c r="I2003" s="4">
        <v>46291.810394328713</v>
      </c>
      <c r="J2003" s="3">
        <f>ROUND((I2003-H2003)*1440,0)</f>
        <v>129</v>
      </c>
      <c r="K2003" s="3" t="s">
        <v>372</v>
      </c>
      <c r="L2003" s="3" t="s">
        <v>77</v>
      </c>
      <c r="M2003" s="3" t="s">
        <v>78</v>
      </c>
      <c r="N2003" s="3" t="s">
        <v>23</v>
      </c>
      <c r="O2003" s="3" t="s">
        <v>373</v>
      </c>
    </row>
    <row r="2004" spans="1:15" hidden="1" x14ac:dyDescent="0.75">
      <c r="A2004" s="2">
        <v>46291</v>
      </c>
      <c r="B2004" s="3" t="s">
        <v>1449</v>
      </c>
      <c r="C2004" s="3" t="s">
        <v>1450</v>
      </c>
      <c r="D2004" s="3"/>
      <c r="E2004" s="3"/>
      <c r="F2004" s="3"/>
      <c r="G2004" s="3"/>
      <c r="H2004" s="4">
        <v>46291.721503587964</v>
      </c>
      <c r="I2004" s="4">
        <v>46291.72278275463</v>
      </c>
      <c r="J2004" s="3">
        <f>ROUND((I2004-H2004)*1440,0)</f>
        <v>2</v>
      </c>
      <c r="K2004" s="3" t="s">
        <v>240</v>
      </c>
      <c r="L2004" s="3" t="s">
        <v>52</v>
      </c>
      <c r="M2004" s="3"/>
      <c r="N2004" s="3" t="s">
        <v>23</v>
      </c>
      <c r="O2004" s="3" t="s">
        <v>241</v>
      </c>
    </row>
    <row r="2005" spans="1:15" hidden="1" x14ac:dyDescent="0.75">
      <c r="A2005" s="2">
        <v>46291</v>
      </c>
      <c r="B2005" s="3" t="s">
        <v>1577</v>
      </c>
      <c r="C2005" s="3" t="s">
        <v>1578</v>
      </c>
      <c r="D2005" s="3"/>
      <c r="E2005" s="3"/>
      <c r="F2005" s="3" t="s">
        <v>17</v>
      </c>
      <c r="G2005" s="3" t="s">
        <v>18</v>
      </c>
      <c r="H2005" s="4">
        <v>46291.72152175926</v>
      </c>
      <c r="I2005" s="4">
        <v>46291.817681597233</v>
      </c>
      <c r="J2005" s="3">
        <f>ROUND((I2005-H2005)*1440,0)</f>
        <v>138</v>
      </c>
      <c r="K2005" s="3" t="s">
        <v>188</v>
      </c>
      <c r="L2005" s="3" t="s">
        <v>22</v>
      </c>
      <c r="M2005" s="3" t="s">
        <v>22</v>
      </c>
      <c r="N2005" s="3" t="s">
        <v>23</v>
      </c>
      <c r="O2005" s="3" t="s">
        <v>189</v>
      </c>
    </row>
    <row r="2006" spans="1:15" hidden="1" x14ac:dyDescent="0.75">
      <c r="A2006" s="2">
        <v>46291</v>
      </c>
      <c r="B2006" s="3" t="s">
        <v>1519</v>
      </c>
      <c r="C2006" s="3" t="s">
        <v>1520</v>
      </c>
      <c r="D2006" s="3" t="s">
        <v>270</v>
      </c>
      <c r="E2006" s="3" t="s">
        <v>271</v>
      </c>
      <c r="F2006" s="3" t="s">
        <v>17</v>
      </c>
      <c r="G2006" s="3" t="s">
        <v>18</v>
      </c>
      <c r="H2006" s="4">
        <v>46291.722490624998</v>
      </c>
      <c r="I2006" s="4">
        <v>46291.865435648149</v>
      </c>
      <c r="J2006" s="3">
        <f>ROUND((I2006-H2006)*1440,0)</f>
        <v>206</v>
      </c>
      <c r="K2006" s="3" t="s">
        <v>1177</v>
      </c>
      <c r="L2006" s="3" t="s">
        <v>77</v>
      </c>
      <c r="M2006" s="3" t="s">
        <v>78</v>
      </c>
      <c r="N2006" s="3" t="s">
        <v>23</v>
      </c>
      <c r="O2006" s="3" t="s">
        <v>1178</v>
      </c>
    </row>
    <row r="2007" spans="1:15" hidden="1" x14ac:dyDescent="0.75">
      <c r="A2007" s="2">
        <v>46291</v>
      </c>
      <c r="B2007" s="3" t="s">
        <v>1449</v>
      </c>
      <c r="C2007" s="3" t="s">
        <v>1450</v>
      </c>
      <c r="D2007" s="3"/>
      <c r="E2007" s="3"/>
      <c r="F2007" s="3"/>
      <c r="G2007" s="3"/>
      <c r="H2007" s="4">
        <v>46291.722786226848</v>
      </c>
      <c r="I2007" s="4">
        <v>46291.72359548611</v>
      </c>
      <c r="J2007" s="3">
        <f>ROUND((I2007-H2007)*1440,0)</f>
        <v>1</v>
      </c>
      <c r="K2007" s="3" t="s">
        <v>240</v>
      </c>
      <c r="L2007" s="3" t="s">
        <v>52</v>
      </c>
      <c r="M2007" s="3"/>
      <c r="N2007" s="3" t="s">
        <v>23</v>
      </c>
      <c r="O2007" s="3" t="s">
        <v>241</v>
      </c>
    </row>
    <row r="2008" spans="1:15" hidden="1" x14ac:dyDescent="0.75">
      <c r="A2008" s="2">
        <v>46291</v>
      </c>
      <c r="B2008" s="3" t="s">
        <v>1449</v>
      </c>
      <c r="C2008" s="3" t="s">
        <v>1450</v>
      </c>
      <c r="D2008" s="3"/>
      <c r="E2008" s="3"/>
      <c r="F2008" s="3"/>
      <c r="G2008" s="3"/>
      <c r="H2008" s="4">
        <v>46291.723600231482</v>
      </c>
      <c r="I2008" s="4">
        <v>46291.724405092587</v>
      </c>
      <c r="J2008" s="3">
        <f>ROUND((I2008-H2008)*1440,0)</f>
        <v>1</v>
      </c>
      <c r="K2008" s="3" t="s">
        <v>240</v>
      </c>
      <c r="L2008" s="3" t="s">
        <v>52</v>
      </c>
      <c r="M2008" s="3"/>
      <c r="N2008" s="3" t="s">
        <v>23</v>
      </c>
      <c r="O2008" s="3" t="s">
        <v>241</v>
      </c>
    </row>
    <row r="2009" spans="1:15" hidden="1" x14ac:dyDescent="0.75">
      <c r="A2009" s="2">
        <v>46291</v>
      </c>
      <c r="B2009" s="3" t="s">
        <v>1513</v>
      </c>
      <c r="C2009" s="3" t="s">
        <v>1514</v>
      </c>
      <c r="D2009" s="3" t="s">
        <v>82</v>
      </c>
      <c r="E2009" s="3" t="s">
        <v>83</v>
      </c>
      <c r="F2009" s="3" t="s">
        <v>234</v>
      </c>
      <c r="G2009" s="3" t="s">
        <v>235</v>
      </c>
      <c r="H2009" s="4">
        <v>46291.7239619213</v>
      </c>
      <c r="I2009" s="4">
        <v>46291.825173726851</v>
      </c>
      <c r="J2009" s="3">
        <f>ROUND((I2009-H2009)*1440,0)</f>
        <v>146</v>
      </c>
      <c r="K2009" s="3" t="s">
        <v>1115</v>
      </c>
      <c r="L2009" s="3" t="s">
        <v>77</v>
      </c>
      <c r="M2009" s="3" t="s">
        <v>78</v>
      </c>
      <c r="N2009" s="3" t="s">
        <v>23</v>
      </c>
      <c r="O2009" s="3" t="s">
        <v>1116</v>
      </c>
    </row>
    <row r="2010" spans="1:15" hidden="1" x14ac:dyDescent="0.75">
      <c r="A2010" s="2">
        <v>46291</v>
      </c>
      <c r="B2010" s="3" t="s">
        <v>1449</v>
      </c>
      <c r="C2010" s="3" t="s">
        <v>1450</v>
      </c>
      <c r="D2010" s="3"/>
      <c r="E2010" s="3"/>
      <c r="F2010" s="3"/>
      <c r="G2010" s="3"/>
      <c r="H2010" s="4">
        <v>46291.724406944442</v>
      </c>
      <c r="I2010" s="4">
        <v>46291.724692476862</v>
      </c>
      <c r="J2010" s="3">
        <f>ROUND((I2010-H2010)*1440,0)</f>
        <v>0</v>
      </c>
      <c r="K2010" s="3" t="s">
        <v>240</v>
      </c>
      <c r="L2010" s="3" t="s">
        <v>52</v>
      </c>
      <c r="M2010" s="3"/>
      <c r="N2010" s="3" t="s">
        <v>23</v>
      </c>
      <c r="O2010" s="3" t="s">
        <v>241</v>
      </c>
    </row>
    <row r="2011" spans="1:15" hidden="1" x14ac:dyDescent="0.75">
      <c r="A2011" s="2">
        <v>46291</v>
      </c>
      <c r="B2011" s="3" t="s">
        <v>1449</v>
      </c>
      <c r="C2011" s="3" t="s">
        <v>1450</v>
      </c>
      <c r="D2011" s="3"/>
      <c r="E2011" s="3"/>
      <c r="F2011" s="3"/>
      <c r="G2011" s="3"/>
      <c r="H2011" s="4">
        <v>46291.724694907411</v>
      </c>
      <c r="I2011" s="4">
        <v>46291.727808564807</v>
      </c>
      <c r="J2011" s="3">
        <f>ROUND((I2011-H2011)*1440,0)</f>
        <v>4</v>
      </c>
      <c r="K2011" s="3" t="s">
        <v>240</v>
      </c>
      <c r="L2011" s="3" t="s">
        <v>52</v>
      </c>
      <c r="M2011" s="3"/>
      <c r="N2011" s="3" t="s">
        <v>23</v>
      </c>
      <c r="O2011" s="3" t="s">
        <v>241</v>
      </c>
    </row>
    <row r="2012" spans="1:15" hidden="1" x14ac:dyDescent="0.75">
      <c r="A2012" s="2">
        <v>46291</v>
      </c>
      <c r="B2012" s="3" t="s">
        <v>2392</v>
      </c>
      <c r="C2012" s="3" t="s">
        <v>2393</v>
      </c>
      <c r="D2012" s="3" t="s">
        <v>615</v>
      </c>
      <c r="E2012" s="3" t="s">
        <v>616</v>
      </c>
      <c r="F2012" s="3" t="s">
        <v>737</v>
      </c>
      <c r="G2012" s="3" t="s">
        <v>738</v>
      </c>
      <c r="H2012" s="4">
        <v>46291.726391319447</v>
      </c>
      <c r="I2012" s="4">
        <v>46291.890819675929</v>
      </c>
      <c r="J2012" s="3">
        <f>ROUND((I2012-H2012)*1440,0)</f>
        <v>237</v>
      </c>
      <c r="K2012" s="3" t="s">
        <v>256</v>
      </c>
      <c r="L2012" s="3" t="s">
        <v>36</v>
      </c>
      <c r="M2012" s="3" t="s">
        <v>36</v>
      </c>
      <c r="N2012" s="3" t="s">
        <v>45</v>
      </c>
      <c r="O2012" s="3" t="s">
        <v>257</v>
      </c>
    </row>
    <row r="2013" spans="1:15" hidden="1" x14ac:dyDescent="0.75">
      <c r="A2013" s="2">
        <v>46291</v>
      </c>
      <c r="B2013" s="3" t="s">
        <v>1587</v>
      </c>
      <c r="C2013" s="3" t="s">
        <v>1588</v>
      </c>
      <c r="D2013" s="3" t="s">
        <v>56</v>
      </c>
      <c r="E2013" s="3" t="s">
        <v>57</v>
      </c>
      <c r="F2013" s="3" t="s">
        <v>128</v>
      </c>
      <c r="G2013" s="3" t="s">
        <v>129</v>
      </c>
      <c r="H2013" s="4">
        <v>46291.72721759259</v>
      </c>
      <c r="I2013" s="4">
        <v>46291.836571180553</v>
      </c>
      <c r="J2013" s="3">
        <f>ROUND((I2013-H2013)*1440,0)</f>
        <v>157</v>
      </c>
      <c r="K2013" s="3" t="s">
        <v>168</v>
      </c>
      <c r="L2013" s="3" t="s">
        <v>36</v>
      </c>
      <c r="M2013" s="3" t="s">
        <v>36</v>
      </c>
      <c r="N2013" s="3" t="s">
        <v>23</v>
      </c>
      <c r="O2013" s="3" t="s">
        <v>169</v>
      </c>
    </row>
    <row r="2014" spans="1:15" hidden="1" x14ac:dyDescent="0.75">
      <c r="A2014" s="2">
        <v>46291</v>
      </c>
      <c r="B2014" s="3" t="s">
        <v>1549</v>
      </c>
      <c r="C2014" s="3" t="s">
        <v>1550</v>
      </c>
      <c r="D2014" s="3" t="s">
        <v>459</v>
      </c>
      <c r="E2014" s="3" t="s">
        <v>460</v>
      </c>
      <c r="F2014" s="3" t="s">
        <v>17</v>
      </c>
      <c r="G2014" s="3" t="s">
        <v>18</v>
      </c>
      <c r="H2014" s="4">
        <v>46291.727325694454</v>
      </c>
      <c r="I2014" s="4">
        <v>46291.946356944442</v>
      </c>
      <c r="J2014" s="3">
        <f>ROUND((I2014-H2014)*1440,0)</f>
        <v>315</v>
      </c>
      <c r="K2014" s="3" t="s">
        <v>653</v>
      </c>
      <c r="L2014" s="3" t="s">
        <v>22</v>
      </c>
      <c r="M2014" s="3" t="s">
        <v>22</v>
      </c>
      <c r="N2014" s="3" t="s">
        <v>23</v>
      </c>
      <c r="O2014" s="3" t="s">
        <v>654</v>
      </c>
    </row>
    <row r="2015" spans="1:15" hidden="1" x14ac:dyDescent="0.75">
      <c r="A2015" s="2">
        <v>46291</v>
      </c>
      <c r="B2015" s="3" t="s">
        <v>1449</v>
      </c>
      <c r="C2015" s="3" t="s">
        <v>1450</v>
      </c>
      <c r="D2015" s="3"/>
      <c r="E2015" s="3"/>
      <c r="F2015" s="3"/>
      <c r="G2015" s="3"/>
      <c r="H2015" s="4">
        <v>46291.727808796299</v>
      </c>
      <c r="I2015" s="4">
        <v>46291.729649305547</v>
      </c>
      <c r="J2015" s="3">
        <f>ROUND((I2015-H2015)*1440,0)</f>
        <v>3</v>
      </c>
      <c r="K2015" s="3" t="s">
        <v>240</v>
      </c>
      <c r="L2015" s="3" t="s">
        <v>52</v>
      </c>
      <c r="M2015" s="3"/>
      <c r="N2015" s="3" t="s">
        <v>23</v>
      </c>
      <c r="O2015" s="3" t="s">
        <v>241</v>
      </c>
    </row>
    <row r="2016" spans="1:15" hidden="1" x14ac:dyDescent="0.75">
      <c r="A2016" s="2">
        <v>46291</v>
      </c>
      <c r="B2016" s="3" t="s">
        <v>1449</v>
      </c>
      <c r="C2016" s="3" t="s">
        <v>1450</v>
      </c>
      <c r="D2016" s="3"/>
      <c r="E2016" s="3"/>
      <c r="F2016" s="3"/>
      <c r="G2016" s="3"/>
      <c r="H2016" s="4">
        <v>46291.72965277778</v>
      </c>
      <c r="I2016" s="4">
        <v>46291.730459027778</v>
      </c>
      <c r="J2016" s="3">
        <f>ROUND((I2016-H2016)*1440,0)</f>
        <v>1</v>
      </c>
      <c r="K2016" s="3" t="s">
        <v>240</v>
      </c>
      <c r="L2016" s="3" t="s">
        <v>52</v>
      </c>
      <c r="M2016" s="3"/>
      <c r="N2016" s="3" t="s">
        <v>23</v>
      </c>
      <c r="O2016" s="3" t="s">
        <v>241</v>
      </c>
    </row>
    <row r="2017" spans="1:15" hidden="1" x14ac:dyDescent="0.75">
      <c r="A2017" s="2">
        <v>46291</v>
      </c>
      <c r="B2017" s="3" t="s">
        <v>1449</v>
      </c>
      <c r="C2017" s="3" t="s">
        <v>1450</v>
      </c>
      <c r="D2017" s="3"/>
      <c r="E2017" s="3"/>
      <c r="F2017" s="3"/>
      <c r="G2017" s="3"/>
      <c r="H2017" s="4">
        <v>46291.730462500003</v>
      </c>
      <c r="I2017" s="4">
        <v>46291.730573379631</v>
      </c>
      <c r="J2017" s="3">
        <f>ROUND((I2017-H2017)*1440,0)</f>
        <v>0</v>
      </c>
      <c r="K2017" s="3" t="s">
        <v>240</v>
      </c>
      <c r="L2017" s="3" t="s">
        <v>52</v>
      </c>
      <c r="M2017" s="3"/>
      <c r="N2017" s="3" t="s">
        <v>23</v>
      </c>
      <c r="O2017" s="3" t="s">
        <v>241</v>
      </c>
    </row>
    <row r="2018" spans="1:15" hidden="1" x14ac:dyDescent="0.75">
      <c r="A2018" s="2">
        <v>46291</v>
      </c>
      <c r="B2018" s="3" t="s">
        <v>1449</v>
      </c>
      <c r="C2018" s="3" t="s">
        <v>1450</v>
      </c>
      <c r="D2018" s="3"/>
      <c r="E2018" s="3"/>
      <c r="F2018" s="3" t="s">
        <v>2394</v>
      </c>
      <c r="G2018" s="3" t="s">
        <v>2395</v>
      </c>
      <c r="H2018" s="4">
        <v>46291.73057673611</v>
      </c>
      <c r="I2018" s="4">
        <v>46291.731678356482</v>
      </c>
      <c r="J2018" s="3">
        <f>ROUND((I2018-H2018)*1440,0)</f>
        <v>2</v>
      </c>
      <c r="K2018" s="3" t="s">
        <v>240</v>
      </c>
      <c r="L2018" s="3" t="s">
        <v>52</v>
      </c>
      <c r="M2018" s="3"/>
      <c r="N2018" s="3" t="s">
        <v>23</v>
      </c>
      <c r="O2018" s="3" t="s">
        <v>241</v>
      </c>
    </row>
    <row r="2019" spans="1:15" hidden="1" x14ac:dyDescent="0.75">
      <c r="A2019" s="2">
        <v>46291</v>
      </c>
      <c r="B2019" s="3" t="s">
        <v>1563</v>
      </c>
      <c r="C2019" s="3" t="s">
        <v>1564</v>
      </c>
      <c r="D2019" s="3" t="s">
        <v>82</v>
      </c>
      <c r="E2019" s="3" t="s">
        <v>83</v>
      </c>
      <c r="F2019" s="3" t="s">
        <v>158</v>
      </c>
      <c r="G2019" s="3" t="s">
        <v>159</v>
      </c>
      <c r="H2019" s="4">
        <v>46291.731626504632</v>
      </c>
      <c r="I2019" s="4">
        <v>46291.802059837974</v>
      </c>
      <c r="J2019" s="3">
        <f>ROUND((I2019-H2019)*1440,0)</f>
        <v>101</v>
      </c>
      <c r="K2019" s="3" t="s">
        <v>715</v>
      </c>
      <c r="L2019" s="3" t="s">
        <v>36</v>
      </c>
      <c r="M2019" s="3" t="s">
        <v>36</v>
      </c>
      <c r="N2019" s="3" t="s">
        <v>23</v>
      </c>
      <c r="O2019" s="3" t="s">
        <v>716</v>
      </c>
    </row>
    <row r="2020" spans="1:15" hidden="1" x14ac:dyDescent="0.75">
      <c r="A2020" s="2">
        <v>46291</v>
      </c>
      <c r="B2020" s="3" t="s">
        <v>1449</v>
      </c>
      <c r="C2020" s="3" t="s">
        <v>1450</v>
      </c>
      <c r="D2020" s="3" t="s">
        <v>2394</v>
      </c>
      <c r="E2020" s="3" t="s">
        <v>2395</v>
      </c>
      <c r="F2020" s="3" t="s">
        <v>1367</v>
      </c>
      <c r="G2020" s="3" t="s">
        <v>1368</v>
      </c>
      <c r="H2020" s="4">
        <v>46291.731683449078</v>
      </c>
      <c r="I2020" s="4">
        <v>46291.733651388888</v>
      </c>
      <c r="J2020" s="3">
        <f>ROUND((I2020-H2020)*1440,0)</f>
        <v>3</v>
      </c>
      <c r="K2020" s="3" t="s">
        <v>240</v>
      </c>
      <c r="L2020" s="3" t="s">
        <v>52</v>
      </c>
      <c r="M2020" s="3"/>
      <c r="N2020" s="3" t="s">
        <v>23</v>
      </c>
      <c r="O2020" s="3" t="s">
        <v>241</v>
      </c>
    </row>
    <row r="2021" spans="1:15" hidden="1" x14ac:dyDescent="0.75">
      <c r="A2021" s="2">
        <v>46291</v>
      </c>
      <c r="B2021" s="3" t="s">
        <v>1525</v>
      </c>
      <c r="C2021" s="3" t="s">
        <v>1526</v>
      </c>
      <c r="D2021" s="3" t="s">
        <v>400</v>
      </c>
      <c r="E2021" s="3" t="s">
        <v>401</v>
      </c>
      <c r="F2021" s="3" t="s">
        <v>82</v>
      </c>
      <c r="G2021" s="3" t="s">
        <v>83</v>
      </c>
      <c r="H2021" s="4">
        <v>46291.731764467593</v>
      </c>
      <c r="I2021" s="4">
        <v>46291.825215046287</v>
      </c>
      <c r="J2021" s="3">
        <f>ROUND((I2021-H2021)*1440,0)</f>
        <v>135</v>
      </c>
      <c r="K2021" s="3" t="s">
        <v>1191</v>
      </c>
      <c r="L2021" s="3" t="s">
        <v>36</v>
      </c>
      <c r="M2021" s="3" t="s">
        <v>36</v>
      </c>
      <c r="N2021" s="3" t="s">
        <v>23</v>
      </c>
      <c r="O2021" s="3" t="s">
        <v>1192</v>
      </c>
    </row>
    <row r="2022" spans="1:15" hidden="1" x14ac:dyDescent="0.75">
      <c r="A2022" s="2">
        <v>46291</v>
      </c>
      <c r="B2022" s="3" t="s">
        <v>1581</v>
      </c>
      <c r="C2022" s="3" t="s">
        <v>1582</v>
      </c>
      <c r="D2022" s="3" t="s">
        <v>1207</v>
      </c>
      <c r="E2022" s="3" t="s">
        <v>1208</v>
      </c>
      <c r="F2022" s="3" t="s">
        <v>82</v>
      </c>
      <c r="G2022" s="3" t="s">
        <v>83</v>
      </c>
      <c r="H2022" s="4">
        <v>46291.731871180556</v>
      </c>
      <c r="I2022" s="4">
        <v>46291.832789814813</v>
      </c>
      <c r="J2022" s="3">
        <f>ROUND((I2022-H2022)*1440,0)</f>
        <v>145</v>
      </c>
      <c r="K2022" s="3" t="s">
        <v>1009</v>
      </c>
      <c r="L2022" s="3" t="s">
        <v>36</v>
      </c>
      <c r="M2022" s="3" t="s">
        <v>36</v>
      </c>
      <c r="N2022" s="3" t="s">
        <v>23</v>
      </c>
      <c r="O2022" s="3" t="s">
        <v>1010</v>
      </c>
    </row>
    <row r="2023" spans="1:15" hidden="1" x14ac:dyDescent="0.75">
      <c r="A2023" s="2">
        <v>46291</v>
      </c>
      <c r="B2023" s="3" t="s">
        <v>1611</v>
      </c>
      <c r="C2023" s="3" t="s">
        <v>1612</v>
      </c>
      <c r="D2023" s="3" t="s">
        <v>244</v>
      </c>
      <c r="E2023" s="3" t="s">
        <v>245</v>
      </c>
      <c r="F2023" s="3" t="s">
        <v>82</v>
      </c>
      <c r="G2023" s="3" t="s">
        <v>83</v>
      </c>
      <c r="H2023" s="4">
        <v>46291.732520717589</v>
      </c>
      <c r="I2023" s="4">
        <v>46291.834927314812</v>
      </c>
      <c r="J2023" s="3">
        <f>ROUND((I2023-H2023)*1440,0)</f>
        <v>147</v>
      </c>
      <c r="K2023" s="3" t="s">
        <v>1989</v>
      </c>
      <c r="L2023" s="3" t="s">
        <v>36</v>
      </c>
      <c r="M2023" s="3" t="s">
        <v>36</v>
      </c>
      <c r="N2023" s="3" t="s">
        <v>23</v>
      </c>
      <c r="O2023" s="3" t="s">
        <v>1990</v>
      </c>
    </row>
    <row r="2024" spans="1:15" hidden="1" x14ac:dyDescent="0.75">
      <c r="A2024" s="2">
        <v>46291</v>
      </c>
      <c r="B2024" s="3" t="s">
        <v>1449</v>
      </c>
      <c r="C2024" s="3" t="s">
        <v>1450</v>
      </c>
      <c r="D2024" s="3" t="s">
        <v>1367</v>
      </c>
      <c r="E2024" s="3" t="s">
        <v>1368</v>
      </c>
      <c r="F2024" s="3" t="s">
        <v>27</v>
      </c>
      <c r="G2024" s="3" t="s">
        <v>28</v>
      </c>
      <c r="H2024" s="4">
        <v>46291.733653587973</v>
      </c>
      <c r="I2024" s="4">
        <v>46291.734989699071</v>
      </c>
      <c r="J2024" s="3">
        <f>ROUND((I2024-H2024)*1440,0)</f>
        <v>2</v>
      </c>
      <c r="K2024" s="3" t="s">
        <v>240</v>
      </c>
      <c r="L2024" s="3" t="s">
        <v>52</v>
      </c>
      <c r="M2024" s="3"/>
      <c r="N2024" s="3" t="s">
        <v>23</v>
      </c>
      <c r="O2024" s="3" t="s">
        <v>241</v>
      </c>
    </row>
    <row r="2025" spans="1:15" hidden="1" x14ac:dyDescent="0.75">
      <c r="A2025" s="2">
        <v>46291</v>
      </c>
      <c r="B2025" s="3" t="s">
        <v>1941</v>
      </c>
      <c r="C2025" s="3" t="s">
        <v>1942</v>
      </c>
      <c r="D2025" s="3" t="s">
        <v>208</v>
      </c>
      <c r="E2025" s="3" t="s">
        <v>209</v>
      </c>
      <c r="F2025" s="3" t="s">
        <v>56</v>
      </c>
      <c r="G2025" s="3" t="s">
        <v>57</v>
      </c>
      <c r="H2025" s="4">
        <v>46291.733790046303</v>
      </c>
      <c r="I2025" s="4">
        <v>46291.826788078703</v>
      </c>
      <c r="J2025" s="3">
        <f>ROUND((I2025-H2025)*1440,0)</f>
        <v>134</v>
      </c>
      <c r="K2025" s="3" t="s">
        <v>134</v>
      </c>
      <c r="L2025" s="3" t="s">
        <v>36</v>
      </c>
      <c r="M2025" s="3" t="s">
        <v>36</v>
      </c>
      <c r="N2025" s="3" t="s">
        <v>23</v>
      </c>
      <c r="O2025" s="3" t="s">
        <v>135</v>
      </c>
    </row>
    <row r="2026" spans="1:15" hidden="1" x14ac:dyDescent="0.75">
      <c r="A2026" s="2">
        <v>46291</v>
      </c>
      <c r="B2026" s="3" t="s">
        <v>1667</v>
      </c>
      <c r="C2026" s="3" t="s">
        <v>1668</v>
      </c>
      <c r="D2026" s="3" t="s">
        <v>122</v>
      </c>
      <c r="E2026" s="3" t="s">
        <v>123</v>
      </c>
      <c r="F2026" s="3" t="s">
        <v>27</v>
      </c>
      <c r="G2026" s="3" t="s">
        <v>28</v>
      </c>
      <c r="H2026" s="4">
        <v>46291.734014699083</v>
      </c>
      <c r="I2026" s="4">
        <v>46291.965494675933</v>
      </c>
      <c r="J2026" s="3">
        <f>ROUND((I2026-H2026)*1440,0)</f>
        <v>333</v>
      </c>
      <c r="K2026" s="3" t="s">
        <v>276</v>
      </c>
      <c r="L2026" s="3" t="s">
        <v>22</v>
      </c>
      <c r="M2026" s="3" t="s">
        <v>22</v>
      </c>
      <c r="N2026" s="3" t="s">
        <v>23</v>
      </c>
      <c r="O2026" s="3" t="s">
        <v>277</v>
      </c>
    </row>
    <row r="2027" spans="1:15" hidden="1" x14ac:dyDescent="0.75">
      <c r="A2027" s="2">
        <v>46291</v>
      </c>
      <c r="B2027" s="3" t="s">
        <v>1539</v>
      </c>
      <c r="C2027" s="3" t="s">
        <v>1540</v>
      </c>
      <c r="D2027" s="3" t="s">
        <v>182</v>
      </c>
      <c r="E2027" s="3" t="s">
        <v>183</v>
      </c>
      <c r="F2027" s="3" t="s">
        <v>56</v>
      </c>
      <c r="G2027" s="3" t="s">
        <v>57</v>
      </c>
      <c r="H2027" s="4">
        <v>46291.734981481481</v>
      </c>
      <c r="I2027" s="4">
        <v>46291.797544560177</v>
      </c>
      <c r="J2027" s="3">
        <f>ROUND((I2027-H2027)*1440,0)</f>
        <v>90</v>
      </c>
      <c r="K2027" s="3" t="s">
        <v>501</v>
      </c>
      <c r="L2027" s="3" t="s">
        <v>77</v>
      </c>
      <c r="M2027" s="3" t="s">
        <v>78</v>
      </c>
      <c r="N2027" s="3" t="s">
        <v>23</v>
      </c>
      <c r="O2027" s="3" t="s">
        <v>502</v>
      </c>
    </row>
    <row r="2028" spans="1:15" hidden="1" x14ac:dyDescent="0.75">
      <c r="A2028" s="2">
        <v>46291</v>
      </c>
      <c r="B2028" s="3" t="s">
        <v>1449</v>
      </c>
      <c r="C2028" s="3" t="s">
        <v>1450</v>
      </c>
      <c r="D2028" s="3" t="s">
        <v>27</v>
      </c>
      <c r="E2028" s="3" t="s">
        <v>28</v>
      </c>
      <c r="F2028" s="3" t="s">
        <v>27</v>
      </c>
      <c r="G2028" s="3" t="s">
        <v>28</v>
      </c>
      <c r="H2028" s="4">
        <v>46291.734989814817</v>
      </c>
      <c r="I2028" s="4">
        <v>46291.73522141204</v>
      </c>
      <c r="J2028" s="3">
        <f>ROUND((I2028-H2028)*1440,0)</f>
        <v>0</v>
      </c>
      <c r="K2028" s="3" t="s">
        <v>240</v>
      </c>
      <c r="L2028" s="3" t="s">
        <v>52</v>
      </c>
      <c r="M2028" s="3"/>
      <c r="N2028" s="3" t="s">
        <v>23</v>
      </c>
      <c r="O2028" s="3" t="s">
        <v>241</v>
      </c>
    </row>
    <row r="2029" spans="1:15" hidden="1" x14ac:dyDescent="0.75">
      <c r="A2029" s="2">
        <v>46291</v>
      </c>
      <c r="B2029" s="3" t="s">
        <v>1449</v>
      </c>
      <c r="C2029" s="3" t="s">
        <v>1450</v>
      </c>
      <c r="D2029" s="3" t="s">
        <v>27</v>
      </c>
      <c r="E2029" s="3" t="s">
        <v>28</v>
      </c>
      <c r="F2029" s="3" t="s">
        <v>27</v>
      </c>
      <c r="G2029" s="3" t="s">
        <v>28</v>
      </c>
      <c r="H2029" s="4">
        <v>46291.735226157412</v>
      </c>
      <c r="I2029" s="4">
        <v>46291.735915625002</v>
      </c>
      <c r="J2029" s="3">
        <f>ROUND((I2029-H2029)*1440,0)</f>
        <v>1</v>
      </c>
      <c r="K2029" s="3" t="s">
        <v>240</v>
      </c>
      <c r="L2029" s="3" t="s">
        <v>52</v>
      </c>
      <c r="M2029" s="3"/>
      <c r="N2029" s="3" t="s">
        <v>23</v>
      </c>
      <c r="O2029" s="3" t="s">
        <v>241</v>
      </c>
    </row>
    <row r="2030" spans="1:15" hidden="1" x14ac:dyDescent="0.75">
      <c r="A2030" s="2">
        <v>46291</v>
      </c>
      <c r="B2030" s="3" t="s">
        <v>1449</v>
      </c>
      <c r="C2030" s="3" t="s">
        <v>1450</v>
      </c>
      <c r="D2030" s="3" t="s">
        <v>27</v>
      </c>
      <c r="E2030" s="3" t="s">
        <v>28</v>
      </c>
      <c r="F2030" s="3" t="s">
        <v>27</v>
      </c>
      <c r="G2030" s="3" t="s">
        <v>28</v>
      </c>
      <c r="H2030" s="4">
        <v>46291.735919675928</v>
      </c>
      <c r="I2030" s="4">
        <v>46291.736667824072</v>
      </c>
      <c r="J2030" s="3">
        <f>ROUND((I2030-H2030)*1440,0)</f>
        <v>1</v>
      </c>
      <c r="K2030" s="3" t="s">
        <v>240</v>
      </c>
      <c r="L2030" s="3" t="s">
        <v>52</v>
      </c>
      <c r="M2030" s="3"/>
      <c r="N2030" s="3" t="s">
        <v>23</v>
      </c>
      <c r="O2030" s="3" t="s">
        <v>241</v>
      </c>
    </row>
    <row r="2031" spans="1:15" hidden="1" x14ac:dyDescent="0.75">
      <c r="A2031" s="2">
        <v>46291</v>
      </c>
      <c r="B2031" s="3" t="s">
        <v>1449</v>
      </c>
      <c r="C2031" s="3" t="s">
        <v>1450</v>
      </c>
      <c r="D2031" s="3" t="s">
        <v>27</v>
      </c>
      <c r="E2031" s="3" t="s">
        <v>28</v>
      </c>
      <c r="F2031" s="3" t="s">
        <v>27</v>
      </c>
      <c r="G2031" s="3" t="s">
        <v>28</v>
      </c>
      <c r="H2031" s="4">
        <v>46291.736671296298</v>
      </c>
      <c r="I2031" s="4">
        <v>46291.737247569443</v>
      </c>
      <c r="J2031" s="3">
        <f>ROUND((I2031-H2031)*1440,0)</f>
        <v>1</v>
      </c>
      <c r="K2031" s="3" t="s">
        <v>240</v>
      </c>
      <c r="L2031" s="3" t="s">
        <v>52</v>
      </c>
      <c r="M2031" s="3"/>
      <c r="N2031" s="3" t="s">
        <v>23</v>
      </c>
      <c r="O2031" s="3" t="s">
        <v>241</v>
      </c>
    </row>
    <row r="2032" spans="1:15" hidden="1" x14ac:dyDescent="0.75">
      <c r="A2032" s="2">
        <v>46291</v>
      </c>
      <c r="B2032" s="3" t="s">
        <v>1449</v>
      </c>
      <c r="C2032" s="3" t="s">
        <v>1450</v>
      </c>
      <c r="D2032" s="3" t="s">
        <v>27</v>
      </c>
      <c r="E2032" s="3" t="s">
        <v>28</v>
      </c>
      <c r="F2032" s="3" t="s">
        <v>2396</v>
      </c>
      <c r="G2032" s="3" t="s">
        <v>2397</v>
      </c>
      <c r="H2032" s="4">
        <v>46291.73725150463</v>
      </c>
      <c r="I2032" s="4">
        <v>46291.738350347223</v>
      </c>
      <c r="J2032" s="3">
        <f>ROUND((I2032-H2032)*1440,0)</f>
        <v>2</v>
      </c>
      <c r="K2032" s="3" t="s">
        <v>240</v>
      </c>
      <c r="L2032" s="3" t="s">
        <v>52</v>
      </c>
      <c r="M2032" s="3"/>
      <c r="N2032" s="3" t="s">
        <v>23</v>
      </c>
      <c r="O2032" s="3" t="s">
        <v>241</v>
      </c>
    </row>
    <row r="2033" spans="1:15" hidden="1" x14ac:dyDescent="0.75">
      <c r="A2033" s="2">
        <v>46291</v>
      </c>
      <c r="B2033" s="3" t="s">
        <v>1625</v>
      </c>
      <c r="C2033" s="3" t="s">
        <v>1626</v>
      </c>
      <c r="D2033" s="3" t="s">
        <v>304</v>
      </c>
      <c r="E2033" s="3" t="s">
        <v>305</v>
      </c>
      <c r="F2033" s="3" t="s">
        <v>56</v>
      </c>
      <c r="G2033" s="3" t="s">
        <v>57</v>
      </c>
      <c r="H2033" s="4">
        <v>46291.737816550929</v>
      </c>
      <c r="I2033" s="4">
        <v>46291.927210069443</v>
      </c>
      <c r="J2033" s="3">
        <f>ROUND((I2033-H2033)*1440,0)</f>
        <v>273</v>
      </c>
      <c r="K2033" s="3" t="s">
        <v>1257</v>
      </c>
      <c r="L2033" s="3" t="s">
        <v>22</v>
      </c>
      <c r="M2033" s="3" t="s">
        <v>22</v>
      </c>
      <c r="N2033" s="3" t="s">
        <v>23</v>
      </c>
      <c r="O2033" s="3" t="s">
        <v>1258</v>
      </c>
    </row>
    <row r="2034" spans="1:15" hidden="1" x14ac:dyDescent="0.75">
      <c r="A2034" s="2">
        <v>46291</v>
      </c>
      <c r="B2034" s="3" t="s">
        <v>1449</v>
      </c>
      <c r="C2034" s="3" t="s">
        <v>1450</v>
      </c>
      <c r="D2034" s="3" t="s">
        <v>2396</v>
      </c>
      <c r="E2034" s="3" t="s">
        <v>2397</v>
      </c>
      <c r="F2034" s="3"/>
      <c r="G2034" s="3"/>
      <c r="H2034" s="4">
        <v>46291.738353819441</v>
      </c>
      <c r="I2034" s="4">
        <v>46291.740077430557</v>
      </c>
      <c r="J2034" s="3">
        <f>ROUND((I2034-H2034)*1440,0)</f>
        <v>2</v>
      </c>
      <c r="K2034" s="3" t="s">
        <v>240</v>
      </c>
      <c r="L2034" s="3" t="s">
        <v>52</v>
      </c>
      <c r="M2034" s="3"/>
      <c r="N2034" s="3" t="s">
        <v>23</v>
      </c>
      <c r="O2034" s="3" t="s">
        <v>241</v>
      </c>
    </row>
    <row r="2035" spans="1:15" hidden="1" x14ac:dyDescent="0.75">
      <c r="A2035" s="2">
        <v>46291</v>
      </c>
      <c r="B2035" s="3" t="s">
        <v>1555</v>
      </c>
      <c r="C2035" s="3" t="s">
        <v>1556</v>
      </c>
      <c r="D2035" s="3" t="s">
        <v>17</v>
      </c>
      <c r="E2035" s="3" t="s">
        <v>18</v>
      </c>
      <c r="F2035" s="3" t="s">
        <v>270</v>
      </c>
      <c r="G2035" s="3" t="s">
        <v>271</v>
      </c>
      <c r="H2035" s="4">
        <v>46291.739172569447</v>
      </c>
      <c r="I2035" s="4">
        <v>46291.870961458328</v>
      </c>
      <c r="J2035" s="3">
        <f>ROUND((I2035-H2035)*1440,0)</f>
        <v>190</v>
      </c>
      <c r="K2035" s="3" t="s">
        <v>1997</v>
      </c>
      <c r="L2035" s="3" t="s">
        <v>77</v>
      </c>
      <c r="M2035" s="3" t="s">
        <v>78</v>
      </c>
      <c r="N2035" s="3" t="s">
        <v>45</v>
      </c>
      <c r="O2035" s="3" t="s">
        <v>1998</v>
      </c>
    </row>
    <row r="2036" spans="1:15" hidden="1" x14ac:dyDescent="0.75">
      <c r="A2036" s="2">
        <v>46291</v>
      </c>
      <c r="B2036" s="3" t="s">
        <v>1693</v>
      </c>
      <c r="C2036" s="3" t="s">
        <v>1694</v>
      </c>
      <c r="D2036" s="3" t="s">
        <v>264</v>
      </c>
      <c r="E2036" s="3" t="s">
        <v>265</v>
      </c>
      <c r="F2036" s="3" t="s">
        <v>27</v>
      </c>
      <c r="G2036" s="3" t="s">
        <v>28</v>
      </c>
      <c r="H2036" s="4">
        <v>46291.739316898151</v>
      </c>
      <c r="I2036" s="4">
        <v>46291.950099305563</v>
      </c>
      <c r="J2036" s="3">
        <f>ROUND((I2036-H2036)*1440,0)</f>
        <v>304</v>
      </c>
      <c r="K2036" s="3" t="s">
        <v>473</v>
      </c>
      <c r="L2036" s="3" t="s">
        <v>43</v>
      </c>
      <c r="M2036" s="3" t="s">
        <v>44</v>
      </c>
      <c r="N2036" s="3" t="s">
        <v>23</v>
      </c>
      <c r="O2036" s="3" t="s">
        <v>474</v>
      </c>
    </row>
    <row r="2037" spans="1:15" hidden="1" x14ac:dyDescent="0.75">
      <c r="A2037" s="2">
        <v>46291</v>
      </c>
      <c r="B2037" s="3" t="s">
        <v>1449</v>
      </c>
      <c r="C2037" s="3" t="s">
        <v>1450</v>
      </c>
      <c r="D2037" s="3"/>
      <c r="E2037" s="3"/>
      <c r="F2037" s="3"/>
      <c r="G2037" s="3"/>
      <c r="H2037" s="4">
        <v>46291.740077546303</v>
      </c>
      <c r="I2037" s="4">
        <v>46291.74065590278</v>
      </c>
      <c r="J2037" s="3">
        <f>ROUND((I2037-H2037)*1440,0)</f>
        <v>1</v>
      </c>
      <c r="K2037" s="3" t="s">
        <v>240</v>
      </c>
      <c r="L2037" s="3" t="s">
        <v>52</v>
      </c>
      <c r="M2037" s="3"/>
      <c r="N2037" s="3" t="s">
        <v>23</v>
      </c>
      <c r="O2037" s="3" t="s">
        <v>241</v>
      </c>
    </row>
    <row r="2038" spans="1:15" hidden="1" x14ac:dyDescent="0.75">
      <c r="A2038" s="2">
        <v>46291</v>
      </c>
      <c r="B2038" s="3" t="s">
        <v>1613</v>
      </c>
      <c r="C2038" s="3" t="s">
        <v>1614</v>
      </c>
      <c r="D2038" s="3" t="s">
        <v>122</v>
      </c>
      <c r="E2038" s="3" t="s">
        <v>123</v>
      </c>
      <c r="F2038" s="3" t="s">
        <v>56</v>
      </c>
      <c r="G2038" s="3" t="s">
        <v>57</v>
      </c>
      <c r="H2038" s="4">
        <v>46291.740606944448</v>
      </c>
      <c r="I2038" s="4">
        <v>46291.948679050933</v>
      </c>
      <c r="J2038" s="3">
        <f>ROUND((I2038-H2038)*1440,0)</f>
        <v>300</v>
      </c>
      <c r="K2038" s="3" t="s">
        <v>1689</v>
      </c>
      <c r="L2038" s="3" t="s">
        <v>22</v>
      </c>
      <c r="M2038" s="3" t="s">
        <v>22</v>
      </c>
      <c r="N2038" s="3" t="s">
        <v>23</v>
      </c>
      <c r="O2038" s="3" t="s">
        <v>1690</v>
      </c>
    </row>
    <row r="2039" spans="1:15" hidden="1" x14ac:dyDescent="0.75">
      <c r="A2039" s="2">
        <v>46291</v>
      </c>
      <c r="B2039" s="3" t="s">
        <v>1449</v>
      </c>
      <c r="C2039" s="3" t="s">
        <v>1450</v>
      </c>
      <c r="D2039" s="3"/>
      <c r="E2039" s="3"/>
      <c r="F2039" s="3"/>
      <c r="G2039" s="3"/>
      <c r="H2039" s="4">
        <v>46291.740657060182</v>
      </c>
      <c r="I2039" s="4">
        <v>46291.741693055563</v>
      </c>
      <c r="J2039" s="3">
        <f>ROUND((I2039-H2039)*1440,0)</f>
        <v>1</v>
      </c>
      <c r="K2039" s="3" t="s">
        <v>240</v>
      </c>
      <c r="L2039" s="3" t="s">
        <v>52</v>
      </c>
      <c r="M2039" s="3"/>
      <c r="N2039" s="3" t="s">
        <v>23</v>
      </c>
      <c r="O2039" s="3" t="s">
        <v>241</v>
      </c>
    </row>
    <row r="2040" spans="1:15" hidden="1" x14ac:dyDescent="0.75">
      <c r="A2040" s="2">
        <v>46291</v>
      </c>
      <c r="B2040" s="3" t="s">
        <v>1449</v>
      </c>
      <c r="C2040" s="3" t="s">
        <v>1450</v>
      </c>
      <c r="D2040" s="3"/>
      <c r="E2040" s="3"/>
      <c r="F2040" s="3" t="s">
        <v>2396</v>
      </c>
      <c r="G2040" s="3" t="s">
        <v>2397</v>
      </c>
      <c r="H2040" s="4">
        <v>46291.741696064812</v>
      </c>
      <c r="I2040" s="4">
        <v>46291.743430555558</v>
      </c>
      <c r="J2040" s="3">
        <f>ROUND((I2040-H2040)*1440,0)</f>
        <v>2</v>
      </c>
      <c r="K2040" s="3" t="s">
        <v>240</v>
      </c>
      <c r="L2040" s="3" t="s">
        <v>52</v>
      </c>
      <c r="M2040" s="3"/>
      <c r="N2040" s="3" t="s">
        <v>23</v>
      </c>
      <c r="O2040" s="3" t="s">
        <v>241</v>
      </c>
    </row>
    <row r="2041" spans="1:15" hidden="1" x14ac:dyDescent="0.75">
      <c r="A2041" s="2">
        <v>46291</v>
      </c>
      <c r="B2041" s="3" t="s">
        <v>1449</v>
      </c>
      <c r="C2041" s="3" t="s">
        <v>1450</v>
      </c>
      <c r="D2041" s="3" t="s">
        <v>2396</v>
      </c>
      <c r="E2041" s="3" t="s">
        <v>2397</v>
      </c>
      <c r="F2041" s="3" t="s">
        <v>2396</v>
      </c>
      <c r="G2041" s="3" t="s">
        <v>2397</v>
      </c>
      <c r="H2041" s="4">
        <v>46291.743435069453</v>
      </c>
      <c r="I2041" s="4">
        <v>46291.744362962963</v>
      </c>
      <c r="J2041" s="3">
        <f>ROUND((I2041-H2041)*1440,0)</f>
        <v>1</v>
      </c>
      <c r="K2041" s="3" t="s">
        <v>240</v>
      </c>
      <c r="L2041" s="3" t="s">
        <v>52</v>
      </c>
      <c r="M2041" s="3"/>
      <c r="N2041" s="3" t="s">
        <v>23</v>
      </c>
      <c r="O2041" s="3" t="s">
        <v>241</v>
      </c>
    </row>
    <row r="2042" spans="1:15" hidden="1" x14ac:dyDescent="0.75">
      <c r="A2042" s="2">
        <v>46291</v>
      </c>
      <c r="B2042" s="3" t="s">
        <v>1449</v>
      </c>
      <c r="C2042" s="3" t="s">
        <v>1450</v>
      </c>
      <c r="D2042" s="3" t="s">
        <v>2396</v>
      </c>
      <c r="E2042" s="3" t="s">
        <v>2397</v>
      </c>
      <c r="F2042" s="3" t="s">
        <v>2396</v>
      </c>
      <c r="G2042" s="3" t="s">
        <v>2397</v>
      </c>
      <c r="H2042" s="4">
        <v>46291.744368055559</v>
      </c>
      <c r="I2042" s="4">
        <v>46291.744710648149</v>
      </c>
      <c r="J2042" s="3">
        <f>ROUND((I2042-H2042)*1440,0)</f>
        <v>0</v>
      </c>
      <c r="K2042" s="3" t="s">
        <v>240</v>
      </c>
      <c r="L2042" s="3" t="s">
        <v>52</v>
      </c>
      <c r="M2042" s="3"/>
      <c r="N2042" s="3" t="s">
        <v>23</v>
      </c>
      <c r="O2042" s="3" t="s">
        <v>241</v>
      </c>
    </row>
    <row r="2043" spans="1:15" hidden="1" x14ac:dyDescent="0.75">
      <c r="A2043" s="2">
        <v>46291</v>
      </c>
      <c r="B2043" s="3" t="s">
        <v>1573</v>
      </c>
      <c r="C2043" s="3" t="s">
        <v>1574</v>
      </c>
      <c r="D2043" s="3" t="s">
        <v>19</v>
      </c>
      <c r="E2043" s="3" t="s">
        <v>20</v>
      </c>
      <c r="F2043" s="3" t="s">
        <v>615</v>
      </c>
      <c r="G2043" s="3" t="s">
        <v>616</v>
      </c>
      <c r="H2043" s="4">
        <v>46291.744636342592</v>
      </c>
      <c r="I2043" s="4">
        <v>46291.891726967588</v>
      </c>
      <c r="J2043" s="3">
        <f>ROUND((I2043-H2043)*1440,0)</f>
        <v>212</v>
      </c>
      <c r="K2043" s="3" t="s">
        <v>1109</v>
      </c>
      <c r="L2043" s="3" t="s">
        <v>22</v>
      </c>
      <c r="M2043" s="3" t="s">
        <v>22</v>
      </c>
      <c r="N2043" s="3" t="s">
        <v>23</v>
      </c>
      <c r="O2043" s="3" t="s">
        <v>1110</v>
      </c>
    </row>
    <row r="2044" spans="1:15" hidden="1" x14ac:dyDescent="0.75">
      <c r="A2044" s="2">
        <v>46291</v>
      </c>
      <c r="B2044" s="3" t="s">
        <v>1449</v>
      </c>
      <c r="C2044" s="3" t="s">
        <v>1450</v>
      </c>
      <c r="D2044" s="3" t="s">
        <v>2396</v>
      </c>
      <c r="E2044" s="3" t="s">
        <v>2397</v>
      </c>
      <c r="F2044" s="3" t="s">
        <v>2396</v>
      </c>
      <c r="G2044" s="3" t="s">
        <v>2397</v>
      </c>
      <c r="H2044" s="4">
        <v>46291.744714814813</v>
      </c>
      <c r="I2044" s="4">
        <v>46291.746843287037</v>
      </c>
      <c r="J2044" s="3">
        <f>ROUND((I2044-H2044)*1440,0)</f>
        <v>3</v>
      </c>
      <c r="K2044" s="3" t="s">
        <v>240</v>
      </c>
      <c r="L2044" s="3" t="s">
        <v>52</v>
      </c>
      <c r="M2044" s="3"/>
      <c r="N2044" s="3" t="s">
        <v>23</v>
      </c>
      <c r="O2044" s="3" t="s">
        <v>241</v>
      </c>
    </row>
    <row r="2045" spans="1:15" hidden="1" x14ac:dyDescent="0.75">
      <c r="A2045" s="2">
        <v>46291</v>
      </c>
      <c r="B2045" s="3" t="s">
        <v>1189</v>
      </c>
      <c r="C2045" s="3" t="s">
        <v>1190</v>
      </c>
      <c r="D2045" s="3" t="s">
        <v>58</v>
      </c>
      <c r="E2045" s="3" t="s">
        <v>59</v>
      </c>
      <c r="F2045" s="3" t="s">
        <v>615</v>
      </c>
      <c r="G2045" s="3" t="s">
        <v>616</v>
      </c>
      <c r="H2045" s="4">
        <v>46291.744753587962</v>
      </c>
      <c r="I2045" s="4">
        <v>46291.902654398153</v>
      </c>
      <c r="J2045" s="3">
        <f>ROUND((I2045-H2045)*1440,0)</f>
        <v>227</v>
      </c>
      <c r="K2045" s="3" t="s">
        <v>1343</v>
      </c>
      <c r="L2045" s="3" t="s">
        <v>36</v>
      </c>
      <c r="M2045" s="3" t="s">
        <v>36</v>
      </c>
      <c r="N2045" s="3" t="s">
        <v>23</v>
      </c>
      <c r="O2045" s="3" t="s">
        <v>1344</v>
      </c>
    </row>
    <row r="2046" spans="1:15" hidden="1" x14ac:dyDescent="0.75">
      <c r="A2046" s="2">
        <v>46291</v>
      </c>
      <c r="B2046" s="3" t="s">
        <v>1547</v>
      </c>
      <c r="C2046" s="3" t="s">
        <v>1548</v>
      </c>
      <c r="D2046" s="3" t="s">
        <v>27</v>
      </c>
      <c r="E2046" s="3" t="s">
        <v>28</v>
      </c>
      <c r="F2046" s="3" t="s">
        <v>49</v>
      </c>
      <c r="G2046" s="3" t="s">
        <v>50</v>
      </c>
      <c r="H2046" s="4">
        <v>46291.744928125001</v>
      </c>
      <c r="I2046" s="4">
        <v>46291.890945717591</v>
      </c>
      <c r="J2046" s="3">
        <f>ROUND((I2046-H2046)*1440,0)</f>
        <v>210</v>
      </c>
      <c r="K2046" s="3" t="s">
        <v>51</v>
      </c>
      <c r="L2046" s="3" t="s">
        <v>52</v>
      </c>
      <c r="M2046" s="3"/>
      <c r="N2046" s="3" t="s">
        <v>23</v>
      </c>
      <c r="O2046" s="3" t="s">
        <v>53</v>
      </c>
    </row>
    <row r="2047" spans="1:15" hidden="1" x14ac:dyDescent="0.75">
      <c r="A2047" s="2">
        <v>46291</v>
      </c>
      <c r="B2047" s="3" t="s">
        <v>1449</v>
      </c>
      <c r="C2047" s="3" t="s">
        <v>1450</v>
      </c>
      <c r="D2047" s="3" t="s">
        <v>2396</v>
      </c>
      <c r="E2047" s="3" t="s">
        <v>2397</v>
      </c>
      <c r="F2047" s="3" t="s">
        <v>27</v>
      </c>
      <c r="G2047" s="3" t="s">
        <v>28</v>
      </c>
      <c r="H2047" s="4">
        <v>46291.746847685186</v>
      </c>
      <c r="I2047" s="4">
        <v>46291.748967939813</v>
      </c>
      <c r="J2047" s="3">
        <f>ROUND((I2047-H2047)*1440,0)</f>
        <v>3</v>
      </c>
      <c r="K2047" s="3" t="s">
        <v>240</v>
      </c>
      <c r="L2047" s="3" t="s">
        <v>52</v>
      </c>
      <c r="M2047" s="3"/>
      <c r="N2047" s="3" t="s">
        <v>23</v>
      </c>
      <c r="O2047" s="3" t="s">
        <v>241</v>
      </c>
    </row>
    <row r="2048" spans="1:15" hidden="1" x14ac:dyDescent="0.75">
      <c r="A2048" s="2">
        <v>46291</v>
      </c>
      <c r="B2048" s="3" t="s">
        <v>1619</v>
      </c>
      <c r="C2048" s="3" t="s">
        <v>1620</v>
      </c>
      <c r="D2048" s="3" t="s">
        <v>264</v>
      </c>
      <c r="E2048" s="3" t="s">
        <v>265</v>
      </c>
      <c r="F2048" s="3" t="s">
        <v>17</v>
      </c>
      <c r="G2048" s="3" t="s">
        <v>18</v>
      </c>
      <c r="H2048" s="4">
        <v>46291.747486458327</v>
      </c>
      <c r="I2048" s="4">
        <v>46291.947631365743</v>
      </c>
      <c r="J2048" s="3">
        <f>ROUND((I2048-H2048)*1440,0)</f>
        <v>288</v>
      </c>
      <c r="K2048" s="3" t="s">
        <v>2239</v>
      </c>
      <c r="L2048" s="3" t="s">
        <v>43</v>
      </c>
      <c r="M2048" s="3" t="s">
        <v>44</v>
      </c>
      <c r="N2048" s="3" t="s">
        <v>23</v>
      </c>
      <c r="O2048" s="3" t="s">
        <v>2240</v>
      </c>
    </row>
    <row r="2049" spans="1:15" hidden="1" x14ac:dyDescent="0.75">
      <c r="A2049" s="2">
        <v>46291</v>
      </c>
      <c r="B2049" s="3" t="s">
        <v>2398</v>
      </c>
      <c r="C2049" s="3" t="s">
        <v>2399</v>
      </c>
      <c r="D2049" s="3" t="s">
        <v>2400</v>
      </c>
      <c r="E2049" s="3" t="s">
        <v>2401</v>
      </c>
      <c r="F2049" s="3" t="s">
        <v>68</v>
      </c>
      <c r="G2049" s="3" t="s">
        <v>69</v>
      </c>
      <c r="H2049" s="4">
        <v>46291.748500347217</v>
      </c>
      <c r="I2049" s="4">
        <v>46291.792479166666</v>
      </c>
      <c r="J2049" s="3">
        <f>ROUND((I2049-H2049)*1440,0)</f>
        <v>63</v>
      </c>
      <c r="K2049" s="3" t="s">
        <v>2402</v>
      </c>
      <c r="L2049" s="3" t="s">
        <v>36</v>
      </c>
      <c r="M2049" s="3" t="s">
        <v>36</v>
      </c>
      <c r="N2049" s="3" t="s">
        <v>23</v>
      </c>
      <c r="O2049" s="3" t="s">
        <v>2403</v>
      </c>
    </row>
    <row r="2050" spans="1:15" hidden="1" x14ac:dyDescent="0.75">
      <c r="A2050" s="2">
        <v>46291</v>
      </c>
      <c r="B2050" s="3" t="s">
        <v>1699</v>
      </c>
      <c r="C2050" s="3" t="s">
        <v>1700</v>
      </c>
      <c r="D2050" s="3" t="s">
        <v>56</v>
      </c>
      <c r="E2050" s="3" t="s">
        <v>57</v>
      </c>
      <c r="F2050" s="3" t="s">
        <v>270</v>
      </c>
      <c r="G2050" s="3" t="s">
        <v>271</v>
      </c>
      <c r="H2050" s="4">
        <v>46291.749080787027</v>
      </c>
      <c r="I2050" s="4">
        <v>46291.843774537039</v>
      </c>
      <c r="J2050" s="3">
        <f>ROUND((I2050-H2050)*1440,0)</f>
        <v>136</v>
      </c>
      <c r="K2050" s="3" t="s">
        <v>60</v>
      </c>
      <c r="L2050" s="3" t="s">
        <v>36</v>
      </c>
      <c r="M2050" s="3" t="s">
        <v>36</v>
      </c>
      <c r="N2050" s="3" t="s">
        <v>45</v>
      </c>
      <c r="O2050" s="3" t="s">
        <v>61</v>
      </c>
    </row>
    <row r="2051" spans="1:15" hidden="1" x14ac:dyDescent="0.75">
      <c r="A2051" s="2">
        <v>46291</v>
      </c>
      <c r="B2051" s="3" t="s">
        <v>1589</v>
      </c>
      <c r="C2051" s="3" t="s">
        <v>1590</v>
      </c>
      <c r="D2051" s="3" t="s">
        <v>270</v>
      </c>
      <c r="E2051" s="3" t="s">
        <v>271</v>
      </c>
      <c r="F2051" s="3" t="s">
        <v>56</v>
      </c>
      <c r="G2051" s="3" t="s">
        <v>57</v>
      </c>
      <c r="H2051" s="4">
        <v>46291.749111226847</v>
      </c>
      <c r="I2051" s="4">
        <v>46291.840699768523</v>
      </c>
      <c r="J2051" s="3">
        <f>ROUND((I2051-H2051)*1440,0)</f>
        <v>132</v>
      </c>
      <c r="K2051" s="3" t="s">
        <v>314</v>
      </c>
      <c r="L2051" s="3" t="s">
        <v>36</v>
      </c>
      <c r="M2051" s="3" t="s">
        <v>36</v>
      </c>
      <c r="N2051" s="3" t="s">
        <v>23</v>
      </c>
      <c r="O2051" s="3" t="s">
        <v>315</v>
      </c>
    </row>
    <row r="2052" spans="1:15" hidden="1" x14ac:dyDescent="0.75">
      <c r="A2052" s="2">
        <v>46291</v>
      </c>
      <c r="B2052" s="3" t="s">
        <v>1601</v>
      </c>
      <c r="C2052" s="3" t="s">
        <v>1602</v>
      </c>
      <c r="D2052" s="3" t="s">
        <v>19</v>
      </c>
      <c r="E2052" s="3" t="s">
        <v>20</v>
      </c>
      <c r="F2052" s="3" t="s">
        <v>56</v>
      </c>
      <c r="G2052" s="3" t="s">
        <v>57</v>
      </c>
      <c r="H2052" s="4">
        <v>46291.753771759257</v>
      </c>
      <c r="I2052" s="4">
        <v>46291.785167013892</v>
      </c>
      <c r="J2052" s="3">
        <f>ROUND((I2052-H2052)*1440,0)</f>
        <v>45</v>
      </c>
      <c r="K2052" s="3" t="s">
        <v>887</v>
      </c>
      <c r="L2052" s="3" t="s">
        <v>36</v>
      </c>
      <c r="M2052" s="3" t="s">
        <v>36</v>
      </c>
      <c r="N2052" s="3" t="s">
        <v>23</v>
      </c>
      <c r="O2052" s="3" t="s">
        <v>888</v>
      </c>
    </row>
    <row r="2053" spans="1:15" hidden="1" x14ac:dyDescent="0.75">
      <c r="A2053" s="2">
        <v>46291</v>
      </c>
      <c r="B2053" s="3" t="s">
        <v>1733</v>
      </c>
      <c r="C2053" s="3" t="s">
        <v>1734</v>
      </c>
      <c r="D2053" s="3" t="s">
        <v>82</v>
      </c>
      <c r="E2053" s="3" t="s">
        <v>83</v>
      </c>
      <c r="F2053" s="3" t="s">
        <v>172</v>
      </c>
      <c r="G2053" s="3" t="s">
        <v>173</v>
      </c>
      <c r="H2053" s="4">
        <v>46291.754183101853</v>
      </c>
      <c r="I2053" s="4">
        <v>46291.850981597221</v>
      </c>
      <c r="J2053" s="3">
        <f>ROUND((I2053-H2053)*1440,0)</f>
        <v>139</v>
      </c>
      <c r="K2053" s="3" t="s">
        <v>130</v>
      </c>
      <c r="L2053" s="3" t="s">
        <v>36</v>
      </c>
      <c r="M2053" s="3" t="s">
        <v>36</v>
      </c>
      <c r="N2053" s="3" t="s">
        <v>23</v>
      </c>
      <c r="O2053" s="3" t="s">
        <v>131</v>
      </c>
    </row>
    <row r="2054" spans="1:15" hidden="1" x14ac:dyDescent="0.75">
      <c r="A2054" s="2">
        <v>46291</v>
      </c>
      <c r="B2054" s="3" t="s">
        <v>1591</v>
      </c>
      <c r="C2054" s="3" t="s">
        <v>1592</v>
      </c>
      <c r="D2054" s="3" t="s">
        <v>1269</v>
      </c>
      <c r="E2054" s="3" t="s">
        <v>1270</v>
      </c>
      <c r="F2054" s="3" t="s">
        <v>17</v>
      </c>
      <c r="G2054" s="3" t="s">
        <v>18</v>
      </c>
      <c r="H2054" s="4">
        <v>46291.754921064807</v>
      </c>
      <c r="I2054" s="4">
        <v>46291.827051504632</v>
      </c>
      <c r="J2054" s="3">
        <f>ROUND((I2054-H2054)*1440,0)</f>
        <v>104</v>
      </c>
      <c r="K2054" s="3" t="s">
        <v>641</v>
      </c>
      <c r="L2054" s="3" t="s">
        <v>36</v>
      </c>
      <c r="M2054" s="3" t="s">
        <v>36</v>
      </c>
      <c r="N2054" s="3" t="s">
        <v>23</v>
      </c>
      <c r="O2054" s="3" t="s">
        <v>642</v>
      </c>
    </row>
    <row r="2055" spans="1:15" hidden="1" x14ac:dyDescent="0.75">
      <c r="A2055" s="2">
        <v>46291</v>
      </c>
      <c r="B2055" s="3" t="s">
        <v>1575</v>
      </c>
      <c r="C2055" s="3" t="s">
        <v>1576</v>
      </c>
      <c r="D2055" s="3" t="s">
        <v>27</v>
      </c>
      <c r="E2055" s="3" t="s">
        <v>28</v>
      </c>
      <c r="F2055" s="3" t="s">
        <v>106</v>
      </c>
      <c r="G2055" s="3" t="s">
        <v>107</v>
      </c>
      <c r="H2055" s="4">
        <v>46291.755878240743</v>
      </c>
      <c r="I2055" s="4">
        <v>46291.970528703707</v>
      </c>
      <c r="J2055" s="3">
        <f>ROUND((I2055-H2055)*1440,0)</f>
        <v>309</v>
      </c>
      <c r="K2055" s="3" t="s">
        <v>1033</v>
      </c>
      <c r="L2055" s="3" t="s">
        <v>77</v>
      </c>
      <c r="M2055" s="3" t="s">
        <v>78</v>
      </c>
      <c r="N2055" s="3" t="s">
        <v>23</v>
      </c>
      <c r="O2055" s="3" t="s">
        <v>1034</v>
      </c>
    </row>
    <row r="2056" spans="1:15" hidden="1" x14ac:dyDescent="0.75">
      <c r="A2056" s="2">
        <v>46291</v>
      </c>
      <c r="B2056" s="3" t="s">
        <v>1545</v>
      </c>
      <c r="C2056" s="3" t="s">
        <v>1546</v>
      </c>
      <c r="D2056" s="3" t="s">
        <v>94</v>
      </c>
      <c r="E2056" s="3" t="s">
        <v>95</v>
      </c>
      <c r="F2056" s="3" t="s">
        <v>17</v>
      </c>
      <c r="G2056" s="3" t="s">
        <v>18</v>
      </c>
      <c r="H2056" s="4">
        <v>46291.755919907409</v>
      </c>
      <c r="I2056" s="4">
        <v>46291.811518287039</v>
      </c>
      <c r="J2056" s="3">
        <f>ROUND((I2056-H2056)*1440,0)</f>
        <v>80</v>
      </c>
      <c r="K2056" s="3" t="s">
        <v>300</v>
      </c>
      <c r="L2056" s="3" t="s">
        <v>77</v>
      </c>
      <c r="M2056" s="3" t="s">
        <v>78</v>
      </c>
      <c r="N2056" s="3" t="s">
        <v>23</v>
      </c>
      <c r="O2056" s="3" t="s">
        <v>301</v>
      </c>
    </row>
    <row r="2057" spans="1:15" hidden="1" x14ac:dyDescent="0.75">
      <c r="A2057" s="2">
        <v>46291</v>
      </c>
      <c r="B2057" s="3" t="s">
        <v>1597</v>
      </c>
      <c r="C2057" s="3" t="s">
        <v>1598</v>
      </c>
      <c r="D2057" s="3" t="s">
        <v>82</v>
      </c>
      <c r="E2057" s="3" t="s">
        <v>83</v>
      </c>
      <c r="F2057" s="3" t="s">
        <v>196</v>
      </c>
      <c r="G2057" s="3" t="s">
        <v>197</v>
      </c>
      <c r="H2057" s="4">
        <v>46291.757728124998</v>
      </c>
      <c r="I2057" s="4">
        <v>46291.821972685182</v>
      </c>
      <c r="J2057" s="3">
        <f>ROUND((I2057-H2057)*1440,0)</f>
        <v>93</v>
      </c>
      <c r="K2057" s="3" t="s">
        <v>1069</v>
      </c>
      <c r="L2057" s="3" t="s">
        <v>36</v>
      </c>
      <c r="M2057" s="3" t="s">
        <v>36</v>
      </c>
      <c r="N2057" s="3" t="s">
        <v>45</v>
      </c>
      <c r="O2057" s="3" t="s">
        <v>1070</v>
      </c>
    </row>
    <row r="2058" spans="1:15" hidden="1" x14ac:dyDescent="0.75">
      <c r="A2058" s="2">
        <v>46291</v>
      </c>
      <c r="B2058" s="3" t="s">
        <v>1605</v>
      </c>
      <c r="C2058" s="3" t="s">
        <v>1606</v>
      </c>
      <c r="D2058" s="3" t="s">
        <v>27</v>
      </c>
      <c r="E2058" s="3" t="s">
        <v>28</v>
      </c>
      <c r="F2058" s="3" t="s">
        <v>196</v>
      </c>
      <c r="G2058" s="3" t="s">
        <v>197</v>
      </c>
      <c r="H2058" s="4">
        <v>46291.761396296293</v>
      </c>
      <c r="I2058" s="4">
        <v>46291.824416087962</v>
      </c>
      <c r="J2058" s="3">
        <f>ROUND((I2058-H2058)*1440,0)</f>
        <v>91</v>
      </c>
      <c r="K2058" s="3" t="s">
        <v>224</v>
      </c>
      <c r="L2058" s="3" t="s">
        <v>77</v>
      </c>
      <c r="M2058" s="3" t="s">
        <v>78</v>
      </c>
      <c r="N2058" s="3" t="s">
        <v>45</v>
      </c>
      <c r="O2058" s="3" t="s">
        <v>225</v>
      </c>
    </row>
    <row r="2059" spans="1:15" hidden="1" x14ac:dyDescent="0.75">
      <c r="A2059" s="2">
        <v>46291</v>
      </c>
      <c r="B2059" s="3" t="s">
        <v>1669</v>
      </c>
      <c r="C2059" s="3" t="s">
        <v>1670</v>
      </c>
      <c r="D2059" s="3" t="s">
        <v>84</v>
      </c>
      <c r="E2059" s="3" t="s">
        <v>85</v>
      </c>
      <c r="F2059" s="3" t="s">
        <v>68</v>
      </c>
      <c r="G2059" s="3" t="s">
        <v>69</v>
      </c>
      <c r="H2059" s="4">
        <v>46291.763458564812</v>
      </c>
      <c r="I2059" s="4">
        <v>46291.859623032411</v>
      </c>
      <c r="J2059" s="3">
        <f>ROUND((I2059-H2059)*1440,0)</f>
        <v>138</v>
      </c>
      <c r="K2059" s="3" t="s">
        <v>1873</v>
      </c>
      <c r="L2059" s="3" t="s">
        <v>36</v>
      </c>
      <c r="M2059" s="3" t="s">
        <v>36</v>
      </c>
      <c r="N2059" s="3" t="s">
        <v>23</v>
      </c>
      <c r="O2059" s="3" t="s">
        <v>1874</v>
      </c>
    </row>
    <row r="2060" spans="1:15" hidden="1" x14ac:dyDescent="0.75">
      <c r="A2060" s="2">
        <v>46291</v>
      </c>
      <c r="B2060" s="3" t="s">
        <v>1641</v>
      </c>
      <c r="C2060" s="3" t="s">
        <v>1642</v>
      </c>
      <c r="D2060" s="3" t="s">
        <v>27</v>
      </c>
      <c r="E2060" s="3" t="s">
        <v>28</v>
      </c>
      <c r="F2060" s="3" t="s">
        <v>94</v>
      </c>
      <c r="G2060" s="3" t="s">
        <v>95</v>
      </c>
      <c r="H2060" s="4">
        <v>46291.764774537027</v>
      </c>
      <c r="I2060" s="4">
        <v>46291.837025462963</v>
      </c>
      <c r="J2060" s="3">
        <f>ROUND((I2060-H2060)*1440,0)</f>
        <v>104</v>
      </c>
      <c r="K2060" s="3" t="s">
        <v>1015</v>
      </c>
      <c r="L2060" s="3" t="s">
        <v>77</v>
      </c>
      <c r="M2060" s="3" t="s">
        <v>78</v>
      </c>
      <c r="N2060" s="3" t="s">
        <v>23</v>
      </c>
      <c r="O2060" s="3" t="s">
        <v>1016</v>
      </c>
    </row>
    <row r="2061" spans="1:15" hidden="1" x14ac:dyDescent="0.75">
      <c r="A2061" s="2">
        <v>46291</v>
      </c>
      <c r="B2061" s="3" t="s">
        <v>1557</v>
      </c>
      <c r="C2061" s="3" t="s">
        <v>1558</v>
      </c>
      <c r="D2061" s="3" t="s">
        <v>56</v>
      </c>
      <c r="E2061" s="3" t="s">
        <v>57</v>
      </c>
      <c r="F2061" s="3" t="s">
        <v>615</v>
      </c>
      <c r="G2061" s="3" t="s">
        <v>616</v>
      </c>
      <c r="H2061" s="4">
        <v>46291.76477696759</v>
      </c>
      <c r="I2061" s="4">
        <v>46291.854810185177</v>
      </c>
      <c r="J2061" s="3">
        <f>ROUND((I2061-H2061)*1440,0)</f>
        <v>130</v>
      </c>
      <c r="K2061" s="3" t="s">
        <v>246</v>
      </c>
      <c r="L2061" s="3" t="s">
        <v>36</v>
      </c>
      <c r="M2061" s="3" t="s">
        <v>36</v>
      </c>
      <c r="N2061" s="3" t="s">
        <v>45</v>
      </c>
      <c r="O2061" s="3" t="s">
        <v>247</v>
      </c>
    </row>
    <row r="2062" spans="1:15" hidden="1" x14ac:dyDescent="0.75">
      <c r="A2062" s="2">
        <v>46291</v>
      </c>
      <c r="B2062" s="3" t="s">
        <v>1629</v>
      </c>
      <c r="C2062" s="3" t="s">
        <v>1630</v>
      </c>
      <c r="D2062" s="3" t="s">
        <v>304</v>
      </c>
      <c r="E2062" s="3" t="s">
        <v>305</v>
      </c>
      <c r="F2062" s="3" t="s">
        <v>58</v>
      </c>
      <c r="G2062" s="3" t="s">
        <v>59</v>
      </c>
      <c r="H2062" s="4">
        <v>46291.765552662036</v>
      </c>
      <c r="I2062" s="4">
        <v>46291.99454363426</v>
      </c>
      <c r="J2062" s="3">
        <f>ROUND((I2062-H2062)*1440,0)</f>
        <v>330</v>
      </c>
      <c r="K2062" s="3" t="s">
        <v>523</v>
      </c>
      <c r="L2062" s="3" t="s">
        <v>22</v>
      </c>
      <c r="M2062" s="3" t="s">
        <v>22</v>
      </c>
      <c r="N2062" s="3" t="s">
        <v>23</v>
      </c>
      <c r="O2062" s="3" t="s">
        <v>524</v>
      </c>
    </row>
    <row r="2063" spans="1:15" hidden="1" x14ac:dyDescent="0.75">
      <c r="A2063" s="2">
        <v>46291</v>
      </c>
      <c r="B2063" s="3" t="s">
        <v>1385</v>
      </c>
      <c r="C2063" s="3" t="s">
        <v>1386</v>
      </c>
      <c r="D2063" s="3" t="s">
        <v>56</v>
      </c>
      <c r="E2063" s="3" t="s">
        <v>57</v>
      </c>
      <c r="F2063" s="3" t="s">
        <v>17</v>
      </c>
      <c r="G2063" s="3" t="s">
        <v>18</v>
      </c>
      <c r="H2063" s="4">
        <v>46291.766039236107</v>
      </c>
      <c r="I2063" s="4">
        <v>46291.869534143523</v>
      </c>
      <c r="J2063" s="3">
        <f>ROUND((I2063-H2063)*1440,0)</f>
        <v>149</v>
      </c>
      <c r="K2063" s="3" t="s">
        <v>1093</v>
      </c>
      <c r="L2063" s="3" t="s">
        <v>43</v>
      </c>
      <c r="M2063" s="3" t="s">
        <v>44</v>
      </c>
      <c r="N2063" s="3" t="s">
        <v>23</v>
      </c>
      <c r="O2063" s="3" t="s">
        <v>1094</v>
      </c>
    </row>
    <row r="2064" spans="1:15" hidden="1" x14ac:dyDescent="0.75">
      <c r="A2064" s="2">
        <v>46291</v>
      </c>
      <c r="B2064" s="3" t="s">
        <v>1755</v>
      </c>
      <c r="C2064" s="3" t="s">
        <v>1756</v>
      </c>
      <c r="D2064" s="3" t="s">
        <v>82</v>
      </c>
      <c r="E2064" s="3" t="s">
        <v>83</v>
      </c>
      <c r="F2064" s="3" t="s">
        <v>615</v>
      </c>
      <c r="G2064" s="3" t="s">
        <v>616</v>
      </c>
      <c r="H2064" s="4">
        <v>46291.766907523153</v>
      </c>
      <c r="I2064" s="4">
        <v>46291.939922337973</v>
      </c>
      <c r="J2064" s="3">
        <f>ROUND((I2064-H2064)*1440,0)</f>
        <v>249</v>
      </c>
      <c r="K2064" s="3" t="s">
        <v>819</v>
      </c>
      <c r="L2064" s="3" t="s">
        <v>36</v>
      </c>
      <c r="M2064" s="3" t="s">
        <v>36</v>
      </c>
      <c r="N2064" s="3" t="s">
        <v>45</v>
      </c>
      <c r="O2064" s="3" t="s">
        <v>820</v>
      </c>
    </row>
    <row r="2065" spans="1:15" hidden="1" x14ac:dyDescent="0.75">
      <c r="A2065" s="2">
        <v>46291</v>
      </c>
      <c r="B2065" s="3" t="s">
        <v>1599</v>
      </c>
      <c r="C2065" s="3" t="s">
        <v>1600</v>
      </c>
      <c r="D2065" s="3" t="s">
        <v>244</v>
      </c>
      <c r="E2065" s="3" t="s">
        <v>245</v>
      </c>
      <c r="F2065" s="3" t="s">
        <v>615</v>
      </c>
      <c r="G2065" s="3" t="s">
        <v>616</v>
      </c>
      <c r="H2065" s="4">
        <v>46291.76848136574</v>
      </c>
      <c r="I2065" s="4">
        <v>46291.921112962962</v>
      </c>
      <c r="J2065" s="3">
        <f>ROUND((I2065-H2065)*1440,0)</f>
        <v>220</v>
      </c>
      <c r="K2065" s="3" t="s">
        <v>198</v>
      </c>
      <c r="L2065" s="3" t="s">
        <v>36</v>
      </c>
      <c r="M2065" s="3" t="s">
        <v>36</v>
      </c>
      <c r="N2065" s="3" t="s">
        <v>45</v>
      </c>
      <c r="O2065" s="3" t="s">
        <v>199</v>
      </c>
    </row>
    <row r="2066" spans="1:15" hidden="1" x14ac:dyDescent="0.75">
      <c r="A2066" s="2">
        <v>46291</v>
      </c>
      <c r="B2066" s="3" t="s">
        <v>1645</v>
      </c>
      <c r="C2066" s="3" t="s">
        <v>1646</v>
      </c>
      <c r="D2066" s="3" t="s">
        <v>182</v>
      </c>
      <c r="E2066" s="3" t="s">
        <v>183</v>
      </c>
      <c r="F2066" s="3" t="s">
        <v>17</v>
      </c>
      <c r="G2066" s="3" t="s">
        <v>18</v>
      </c>
      <c r="H2066" s="4">
        <v>46291.772271875001</v>
      </c>
      <c r="I2066" s="4">
        <v>46291.854664930557</v>
      </c>
      <c r="J2066" s="3">
        <f>ROUND((I2066-H2066)*1440,0)</f>
        <v>119</v>
      </c>
      <c r="K2066" s="3" t="s">
        <v>553</v>
      </c>
      <c r="L2066" s="3" t="s">
        <v>77</v>
      </c>
      <c r="M2066" s="3" t="s">
        <v>78</v>
      </c>
      <c r="N2066" s="3" t="s">
        <v>23</v>
      </c>
      <c r="O2066" s="3" t="s">
        <v>554</v>
      </c>
    </row>
    <row r="2067" spans="1:15" hidden="1" x14ac:dyDescent="0.75">
      <c r="A2067" s="2">
        <v>46291</v>
      </c>
      <c r="B2067" s="3" t="s">
        <v>1561</v>
      </c>
      <c r="C2067" s="3" t="s">
        <v>1562</v>
      </c>
      <c r="D2067" s="3" t="s">
        <v>58</v>
      </c>
      <c r="E2067" s="3" t="s">
        <v>59</v>
      </c>
      <c r="F2067" s="3" t="s">
        <v>82</v>
      </c>
      <c r="G2067" s="3" t="s">
        <v>83</v>
      </c>
      <c r="H2067" s="4">
        <v>46291.772854050927</v>
      </c>
      <c r="I2067" s="4">
        <v>46291.861712384263</v>
      </c>
      <c r="J2067" s="3">
        <f>ROUND((I2067-H2067)*1440,0)</f>
        <v>128</v>
      </c>
      <c r="K2067" s="3" t="s">
        <v>138</v>
      </c>
      <c r="L2067" s="3" t="s">
        <v>36</v>
      </c>
      <c r="M2067" s="3" t="s">
        <v>36</v>
      </c>
      <c r="N2067" s="3" t="s">
        <v>23</v>
      </c>
      <c r="O2067" s="3" t="s">
        <v>139</v>
      </c>
    </row>
    <row r="2068" spans="1:15" hidden="1" x14ac:dyDescent="0.75">
      <c r="A2068" s="2">
        <v>46291</v>
      </c>
      <c r="B2068" s="3" t="s">
        <v>879</v>
      </c>
      <c r="C2068" s="3" t="s">
        <v>880</v>
      </c>
      <c r="D2068" s="3"/>
      <c r="E2068" s="3"/>
      <c r="F2068" s="3" t="s">
        <v>27</v>
      </c>
      <c r="G2068" s="3" t="s">
        <v>28</v>
      </c>
      <c r="H2068" s="4">
        <v>46291.776291898153</v>
      </c>
      <c r="I2068" s="4">
        <v>46291.842440856482</v>
      </c>
      <c r="J2068" s="3">
        <f>ROUND((I2068-H2068)*1440,0)</f>
        <v>95</v>
      </c>
      <c r="K2068" s="3" t="s">
        <v>288</v>
      </c>
      <c r="L2068" s="3" t="s">
        <v>43</v>
      </c>
      <c r="M2068" s="3" t="s">
        <v>44</v>
      </c>
      <c r="N2068" s="3" t="s">
        <v>23</v>
      </c>
      <c r="O2068" s="3" t="s">
        <v>289</v>
      </c>
    </row>
    <row r="2069" spans="1:15" hidden="1" x14ac:dyDescent="0.75">
      <c r="A2069" s="2">
        <v>46291</v>
      </c>
      <c r="B2069" s="3" t="s">
        <v>1639</v>
      </c>
      <c r="C2069" s="3" t="s">
        <v>1640</v>
      </c>
      <c r="D2069" s="3" t="s">
        <v>82</v>
      </c>
      <c r="E2069" s="3" t="s">
        <v>83</v>
      </c>
      <c r="F2069" s="3" t="s">
        <v>208</v>
      </c>
      <c r="G2069" s="3" t="s">
        <v>209</v>
      </c>
      <c r="H2069" s="4">
        <v>46291.776360185177</v>
      </c>
      <c r="I2069" s="4">
        <v>46291.882026273153</v>
      </c>
      <c r="J2069" s="3">
        <f>ROUND((I2069-H2069)*1440,0)</f>
        <v>152</v>
      </c>
      <c r="K2069" s="3" t="s">
        <v>2215</v>
      </c>
      <c r="L2069" s="3" t="s">
        <v>36</v>
      </c>
      <c r="M2069" s="3" t="s">
        <v>36</v>
      </c>
      <c r="N2069" s="3" t="s">
        <v>23</v>
      </c>
      <c r="O2069" s="3" t="s">
        <v>2216</v>
      </c>
    </row>
    <row r="2070" spans="1:15" hidden="1" x14ac:dyDescent="0.75">
      <c r="A2070" s="2">
        <v>46291</v>
      </c>
      <c r="B2070" s="3" t="s">
        <v>1915</v>
      </c>
      <c r="C2070" s="3" t="s">
        <v>1916</v>
      </c>
      <c r="D2070" s="3" t="s">
        <v>82</v>
      </c>
      <c r="E2070" s="3" t="s">
        <v>83</v>
      </c>
      <c r="F2070" s="3" t="s">
        <v>27</v>
      </c>
      <c r="G2070" s="3" t="s">
        <v>28</v>
      </c>
      <c r="H2070" s="4">
        <v>46291.777934143523</v>
      </c>
      <c r="I2070" s="4">
        <v>46291.881352546297</v>
      </c>
      <c r="J2070" s="3">
        <f>ROUND((I2070-H2070)*1440,0)</f>
        <v>149</v>
      </c>
      <c r="K2070" s="3" t="s">
        <v>637</v>
      </c>
      <c r="L2070" s="3" t="s">
        <v>22</v>
      </c>
      <c r="M2070" s="3" t="s">
        <v>22</v>
      </c>
      <c r="N2070" s="3" t="s">
        <v>23</v>
      </c>
      <c r="O2070" s="3" t="s">
        <v>638</v>
      </c>
    </row>
    <row r="2071" spans="1:15" hidden="1" x14ac:dyDescent="0.75">
      <c r="A2071" s="2">
        <v>46291</v>
      </c>
      <c r="B2071" s="3" t="s">
        <v>1657</v>
      </c>
      <c r="C2071" s="3" t="s">
        <v>1658</v>
      </c>
      <c r="D2071" s="3" t="s">
        <v>68</v>
      </c>
      <c r="E2071" s="3" t="s">
        <v>69</v>
      </c>
      <c r="F2071" s="3" t="s">
        <v>84</v>
      </c>
      <c r="G2071" s="3" t="s">
        <v>85</v>
      </c>
      <c r="H2071" s="4">
        <v>46291.778848032409</v>
      </c>
      <c r="I2071" s="4">
        <v>46291.879155787043</v>
      </c>
      <c r="J2071" s="3">
        <f>ROUND((I2071-H2071)*1440,0)</f>
        <v>144</v>
      </c>
      <c r="K2071" s="3" t="s">
        <v>1077</v>
      </c>
      <c r="L2071" s="3" t="s">
        <v>36</v>
      </c>
      <c r="M2071" s="3" t="s">
        <v>36</v>
      </c>
      <c r="N2071" s="3" t="s">
        <v>45</v>
      </c>
      <c r="O2071" s="3" t="s">
        <v>1078</v>
      </c>
    </row>
    <row r="2072" spans="1:15" hidden="1" x14ac:dyDescent="0.75">
      <c r="A2072" s="2">
        <v>46291</v>
      </c>
      <c r="B2072" s="3" t="s">
        <v>1647</v>
      </c>
      <c r="C2072" s="3" t="s">
        <v>1648</v>
      </c>
      <c r="D2072" s="3" t="s">
        <v>264</v>
      </c>
      <c r="E2072" s="3" t="s">
        <v>265</v>
      </c>
      <c r="F2072" s="3" t="s">
        <v>56</v>
      </c>
      <c r="G2072" s="3" t="s">
        <v>57</v>
      </c>
      <c r="H2072" s="4">
        <v>46291.779093750003</v>
      </c>
      <c r="I2072" s="4">
        <v>46291.953916782397</v>
      </c>
      <c r="J2072" s="3">
        <f>ROUND((I2072-H2072)*1440,0)</f>
        <v>252</v>
      </c>
      <c r="K2072" s="3" t="s">
        <v>306</v>
      </c>
      <c r="L2072" s="3" t="s">
        <v>22</v>
      </c>
      <c r="M2072" s="3" t="s">
        <v>22</v>
      </c>
      <c r="N2072" s="3" t="s">
        <v>23</v>
      </c>
      <c r="O2072" s="3" t="s">
        <v>307</v>
      </c>
    </row>
    <row r="2073" spans="1:15" hidden="1" x14ac:dyDescent="0.75">
      <c r="A2073" s="2">
        <v>46291</v>
      </c>
      <c r="B2073" s="3" t="s">
        <v>1839</v>
      </c>
      <c r="C2073" s="3" t="s">
        <v>1840</v>
      </c>
      <c r="D2073" s="3"/>
      <c r="E2073" s="3"/>
      <c r="F2073" s="3" t="s">
        <v>68</v>
      </c>
      <c r="G2073" s="3" t="s">
        <v>69</v>
      </c>
      <c r="H2073" s="4">
        <v>46291.779170023146</v>
      </c>
      <c r="I2073" s="4">
        <v>46291.828359375002</v>
      </c>
      <c r="J2073" s="3">
        <f>ROUND((I2073-H2073)*1440,0)</f>
        <v>71</v>
      </c>
      <c r="K2073" s="3" t="s">
        <v>90</v>
      </c>
      <c r="L2073" s="3" t="s">
        <v>77</v>
      </c>
      <c r="M2073" s="3" t="s">
        <v>78</v>
      </c>
      <c r="N2073" s="3" t="s">
        <v>23</v>
      </c>
      <c r="O2073" s="3" t="s">
        <v>91</v>
      </c>
    </row>
    <row r="2074" spans="1:15" hidden="1" x14ac:dyDescent="0.75">
      <c r="A2074" s="2">
        <v>46291</v>
      </c>
      <c r="B2074" s="3" t="s">
        <v>1683</v>
      </c>
      <c r="C2074" s="3" t="s">
        <v>1684</v>
      </c>
      <c r="D2074" s="3" t="s">
        <v>17</v>
      </c>
      <c r="E2074" s="3" t="s">
        <v>18</v>
      </c>
      <c r="F2074" s="3" t="s">
        <v>68</v>
      </c>
      <c r="G2074" s="3" t="s">
        <v>69</v>
      </c>
      <c r="H2074" s="4">
        <v>46291.779403356479</v>
      </c>
      <c r="I2074" s="4">
        <v>46291.870923958333</v>
      </c>
      <c r="J2074" s="3">
        <f>ROUND((I2074-H2074)*1440,0)</f>
        <v>132</v>
      </c>
      <c r="K2074" s="3" t="s">
        <v>1685</v>
      </c>
      <c r="L2074" s="3" t="s">
        <v>22</v>
      </c>
      <c r="M2074" s="3" t="s">
        <v>22</v>
      </c>
      <c r="N2074" s="3" t="s">
        <v>23</v>
      </c>
      <c r="O2074" s="3" t="s">
        <v>1686</v>
      </c>
    </row>
    <row r="2075" spans="1:15" hidden="1" x14ac:dyDescent="0.75">
      <c r="A2075" s="2">
        <v>46291</v>
      </c>
      <c r="B2075" s="3" t="s">
        <v>1665</v>
      </c>
      <c r="C2075" s="3" t="s">
        <v>1666</v>
      </c>
      <c r="D2075" s="3" t="s">
        <v>27</v>
      </c>
      <c r="E2075" s="3" t="s">
        <v>28</v>
      </c>
      <c r="F2075" s="3" t="s">
        <v>56</v>
      </c>
      <c r="G2075" s="3" t="s">
        <v>57</v>
      </c>
      <c r="H2075" s="4">
        <v>46291.782541435183</v>
      </c>
      <c r="I2075" s="4">
        <v>46291.896074305558</v>
      </c>
      <c r="J2075" s="3">
        <f>ROUND((I2075-H2075)*1440,0)</f>
        <v>163</v>
      </c>
      <c r="K2075" s="3" t="s">
        <v>392</v>
      </c>
      <c r="L2075" s="3" t="s">
        <v>22</v>
      </c>
      <c r="M2075" s="3" t="s">
        <v>22</v>
      </c>
      <c r="N2075" s="3" t="s">
        <v>23</v>
      </c>
      <c r="O2075" s="3" t="s">
        <v>393</v>
      </c>
    </row>
    <row r="2076" spans="1:15" hidden="1" x14ac:dyDescent="0.75">
      <c r="A2076" s="2">
        <v>46291</v>
      </c>
      <c r="B2076" s="3" t="s">
        <v>1803</v>
      </c>
      <c r="C2076" s="3" t="s">
        <v>1804</v>
      </c>
      <c r="D2076" s="3" t="s">
        <v>977</v>
      </c>
      <c r="E2076" s="3" t="s">
        <v>978</v>
      </c>
      <c r="F2076" s="3" t="s">
        <v>27</v>
      </c>
      <c r="G2076" s="3" t="s">
        <v>28</v>
      </c>
      <c r="H2076" s="4">
        <v>46291.78310497685</v>
      </c>
      <c r="I2076" s="4">
        <v>46291.865111458334</v>
      </c>
      <c r="J2076" s="3">
        <f>ROUND((I2076-H2076)*1440,0)</f>
        <v>118</v>
      </c>
      <c r="K2076" s="3" t="s">
        <v>807</v>
      </c>
      <c r="L2076" s="3" t="s">
        <v>77</v>
      </c>
      <c r="M2076" s="3" t="s">
        <v>78</v>
      </c>
      <c r="N2076" s="3" t="s">
        <v>23</v>
      </c>
      <c r="O2076" s="3" t="s">
        <v>808</v>
      </c>
    </row>
    <row r="2077" spans="1:15" hidden="1" x14ac:dyDescent="0.75">
      <c r="A2077" s="2">
        <v>46291</v>
      </c>
      <c r="B2077" s="3" t="s">
        <v>1653</v>
      </c>
      <c r="C2077" s="3" t="s">
        <v>1654</v>
      </c>
      <c r="D2077" s="3" t="s">
        <v>280</v>
      </c>
      <c r="E2077" s="3" t="s">
        <v>281</v>
      </c>
      <c r="F2077" s="3" t="s">
        <v>56</v>
      </c>
      <c r="G2077" s="3" t="s">
        <v>57</v>
      </c>
      <c r="H2077" s="4">
        <v>46291.785370370373</v>
      </c>
      <c r="I2077" s="4">
        <v>46291.851883217591</v>
      </c>
      <c r="J2077" s="3">
        <f>ROUND((I2077-H2077)*1440,0)</f>
        <v>96</v>
      </c>
      <c r="K2077" s="3" t="s">
        <v>1723</v>
      </c>
      <c r="L2077" s="3" t="s">
        <v>36</v>
      </c>
      <c r="M2077" s="3" t="s">
        <v>36</v>
      </c>
      <c r="N2077" s="3" t="s">
        <v>23</v>
      </c>
      <c r="O2077" s="3" t="s">
        <v>1724</v>
      </c>
    </row>
    <row r="2078" spans="1:15" hidden="1" x14ac:dyDescent="0.75">
      <c r="A2078" s="2">
        <v>46291</v>
      </c>
      <c r="B2078" s="3" t="s">
        <v>1703</v>
      </c>
      <c r="C2078" s="3" t="s">
        <v>1704</v>
      </c>
      <c r="D2078" s="3" t="s">
        <v>615</v>
      </c>
      <c r="E2078" s="3" t="s">
        <v>616</v>
      </c>
      <c r="F2078" s="3" t="s">
        <v>56</v>
      </c>
      <c r="G2078" s="3" t="s">
        <v>57</v>
      </c>
      <c r="H2078" s="4">
        <v>46291.786439583331</v>
      </c>
      <c r="I2078" s="4">
        <v>46291.881411574082</v>
      </c>
      <c r="J2078" s="3">
        <f>ROUND((I2078-H2078)*1440,0)</f>
        <v>137</v>
      </c>
      <c r="K2078" s="3" t="s">
        <v>993</v>
      </c>
      <c r="L2078" s="3" t="s">
        <v>36</v>
      </c>
      <c r="M2078" s="3" t="s">
        <v>36</v>
      </c>
      <c r="N2078" s="3" t="s">
        <v>23</v>
      </c>
      <c r="O2078" s="3" t="s">
        <v>994</v>
      </c>
    </row>
    <row r="2079" spans="1:15" hidden="1" x14ac:dyDescent="0.75">
      <c r="A2079" s="2">
        <v>46291</v>
      </c>
      <c r="B2079" s="3" t="s">
        <v>2247</v>
      </c>
      <c r="C2079" s="3" t="s">
        <v>2248</v>
      </c>
      <c r="D2079" s="3"/>
      <c r="E2079" s="3"/>
      <c r="F2079" s="3" t="s">
        <v>82</v>
      </c>
      <c r="G2079" s="3" t="s">
        <v>83</v>
      </c>
      <c r="H2079" s="4">
        <v>46291.786608680559</v>
      </c>
      <c r="I2079" s="4">
        <v>46291.845862037037</v>
      </c>
      <c r="J2079" s="3">
        <f>ROUND((I2079-H2079)*1440,0)</f>
        <v>85</v>
      </c>
      <c r="K2079" s="3" t="s">
        <v>697</v>
      </c>
      <c r="L2079" s="3" t="s">
        <v>77</v>
      </c>
      <c r="M2079" s="3" t="s">
        <v>78</v>
      </c>
      <c r="N2079" s="3" t="s">
        <v>23</v>
      </c>
      <c r="O2079" s="3" t="s">
        <v>698</v>
      </c>
    </row>
    <row r="2080" spans="1:15" hidden="1" x14ac:dyDescent="0.75">
      <c r="A2080" s="2">
        <v>46291</v>
      </c>
      <c r="B2080" s="3" t="s">
        <v>1635</v>
      </c>
      <c r="C2080" s="3" t="s">
        <v>1636</v>
      </c>
      <c r="D2080" s="3" t="s">
        <v>82</v>
      </c>
      <c r="E2080" s="3" t="s">
        <v>83</v>
      </c>
      <c r="F2080" s="3" t="s">
        <v>17</v>
      </c>
      <c r="G2080" s="3" t="s">
        <v>18</v>
      </c>
      <c r="H2080" s="4">
        <v>46291.786643171297</v>
      </c>
      <c r="I2080" s="4">
        <v>46291.879664236112</v>
      </c>
      <c r="J2080" s="3">
        <f>ROUND((I2080-H2080)*1440,0)</f>
        <v>134</v>
      </c>
      <c r="K2080" s="3" t="s">
        <v>2209</v>
      </c>
      <c r="L2080" s="3" t="s">
        <v>22</v>
      </c>
      <c r="M2080" s="3" t="s">
        <v>22</v>
      </c>
      <c r="N2080" s="3" t="s">
        <v>23</v>
      </c>
      <c r="O2080" s="3" t="s">
        <v>2210</v>
      </c>
    </row>
    <row r="2081" spans="1:15" hidden="1" x14ac:dyDescent="0.75">
      <c r="A2081" s="2">
        <v>46291</v>
      </c>
      <c r="B2081" s="3" t="s">
        <v>1847</v>
      </c>
      <c r="C2081" s="3" t="s">
        <v>1848</v>
      </c>
      <c r="D2081" s="3" t="s">
        <v>1113</v>
      </c>
      <c r="E2081" s="3" t="s">
        <v>1114</v>
      </c>
      <c r="F2081" s="3" t="s">
        <v>27</v>
      </c>
      <c r="G2081" s="3" t="s">
        <v>28</v>
      </c>
      <c r="H2081" s="4">
        <v>46291.786752662039</v>
      </c>
      <c r="I2081" s="4">
        <v>46291.946740740743</v>
      </c>
      <c r="J2081" s="3">
        <f>ROUND((I2081-H2081)*1440,0)</f>
        <v>230</v>
      </c>
      <c r="K2081" s="3" t="s">
        <v>2323</v>
      </c>
      <c r="L2081" s="3" t="s">
        <v>77</v>
      </c>
      <c r="M2081" s="3" t="s">
        <v>78</v>
      </c>
      <c r="N2081" s="3" t="s">
        <v>23</v>
      </c>
      <c r="O2081" s="3" t="s">
        <v>2324</v>
      </c>
    </row>
    <row r="2082" spans="1:15" hidden="1" x14ac:dyDescent="0.75">
      <c r="A2082" s="2">
        <v>46291</v>
      </c>
      <c r="B2082" s="3" t="s">
        <v>1609</v>
      </c>
      <c r="C2082" s="3" t="s">
        <v>1610</v>
      </c>
      <c r="D2082" s="3" t="s">
        <v>27</v>
      </c>
      <c r="E2082" s="3" t="s">
        <v>28</v>
      </c>
      <c r="F2082" s="3" t="s">
        <v>82</v>
      </c>
      <c r="G2082" s="3" t="s">
        <v>83</v>
      </c>
      <c r="H2082" s="4">
        <v>46291.786832175923</v>
      </c>
      <c r="I2082" s="4">
        <v>46291.892670486108</v>
      </c>
      <c r="J2082" s="3">
        <f>ROUND((I2082-H2082)*1440,0)</f>
        <v>152</v>
      </c>
      <c r="K2082" s="3" t="s">
        <v>747</v>
      </c>
      <c r="L2082" s="3" t="s">
        <v>22</v>
      </c>
      <c r="M2082" s="3" t="s">
        <v>22</v>
      </c>
      <c r="N2082" s="3" t="s">
        <v>23</v>
      </c>
      <c r="O2082" s="3" t="s">
        <v>748</v>
      </c>
    </row>
    <row r="2083" spans="1:15" hidden="1" x14ac:dyDescent="0.75">
      <c r="A2083" s="2">
        <v>46291</v>
      </c>
      <c r="B2083" s="3" t="s">
        <v>1947</v>
      </c>
      <c r="C2083" s="3" t="s">
        <v>1948</v>
      </c>
      <c r="D2083" s="3" t="s">
        <v>19</v>
      </c>
      <c r="E2083" s="3" t="s">
        <v>20</v>
      </c>
      <c r="F2083" s="3" t="s">
        <v>27</v>
      </c>
      <c r="G2083" s="3" t="s">
        <v>28</v>
      </c>
      <c r="H2083" s="4">
        <v>46291.789487037036</v>
      </c>
      <c r="I2083" s="4">
        <v>46291.903242476852</v>
      </c>
      <c r="J2083" s="3">
        <f>ROUND((I2083-H2083)*1440,0)</f>
        <v>164</v>
      </c>
      <c r="K2083" s="3" t="s">
        <v>236</v>
      </c>
      <c r="L2083" s="3" t="s">
        <v>77</v>
      </c>
      <c r="M2083" s="3" t="s">
        <v>78</v>
      </c>
      <c r="N2083" s="3" t="s">
        <v>23</v>
      </c>
      <c r="O2083" s="3" t="s">
        <v>237</v>
      </c>
    </row>
    <row r="2084" spans="1:15" hidden="1" x14ac:dyDescent="0.75">
      <c r="A2084" s="2">
        <v>46291</v>
      </c>
      <c r="B2084" s="3" t="s">
        <v>2404</v>
      </c>
      <c r="C2084" s="3" t="s">
        <v>2405</v>
      </c>
      <c r="D2084" s="3"/>
      <c r="E2084" s="3"/>
      <c r="F2084" s="3" t="s">
        <v>27</v>
      </c>
      <c r="G2084" s="3" t="s">
        <v>28</v>
      </c>
      <c r="H2084" s="4">
        <v>46291.790788773149</v>
      </c>
      <c r="I2084" s="4">
        <v>46291.978445833331</v>
      </c>
      <c r="J2084" s="3">
        <f>ROUND((I2084-H2084)*1440,0)</f>
        <v>270</v>
      </c>
      <c r="K2084" s="3" t="s">
        <v>31</v>
      </c>
      <c r="L2084" s="3" t="s">
        <v>22</v>
      </c>
      <c r="M2084" s="3" t="s">
        <v>22</v>
      </c>
      <c r="N2084" s="3" t="s">
        <v>23</v>
      </c>
      <c r="O2084" s="3" t="s">
        <v>32</v>
      </c>
    </row>
    <row r="2085" spans="1:15" hidden="1" x14ac:dyDescent="0.75">
      <c r="A2085" s="2">
        <v>46291</v>
      </c>
      <c r="B2085" s="3" t="s">
        <v>1739</v>
      </c>
      <c r="C2085" s="3" t="s">
        <v>1740</v>
      </c>
      <c r="D2085" s="3" t="s">
        <v>116</v>
      </c>
      <c r="E2085" s="3" t="s">
        <v>117</v>
      </c>
      <c r="F2085" s="3" t="s">
        <v>68</v>
      </c>
      <c r="G2085" s="3" t="s">
        <v>69</v>
      </c>
      <c r="H2085" s="4">
        <v>46291.795113541673</v>
      </c>
      <c r="I2085" s="4">
        <v>46291.889890393519</v>
      </c>
      <c r="J2085" s="3">
        <f>ROUND((I2085-H2085)*1440,0)</f>
        <v>136</v>
      </c>
      <c r="K2085" s="3" t="s">
        <v>406</v>
      </c>
      <c r="L2085" s="3" t="s">
        <v>36</v>
      </c>
      <c r="M2085" s="3" t="s">
        <v>36</v>
      </c>
      <c r="N2085" s="3" t="s">
        <v>23</v>
      </c>
      <c r="O2085" s="3" t="s">
        <v>407</v>
      </c>
    </row>
    <row r="2086" spans="1:15" hidden="1" x14ac:dyDescent="0.75">
      <c r="A2086" s="2">
        <v>46291</v>
      </c>
      <c r="B2086" s="3" t="s">
        <v>1655</v>
      </c>
      <c r="C2086" s="3" t="s">
        <v>1656</v>
      </c>
      <c r="D2086" s="3" t="s">
        <v>17</v>
      </c>
      <c r="E2086" s="3" t="s">
        <v>18</v>
      </c>
      <c r="F2086" s="3" t="s">
        <v>148</v>
      </c>
      <c r="G2086" s="3" t="s">
        <v>149</v>
      </c>
      <c r="H2086" s="4">
        <v>46291.796068981479</v>
      </c>
      <c r="I2086" s="4">
        <v>46291.84941412037</v>
      </c>
      <c r="J2086" s="3">
        <f>ROUND((I2086-H2086)*1440,0)</f>
        <v>77</v>
      </c>
      <c r="K2086" s="3" t="s">
        <v>1617</v>
      </c>
      <c r="L2086" s="3" t="s">
        <v>36</v>
      </c>
      <c r="M2086" s="3" t="s">
        <v>36</v>
      </c>
      <c r="N2086" s="3" t="s">
        <v>23</v>
      </c>
      <c r="O2086" s="3" t="s">
        <v>1618</v>
      </c>
    </row>
    <row r="2087" spans="1:15" hidden="1" x14ac:dyDescent="0.75">
      <c r="A2087" s="2">
        <v>46291</v>
      </c>
      <c r="B2087" s="3" t="s">
        <v>869</v>
      </c>
      <c r="C2087" s="3" t="s">
        <v>870</v>
      </c>
      <c r="D2087" s="3"/>
      <c r="E2087" s="3"/>
      <c r="F2087" s="3" t="s">
        <v>27</v>
      </c>
      <c r="G2087" s="3" t="s">
        <v>28</v>
      </c>
      <c r="H2087" s="4">
        <v>46291.796165046297</v>
      </c>
      <c r="I2087" s="4">
        <v>46291.856577430553</v>
      </c>
      <c r="J2087" s="3">
        <f>ROUND((I2087-H2087)*1440,0)</f>
        <v>87</v>
      </c>
      <c r="K2087" s="3" t="s">
        <v>412</v>
      </c>
      <c r="L2087" s="3" t="s">
        <v>43</v>
      </c>
      <c r="M2087" s="3" t="s">
        <v>44</v>
      </c>
      <c r="N2087" s="3" t="s">
        <v>23</v>
      </c>
      <c r="O2087" s="3" t="s">
        <v>413</v>
      </c>
    </row>
    <row r="2088" spans="1:15" hidden="1" x14ac:dyDescent="0.75">
      <c r="A2088" s="2">
        <v>46291</v>
      </c>
      <c r="B2088" s="3" t="s">
        <v>1833</v>
      </c>
      <c r="C2088" s="3" t="s">
        <v>1834</v>
      </c>
      <c r="D2088" s="3" t="s">
        <v>615</v>
      </c>
      <c r="E2088" s="3" t="s">
        <v>616</v>
      </c>
      <c r="F2088" s="3" t="s">
        <v>82</v>
      </c>
      <c r="G2088" s="3" t="s">
        <v>83</v>
      </c>
      <c r="H2088" s="4">
        <v>46291.797007291672</v>
      </c>
      <c r="I2088" s="4">
        <v>46291.98670173611</v>
      </c>
      <c r="J2088" s="3">
        <f>ROUND((I2088-H2088)*1440,0)</f>
        <v>273</v>
      </c>
      <c r="K2088" s="3" t="s">
        <v>384</v>
      </c>
      <c r="L2088" s="3" t="s">
        <v>36</v>
      </c>
      <c r="M2088" s="3" t="s">
        <v>36</v>
      </c>
      <c r="N2088" s="3" t="s">
        <v>23</v>
      </c>
      <c r="O2088" s="3" t="s">
        <v>385</v>
      </c>
    </row>
    <row r="2089" spans="1:15" hidden="1" x14ac:dyDescent="0.75">
      <c r="A2089" s="2">
        <v>46291</v>
      </c>
      <c r="B2089" s="3" t="s">
        <v>1553</v>
      </c>
      <c r="C2089" s="3" t="s">
        <v>1554</v>
      </c>
      <c r="D2089" s="3" t="s">
        <v>27</v>
      </c>
      <c r="E2089" s="3" t="s">
        <v>28</v>
      </c>
      <c r="F2089" s="3" t="s">
        <v>182</v>
      </c>
      <c r="G2089" s="3" t="s">
        <v>183</v>
      </c>
      <c r="H2089" s="4">
        <v>46291.797420486109</v>
      </c>
      <c r="I2089" s="4">
        <v>46291.889479398153</v>
      </c>
      <c r="J2089" s="3">
        <f>ROUND((I2089-H2089)*1440,0)</f>
        <v>133</v>
      </c>
      <c r="K2089" s="3" t="s">
        <v>1161</v>
      </c>
      <c r="L2089" s="3" t="s">
        <v>77</v>
      </c>
      <c r="M2089" s="3" t="s">
        <v>78</v>
      </c>
      <c r="N2089" s="3" t="s">
        <v>23</v>
      </c>
      <c r="O2089" s="3" t="s">
        <v>1162</v>
      </c>
    </row>
    <row r="2090" spans="1:15" hidden="1" x14ac:dyDescent="0.75">
      <c r="A2090" s="2">
        <v>46291</v>
      </c>
      <c r="B2090" s="3" t="s">
        <v>1687</v>
      </c>
      <c r="C2090" s="3" t="s">
        <v>1688</v>
      </c>
      <c r="D2090" s="3" t="s">
        <v>56</v>
      </c>
      <c r="E2090" s="3" t="s">
        <v>57</v>
      </c>
      <c r="F2090" s="3" t="s">
        <v>264</v>
      </c>
      <c r="G2090" s="3" t="s">
        <v>265</v>
      </c>
      <c r="H2090" s="4">
        <v>46291.798286574071</v>
      </c>
      <c r="I2090" s="4">
        <v>46291.992534837962</v>
      </c>
      <c r="J2090" s="3">
        <f>ROUND((I2090-H2090)*1440,0)</f>
        <v>280</v>
      </c>
      <c r="K2090" s="3" t="s">
        <v>657</v>
      </c>
      <c r="L2090" s="3" t="s">
        <v>22</v>
      </c>
      <c r="M2090" s="3" t="s">
        <v>22</v>
      </c>
      <c r="N2090" s="3" t="s">
        <v>23</v>
      </c>
      <c r="O2090" s="3" t="s">
        <v>658</v>
      </c>
    </row>
    <row r="2091" spans="1:15" hidden="1" x14ac:dyDescent="0.75">
      <c r="A2091" s="2">
        <v>46291</v>
      </c>
      <c r="B2091" s="3" t="s">
        <v>1713</v>
      </c>
      <c r="C2091" s="3" t="s">
        <v>1714</v>
      </c>
      <c r="D2091" s="3" t="s">
        <v>56</v>
      </c>
      <c r="E2091" s="3" t="s">
        <v>57</v>
      </c>
      <c r="F2091" s="3" t="s">
        <v>56</v>
      </c>
      <c r="G2091" s="3" t="s">
        <v>57</v>
      </c>
      <c r="H2091" s="4">
        <v>46291.80239178241</v>
      </c>
      <c r="I2091" s="4">
        <v>46291.940734490738</v>
      </c>
      <c r="J2091" s="3">
        <f>ROUND((I2091-H2091)*1440,0)</f>
        <v>199</v>
      </c>
      <c r="K2091" s="3" t="s">
        <v>961</v>
      </c>
      <c r="L2091" s="3" t="s">
        <v>36</v>
      </c>
      <c r="M2091" s="3" t="s">
        <v>36</v>
      </c>
      <c r="N2091" s="3" t="s">
        <v>23</v>
      </c>
      <c r="O2091" s="3" t="s">
        <v>962</v>
      </c>
    </row>
    <row r="2092" spans="1:15" hidden="1" x14ac:dyDescent="0.75">
      <c r="A2092" s="2">
        <v>46291</v>
      </c>
      <c r="B2092" s="3" t="s">
        <v>1631</v>
      </c>
      <c r="C2092" s="3" t="s">
        <v>1632</v>
      </c>
      <c r="D2092" s="3"/>
      <c r="E2092" s="3"/>
      <c r="F2092" s="3" t="s">
        <v>17</v>
      </c>
      <c r="G2092" s="3" t="s">
        <v>18</v>
      </c>
      <c r="H2092" s="4">
        <v>46291.80404988426</v>
      </c>
      <c r="I2092" s="4">
        <v>46291.84893738426</v>
      </c>
      <c r="J2092" s="3">
        <f>ROUND((I2092-H2092)*1440,0)</f>
        <v>65</v>
      </c>
      <c r="K2092" s="3" t="s">
        <v>1317</v>
      </c>
      <c r="L2092" s="3" t="s">
        <v>36</v>
      </c>
      <c r="M2092" s="3" t="s">
        <v>36</v>
      </c>
      <c r="N2092" s="3" t="s">
        <v>23</v>
      </c>
      <c r="O2092" s="3" t="s">
        <v>1318</v>
      </c>
    </row>
    <row r="2093" spans="1:15" hidden="1" x14ac:dyDescent="0.75">
      <c r="A2093" s="2">
        <v>46291</v>
      </c>
      <c r="B2093" s="3" t="s">
        <v>1679</v>
      </c>
      <c r="C2093" s="3" t="s">
        <v>1680</v>
      </c>
      <c r="D2093" s="3" t="s">
        <v>17</v>
      </c>
      <c r="E2093" s="3" t="s">
        <v>18</v>
      </c>
      <c r="F2093" s="3" t="s">
        <v>82</v>
      </c>
      <c r="G2093" s="3" t="s">
        <v>83</v>
      </c>
      <c r="H2093" s="4">
        <v>46291.807622569453</v>
      </c>
      <c r="I2093" s="4">
        <v>46291.896459143521</v>
      </c>
      <c r="J2093" s="3">
        <f>ROUND((I2093-H2093)*1440,0)</f>
        <v>128</v>
      </c>
      <c r="K2093" s="3" t="s">
        <v>1537</v>
      </c>
      <c r="L2093" s="3" t="s">
        <v>43</v>
      </c>
      <c r="M2093" s="3" t="s">
        <v>44</v>
      </c>
      <c r="N2093" s="3" t="s">
        <v>23</v>
      </c>
      <c r="O2093" s="3" t="s">
        <v>1538</v>
      </c>
    </row>
    <row r="2094" spans="1:15" hidden="1" x14ac:dyDescent="0.75">
      <c r="A2094" s="2">
        <v>46291</v>
      </c>
      <c r="B2094" s="3" t="s">
        <v>1845</v>
      </c>
      <c r="C2094" s="3" t="s">
        <v>1846</v>
      </c>
      <c r="D2094" s="3" t="s">
        <v>27</v>
      </c>
      <c r="E2094" s="3" t="s">
        <v>28</v>
      </c>
      <c r="F2094" s="3" t="s">
        <v>27</v>
      </c>
      <c r="G2094" s="3" t="s">
        <v>28</v>
      </c>
      <c r="H2094" s="4">
        <v>46291.808249652779</v>
      </c>
      <c r="I2094" s="4">
        <v>46291.808587847219</v>
      </c>
      <c r="J2094" s="3">
        <f t="shared" ref="J2050:J2113" si="2">ROUND((I2094-H2094)*1440,0)</f>
        <v>0</v>
      </c>
      <c r="K2094" s="3" t="s">
        <v>240</v>
      </c>
      <c r="L2094" s="3" t="s">
        <v>52</v>
      </c>
      <c r="M2094" s="3"/>
      <c r="N2094" s="3" t="s">
        <v>23</v>
      </c>
      <c r="O2094" s="3" t="s">
        <v>241</v>
      </c>
    </row>
    <row r="2095" spans="1:15" hidden="1" x14ac:dyDescent="0.75">
      <c r="A2095" s="2">
        <v>46291</v>
      </c>
      <c r="B2095" s="3" t="s">
        <v>1845</v>
      </c>
      <c r="C2095" s="3" t="s">
        <v>1846</v>
      </c>
      <c r="D2095" s="3" t="s">
        <v>27</v>
      </c>
      <c r="E2095" s="3" t="s">
        <v>28</v>
      </c>
      <c r="F2095" s="3" t="s">
        <v>27</v>
      </c>
      <c r="G2095" s="3" t="s">
        <v>28</v>
      </c>
      <c r="H2095" s="4">
        <v>46291.808589120366</v>
      </c>
      <c r="I2095" s="4">
        <v>46291.808876388888</v>
      </c>
      <c r="J2095" s="3">
        <f t="shared" si="2"/>
        <v>0</v>
      </c>
      <c r="K2095" s="3" t="s">
        <v>240</v>
      </c>
      <c r="L2095" s="3" t="s">
        <v>52</v>
      </c>
      <c r="M2095" s="3"/>
      <c r="N2095" s="3" t="s">
        <v>23</v>
      </c>
      <c r="O2095" s="3" t="s">
        <v>241</v>
      </c>
    </row>
    <row r="2096" spans="1:15" hidden="1" x14ac:dyDescent="0.75">
      <c r="A2096" s="2">
        <v>46291</v>
      </c>
      <c r="B2096" s="3" t="s">
        <v>1845</v>
      </c>
      <c r="C2096" s="3" t="s">
        <v>1846</v>
      </c>
      <c r="D2096" s="3" t="s">
        <v>27</v>
      </c>
      <c r="E2096" s="3" t="s">
        <v>28</v>
      </c>
      <c r="F2096" s="3" t="s">
        <v>27</v>
      </c>
      <c r="G2096" s="3" t="s">
        <v>28</v>
      </c>
      <c r="H2096" s="4">
        <v>46291.808878587974</v>
      </c>
      <c r="I2096" s="4">
        <v>46291.809280092602</v>
      </c>
      <c r="J2096" s="3">
        <f t="shared" si="2"/>
        <v>1</v>
      </c>
      <c r="K2096" s="3" t="s">
        <v>240</v>
      </c>
      <c r="L2096" s="3" t="s">
        <v>52</v>
      </c>
      <c r="M2096" s="3"/>
      <c r="N2096" s="3" t="s">
        <v>23</v>
      </c>
      <c r="O2096" s="3" t="s">
        <v>241</v>
      </c>
    </row>
    <row r="2097" spans="1:15" hidden="1" x14ac:dyDescent="0.75">
      <c r="A2097" s="2">
        <v>46291</v>
      </c>
      <c r="B2097" s="3" t="s">
        <v>1265</v>
      </c>
      <c r="C2097" s="3" t="s">
        <v>1266</v>
      </c>
      <c r="D2097" s="3" t="s">
        <v>100</v>
      </c>
      <c r="E2097" s="3" t="s">
        <v>101</v>
      </c>
      <c r="F2097" s="3" t="s">
        <v>17</v>
      </c>
      <c r="G2097" s="3" t="s">
        <v>18</v>
      </c>
      <c r="H2097" s="4">
        <v>46291.80892314815</v>
      </c>
      <c r="I2097" s="4">
        <v>46291.890791435188</v>
      </c>
      <c r="J2097" s="3">
        <f t="shared" si="2"/>
        <v>118</v>
      </c>
      <c r="K2097" s="3" t="s">
        <v>2313</v>
      </c>
      <c r="L2097" s="3" t="s">
        <v>77</v>
      </c>
      <c r="M2097" s="3" t="s">
        <v>78</v>
      </c>
      <c r="N2097" s="3" t="s">
        <v>23</v>
      </c>
      <c r="O2097" s="3" t="s">
        <v>2314</v>
      </c>
    </row>
    <row r="2098" spans="1:15" hidden="1" x14ac:dyDescent="0.75">
      <c r="A2098" s="2">
        <v>46291</v>
      </c>
      <c r="B2098" s="3" t="s">
        <v>1845</v>
      </c>
      <c r="C2098" s="3" t="s">
        <v>1846</v>
      </c>
      <c r="D2098" s="3" t="s">
        <v>27</v>
      </c>
      <c r="E2098" s="3" t="s">
        <v>28</v>
      </c>
      <c r="F2098" s="3" t="s">
        <v>2394</v>
      </c>
      <c r="G2098" s="3" t="s">
        <v>2395</v>
      </c>
      <c r="H2098" s="4">
        <v>46291.809286111107</v>
      </c>
      <c r="I2098" s="4">
        <v>46291.810427546297</v>
      </c>
      <c r="J2098" s="3">
        <f t="shared" si="2"/>
        <v>2</v>
      </c>
      <c r="K2098" s="3" t="s">
        <v>240</v>
      </c>
      <c r="L2098" s="3" t="s">
        <v>52</v>
      </c>
      <c r="M2098" s="3"/>
      <c r="N2098" s="3" t="s">
        <v>23</v>
      </c>
      <c r="O2098" s="3" t="s">
        <v>241</v>
      </c>
    </row>
    <row r="2099" spans="1:15" hidden="1" x14ac:dyDescent="0.75">
      <c r="A2099" s="2">
        <v>46291</v>
      </c>
      <c r="B2099" s="3" t="s">
        <v>1721</v>
      </c>
      <c r="C2099" s="3" t="s">
        <v>1722</v>
      </c>
      <c r="D2099" s="3" t="s">
        <v>56</v>
      </c>
      <c r="E2099" s="3" t="s">
        <v>57</v>
      </c>
      <c r="F2099" s="3" t="s">
        <v>280</v>
      </c>
      <c r="G2099" s="3" t="s">
        <v>281</v>
      </c>
      <c r="H2099" s="4">
        <v>46291.809381828702</v>
      </c>
      <c r="I2099" s="4">
        <v>46291.876478009261</v>
      </c>
      <c r="J2099" s="3">
        <f t="shared" si="2"/>
        <v>97</v>
      </c>
      <c r="K2099" s="3" t="s">
        <v>1211</v>
      </c>
      <c r="L2099" s="3" t="s">
        <v>36</v>
      </c>
      <c r="M2099" s="3" t="s">
        <v>36</v>
      </c>
      <c r="N2099" s="3" t="s">
        <v>23</v>
      </c>
      <c r="O2099" s="3" t="s">
        <v>1212</v>
      </c>
    </row>
    <row r="2100" spans="1:15" hidden="1" x14ac:dyDescent="0.75">
      <c r="A2100" s="2">
        <v>46291</v>
      </c>
      <c r="B2100" s="3" t="s">
        <v>1731</v>
      </c>
      <c r="C2100" s="3" t="s">
        <v>1732</v>
      </c>
      <c r="D2100" s="3" t="s">
        <v>106</v>
      </c>
      <c r="E2100" s="3" t="s">
        <v>107</v>
      </c>
      <c r="F2100" s="3" t="s">
        <v>56</v>
      </c>
      <c r="G2100" s="3" t="s">
        <v>57</v>
      </c>
      <c r="H2100" s="4">
        <v>46291.809988194444</v>
      </c>
      <c r="I2100" s="4">
        <v>46291.889794907409</v>
      </c>
      <c r="J2100" s="3">
        <f t="shared" si="2"/>
        <v>115</v>
      </c>
      <c r="K2100" s="3" t="s">
        <v>1363</v>
      </c>
      <c r="L2100" s="3" t="s">
        <v>36</v>
      </c>
      <c r="M2100" s="3" t="s">
        <v>36</v>
      </c>
      <c r="N2100" s="3" t="s">
        <v>23</v>
      </c>
      <c r="O2100" s="3" t="s">
        <v>1364</v>
      </c>
    </row>
    <row r="2101" spans="1:15" hidden="1" x14ac:dyDescent="0.75">
      <c r="A2101" s="2">
        <v>46291</v>
      </c>
      <c r="B2101" s="3" t="s">
        <v>1711</v>
      </c>
      <c r="C2101" s="3" t="s">
        <v>1712</v>
      </c>
      <c r="D2101" s="3" t="s">
        <v>84</v>
      </c>
      <c r="E2101" s="3" t="s">
        <v>85</v>
      </c>
      <c r="F2101" s="3" t="s">
        <v>82</v>
      </c>
      <c r="G2101" s="3" t="s">
        <v>83</v>
      </c>
      <c r="H2101" s="4">
        <v>46291.810071180553</v>
      </c>
      <c r="I2101" s="4">
        <v>46291.900718055564</v>
      </c>
      <c r="J2101" s="3">
        <f t="shared" si="2"/>
        <v>131</v>
      </c>
      <c r="K2101" s="3" t="s">
        <v>1157</v>
      </c>
      <c r="L2101" s="3" t="s">
        <v>36</v>
      </c>
      <c r="M2101" s="3" t="s">
        <v>36</v>
      </c>
      <c r="N2101" s="3" t="s">
        <v>23</v>
      </c>
      <c r="O2101" s="3" t="s">
        <v>1158</v>
      </c>
    </row>
    <row r="2102" spans="1:15" hidden="1" x14ac:dyDescent="0.75">
      <c r="A2102" s="2">
        <v>46291</v>
      </c>
      <c r="B2102" s="3" t="s">
        <v>1845</v>
      </c>
      <c r="C2102" s="3" t="s">
        <v>1846</v>
      </c>
      <c r="D2102" s="3" t="s">
        <v>2394</v>
      </c>
      <c r="E2102" s="3" t="s">
        <v>2395</v>
      </c>
      <c r="F2102" s="3" t="s">
        <v>2394</v>
      </c>
      <c r="G2102" s="3" t="s">
        <v>2395</v>
      </c>
      <c r="H2102" s="4">
        <v>46291.810427893521</v>
      </c>
      <c r="I2102" s="4">
        <v>46291.810485648151</v>
      </c>
      <c r="J2102" s="3">
        <f t="shared" si="2"/>
        <v>0</v>
      </c>
      <c r="K2102" s="3" t="s">
        <v>240</v>
      </c>
      <c r="L2102" s="3" t="s">
        <v>52</v>
      </c>
      <c r="M2102" s="3"/>
      <c r="N2102" s="3" t="s">
        <v>23</v>
      </c>
      <c r="O2102" s="3" t="s">
        <v>241</v>
      </c>
    </row>
    <row r="2103" spans="1:15" hidden="1" x14ac:dyDescent="0.75">
      <c r="A2103" s="2">
        <v>46291</v>
      </c>
      <c r="B2103" s="3" t="s">
        <v>1845</v>
      </c>
      <c r="C2103" s="3" t="s">
        <v>1846</v>
      </c>
      <c r="D2103" s="3" t="s">
        <v>2394</v>
      </c>
      <c r="E2103" s="3" t="s">
        <v>2395</v>
      </c>
      <c r="F2103" s="3" t="s">
        <v>2394</v>
      </c>
      <c r="G2103" s="3" t="s">
        <v>2395</v>
      </c>
      <c r="H2103" s="4">
        <v>46291.810488194453</v>
      </c>
      <c r="I2103" s="4">
        <v>46291.811706365741</v>
      </c>
      <c r="J2103" s="3">
        <f t="shared" si="2"/>
        <v>2</v>
      </c>
      <c r="K2103" s="3" t="s">
        <v>240</v>
      </c>
      <c r="L2103" s="3" t="s">
        <v>52</v>
      </c>
      <c r="M2103" s="3"/>
      <c r="N2103" s="3" t="s">
        <v>23</v>
      </c>
      <c r="O2103" s="3" t="s">
        <v>241</v>
      </c>
    </row>
    <row r="2104" spans="1:15" hidden="1" x14ac:dyDescent="0.75">
      <c r="A2104" s="2">
        <v>46291</v>
      </c>
      <c r="B2104" s="3" t="s">
        <v>1845</v>
      </c>
      <c r="C2104" s="3" t="s">
        <v>1846</v>
      </c>
      <c r="D2104" s="3" t="s">
        <v>2394</v>
      </c>
      <c r="E2104" s="3" t="s">
        <v>2395</v>
      </c>
      <c r="F2104" s="3" t="s">
        <v>2394</v>
      </c>
      <c r="G2104" s="3" t="s">
        <v>2395</v>
      </c>
      <c r="H2104" s="4">
        <v>46291.811706944442</v>
      </c>
      <c r="I2104" s="4">
        <v>46291.812167361109</v>
      </c>
      <c r="J2104" s="3">
        <f t="shared" si="2"/>
        <v>1</v>
      </c>
      <c r="K2104" s="3" t="s">
        <v>240</v>
      </c>
      <c r="L2104" s="3" t="s">
        <v>52</v>
      </c>
      <c r="M2104" s="3"/>
      <c r="N2104" s="3" t="s">
        <v>23</v>
      </c>
      <c r="O2104" s="3" t="s">
        <v>241</v>
      </c>
    </row>
    <row r="2105" spans="1:15" hidden="1" x14ac:dyDescent="0.75">
      <c r="A2105" s="2">
        <v>46291</v>
      </c>
      <c r="B2105" s="3" t="s">
        <v>1845</v>
      </c>
      <c r="C2105" s="3" t="s">
        <v>1846</v>
      </c>
      <c r="D2105" s="3" t="s">
        <v>2394</v>
      </c>
      <c r="E2105" s="3" t="s">
        <v>2395</v>
      </c>
      <c r="F2105" s="3" t="s">
        <v>2394</v>
      </c>
      <c r="G2105" s="3" t="s">
        <v>2395</v>
      </c>
      <c r="H2105" s="4">
        <v>46291.812170138888</v>
      </c>
      <c r="I2105" s="4">
        <v>46291.812224305548</v>
      </c>
      <c r="J2105" s="3">
        <f t="shared" si="2"/>
        <v>0</v>
      </c>
      <c r="K2105" s="3" t="s">
        <v>240</v>
      </c>
      <c r="L2105" s="3" t="s">
        <v>52</v>
      </c>
      <c r="M2105" s="3"/>
      <c r="N2105" s="3" t="s">
        <v>23</v>
      </c>
      <c r="O2105" s="3" t="s">
        <v>241</v>
      </c>
    </row>
    <row r="2106" spans="1:15" hidden="1" x14ac:dyDescent="0.75">
      <c r="A2106" s="2">
        <v>46291</v>
      </c>
      <c r="B2106" s="3" t="s">
        <v>1845</v>
      </c>
      <c r="C2106" s="3" t="s">
        <v>1846</v>
      </c>
      <c r="D2106" s="3" t="s">
        <v>2394</v>
      </c>
      <c r="E2106" s="3" t="s">
        <v>2395</v>
      </c>
      <c r="F2106" s="3" t="s">
        <v>2406</v>
      </c>
      <c r="G2106" s="3" t="s">
        <v>2407</v>
      </c>
      <c r="H2106" s="4">
        <v>46291.812227546303</v>
      </c>
      <c r="I2106" s="4">
        <v>46291.8132625</v>
      </c>
      <c r="J2106" s="3">
        <f t="shared" si="2"/>
        <v>1</v>
      </c>
      <c r="K2106" s="3" t="s">
        <v>240</v>
      </c>
      <c r="L2106" s="3" t="s">
        <v>52</v>
      </c>
      <c r="M2106" s="3"/>
      <c r="N2106" s="3" t="s">
        <v>23</v>
      </c>
      <c r="O2106" s="3" t="s">
        <v>241</v>
      </c>
    </row>
    <row r="2107" spans="1:15" hidden="1" x14ac:dyDescent="0.75">
      <c r="A2107" s="2">
        <v>46291</v>
      </c>
      <c r="B2107" s="3" t="s">
        <v>1727</v>
      </c>
      <c r="C2107" s="3" t="s">
        <v>1728</v>
      </c>
      <c r="D2107" s="3" t="s">
        <v>19</v>
      </c>
      <c r="E2107" s="3" t="s">
        <v>20</v>
      </c>
      <c r="F2107" s="3" t="s">
        <v>17</v>
      </c>
      <c r="G2107" s="3" t="s">
        <v>18</v>
      </c>
      <c r="H2107" s="4">
        <v>46291.812559259262</v>
      </c>
      <c r="I2107" s="4">
        <v>46291.911348032409</v>
      </c>
      <c r="J2107" s="3">
        <f t="shared" si="2"/>
        <v>142</v>
      </c>
      <c r="K2107" s="3" t="s">
        <v>21</v>
      </c>
      <c r="L2107" s="3" t="s">
        <v>22</v>
      </c>
      <c r="M2107" s="3" t="s">
        <v>22</v>
      </c>
      <c r="N2107" s="3" t="s">
        <v>23</v>
      </c>
      <c r="O2107" s="3" t="s">
        <v>24</v>
      </c>
    </row>
    <row r="2108" spans="1:15" hidden="1" x14ac:dyDescent="0.75">
      <c r="A2108" s="2">
        <v>46291</v>
      </c>
      <c r="B2108" s="3" t="s">
        <v>1585</v>
      </c>
      <c r="C2108" s="3" t="s">
        <v>1586</v>
      </c>
      <c r="D2108" s="3" t="s">
        <v>100</v>
      </c>
      <c r="E2108" s="3" t="s">
        <v>101</v>
      </c>
      <c r="F2108" s="3" t="s">
        <v>56</v>
      </c>
      <c r="G2108" s="3" t="s">
        <v>57</v>
      </c>
      <c r="H2108" s="4">
        <v>46291.81273229167</v>
      </c>
      <c r="I2108" s="4">
        <v>46291.844576041673</v>
      </c>
      <c r="J2108" s="3">
        <f t="shared" si="2"/>
        <v>46</v>
      </c>
      <c r="K2108" s="3" t="s">
        <v>493</v>
      </c>
      <c r="L2108" s="3" t="s">
        <v>36</v>
      </c>
      <c r="M2108" s="3" t="s">
        <v>36</v>
      </c>
      <c r="N2108" s="3" t="s">
        <v>23</v>
      </c>
      <c r="O2108" s="3" t="s">
        <v>494</v>
      </c>
    </row>
    <row r="2109" spans="1:15" hidden="1" x14ac:dyDescent="0.75">
      <c r="A2109" s="2">
        <v>46291</v>
      </c>
      <c r="B2109" s="3" t="s">
        <v>1845</v>
      </c>
      <c r="C2109" s="3" t="s">
        <v>1846</v>
      </c>
      <c r="D2109" s="3" t="s">
        <v>2406</v>
      </c>
      <c r="E2109" s="3" t="s">
        <v>2407</v>
      </c>
      <c r="F2109" s="3"/>
      <c r="G2109" s="3"/>
      <c r="H2109" s="4">
        <v>46291.813263773147</v>
      </c>
      <c r="I2109" s="4">
        <v>46291.814129745369</v>
      </c>
      <c r="J2109" s="3">
        <f t="shared" si="2"/>
        <v>1</v>
      </c>
      <c r="K2109" s="3" t="s">
        <v>240</v>
      </c>
      <c r="L2109" s="3" t="s">
        <v>52</v>
      </c>
      <c r="M2109" s="3"/>
      <c r="N2109" s="3" t="s">
        <v>23</v>
      </c>
      <c r="O2109" s="3" t="s">
        <v>241</v>
      </c>
    </row>
    <row r="2110" spans="1:15" hidden="1" x14ac:dyDescent="0.75">
      <c r="A2110" s="2">
        <v>46291</v>
      </c>
      <c r="B2110" s="3" t="s">
        <v>1845</v>
      </c>
      <c r="C2110" s="3" t="s">
        <v>1846</v>
      </c>
      <c r="D2110" s="3"/>
      <c r="E2110" s="3"/>
      <c r="F2110" s="3"/>
      <c r="G2110" s="3"/>
      <c r="H2110" s="4">
        <v>46291.814133912027</v>
      </c>
      <c r="I2110" s="4">
        <v>46291.81436585648</v>
      </c>
      <c r="J2110" s="3">
        <f t="shared" si="2"/>
        <v>0</v>
      </c>
      <c r="K2110" s="3" t="s">
        <v>240</v>
      </c>
      <c r="L2110" s="3" t="s">
        <v>52</v>
      </c>
      <c r="M2110" s="3"/>
      <c r="N2110" s="3" t="s">
        <v>23</v>
      </c>
      <c r="O2110" s="3" t="s">
        <v>241</v>
      </c>
    </row>
    <row r="2111" spans="1:15" hidden="1" x14ac:dyDescent="0.75">
      <c r="A2111" s="2">
        <v>46291</v>
      </c>
      <c r="B2111" s="3" t="s">
        <v>1845</v>
      </c>
      <c r="C2111" s="3" t="s">
        <v>1846</v>
      </c>
      <c r="D2111" s="3"/>
      <c r="E2111" s="3"/>
      <c r="F2111" s="3"/>
      <c r="G2111" s="3"/>
      <c r="H2111" s="4">
        <v>46291.814368055559</v>
      </c>
      <c r="I2111" s="4">
        <v>46291.815241319448</v>
      </c>
      <c r="J2111" s="3">
        <f t="shared" si="2"/>
        <v>1</v>
      </c>
      <c r="K2111" s="3" t="s">
        <v>240</v>
      </c>
      <c r="L2111" s="3" t="s">
        <v>52</v>
      </c>
      <c r="M2111" s="3"/>
      <c r="N2111" s="3" t="s">
        <v>23</v>
      </c>
      <c r="O2111" s="3" t="s">
        <v>241</v>
      </c>
    </row>
    <row r="2112" spans="1:15" hidden="1" x14ac:dyDescent="0.75">
      <c r="A2112" s="2">
        <v>46291</v>
      </c>
      <c r="B2112" s="3" t="s">
        <v>1845</v>
      </c>
      <c r="C2112" s="3" t="s">
        <v>1846</v>
      </c>
      <c r="D2112" s="3"/>
      <c r="E2112" s="3"/>
      <c r="F2112" s="3"/>
      <c r="G2112" s="3"/>
      <c r="H2112" s="4">
        <v>46291.815242824072</v>
      </c>
      <c r="I2112" s="4">
        <v>46291.816856481477</v>
      </c>
      <c r="J2112" s="3">
        <f t="shared" si="2"/>
        <v>2</v>
      </c>
      <c r="K2112" s="3" t="s">
        <v>240</v>
      </c>
      <c r="L2112" s="3" t="s">
        <v>52</v>
      </c>
      <c r="M2112" s="3"/>
      <c r="N2112" s="3" t="s">
        <v>23</v>
      </c>
      <c r="O2112" s="3" t="s">
        <v>241</v>
      </c>
    </row>
    <row r="2113" spans="1:15" hidden="1" x14ac:dyDescent="0.75">
      <c r="A2113" s="2">
        <v>46291</v>
      </c>
      <c r="B2113" s="3" t="s">
        <v>1673</v>
      </c>
      <c r="C2113" s="3" t="s">
        <v>1674</v>
      </c>
      <c r="D2113" s="3" t="s">
        <v>615</v>
      </c>
      <c r="E2113" s="3" t="s">
        <v>616</v>
      </c>
      <c r="F2113" s="3" t="s">
        <v>82</v>
      </c>
      <c r="G2113" s="3" t="s">
        <v>83</v>
      </c>
      <c r="H2113" s="4">
        <v>46291.816150347222</v>
      </c>
      <c r="I2113" s="4">
        <v>46291.924795949068</v>
      </c>
      <c r="J2113" s="3">
        <f t="shared" si="2"/>
        <v>156</v>
      </c>
      <c r="K2113" s="3" t="s">
        <v>2127</v>
      </c>
      <c r="L2113" s="3" t="s">
        <v>22</v>
      </c>
      <c r="M2113" s="3" t="s">
        <v>22</v>
      </c>
      <c r="N2113" s="3" t="s">
        <v>23</v>
      </c>
      <c r="O2113" s="3" t="s">
        <v>2128</v>
      </c>
    </row>
    <row r="2114" spans="1:15" hidden="1" x14ac:dyDescent="0.75">
      <c r="A2114" s="2">
        <v>46291</v>
      </c>
      <c r="B2114" s="3" t="s">
        <v>1845</v>
      </c>
      <c r="C2114" s="3" t="s">
        <v>1846</v>
      </c>
      <c r="D2114" s="3"/>
      <c r="E2114" s="3"/>
      <c r="F2114" s="3"/>
      <c r="G2114" s="3"/>
      <c r="H2114" s="4">
        <v>46291.816858680562</v>
      </c>
      <c r="I2114" s="4">
        <v>46291.817485763888</v>
      </c>
      <c r="J2114" s="3">
        <f t="shared" ref="J2114:J2177" si="3">ROUND((I2114-H2114)*1440,0)</f>
        <v>1</v>
      </c>
      <c r="K2114" s="3" t="s">
        <v>240</v>
      </c>
      <c r="L2114" s="3" t="s">
        <v>52</v>
      </c>
      <c r="M2114" s="3"/>
      <c r="N2114" s="3" t="s">
        <v>23</v>
      </c>
      <c r="O2114" s="3" t="s">
        <v>241</v>
      </c>
    </row>
    <row r="2115" spans="1:15" hidden="1" x14ac:dyDescent="0.75">
      <c r="A2115" s="2">
        <v>46291</v>
      </c>
      <c r="B2115" s="3" t="s">
        <v>1845</v>
      </c>
      <c r="C2115" s="3" t="s">
        <v>1846</v>
      </c>
      <c r="D2115" s="3"/>
      <c r="E2115" s="3"/>
      <c r="F2115" s="3" t="s">
        <v>2408</v>
      </c>
      <c r="G2115" s="3" t="s">
        <v>2409</v>
      </c>
      <c r="H2115" s="4">
        <v>46291.817490046298</v>
      </c>
      <c r="I2115" s="4">
        <v>46291.817543634257</v>
      </c>
      <c r="J2115" s="3">
        <f t="shared" si="3"/>
        <v>0</v>
      </c>
      <c r="K2115" s="3" t="s">
        <v>240</v>
      </c>
      <c r="L2115" s="3" t="s">
        <v>52</v>
      </c>
      <c r="M2115" s="3"/>
      <c r="N2115" s="3" t="s">
        <v>23</v>
      </c>
      <c r="O2115" s="3" t="s">
        <v>241</v>
      </c>
    </row>
    <row r="2116" spans="1:15" hidden="1" x14ac:dyDescent="0.75">
      <c r="A2116" s="2">
        <v>46291</v>
      </c>
      <c r="B2116" s="3" t="s">
        <v>1845</v>
      </c>
      <c r="C2116" s="3" t="s">
        <v>1846</v>
      </c>
      <c r="D2116" s="3" t="s">
        <v>2408</v>
      </c>
      <c r="E2116" s="3" t="s">
        <v>2409</v>
      </c>
      <c r="F2116" s="3" t="s">
        <v>2408</v>
      </c>
      <c r="G2116" s="3" t="s">
        <v>2409</v>
      </c>
      <c r="H2116" s="4">
        <v>46291.817550115738</v>
      </c>
      <c r="I2116" s="4">
        <v>46291.818532754631</v>
      </c>
      <c r="J2116" s="3">
        <f t="shared" si="3"/>
        <v>1</v>
      </c>
      <c r="K2116" s="3" t="s">
        <v>240</v>
      </c>
      <c r="L2116" s="3" t="s">
        <v>52</v>
      </c>
      <c r="M2116" s="3"/>
      <c r="N2116" s="3" t="s">
        <v>23</v>
      </c>
      <c r="O2116" s="3" t="s">
        <v>241</v>
      </c>
    </row>
    <row r="2117" spans="1:15" hidden="1" x14ac:dyDescent="0.75">
      <c r="A2117" s="2">
        <v>46291</v>
      </c>
      <c r="B2117" s="3" t="s">
        <v>1845</v>
      </c>
      <c r="C2117" s="3" t="s">
        <v>1846</v>
      </c>
      <c r="D2117" s="3" t="s">
        <v>2408</v>
      </c>
      <c r="E2117" s="3" t="s">
        <v>2409</v>
      </c>
      <c r="F2117" s="3"/>
      <c r="G2117" s="3"/>
      <c r="H2117" s="4">
        <v>46291.818536921302</v>
      </c>
      <c r="I2117" s="4">
        <v>46291.819403240741</v>
      </c>
      <c r="J2117" s="3">
        <f t="shared" si="3"/>
        <v>1</v>
      </c>
      <c r="K2117" s="3" t="s">
        <v>240</v>
      </c>
      <c r="L2117" s="3" t="s">
        <v>52</v>
      </c>
      <c r="M2117" s="3"/>
      <c r="N2117" s="3" t="s">
        <v>23</v>
      </c>
      <c r="O2117" s="3" t="s">
        <v>241</v>
      </c>
    </row>
    <row r="2118" spans="1:15" hidden="1" x14ac:dyDescent="0.75">
      <c r="A2118" s="2">
        <v>46291</v>
      </c>
      <c r="B2118" s="3" t="s">
        <v>1845</v>
      </c>
      <c r="C2118" s="3" t="s">
        <v>1846</v>
      </c>
      <c r="D2118" s="3"/>
      <c r="E2118" s="3"/>
      <c r="F2118" s="3"/>
      <c r="G2118" s="3"/>
      <c r="H2118" s="4">
        <v>46291.819405787042</v>
      </c>
      <c r="I2118" s="4">
        <v>46291.82028078704</v>
      </c>
      <c r="J2118" s="3">
        <f t="shared" si="3"/>
        <v>1</v>
      </c>
      <c r="K2118" s="3" t="s">
        <v>240</v>
      </c>
      <c r="L2118" s="3" t="s">
        <v>52</v>
      </c>
      <c r="M2118" s="3"/>
      <c r="N2118" s="3" t="s">
        <v>23</v>
      </c>
      <c r="O2118" s="3" t="s">
        <v>241</v>
      </c>
    </row>
    <row r="2119" spans="1:15" hidden="1" x14ac:dyDescent="0.75">
      <c r="A2119" s="2">
        <v>46291</v>
      </c>
      <c r="B2119" s="3" t="s">
        <v>1845</v>
      </c>
      <c r="C2119" s="3" t="s">
        <v>1846</v>
      </c>
      <c r="D2119" s="3"/>
      <c r="E2119" s="3"/>
      <c r="F2119" s="3"/>
      <c r="G2119" s="3"/>
      <c r="H2119" s="4">
        <v>46291.820282638888</v>
      </c>
      <c r="I2119" s="4">
        <v>46291.821085995369</v>
      </c>
      <c r="J2119" s="3">
        <f t="shared" si="3"/>
        <v>1</v>
      </c>
      <c r="K2119" s="3" t="s">
        <v>240</v>
      </c>
      <c r="L2119" s="3" t="s">
        <v>52</v>
      </c>
      <c r="M2119" s="3"/>
      <c r="N2119" s="3" t="s">
        <v>23</v>
      </c>
      <c r="O2119" s="3" t="s">
        <v>241</v>
      </c>
    </row>
    <row r="2120" spans="1:15" hidden="1" x14ac:dyDescent="0.75">
      <c r="A2120" s="2">
        <v>46291</v>
      </c>
      <c r="B2120" s="3" t="s">
        <v>1845</v>
      </c>
      <c r="C2120" s="3" t="s">
        <v>1846</v>
      </c>
      <c r="D2120" s="3"/>
      <c r="E2120" s="3"/>
      <c r="F2120" s="3"/>
      <c r="G2120" s="3"/>
      <c r="H2120" s="4">
        <v>46291.8210869213</v>
      </c>
      <c r="I2120" s="4">
        <v>46291.821259374999</v>
      </c>
      <c r="J2120" s="3">
        <f t="shared" si="3"/>
        <v>0</v>
      </c>
      <c r="K2120" s="3" t="s">
        <v>240</v>
      </c>
      <c r="L2120" s="3" t="s">
        <v>52</v>
      </c>
      <c r="M2120" s="3"/>
      <c r="N2120" s="3" t="s">
        <v>23</v>
      </c>
      <c r="O2120" s="3" t="s">
        <v>241</v>
      </c>
    </row>
    <row r="2121" spans="1:15" hidden="1" x14ac:dyDescent="0.75">
      <c r="A2121" s="2">
        <v>46291</v>
      </c>
      <c r="B2121" s="3" t="s">
        <v>1753</v>
      </c>
      <c r="C2121" s="3" t="s">
        <v>1754</v>
      </c>
      <c r="D2121" s="3" t="s">
        <v>304</v>
      </c>
      <c r="E2121" s="3" t="s">
        <v>305</v>
      </c>
      <c r="F2121" s="3"/>
      <c r="G2121" s="3"/>
      <c r="H2121" s="4">
        <v>46291.821115162027</v>
      </c>
      <c r="I2121" s="4">
        <v>46291.999866782397</v>
      </c>
      <c r="J2121" s="3">
        <f t="shared" si="3"/>
        <v>257</v>
      </c>
      <c r="K2121" s="3" t="s">
        <v>362</v>
      </c>
      <c r="L2121" s="3" t="s">
        <v>43</v>
      </c>
      <c r="M2121" s="3" t="s">
        <v>44</v>
      </c>
      <c r="N2121" s="3" t="s">
        <v>2367</v>
      </c>
      <c r="O2121" s="3" t="s">
        <v>363</v>
      </c>
    </row>
    <row r="2122" spans="1:15" hidden="1" x14ac:dyDescent="0.75">
      <c r="A2122" s="2">
        <v>46291</v>
      </c>
      <c r="B2122" s="3" t="s">
        <v>1845</v>
      </c>
      <c r="C2122" s="3" t="s">
        <v>1846</v>
      </c>
      <c r="D2122" s="3"/>
      <c r="E2122" s="3"/>
      <c r="F2122" s="3"/>
      <c r="G2122" s="3"/>
      <c r="H2122" s="4">
        <v>46291.821261689824</v>
      </c>
      <c r="I2122" s="4">
        <v>46291.821546990737</v>
      </c>
      <c r="J2122" s="3">
        <f t="shared" si="3"/>
        <v>0</v>
      </c>
      <c r="K2122" s="3" t="s">
        <v>240</v>
      </c>
      <c r="L2122" s="3" t="s">
        <v>52</v>
      </c>
      <c r="M2122" s="3"/>
      <c r="N2122" s="3" t="s">
        <v>23</v>
      </c>
      <c r="O2122" s="3" t="s">
        <v>241</v>
      </c>
    </row>
    <row r="2123" spans="1:15" hidden="1" x14ac:dyDescent="0.75">
      <c r="A2123" s="2">
        <v>46291</v>
      </c>
      <c r="B2123" s="3" t="s">
        <v>1895</v>
      </c>
      <c r="C2123" s="3" t="s">
        <v>1896</v>
      </c>
      <c r="D2123" s="3" t="s">
        <v>142</v>
      </c>
      <c r="E2123" s="3" t="s">
        <v>143</v>
      </c>
      <c r="F2123" s="3" t="s">
        <v>27</v>
      </c>
      <c r="G2123" s="3" t="s">
        <v>28</v>
      </c>
      <c r="H2123" s="4">
        <v>46291.821329861108</v>
      </c>
      <c r="I2123" s="4">
        <v>46291.998529861106</v>
      </c>
      <c r="J2123" s="3">
        <f t="shared" si="3"/>
        <v>255</v>
      </c>
      <c r="K2123" s="3" t="s">
        <v>939</v>
      </c>
      <c r="L2123" s="3" t="s">
        <v>77</v>
      </c>
      <c r="M2123" s="3" t="s">
        <v>78</v>
      </c>
      <c r="N2123" s="3" t="s">
        <v>23</v>
      </c>
      <c r="O2123" s="3" t="s">
        <v>940</v>
      </c>
    </row>
    <row r="2124" spans="1:15" hidden="1" x14ac:dyDescent="0.75">
      <c r="A2124" s="2">
        <v>46291</v>
      </c>
      <c r="B2124" s="3" t="s">
        <v>2410</v>
      </c>
      <c r="C2124" s="3" t="s">
        <v>2411</v>
      </c>
      <c r="D2124" s="3"/>
      <c r="E2124" s="3"/>
      <c r="F2124" s="3" t="s">
        <v>27</v>
      </c>
      <c r="G2124" s="3" t="s">
        <v>28</v>
      </c>
      <c r="H2124" s="4">
        <v>46291.821456018522</v>
      </c>
      <c r="I2124" s="4">
        <v>46291.933385995369</v>
      </c>
      <c r="J2124" s="3">
        <f t="shared" si="3"/>
        <v>161</v>
      </c>
      <c r="K2124" s="3" t="s">
        <v>947</v>
      </c>
      <c r="L2124" s="3" t="s">
        <v>22</v>
      </c>
      <c r="M2124" s="3" t="s">
        <v>22</v>
      </c>
      <c r="N2124" s="3" t="s">
        <v>23</v>
      </c>
      <c r="O2124" s="3" t="s">
        <v>948</v>
      </c>
    </row>
    <row r="2125" spans="1:15" hidden="1" x14ac:dyDescent="0.75">
      <c r="A2125" s="2">
        <v>46291</v>
      </c>
      <c r="B2125" s="3" t="s">
        <v>1845</v>
      </c>
      <c r="C2125" s="3" t="s">
        <v>1846</v>
      </c>
      <c r="D2125" s="3"/>
      <c r="E2125" s="3"/>
      <c r="F2125" s="3"/>
      <c r="G2125" s="3"/>
      <c r="H2125" s="4">
        <v>46291.82154837963</v>
      </c>
      <c r="I2125" s="4">
        <v>46291.823522569437</v>
      </c>
      <c r="J2125" s="3">
        <f t="shared" si="3"/>
        <v>3</v>
      </c>
      <c r="K2125" s="3" t="s">
        <v>240</v>
      </c>
      <c r="L2125" s="3" t="s">
        <v>52</v>
      </c>
      <c r="M2125" s="3"/>
      <c r="N2125" s="3" t="s">
        <v>23</v>
      </c>
      <c r="O2125" s="3" t="s">
        <v>241</v>
      </c>
    </row>
    <row r="2126" spans="1:15" hidden="1" x14ac:dyDescent="0.75">
      <c r="A2126" s="2">
        <v>46291</v>
      </c>
      <c r="B2126" s="3" t="s">
        <v>1931</v>
      </c>
      <c r="C2126" s="3" t="s">
        <v>1932</v>
      </c>
      <c r="D2126" s="3" t="s">
        <v>304</v>
      </c>
      <c r="E2126" s="3" t="s">
        <v>305</v>
      </c>
      <c r="F2126" s="3"/>
      <c r="G2126" s="3"/>
      <c r="H2126" s="4">
        <v>46291.822035532408</v>
      </c>
      <c r="I2126" s="4">
        <v>46291.999924189811</v>
      </c>
      <c r="J2126" s="3">
        <f t="shared" si="3"/>
        <v>256</v>
      </c>
      <c r="K2126" s="3" t="s">
        <v>426</v>
      </c>
      <c r="L2126" s="3" t="s">
        <v>22</v>
      </c>
      <c r="M2126" s="3" t="s">
        <v>22</v>
      </c>
      <c r="N2126" s="3" t="s">
        <v>2367</v>
      </c>
      <c r="O2126" s="3" t="s">
        <v>427</v>
      </c>
    </row>
    <row r="2127" spans="1:15" hidden="1" x14ac:dyDescent="0.75">
      <c r="A2127" s="2">
        <v>46291</v>
      </c>
      <c r="B2127" s="3" t="s">
        <v>1845</v>
      </c>
      <c r="C2127" s="3" t="s">
        <v>1846</v>
      </c>
      <c r="D2127" s="3"/>
      <c r="E2127" s="3"/>
      <c r="F2127" s="3"/>
      <c r="G2127" s="3"/>
      <c r="H2127" s="4">
        <v>46291.823525</v>
      </c>
      <c r="I2127" s="4">
        <v>46291.823693865743</v>
      </c>
      <c r="J2127" s="3">
        <f t="shared" si="3"/>
        <v>0</v>
      </c>
      <c r="K2127" s="3" t="s">
        <v>240</v>
      </c>
      <c r="L2127" s="3" t="s">
        <v>52</v>
      </c>
      <c r="M2127" s="3"/>
      <c r="N2127" s="3" t="s">
        <v>23</v>
      </c>
      <c r="O2127" s="3" t="s">
        <v>241</v>
      </c>
    </row>
    <row r="2128" spans="1:15" hidden="1" x14ac:dyDescent="0.75">
      <c r="A2128" s="2">
        <v>46291</v>
      </c>
      <c r="B2128" s="3" t="s">
        <v>1845</v>
      </c>
      <c r="C2128" s="3" t="s">
        <v>1846</v>
      </c>
      <c r="D2128" s="3"/>
      <c r="E2128" s="3"/>
      <c r="F2128" s="3"/>
      <c r="G2128" s="3"/>
      <c r="H2128" s="4">
        <v>46291.823697569453</v>
      </c>
      <c r="I2128" s="4">
        <v>46291.825311574074</v>
      </c>
      <c r="J2128" s="3">
        <f t="shared" si="3"/>
        <v>2</v>
      </c>
      <c r="K2128" s="3" t="s">
        <v>240</v>
      </c>
      <c r="L2128" s="3" t="s">
        <v>52</v>
      </c>
      <c r="M2128" s="3"/>
      <c r="N2128" s="3" t="s">
        <v>23</v>
      </c>
      <c r="O2128" s="3" t="s">
        <v>241</v>
      </c>
    </row>
    <row r="2129" spans="1:15" hidden="1" x14ac:dyDescent="0.75">
      <c r="A2129" s="2">
        <v>46291</v>
      </c>
      <c r="B2129" s="3" t="s">
        <v>1743</v>
      </c>
      <c r="C2129" s="3" t="s">
        <v>1744</v>
      </c>
      <c r="D2129" s="3" t="s">
        <v>58</v>
      </c>
      <c r="E2129" s="3" t="s">
        <v>59</v>
      </c>
      <c r="F2129" s="3" t="s">
        <v>56</v>
      </c>
      <c r="G2129" s="3" t="s">
        <v>57</v>
      </c>
      <c r="H2129" s="4">
        <v>46291.824407754633</v>
      </c>
      <c r="I2129" s="4">
        <v>46291.92578229167</v>
      </c>
      <c r="J2129" s="3">
        <f t="shared" si="3"/>
        <v>146</v>
      </c>
      <c r="K2129" s="3" t="s">
        <v>380</v>
      </c>
      <c r="L2129" s="3" t="s">
        <v>36</v>
      </c>
      <c r="M2129" s="3" t="s">
        <v>36</v>
      </c>
      <c r="N2129" s="3" t="s">
        <v>23</v>
      </c>
      <c r="O2129" s="3" t="s">
        <v>381</v>
      </c>
    </row>
    <row r="2130" spans="1:15" hidden="1" x14ac:dyDescent="0.75">
      <c r="A2130" s="2">
        <v>46291</v>
      </c>
      <c r="B2130" s="3" t="s">
        <v>1737</v>
      </c>
      <c r="C2130" s="3" t="s">
        <v>1738</v>
      </c>
      <c r="D2130" s="3" t="s">
        <v>148</v>
      </c>
      <c r="E2130" s="3" t="s">
        <v>149</v>
      </c>
      <c r="F2130" s="3" t="s">
        <v>56</v>
      </c>
      <c r="G2130" s="3" t="s">
        <v>57</v>
      </c>
      <c r="H2130" s="4">
        <v>46291.824608912037</v>
      </c>
      <c r="I2130" s="4">
        <v>46291.924914467592</v>
      </c>
      <c r="J2130" s="3">
        <f t="shared" si="3"/>
        <v>144</v>
      </c>
      <c r="K2130" s="3" t="s">
        <v>981</v>
      </c>
      <c r="L2130" s="3" t="s">
        <v>36</v>
      </c>
      <c r="M2130" s="3" t="s">
        <v>36</v>
      </c>
      <c r="N2130" s="3" t="s">
        <v>23</v>
      </c>
      <c r="O2130" s="3" t="s">
        <v>982</v>
      </c>
    </row>
    <row r="2131" spans="1:15" hidden="1" x14ac:dyDescent="0.75">
      <c r="A2131" s="2">
        <v>46291</v>
      </c>
      <c r="B2131" s="3" t="s">
        <v>1845</v>
      </c>
      <c r="C2131" s="3" t="s">
        <v>1846</v>
      </c>
      <c r="D2131" s="3"/>
      <c r="E2131" s="3"/>
      <c r="F2131" s="3"/>
      <c r="G2131" s="3"/>
      <c r="H2131" s="4">
        <v>46291.825314120368</v>
      </c>
      <c r="I2131" s="4">
        <v>46291.826803356482</v>
      </c>
      <c r="J2131" s="3">
        <f t="shared" si="3"/>
        <v>2</v>
      </c>
      <c r="K2131" s="3" t="s">
        <v>240</v>
      </c>
      <c r="L2131" s="3" t="s">
        <v>52</v>
      </c>
      <c r="M2131" s="3"/>
      <c r="N2131" s="3" t="s">
        <v>23</v>
      </c>
      <c r="O2131" s="3" t="s">
        <v>241</v>
      </c>
    </row>
    <row r="2132" spans="1:15" hidden="1" x14ac:dyDescent="0.75">
      <c r="A2132" s="2">
        <v>46291</v>
      </c>
      <c r="B2132" s="3" t="s">
        <v>1729</v>
      </c>
      <c r="C2132" s="3" t="s">
        <v>1730</v>
      </c>
      <c r="D2132" s="3" t="s">
        <v>58</v>
      </c>
      <c r="E2132" s="3" t="s">
        <v>59</v>
      </c>
      <c r="F2132" s="3"/>
      <c r="G2132" s="3"/>
      <c r="H2132" s="4">
        <v>46291.826369560193</v>
      </c>
      <c r="I2132" s="4">
        <v>46291.999998263891</v>
      </c>
      <c r="J2132" s="3">
        <f t="shared" si="3"/>
        <v>250</v>
      </c>
      <c r="K2132" s="3" t="s">
        <v>469</v>
      </c>
      <c r="L2132" s="3" t="s">
        <v>22</v>
      </c>
      <c r="M2132" s="3" t="s">
        <v>22</v>
      </c>
      <c r="N2132" s="3" t="s">
        <v>2367</v>
      </c>
      <c r="O2132" s="3" t="s">
        <v>470</v>
      </c>
    </row>
    <row r="2133" spans="1:15" hidden="1" x14ac:dyDescent="0.75">
      <c r="A2133" s="2">
        <v>46291</v>
      </c>
      <c r="B2133" s="3" t="s">
        <v>1845</v>
      </c>
      <c r="C2133" s="3" t="s">
        <v>1846</v>
      </c>
      <c r="D2133" s="3"/>
      <c r="E2133" s="3"/>
      <c r="F2133" s="3"/>
      <c r="G2133" s="3"/>
      <c r="H2133" s="4">
        <v>46291.826807175923</v>
      </c>
      <c r="I2133" s="4">
        <v>46291.827666319441</v>
      </c>
      <c r="J2133" s="3">
        <f t="shared" si="3"/>
        <v>1</v>
      </c>
      <c r="K2133" s="3" t="s">
        <v>240</v>
      </c>
      <c r="L2133" s="3" t="s">
        <v>52</v>
      </c>
      <c r="M2133" s="3"/>
      <c r="N2133" s="3" t="s">
        <v>23</v>
      </c>
      <c r="O2133" s="3" t="s">
        <v>241</v>
      </c>
    </row>
    <row r="2134" spans="1:15" hidden="1" x14ac:dyDescent="0.75">
      <c r="A2134" s="2">
        <v>46291</v>
      </c>
      <c r="B2134" s="3" t="s">
        <v>1845</v>
      </c>
      <c r="C2134" s="3" t="s">
        <v>1846</v>
      </c>
      <c r="D2134" s="3"/>
      <c r="E2134" s="3"/>
      <c r="F2134" s="3"/>
      <c r="G2134" s="3"/>
      <c r="H2134" s="4">
        <v>46291.827669444443</v>
      </c>
      <c r="I2134" s="4">
        <v>46291.828013888888</v>
      </c>
      <c r="J2134" s="3">
        <f t="shared" si="3"/>
        <v>0</v>
      </c>
      <c r="K2134" s="3" t="s">
        <v>240</v>
      </c>
      <c r="L2134" s="3" t="s">
        <v>52</v>
      </c>
      <c r="M2134" s="3"/>
      <c r="N2134" s="3" t="s">
        <v>23</v>
      </c>
      <c r="O2134" s="3" t="s">
        <v>241</v>
      </c>
    </row>
    <row r="2135" spans="1:15" hidden="1" x14ac:dyDescent="0.75">
      <c r="A2135" s="2">
        <v>46291</v>
      </c>
      <c r="B2135" s="3" t="s">
        <v>1845</v>
      </c>
      <c r="C2135" s="3" t="s">
        <v>1846</v>
      </c>
      <c r="D2135" s="3"/>
      <c r="E2135" s="3"/>
      <c r="F2135" s="3"/>
      <c r="G2135" s="3"/>
      <c r="H2135" s="4">
        <v>46291.828018402783</v>
      </c>
      <c r="I2135" s="4">
        <v>46291.828245833327</v>
      </c>
      <c r="J2135" s="3">
        <f t="shared" si="3"/>
        <v>0</v>
      </c>
      <c r="K2135" s="3" t="s">
        <v>240</v>
      </c>
      <c r="L2135" s="3" t="s">
        <v>52</v>
      </c>
      <c r="M2135" s="3"/>
      <c r="N2135" s="3" t="s">
        <v>23</v>
      </c>
      <c r="O2135" s="3" t="s">
        <v>241</v>
      </c>
    </row>
    <row r="2136" spans="1:15" hidden="1" x14ac:dyDescent="0.75">
      <c r="A2136" s="2">
        <v>46291</v>
      </c>
      <c r="B2136" s="3" t="s">
        <v>1845</v>
      </c>
      <c r="C2136" s="3" t="s">
        <v>1846</v>
      </c>
      <c r="D2136" s="3"/>
      <c r="E2136" s="3"/>
      <c r="F2136" s="3"/>
      <c r="G2136" s="3"/>
      <c r="H2136" s="4">
        <v>46291.828247337973</v>
      </c>
      <c r="I2136" s="4">
        <v>46291.829165393523</v>
      </c>
      <c r="J2136" s="3">
        <f t="shared" si="3"/>
        <v>1</v>
      </c>
      <c r="K2136" s="3" t="s">
        <v>240</v>
      </c>
      <c r="L2136" s="3" t="s">
        <v>52</v>
      </c>
      <c r="M2136" s="3"/>
      <c r="N2136" s="3" t="s">
        <v>23</v>
      </c>
      <c r="O2136" s="3" t="s">
        <v>241</v>
      </c>
    </row>
    <row r="2137" spans="1:15" hidden="1" x14ac:dyDescent="0.75">
      <c r="A2137" s="2">
        <v>46291</v>
      </c>
      <c r="B2137" s="3" t="s">
        <v>1845</v>
      </c>
      <c r="C2137" s="3" t="s">
        <v>1846</v>
      </c>
      <c r="D2137" s="3"/>
      <c r="E2137" s="3"/>
      <c r="F2137" s="3"/>
      <c r="G2137" s="3"/>
      <c r="H2137" s="4">
        <v>46291.829166550917</v>
      </c>
      <c r="I2137" s="4">
        <v>46291.829861574071</v>
      </c>
      <c r="J2137" s="3">
        <f t="shared" si="3"/>
        <v>1</v>
      </c>
      <c r="K2137" s="3" t="s">
        <v>240</v>
      </c>
      <c r="L2137" s="3" t="s">
        <v>52</v>
      </c>
      <c r="M2137" s="3"/>
      <c r="N2137" s="3" t="s">
        <v>23</v>
      </c>
      <c r="O2137" s="3" t="s">
        <v>241</v>
      </c>
    </row>
    <row r="2138" spans="1:15" hidden="1" x14ac:dyDescent="0.75">
      <c r="A2138" s="2">
        <v>46291</v>
      </c>
      <c r="B2138" s="3" t="s">
        <v>1775</v>
      </c>
      <c r="C2138" s="3" t="s">
        <v>1776</v>
      </c>
      <c r="D2138" s="3"/>
      <c r="E2138" s="3"/>
      <c r="F2138" s="3" t="s">
        <v>56</v>
      </c>
      <c r="G2138" s="3" t="s">
        <v>57</v>
      </c>
      <c r="H2138" s="4">
        <v>46291.829364467587</v>
      </c>
      <c r="I2138" s="4">
        <v>46291.902418287027</v>
      </c>
      <c r="J2138" s="3">
        <f t="shared" si="3"/>
        <v>105</v>
      </c>
      <c r="K2138" s="3" t="s">
        <v>178</v>
      </c>
      <c r="L2138" s="3" t="s">
        <v>43</v>
      </c>
      <c r="M2138" s="3" t="s">
        <v>44</v>
      </c>
      <c r="N2138" s="3" t="s">
        <v>23</v>
      </c>
      <c r="O2138" s="3" t="s">
        <v>179</v>
      </c>
    </row>
    <row r="2139" spans="1:15" hidden="1" x14ac:dyDescent="0.75">
      <c r="A2139" s="2">
        <v>46291</v>
      </c>
      <c r="B2139" s="3" t="s">
        <v>1845</v>
      </c>
      <c r="C2139" s="3" t="s">
        <v>1846</v>
      </c>
      <c r="D2139" s="3"/>
      <c r="E2139" s="3"/>
      <c r="F2139" s="3"/>
      <c r="G2139" s="3"/>
      <c r="H2139" s="4">
        <v>46291.829865856482</v>
      </c>
      <c r="I2139" s="4">
        <v>46291.830438194447</v>
      </c>
      <c r="J2139" s="3">
        <f t="shared" si="3"/>
        <v>1</v>
      </c>
      <c r="K2139" s="3" t="s">
        <v>240</v>
      </c>
      <c r="L2139" s="3" t="s">
        <v>52</v>
      </c>
      <c r="M2139" s="3"/>
      <c r="N2139" s="3" t="s">
        <v>23</v>
      </c>
      <c r="O2139" s="3" t="s">
        <v>241</v>
      </c>
    </row>
    <row r="2140" spans="1:15" hidden="1" x14ac:dyDescent="0.75">
      <c r="A2140" s="2">
        <v>46291</v>
      </c>
      <c r="B2140" s="3" t="s">
        <v>2011</v>
      </c>
      <c r="C2140" s="3" t="s">
        <v>2012</v>
      </c>
      <c r="D2140" s="3" t="s">
        <v>1269</v>
      </c>
      <c r="E2140" s="3" t="s">
        <v>1270</v>
      </c>
      <c r="F2140" s="3" t="s">
        <v>27</v>
      </c>
      <c r="G2140" s="3" t="s">
        <v>28</v>
      </c>
      <c r="H2140" s="4">
        <v>46291.829896875002</v>
      </c>
      <c r="I2140" s="4">
        <v>46291.919435300922</v>
      </c>
      <c r="J2140" s="3">
        <f t="shared" si="3"/>
        <v>129</v>
      </c>
      <c r="K2140" s="3" t="s">
        <v>160</v>
      </c>
      <c r="L2140" s="3" t="s">
        <v>77</v>
      </c>
      <c r="M2140" s="3" t="s">
        <v>78</v>
      </c>
      <c r="N2140" s="3" t="s">
        <v>23</v>
      </c>
      <c r="O2140" s="3" t="s">
        <v>161</v>
      </c>
    </row>
    <row r="2141" spans="1:15" hidden="1" x14ac:dyDescent="0.75">
      <c r="A2141" s="2">
        <v>46291</v>
      </c>
      <c r="B2141" s="3" t="s">
        <v>1845</v>
      </c>
      <c r="C2141" s="3" t="s">
        <v>1846</v>
      </c>
      <c r="D2141" s="3"/>
      <c r="E2141" s="3"/>
      <c r="F2141" s="3"/>
      <c r="G2141" s="3"/>
      <c r="H2141" s="4">
        <v>46291.830442013888</v>
      </c>
      <c r="I2141" s="4">
        <v>46291.830848148151</v>
      </c>
      <c r="J2141" s="3">
        <f t="shared" si="3"/>
        <v>1</v>
      </c>
      <c r="K2141" s="3" t="s">
        <v>240</v>
      </c>
      <c r="L2141" s="3" t="s">
        <v>52</v>
      </c>
      <c r="M2141" s="3"/>
      <c r="N2141" s="3" t="s">
        <v>23</v>
      </c>
      <c r="O2141" s="3" t="s">
        <v>241</v>
      </c>
    </row>
    <row r="2142" spans="1:15" hidden="1" x14ac:dyDescent="0.75">
      <c r="A2142" s="2">
        <v>46291</v>
      </c>
      <c r="B2142" s="3" t="s">
        <v>1845</v>
      </c>
      <c r="C2142" s="3" t="s">
        <v>1846</v>
      </c>
      <c r="D2142" s="3"/>
      <c r="E2142" s="3"/>
      <c r="F2142" s="3"/>
      <c r="G2142" s="3"/>
      <c r="H2142" s="4">
        <v>46291.830849421298</v>
      </c>
      <c r="I2142" s="4">
        <v>46291.831716898138</v>
      </c>
      <c r="J2142" s="3">
        <f t="shared" si="3"/>
        <v>1</v>
      </c>
      <c r="K2142" s="3" t="s">
        <v>240</v>
      </c>
      <c r="L2142" s="3" t="s">
        <v>52</v>
      </c>
      <c r="M2142" s="3"/>
      <c r="N2142" s="3" t="s">
        <v>23</v>
      </c>
      <c r="O2142" s="3" t="s">
        <v>241</v>
      </c>
    </row>
    <row r="2143" spans="1:15" hidden="1" x14ac:dyDescent="0.75">
      <c r="A2143" s="2">
        <v>46291</v>
      </c>
      <c r="B2143" s="3" t="s">
        <v>1845</v>
      </c>
      <c r="C2143" s="3" t="s">
        <v>1846</v>
      </c>
      <c r="D2143" s="3"/>
      <c r="E2143" s="3"/>
      <c r="F2143" s="3"/>
      <c r="G2143" s="3"/>
      <c r="H2143" s="4">
        <v>46291.831719791669</v>
      </c>
      <c r="I2143" s="4">
        <v>46291.831891319453</v>
      </c>
      <c r="J2143" s="3">
        <f t="shared" si="3"/>
        <v>0</v>
      </c>
      <c r="K2143" s="3" t="s">
        <v>240</v>
      </c>
      <c r="L2143" s="3" t="s">
        <v>52</v>
      </c>
      <c r="M2143" s="3"/>
      <c r="N2143" s="3" t="s">
        <v>23</v>
      </c>
      <c r="O2143" s="3" t="s">
        <v>241</v>
      </c>
    </row>
    <row r="2144" spans="1:15" hidden="1" x14ac:dyDescent="0.75">
      <c r="A2144" s="2">
        <v>46291</v>
      </c>
      <c r="B2144" s="3" t="s">
        <v>1541</v>
      </c>
      <c r="C2144" s="3" t="s">
        <v>1542</v>
      </c>
      <c r="D2144" s="3" t="s">
        <v>615</v>
      </c>
      <c r="E2144" s="3" t="s">
        <v>616</v>
      </c>
      <c r="F2144" s="3"/>
      <c r="G2144" s="3"/>
      <c r="H2144" s="4">
        <v>46291.831733333333</v>
      </c>
      <c r="I2144" s="4">
        <v>46291.837521180547</v>
      </c>
      <c r="J2144" s="3">
        <f t="shared" si="3"/>
        <v>8</v>
      </c>
      <c r="K2144" s="3" t="s">
        <v>951</v>
      </c>
      <c r="L2144" s="3" t="s">
        <v>36</v>
      </c>
      <c r="M2144" s="3" t="s">
        <v>36</v>
      </c>
      <c r="N2144" s="3" t="s">
        <v>443</v>
      </c>
      <c r="O2144" s="3" t="s">
        <v>952</v>
      </c>
    </row>
    <row r="2145" spans="1:15" hidden="1" x14ac:dyDescent="0.75">
      <c r="A2145" s="2">
        <v>46291</v>
      </c>
      <c r="B2145" s="3" t="s">
        <v>62</v>
      </c>
      <c r="C2145" s="3" t="s">
        <v>63</v>
      </c>
      <c r="D2145" s="3" t="s">
        <v>1085</v>
      </c>
      <c r="E2145" s="3" t="s">
        <v>1086</v>
      </c>
      <c r="F2145" s="3"/>
      <c r="G2145" s="3"/>
      <c r="H2145" s="4">
        <v>46291.831841087973</v>
      </c>
      <c r="I2145" s="4">
        <v>46291.999806018517</v>
      </c>
      <c r="J2145" s="3">
        <f t="shared" si="3"/>
        <v>242</v>
      </c>
      <c r="K2145" s="3" t="s">
        <v>1119</v>
      </c>
      <c r="L2145" s="3" t="s">
        <v>43</v>
      </c>
      <c r="M2145" s="3" t="s">
        <v>44</v>
      </c>
      <c r="N2145" s="3" t="s">
        <v>2367</v>
      </c>
      <c r="O2145" s="3" t="s">
        <v>1120</v>
      </c>
    </row>
    <row r="2146" spans="1:15" hidden="1" x14ac:dyDescent="0.75">
      <c r="A2146" s="2">
        <v>46291</v>
      </c>
      <c r="B2146" s="3" t="s">
        <v>1845</v>
      </c>
      <c r="C2146" s="3" t="s">
        <v>1846</v>
      </c>
      <c r="D2146" s="3"/>
      <c r="E2146" s="3"/>
      <c r="F2146" s="3"/>
      <c r="G2146" s="3"/>
      <c r="H2146" s="4">
        <v>46291.831891666669</v>
      </c>
      <c r="I2146" s="4">
        <v>46291.832353124999</v>
      </c>
      <c r="J2146" s="3">
        <f t="shared" si="3"/>
        <v>1</v>
      </c>
      <c r="K2146" s="3" t="s">
        <v>240</v>
      </c>
      <c r="L2146" s="3" t="s">
        <v>52</v>
      </c>
      <c r="M2146" s="3"/>
      <c r="N2146" s="3" t="s">
        <v>23</v>
      </c>
      <c r="O2146" s="3" t="s">
        <v>241</v>
      </c>
    </row>
    <row r="2147" spans="1:15" hidden="1" x14ac:dyDescent="0.75">
      <c r="A2147" s="2">
        <v>46291</v>
      </c>
      <c r="B2147" s="3" t="s">
        <v>2412</v>
      </c>
      <c r="C2147" s="3" t="s">
        <v>2413</v>
      </c>
      <c r="D2147" s="3" t="s">
        <v>1355</v>
      </c>
      <c r="E2147" s="3" t="s">
        <v>1356</v>
      </c>
      <c r="F2147" s="3"/>
      <c r="G2147" s="3"/>
      <c r="H2147" s="4">
        <v>46291.832315740743</v>
      </c>
      <c r="I2147" s="4">
        <v>46291.999996990737</v>
      </c>
      <c r="J2147" s="3">
        <f t="shared" si="3"/>
        <v>241</v>
      </c>
      <c r="K2147" s="3" t="s">
        <v>112</v>
      </c>
      <c r="L2147" s="3" t="s">
        <v>36</v>
      </c>
      <c r="M2147" s="3" t="s">
        <v>36</v>
      </c>
      <c r="N2147" s="3" t="s">
        <v>2367</v>
      </c>
      <c r="O2147" s="3" t="s">
        <v>113</v>
      </c>
    </row>
    <row r="2148" spans="1:15" hidden="1" x14ac:dyDescent="0.75">
      <c r="A2148" s="2">
        <v>46291</v>
      </c>
      <c r="B2148" s="3" t="s">
        <v>1845</v>
      </c>
      <c r="C2148" s="3" t="s">
        <v>1846</v>
      </c>
      <c r="D2148" s="3"/>
      <c r="E2148" s="3"/>
      <c r="F2148" s="3" t="s">
        <v>234</v>
      </c>
      <c r="G2148" s="3" t="s">
        <v>235</v>
      </c>
      <c r="H2148" s="4">
        <v>46291.832357638887</v>
      </c>
      <c r="I2148" s="4">
        <v>46291.834269907413</v>
      </c>
      <c r="J2148" s="3">
        <f t="shared" si="3"/>
        <v>3</v>
      </c>
      <c r="K2148" s="3" t="s">
        <v>240</v>
      </c>
      <c r="L2148" s="3" t="s">
        <v>52</v>
      </c>
      <c r="M2148" s="3"/>
      <c r="N2148" s="3" t="s">
        <v>23</v>
      </c>
      <c r="O2148" s="3" t="s">
        <v>241</v>
      </c>
    </row>
    <row r="2149" spans="1:15" hidden="1" x14ac:dyDescent="0.75">
      <c r="A2149" s="2">
        <v>46291</v>
      </c>
      <c r="B2149" s="3" t="s">
        <v>1921</v>
      </c>
      <c r="C2149" s="3" t="s">
        <v>1922</v>
      </c>
      <c r="D2149" s="3" t="s">
        <v>82</v>
      </c>
      <c r="E2149" s="3" t="s">
        <v>83</v>
      </c>
      <c r="F2149" s="3" t="s">
        <v>615</v>
      </c>
      <c r="G2149" s="3" t="s">
        <v>616</v>
      </c>
      <c r="H2149" s="4">
        <v>46291.832455902782</v>
      </c>
      <c r="I2149" s="4">
        <v>46291.934734259259</v>
      </c>
      <c r="J2149" s="3">
        <f t="shared" si="3"/>
        <v>147</v>
      </c>
      <c r="K2149" s="3" t="s">
        <v>489</v>
      </c>
      <c r="L2149" s="3" t="s">
        <v>36</v>
      </c>
      <c r="M2149" s="3" t="s">
        <v>36</v>
      </c>
      <c r="N2149" s="3" t="s">
        <v>45</v>
      </c>
      <c r="O2149" s="3" t="s">
        <v>490</v>
      </c>
    </row>
    <row r="2150" spans="1:15" hidden="1" x14ac:dyDescent="0.75">
      <c r="A2150" s="2">
        <v>46291</v>
      </c>
      <c r="B2150" s="3" t="s">
        <v>1965</v>
      </c>
      <c r="C2150" s="3" t="s">
        <v>1966</v>
      </c>
      <c r="D2150" s="3" t="s">
        <v>27</v>
      </c>
      <c r="E2150" s="3" t="s">
        <v>28</v>
      </c>
      <c r="F2150" s="3" t="s">
        <v>719</v>
      </c>
      <c r="G2150" s="3" t="s">
        <v>720</v>
      </c>
      <c r="H2150" s="4">
        <v>46291.832854398148</v>
      </c>
      <c r="I2150" s="4">
        <v>46291.95472465278</v>
      </c>
      <c r="J2150" s="3">
        <f t="shared" si="3"/>
        <v>175</v>
      </c>
      <c r="K2150" s="3" t="s">
        <v>529</v>
      </c>
      <c r="L2150" s="3" t="s">
        <v>77</v>
      </c>
      <c r="M2150" s="3" t="s">
        <v>78</v>
      </c>
      <c r="N2150" s="3" t="s">
        <v>23</v>
      </c>
      <c r="O2150" s="3" t="s">
        <v>530</v>
      </c>
    </row>
    <row r="2151" spans="1:15" hidden="1" x14ac:dyDescent="0.75">
      <c r="A2151" s="2">
        <v>46291</v>
      </c>
      <c r="B2151" s="3" t="s">
        <v>1813</v>
      </c>
      <c r="C2151" s="3" t="s">
        <v>1814</v>
      </c>
      <c r="D2151" s="3" t="s">
        <v>737</v>
      </c>
      <c r="E2151" s="3" t="s">
        <v>738</v>
      </c>
      <c r="F2151" s="3" t="s">
        <v>17</v>
      </c>
      <c r="G2151" s="3" t="s">
        <v>18</v>
      </c>
      <c r="H2151" s="4">
        <v>46291.833585300927</v>
      </c>
      <c r="I2151" s="4">
        <v>46291.882835763892</v>
      </c>
      <c r="J2151" s="3">
        <f t="shared" si="3"/>
        <v>71</v>
      </c>
      <c r="K2151" s="3" t="s">
        <v>214</v>
      </c>
      <c r="L2151" s="3" t="s">
        <v>77</v>
      </c>
      <c r="M2151" s="3" t="s">
        <v>78</v>
      </c>
      <c r="N2151" s="3" t="s">
        <v>23</v>
      </c>
      <c r="O2151" s="3" t="s">
        <v>215</v>
      </c>
    </row>
    <row r="2152" spans="1:15" hidden="1" x14ac:dyDescent="0.75">
      <c r="A2152" s="2">
        <v>46291</v>
      </c>
      <c r="B2152" s="3" t="s">
        <v>1845</v>
      </c>
      <c r="C2152" s="3" t="s">
        <v>1846</v>
      </c>
      <c r="D2152" s="3" t="s">
        <v>234</v>
      </c>
      <c r="E2152" s="3" t="s">
        <v>235</v>
      </c>
      <c r="F2152" s="3" t="s">
        <v>234</v>
      </c>
      <c r="G2152" s="3" t="s">
        <v>235</v>
      </c>
      <c r="H2152" s="4">
        <v>46291.834273032408</v>
      </c>
      <c r="I2152" s="4">
        <v>46291.834784953702</v>
      </c>
      <c r="J2152" s="3">
        <f t="shared" si="3"/>
        <v>1</v>
      </c>
      <c r="K2152" s="3" t="s">
        <v>240</v>
      </c>
      <c r="L2152" s="3" t="s">
        <v>52</v>
      </c>
      <c r="M2152" s="3"/>
      <c r="N2152" s="3" t="s">
        <v>23</v>
      </c>
      <c r="O2152" s="3" t="s">
        <v>241</v>
      </c>
    </row>
    <row r="2153" spans="1:15" hidden="1" x14ac:dyDescent="0.75">
      <c r="A2153" s="2">
        <v>46291</v>
      </c>
      <c r="B2153" s="3" t="s">
        <v>1845</v>
      </c>
      <c r="C2153" s="3" t="s">
        <v>1846</v>
      </c>
      <c r="D2153" s="3" t="s">
        <v>234</v>
      </c>
      <c r="E2153" s="3" t="s">
        <v>235</v>
      </c>
      <c r="F2153" s="3"/>
      <c r="G2153" s="3"/>
      <c r="H2153" s="4">
        <v>46291.834787037027</v>
      </c>
      <c r="I2153" s="4">
        <v>46291.837104166669</v>
      </c>
      <c r="J2153" s="3">
        <f t="shared" si="3"/>
        <v>3</v>
      </c>
      <c r="K2153" s="3" t="s">
        <v>240</v>
      </c>
      <c r="L2153" s="3" t="s">
        <v>52</v>
      </c>
      <c r="M2153" s="3"/>
      <c r="N2153" s="3" t="s">
        <v>23</v>
      </c>
      <c r="O2153" s="3" t="s">
        <v>241</v>
      </c>
    </row>
    <row r="2154" spans="1:15" hidden="1" x14ac:dyDescent="0.75">
      <c r="A2154" s="2">
        <v>46291</v>
      </c>
      <c r="B2154" s="3" t="s">
        <v>1769</v>
      </c>
      <c r="C2154" s="3" t="s">
        <v>1770</v>
      </c>
      <c r="D2154" s="3" t="s">
        <v>74</v>
      </c>
      <c r="E2154" s="3" t="s">
        <v>75</v>
      </c>
      <c r="F2154" s="3" t="s">
        <v>56</v>
      </c>
      <c r="G2154" s="3" t="s">
        <v>57</v>
      </c>
      <c r="H2154" s="4">
        <v>46291.835168055557</v>
      </c>
      <c r="I2154" s="4">
        <v>46291.919188657397</v>
      </c>
      <c r="J2154" s="3">
        <f t="shared" si="3"/>
        <v>121</v>
      </c>
      <c r="K2154" s="3" t="s">
        <v>220</v>
      </c>
      <c r="L2154" s="3" t="s">
        <v>77</v>
      </c>
      <c r="M2154" s="3" t="s">
        <v>78</v>
      </c>
      <c r="N2154" s="3" t="s">
        <v>23</v>
      </c>
      <c r="O2154" s="3" t="s">
        <v>221</v>
      </c>
    </row>
    <row r="2155" spans="1:15" hidden="1" x14ac:dyDescent="0.75">
      <c r="A2155" s="2">
        <v>46291</v>
      </c>
      <c r="B2155" s="3" t="s">
        <v>1797</v>
      </c>
      <c r="C2155" s="3" t="s">
        <v>1798</v>
      </c>
      <c r="D2155" s="3" t="s">
        <v>17</v>
      </c>
      <c r="E2155" s="3" t="s">
        <v>18</v>
      </c>
      <c r="F2155" s="3" t="s">
        <v>182</v>
      </c>
      <c r="G2155" s="3" t="s">
        <v>183</v>
      </c>
      <c r="H2155" s="4">
        <v>46291.836288425933</v>
      </c>
      <c r="I2155" s="4">
        <v>46291.906139699073</v>
      </c>
      <c r="J2155" s="3">
        <f t="shared" si="3"/>
        <v>101</v>
      </c>
      <c r="K2155" s="3" t="s">
        <v>230</v>
      </c>
      <c r="L2155" s="3" t="s">
        <v>77</v>
      </c>
      <c r="M2155" s="3" t="s">
        <v>78</v>
      </c>
      <c r="N2155" s="3" t="s">
        <v>23</v>
      </c>
      <c r="O2155" s="3" t="s">
        <v>231</v>
      </c>
    </row>
    <row r="2156" spans="1:15" hidden="1" x14ac:dyDescent="0.75">
      <c r="A2156" s="2">
        <v>46291</v>
      </c>
      <c r="B2156" s="3" t="s">
        <v>1661</v>
      </c>
      <c r="C2156" s="3" t="s">
        <v>1662</v>
      </c>
      <c r="D2156" s="3" t="s">
        <v>208</v>
      </c>
      <c r="E2156" s="3" t="s">
        <v>209</v>
      </c>
      <c r="F2156" s="3" t="s">
        <v>82</v>
      </c>
      <c r="G2156" s="3" t="s">
        <v>83</v>
      </c>
      <c r="H2156" s="4">
        <v>46291.836907407407</v>
      </c>
      <c r="I2156" s="4">
        <v>46291.926125115737</v>
      </c>
      <c r="J2156" s="3">
        <f t="shared" si="3"/>
        <v>128</v>
      </c>
      <c r="K2156" s="3" t="s">
        <v>1045</v>
      </c>
      <c r="L2156" s="3" t="s">
        <v>36</v>
      </c>
      <c r="M2156" s="3" t="s">
        <v>36</v>
      </c>
      <c r="N2156" s="3" t="s">
        <v>23</v>
      </c>
      <c r="O2156" s="3" t="s">
        <v>1046</v>
      </c>
    </row>
    <row r="2157" spans="1:15" hidden="1" x14ac:dyDescent="0.75">
      <c r="A2157" s="2">
        <v>46291</v>
      </c>
      <c r="B2157" s="3" t="s">
        <v>1845</v>
      </c>
      <c r="C2157" s="3" t="s">
        <v>1846</v>
      </c>
      <c r="D2157" s="3"/>
      <c r="E2157" s="3"/>
      <c r="F2157" s="3"/>
      <c r="G2157" s="3"/>
      <c r="H2157" s="4">
        <v>46291.837104745369</v>
      </c>
      <c r="I2157" s="4">
        <v>46291.838142708337</v>
      </c>
      <c r="J2157" s="3">
        <f t="shared" si="3"/>
        <v>1</v>
      </c>
      <c r="K2157" s="3" t="s">
        <v>240</v>
      </c>
      <c r="L2157" s="3" t="s">
        <v>52</v>
      </c>
      <c r="M2157" s="3"/>
      <c r="N2157" s="3" t="s">
        <v>23</v>
      </c>
      <c r="O2157" s="3" t="s">
        <v>241</v>
      </c>
    </row>
    <row r="2158" spans="1:15" hidden="1" x14ac:dyDescent="0.75">
      <c r="A2158" s="2">
        <v>46291</v>
      </c>
      <c r="B2158" s="3" t="s">
        <v>1779</v>
      </c>
      <c r="C2158" s="3" t="s">
        <v>1780</v>
      </c>
      <c r="D2158" s="3" t="s">
        <v>334</v>
      </c>
      <c r="E2158" s="3" t="s">
        <v>335</v>
      </c>
      <c r="F2158" s="3" t="s">
        <v>56</v>
      </c>
      <c r="G2158" s="3" t="s">
        <v>57</v>
      </c>
      <c r="H2158" s="4">
        <v>46291.837795949083</v>
      </c>
      <c r="I2158" s="4">
        <v>46291.945569097217</v>
      </c>
      <c r="J2158" s="3">
        <f t="shared" si="3"/>
        <v>155</v>
      </c>
      <c r="K2158" s="3" t="s">
        <v>102</v>
      </c>
      <c r="L2158" s="3" t="s">
        <v>36</v>
      </c>
      <c r="M2158" s="3" t="s">
        <v>36</v>
      </c>
      <c r="N2158" s="3" t="s">
        <v>23</v>
      </c>
      <c r="O2158" s="3" t="s">
        <v>103</v>
      </c>
    </row>
    <row r="2159" spans="1:15" hidden="1" x14ac:dyDescent="0.75">
      <c r="A2159" s="2">
        <v>46291</v>
      </c>
      <c r="B2159" s="3" t="s">
        <v>1845</v>
      </c>
      <c r="C2159" s="3" t="s">
        <v>1846</v>
      </c>
      <c r="D2159" s="3"/>
      <c r="E2159" s="3"/>
      <c r="F2159" s="3"/>
      <c r="G2159" s="3"/>
      <c r="H2159" s="4">
        <v>46291.838146064823</v>
      </c>
      <c r="I2159" s="4">
        <v>46291.841607291673</v>
      </c>
      <c r="J2159" s="3">
        <f t="shared" si="3"/>
        <v>5</v>
      </c>
      <c r="K2159" s="3" t="s">
        <v>240</v>
      </c>
      <c r="L2159" s="3" t="s">
        <v>52</v>
      </c>
      <c r="M2159" s="3"/>
      <c r="N2159" s="3" t="s">
        <v>23</v>
      </c>
      <c r="O2159" s="3" t="s">
        <v>241</v>
      </c>
    </row>
    <row r="2160" spans="1:15" hidden="1" x14ac:dyDescent="0.75">
      <c r="A2160" s="2">
        <v>46291</v>
      </c>
      <c r="B2160" s="3" t="s">
        <v>1791</v>
      </c>
      <c r="C2160" s="3" t="s">
        <v>1792</v>
      </c>
      <c r="D2160" s="3" t="s">
        <v>84</v>
      </c>
      <c r="E2160" s="3" t="s">
        <v>85</v>
      </c>
      <c r="F2160" s="3" t="s">
        <v>68</v>
      </c>
      <c r="G2160" s="3" t="s">
        <v>69</v>
      </c>
      <c r="H2160" s="4">
        <v>46291.838418287043</v>
      </c>
      <c r="I2160" s="4">
        <v>46291.936710532413</v>
      </c>
      <c r="J2160" s="3">
        <f t="shared" si="3"/>
        <v>142</v>
      </c>
      <c r="K2160" s="3" t="s">
        <v>310</v>
      </c>
      <c r="L2160" s="3" t="s">
        <v>36</v>
      </c>
      <c r="M2160" s="3" t="s">
        <v>36</v>
      </c>
      <c r="N2160" s="3" t="s">
        <v>23</v>
      </c>
      <c r="O2160" s="3" t="s">
        <v>311</v>
      </c>
    </row>
    <row r="2161" spans="1:15" hidden="1" x14ac:dyDescent="0.75">
      <c r="A2161" s="2">
        <v>46291</v>
      </c>
      <c r="B2161" s="3" t="s">
        <v>1823</v>
      </c>
      <c r="C2161" s="3" t="s">
        <v>1824</v>
      </c>
      <c r="D2161" s="3" t="s">
        <v>116</v>
      </c>
      <c r="E2161" s="3" t="s">
        <v>117</v>
      </c>
      <c r="F2161" s="3" t="s">
        <v>82</v>
      </c>
      <c r="G2161" s="3" t="s">
        <v>83</v>
      </c>
      <c r="H2161" s="4">
        <v>46291.839938425917</v>
      </c>
      <c r="I2161" s="4">
        <v>46291.935597337957</v>
      </c>
      <c r="J2161" s="3">
        <f t="shared" si="3"/>
        <v>138</v>
      </c>
      <c r="K2161" s="3" t="s">
        <v>665</v>
      </c>
      <c r="L2161" s="3" t="s">
        <v>36</v>
      </c>
      <c r="M2161" s="3" t="s">
        <v>36</v>
      </c>
      <c r="N2161" s="3" t="s">
        <v>23</v>
      </c>
      <c r="O2161" s="3" t="s">
        <v>666</v>
      </c>
    </row>
    <row r="2162" spans="1:15" hidden="1" x14ac:dyDescent="0.75">
      <c r="A2162" s="2">
        <v>46291</v>
      </c>
      <c r="B2162" s="3" t="s">
        <v>1757</v>
      </c>
      <c r="C2162" s="3" t="s">
        <v>1758</v>
      </c>
      <c r="D2162" s="3" t="s">
        <v>17</v>
      </c>
      <c r="E2162" s="3" t="s">
        <v>18</v>
      </c>
      <c r="F2162" s="3" t="s">
        <v>615</v>
      </c>
      <c r="G2162" s="3" t="s">
        <v>616</v>
      </c>
      <c r="H2162" s="4">
        <v>46291.841280439818</v>
      </c>
      <c r="I2162" s="4">
        <v>46291.987875115738</v>
      </c>
      <c r="J2162" s="3">
        <f t="shared" si="3"/>
        <v>211</v>
      </c>
      <c r="K2162" s="3" t="s">
        <v>64</v>
      </c>
      <c r="L2162" s="3" t="s">
        <v>43</v>
      </c>
      <c r="M2162" s="3" t="s">
        <v>44</v>
      </c>
      <c r="N2162" s="3" t="s">
        <v>45</v>
      </c>
      <c r="O2162" s="3" t="s">
        <v>65</v>
      </c>
    </row>
    <row r="2163" spans="1:15" hidden="1" x14ac:dyDescent="0.75">
      <c r="A2163" s="2">
        <v>46291</v>
      </c>
      <c r="B2163" s="3" t="s">
        <v>1845</v>
      </c>
      <c r="C2163" s="3" t="s">
        <v>1846</v>
      </c>
      <c r="D2163" s="3"/>
      <c r="E2163" s="3"/>
      <c r="F2163" s="3"/>
      <c r="G2163" s="3"/>
      <c r="H2163" s="4">
        <v>46291.841608449067</v>
      </c>
      <c r="I2163" s="4">
        <v>46291.841836458327</v>
      </c>
      <c r="J2163" s="3">
        <f t="shared" si="3"/>
        <v>0</v>
      </c>
      <c r="K2163" s="3" t="s">
        <v>240</v>
      </c>
      <c r="L2163" s="3" t="s">
        <v>52</v>
      </c>
      <c r="M2163" s="3"/>
      <c r="N2163" s="3" t="s">
        <v>23</v>
      </c>
      <c r="O2163" s="3" t="s">
        <v>241</v>
      </c>
    </row>
    <row r="2164" spans="1:15" hidden="1" x14ac:dyDescent="0.75">
      <c r="A2164" s="2">
        <v>46291</v>
      </c>
      <c r="B2164" s="3" t="s">
        <v>1845</v>
      </c>
      <c r="C2164" s="3" t="s">
        <v>1846</v>
      </c>
      <c r="D2164" s="3"/>
      <c r="E2164" s="3"/>
      <c r="F2164" s="3"/>
      <c r="G2164" s="3"/>
      <c r="H2164" s="4">
        <v>46291.84184212963</v>
      </c>
      <c r="I2164" s="4">
        <v>46291.842591550929</v>
      </c>
      <c r="J2164" s="3">
        <f t="shared" si="3"/>
        <v>1</v>
      </c>
      <c r="K2164" s="3" t="s">
        <v>240</v>
      </c>
      <c r="L2164" s="3" t="s">
        <v>52</v>
      </c>
      <c r="M2164" s="3"/>
      <c r="N2164" s="3" t="s">
        <v>23</v>
      </c>
      <c r="O2164" s="3" t="s">
        <v>241</v>
      </c>
    </row>
    <row r="2165" spans="1:15" hidden="1" x14ac:dyDescent="0.75">
      <c r="A2165" s="2">
        <v>46291</v>
      </c>
      <c r="B2165" s="3" t="s">
        <v>1815</v>
      </c>
      <c r="C2165" s="3" t="s">
        <v>1816</v>
      </c>
      <c r="D2165" s="3" t="s">
        <v>56</v>
      </c>
      <c r="E2165" s="3" t="s">
        <v>57</v>
      </c>
      <c r="F2165" s="3" t="s">
        <v>234</v>
      </c>
      <c r="G2165" s="3" t="s">
        <v>235</v>
      </c>
      <c r="H2165" s="4">
        <v>46291.842487268521</v>
      </c>
      <c r="I2165" s="4">
        <v>46291.957691550917</v>
      </c>
      <c r="J2165" s="3">
        <f t="shared" si="3"/>
        <v>166</v>
      </c>
      <c r="K2165" s="3" t="s">
        <v>1307</v>
      </c>
      <c r="L2165" s="3" t="s">
        <v>36</v>
      </c>
      <c r="M2165" s="3" t="s">
        <v>36</v>
      </c>
      <c r="N2165" s="3" t="s">
        <v>23</v>
      </c>
      <c r="O2165" s="3" t="s">
        <v>1308</v>
      </c>
    </row>
    <row r="2166" spans="1:15" hidden="1" x14ac:dyDescent="0.75">
      <c r="A2166" s="2">
        <v>46291</v>
      </c>
      <c r="B2166" s="3" t="s">
        <v>1845</v>
      </c>
      <c r="C2166" s="3" t="s">
        <v>1846</v>
      </c>
      <c r="D2166" s="3"/>
      <c r="E2166" s="3"/>
      <c r="F2166" s="3"/>
      <c r="G2166" s="3"/>
      <c r="H2166" s="4">
        <v>46291.84259803241</v>
      </c>
      <c r="I2166" s="4">
        <v>46291.843221990741</v>
      </c>
      <c r="J2166" s="3">
        <f t="shared" si="3"/>
        <v>1</v>
      </c>
      <c r="K2166" s="3" t="s">
        <v>240</v>
      </c>
      <c r="L2166" s="3" t="s">
        <v>52</v>
      </c>
      <c r="M2166" s="3"/>
      <c r="N2166" s="3" t="s">
        <v>23</v>
      </c>
      <c r="O2166" s="3" t="s">
        <v>241</v>
      </c>
    </row>
    <row r="2167" spans="1:15" hidden="1" x14ac:dyDescent="0.75">
      <c r="A2167" s="2">
        <v>46291</v>
      </c>
      <c r="B2167" s="3" t="s">
        <v>1627</v>
      </c>
      <c r="C2167" s="3" t="s">
        <v>1628</v>
      </c>
      <c r="D2167" s="3" t="s">
        <v>17</v>
      </c>
      <c r="E2167" s="3" t="s">
        <v>18</v>
      </c>
      <c r="F2167" s="3"/>
      <c r="G2167" s="3"/>
      <c r="H2167" s="4">
        <v>46291.84280914352</v>
      </c>
      <c r="I2167" s="4">
        <v>46291.882760300927</v>
      </c>
      <c r="J2167" s="3">
        <f t="shared" si="3"/>
        <v>58</v>
      </c>
      <c r="K2167" s="3" t="s">
        <v>877</v>
      </c>
      <c r="L2167" s="3" t="s">
        <v>22</v>
      </c>
      <c r="M2167" s="3" t="s">
        <v>22</v>
      </c>
      <c r="N2167" s="3" t="s">
        <v>443</v>
      </c>
      <c r="O2167" s="3" t="s">
        <v>878</v>
      </c>
    </row>
    <row r="2168" spans="1:15" hidden="1" x14ac:dyDescent="0.75">
      <c r="A2168" s="2">
        <v>46291</v>
      </c>
      <c r="B2168" s="3" t="s">
        <v>1845</v>
      </c>
      <c r="C2168" s="3" t="s">
        <v>1846</v>
      </c>
      <c r="D2168" s="3"/>
      <c r="E2168" s="3"/>
      <c r="F2168" s="3"/>
      <c r="G2168" s="3"/>
      <c r="H2168" s="4">
        <v>46291.843226157413</v>
      </c>
      <c r="I2168" s="4">
        <v>46291.844495486112</v>
      </c>
      <c r="J2168" s="3">
        <f t="shared" si="3"/>
        <v>2</v>
      </c>
      <c r="K2168" s="3" t="s">
        <v>240</v>
      </c>
      <c r="L2168" s="3" t="s">
        <v>52</v>
      </c>
      <c r="M2168" s="3"/>
      <c r="N2168" s="3" t="s">
        <v>23</v>
      </c>
      <c r="O2168" s="3" t="s">
        <v>241</v>
      </c>
    </row>
    <row r="2169" spans="1:15" hidden="1" x14ac:dyDescent="0.75">
      <c r="A2169" s="2">
        <v>46291</v>
      </c>
      <c r="B2169" s="3" t="s">
        <v>1801</v>
      </c>
      <c r="C2169" s="3" t="s">
        <v>1802</v>
      </c>
      <c r="D2169" s="3" t="s">
        <v>17</v>
      </c>
      <c r="E2169" s="3" t="s">
        <v>18</v>
      </c>
      <c r="F2169" s="3" t="s">
        <v>27</v>
      </c>
      <c r="G2169" s="3" t="s">
        <v>28</v>
      </c>
      <c r="H2169" s="4">
        <v>46291.843561111113</v>
      </c>
      <c r="I2169" s="4">
        <v>46291.871126736107</v>
      </c>
      <c r="J2169" s="3">
        <f t="shared" si="3"/>
        <v>40</v>
      </c>
      <c r="K2169" s="3" t="s">
        <v>629</v>
      </c>
      <c r="L2169" s="3" t="s">
        <v>77</v>
      </c>
      <c r="M2169" s="3" t="s">
        <v>78</v>
      </c>
      <c r="N2169" s="3" t="s">
        <v>23</v>
      </c>
      <c r="O2169" s="3" t="s">
        <v>630</v>
      </c>
    </row>
    <row r="2170" spans="1:15" hidden="1" x14ac:dyDescent="0.75">
      <c r="A2170" s="2">
        <v>46291</v>
      </c>
      <c r="B2170" s="3" t="s">
        <v>146</v>
      </c>
      <c r="C2170" s="3" t="s">
        <v>147</v>
      </c>
      <c r="D2170" s="3" t="s">
        <v>148</v>
      </c>
      <c r="E2170" s="3" t="s">
        <v>149</v>
      </c>
      <c r="F2170" s="3" t="s">
        <v>27</v>
      </c>
      <c r="G2170" s="3" t="s">
        <v>28</v>
      </c>
      <c r="H2170" s="4">
        <v>46291.843975347219</v>
      </c>
      <c r="I2170" s="4">
        <v>46291.918164120369</v>
      </c>
      <c r="J2170" s="3">
        <f t="shared" si="3"/>
        <v>107</v>
      </c>
      <c r="K2170" s="3" t="s">
        <v>1293</v>
      </c>
      <c r="L2170" s="3" t="s">
        <v>77</v>
      </c>
      <c r="M2170" s="3" t="s">
        <v>78</v>
      </c>
      <c r="N2170" s="3" t="s">
        <v>23</v>
      </c>
      <c r="O2170" s="3" t="s">
        <v>1294</v>
      </c>
    </row>
    <row r="2171" spans="1:15" hidden="1" x14ac:dyDescent="0.75">
      <c r="A2171" s="2">
        <v>46291</v>
      </c>
      <c r="B2171" s="3" t="s">
        <v>1845</v>
      </c>
      <c r="C2171" s="3" t="s">
        <v>1846</v>
      </c>
      <c r="D2171" s="3"/>
      <c r="E2171" s="3"/>
      <c r="F2171" s="3"/>
      <c r="G2171" s="3"/>
      <c r="H2171" s="4">
        <v>46291.844497222221</v>
      </c>
      <c r="I2171" s="4">
        <v>46291.848095138892</v>
      </c>
      <c r="J2171" s="3">
        <f t="shared" si="3"/>
        <v>5</v>
      </c>
      <c r="K2171" s="3" t="s">
        <v>240</v>
      </c>
      <c r="L2171" s="3" t="s">
        <v>52</v>
      </c>
      <c r="M2171" s="3"/>
      <c r="N2171" s="3" t="s">
        <v>23</v>
      </c>
      <c r="O2171" s="3" t="s">
        <v>241</v>
      </c>
    </row>
    <row r="2172" spans="1:15" hidden="1" x14ac:dyDescent="0.75">
      <c r="A2172" s="2">
        <v>46291</v>
      </c>
      <c r="B2172" s="3" t="s">
        <v>1709</v>
      </c>
      <c r="C2172" s="3" t="s">
        <v>1710</v>
      </c>
      <c r="D2172" s="3" t="s">
        <v>158</v>
      </c>
      <c r="E2172" s="3" t="s">
        <v>159</v>
      </c>
      <c r="F2172" s="3" t="s">
        <v>27</v>
      </c>
      <c r="G2172" s="3" t="s">
        <v>28</v>
      </c>
      <c r="H2172" s="4">
        <v>46291.844651273153</v>
      </c>
      <c r="I2172" s="4">
        <v>46291.891075810177</v>
      </c>
      <c r="J2172" s="3">
        <f t="shared" si="3"/>
        <v>67</v>
      </c>
      <c r="K2172" s="3" t="s">
        <v>260</v>
      </c>
      <c r="L2172" s="3" t="s">
        <v>52</v>
      </c>
      <c r="M2172" s="3"/>
      <c r="N2172" s="3" t="s">
        <v>23</v>
      </c>
      <c r="O2172" s="3" t="s">
        <v>261</v>
      </c>
    </row>
    <row r="2173" spans="1:15" hidden="1" x14ac:dyDescent="0.75">
      <c r="A2173" s="2">
        <v>46291</v>
      </c>
      <c r="B2173" s="3" t="s">
        <v>1749</v>
      </c>
      <c r="C2173" s="3" t="s">
        <v>1750</v>
      </c>
      <c r="D2173" s="3"/>
      <c r="E2173" s="3"/>
      <c r="F2173" s="3" t="s">
        <v>56</v>
      </c>
      <c r="G2173" s="3" t="s">
        <v>57</v>
      </c>
      <c r="H2173" s="4">
        <v>46291.845121412043</v>
      </c>
      <c r="I2173" s="4">
        <v>46291.913664236112</v>
      </c>
      <c r="J2173" s="3">
        <f t="shared" si="3"/>
        <v>99</v>
      </c>
      <c r="K2173" s="3" t="s">
        <v>292</v>
      </c>
      <c r="L2173" s="3" t="s">
        <v>36</v>
      </c>
      <c r="M2173" s="3" t="s">
        <v>36</v>
      </c>
      <c r="N2173" s="3" t="s">
        <v>23</v>
      </c>
      <c r="O2173" s="3" t="s">
        <v>293</v>
      </c>
    </row>
    <row r="2174" spans="1:15" hidden="1" x14ac:dyDescent="0.75">
      <c r="A2174" s="2">
        <v>46291</v>
      </c>
      <c r="B2174" s="3" t="s">
        <v>1795</v>
      </c>
      <c r="C2174" s="3" t="s">
        <v>1796</v>
      </c>
      <c r="D2174" s="3" t="s">
        <v>737</v>
      </c>
      <c r="E2174" s="3" t="s">
        <v>738</v>
      </c>
      <c r="F2174" s="3" t="s">
        <v>27</v>
      </c>
      <c r="G2174" s="3" t="s">
        <v>28</v>
      </c>
      <c r="H2174" s="4">
        <v>46291.845381018516</v>
      </c>
      <c r="I2174" s="4">
        <v>46291.892902546293</v>
      </c>
      <c r="J2174" s="3">
        <f t="shared" si="3"/>
        <v>68</v>
      </c>
      <c r="K2174" s="3" t="s">
        <v>2263</v>
      </c>
      <c r="L2174" s="3" t="s">
        <v>77</v>
      </c>
      <c r="M2174" s="3" t="s">
        <v>78</v>
      </c>
      <c r="N2174" s="3" t="s">
        <v>23</v>
      </c>
      <c r="O2174" s="3" t="s">
        <v>2264</v>
      </c>
    </row>
    <row r="2175" spans="1:15" hidden="1" x14ac:dyDescent="0.75">
      <c r="A2175" s="2">
        <v>46291</v>
      </c>
      <c r="B2175" s="3" t="s">
        <v>2414</v>
      </c>
      <c r="C2175" s="3" t="s">
        <v>2415</v>
      </c>
      <c r="D2175" s="3"/>
      <c r="E2175" s="3"/>
      <c r="F2175" s="3" t="s">
        <v>17</v>
      </c>
      <c r="G2175" s="3" t="s">
        <v>18</v>
      </c>
      <c r="H2175" s="4">
        <v>46291.845784027777</v>
      </c>
      <c r="I2175" s="4">
        <v>46291.893705787043</v>
      </c>
      <c r="J2175" s="3">
        <f t="shared" si="3"/>
        <v>69</v>
      </c>
      <c r="K2175" s="3" t="s">
        <v>1651</v>
      </c>
      <c r="L2175" s="3" t="s">
        <v>36</v>
      </c>
      <c r="M2175" s="3" t="s">
        <v>36</v>
      </c>
      <c r="N2175" s="3" t="s">
        <v>23</v>
      </c>
      <c r="O2175" s="3" t="s">
        <v>1652</v>
      </c>
    </row>
    <row r="2176" spans="1:15" hidden="1" x14ac:dyDescent="0.75">
      <c r="A2176" s="2">
        <v>46291</v>
      </c>
      <c r="B2176" s="3" t="s">
        <v>1897</v>
      </c>
      <c r="C2176" s="3" t="s">
        <v>1898</v>
      </c>
      <c r="D2176" s="3" t="s">
        <v>94</v>
      </c>
      <c r="E2176" s="3" t="s">
        <v>95</v>
      </c>
      <c r="F2176" s="3" t="s">
        <v>27</v>
      </c>
      <c r="G2176" s="3" t="s">
        <v>28</v>
      </c>
      <c r="H2176" s="4">
        <v>46291.847687037043</v>
      </c>
      <c r="I2176" s="4">
        <v>46291.911710069442</v>
      </c>
      <c r="J2176" s="3">
        <f t="shared" si="3"/>
        <v>92</v>
      </c>
      <c r="K2176" s="3" t="s">
        <v>1505</v>
      </c>
      <c r="L2176" s="3" t="s">
        <v>36</v>
      </c>
      <c r="M2176" s="3" t="s">
        <v>36</v>
      </c>
      <c r="N2176" s="3" t="s">
        <v>23</v>
      </c>
      <c r="O2176" s="3" t="s">
        <v>1506</v>
      </c>
    </row>
    <row r="2177" spans="1:15" hidden="1" x14ac:dyDescent="0.75">
      <c r="A2177" s="2">
        <v>46291</v>
      </c>
      <c r="B2177" s="3" t="s">
        <v>1845</v>
      </c>
      <c r="C2177" s="3" t="s">
        <v>1846</v>
      </c>
      <c r="D2177" s="3"/>
      <c r="E2177" s="3"/>
      <c r="F2177" s="3"/>
      <c r="G2177" s="3"/>
      <c r="H2177" s="4">
        <v>46291.848098842587</v>
      </c>
      <c r="I2177" s="4">
        <v>46291.849189236113</v>
      </c>
      <c r="J2177" s="3">
        <f t="shared" si="3"/>
        <v>2</v>
      </c>
      <c r="K2177" s="3" t="s">
        <v>240</v>
      </c>
      <c r="L2177" s="3" t="s">
        <v>52</v>
      </c>
      <c r="M2177" s="3"/>
      <c r="N2177" s="3" t="s">
        <v>23</v>
      </c>
      <c r="O2177" s="3" t="s">
        <v>241</v>
      </c>
    </row>
    <row r="2178" spans="1:15" hidden="1" x14ac:dyDescent="0.75">
      <c r="A2178" s="2">
        <v>46291</v>
      </c>
      <c r="B2178" s="3" t="s">
        <v>1745</v>
      </c>
      <c r="C2178" s="3" t="s">
        <v>1746</v>
      </c>
      <c r="D2178" s="3" t="s">
        <v>17</v>
      </c>
      <c r="E2178" s="3" t="s">
        <v>18</v>
      </c>
      <c r="F2178" s="3"/>
      <c r="G2178" s="3"/>
      <c r="H2178" s="4">
        <v>46291.848703240743</v>
      </c>
      <c r="I2178" s="4">
        <v>46291.927246874999</v>
      </c>
      <c r="J2178" s="3">
        <f t="shared" ref="J2178:J2241" si="4">ROUND((I2178-H2178)*1440,0)</f>
        <v>113</v>
      </c>
      <c r="K2178" s="3" t="s">
        <v>1037</v>
      </c>
      <c r="L2178" s="3" t="s">
        <v>77</v>
      </c>
      <c r="M2178" s="3" t="s">
        <v>78</v>
      </c>
      <c r="N2178" s="3" t="s">
        <v>45</v>
      </c>
      <c r="O2178" s="3" t="s">
        <v>1038</v>
      </c>
    </row>
    <row r="2179" spans="1:15" hidden="1" x14ac:dyDescent="0.75">
      <c r="A2179" s="2">
        <v>46291</v>
      </c>
      <c r="B2179" s="3" t="s">
        <v>1845</v>
      </c>
      <c r="C2179" s="3" t="s">
        <v>1846</v>
      </c>
      <c r="D2179" s="3"/>
      <c r="E2179" s="3"/>
      <c r="F2179" s="3"/>
      <c r="G2179" s="3"/>
      <c r="H2179" s="4">
        <v>46291.84919108796</v>
      </c>
      <c r="I2179" s="4">
        <v>46291.849766666674</v>
      </c>
      <c r="J2179" s="3">
        <f t="shared" si="4"/>
        <v>1</v>
      </c>
      <c r="K2179" s="3" t="s">
        <v>240</v>
      </c>
      <c r="L2179" s="3" t="s">
        <v>52</v>
      </c>
      <c r="M2179" s="3"/>
      <c r="N2179" s="3" t="s">
        <v>23</v>
      </c>
      <c r="O2179" s="3" t="s">
        <v>241</v>
      </c>
    </row>
    <row r="2180" spans="1:15" hidden="1" x14ac:dyDescent="0.75">
      <c r="A2180" s="2">
        <v>46291</v>
      </c>
      <c r="B2180" s="3" t="s">
        <v>1845</v>
      </c>
      <c r="C2180" s="3" t="s">
        <v>1846</v>
      </c>
      <c r="D2180" s="3"/>
      <c r="E2180" s="3"/>
      <c r="F2180" s="3"/>
      <c r="G2180" s="3"/>
      <c r="H2180" s="4">
        <v>46291.84976863426</v>
      </c>
      <c r="I2180" s="4">
        <v>46291.851036574073</v>
      </c>
      <c r="J2180" s="3">
        <f t="shared" si="4"/>
        <v>2</v>
      </c>
      <c r="K2180" s="3" t="s">
        <v>240</v>
      </c>
      <c r="L2180" s="3" t="s">
        <v>52</v>
      </c>
      <c r="M2180" s="3"/>
      <c r="N2180" s="3" t="s">
        <v>23</v>
      </c>
      <c r="O2180" s="3" t="s">
        <v>241</v>
      </c>
    </row>
    <row r="2181" spans="1:15" hidden="1" x14ac:dyDescent="0.75">
      <c r="A2181" s="2">
        <v>46291</v>
      </c>
      <c r="B2181" s="3" t="s">
        <v>1845</v>
      </c>
      <c r="C2181" s="3" t="s">
        <v>1846</v>
      </c>
      <c r="D2181" s="3"/>
      <c r="E2181" s="3"/>
      <c r="F2181" s="3"/>
      <c r="G2181" s="3"/>
      <c r="H2181" s="4">
        <v>46291.851040740738</v>
      </c>
      <c r="I2181" s="4">
        <v>46291.851607523153</v>
      </c>
      <c r="J2181" s="3">
        <f t="shared" si="4"/>
        <v>1</v>
      </c>
      <c r="K2181" s="3" t="s">
        <v>240</v>
      </c>
      <c r="L2181" s="3" t="s">
        <v>52</v>
      </c>
      <c r="M2181" s="3"/>
      <c r="N2181" s="3" t="s">
        <v>23</v>
      </c>
      <c r="O2181" s="3" t="s">
        <v>241</v>
      </c>
    </row>
    <row r="2182" spans="1:15" hidden="1" x14ac:dyDescent="0.75">
      <c r="A2182" s="2">
        <v>46291</v>
      </c>
      <c r="B2182" s="3" t="s">
        <v>1845</v>
      </c>
      <c r="C2182" s="3" t="s">
        <v>1846</v>
      </c>
      <c r="D2182" s="3"/>
      <c r="E2182" s="3"/>
      <c r="F2182" s="3"/>
      <c r="G2182" s="3"/>
      <c r="H2182" s="4">
        <v>46291.851612152779</v>
      </c>
      <c r="I2182" s="4">
        <v>46291.85172337963</v>
      </c>
      <c r="J2182" s="3">
        <f t="shared" si="4"/>
        <v>0</v>
      </c>
      <c r="K2182" s="3" t="s">
        <v>240</v>
      </c>
      <c r="L2182" s="3" t="s">
        <v>52</v>
      </c>
      <c r="M2182" s="3"/>
      <c r="N2182" s="3" t="s">
        <v>23</v>
      </c>
      <c r="O2182" s="3" t="s">
        <v>241</v>
      </c>
    </row>
    <row r="2183" spans="1:15" hidden="1" x14ac:dyDescent="0.75">
      <c r="A2183" s="2">
        <v>46291</v>
      </c>
      <c r="B2183" s="3" t="s">
        <v>1917</v>
      </c>
      <c r="C2183" s="3" t="s">
        <v>1918</v>
      </c>
      <c r="D2183" s="3"/>
      <c r="E2183" s="3"/>
      <c r="F2183" s="3" t="s">
        <v>17</v>
      </c>
      <c r="G2183" s="3" t="s">
        <v>18</v>
      </c>
      <c r="H2183" s="4">
        <v>46291.851715046287</v>
      </c>
      <c r="I2183" s="4">
        <v>46291.939356828712</v>
      </c>
      <c r="J2183" s="3">
        <f t="shared" si="4"/>
        <v>126</v>
      </c>
      <c r="K2183" s="3" t="s">
        <v>1517</v>
      </c>
      <c r="L2183" s="3" t="s">
        <v>77</v>
      </c>
      <c r="M2183" s="3" t="s">
        <v>78</v>
      </c>
      <c r="N2183" s="3" t="s">
        <v>23</v>
      </c>
      <c r="O2183" s="3" t="s">
        <v>1518</v>
      </c>
    </row>
    <row r="2184" spans="1:15" hidden="1" x14ac:dyDescent="0.75">
      <c r="A2184" s="2">
        <v>46291</v>
      </c>
      <c r="B2184" s="3" t="s">
        <v>1845</v>
      </c>
      <c r="C2184" s="3" t="s">
        <v>1846</v>
      </c>
      <c r="D2184" s="3"/>
      <c r="E2184" s="3"/>
      <c r="F2184" s="3"/>
      <c r="G2184" s="3"/>
      <c r="H2184" s="4">
        <v>46291.851727430563</v>
      </c>
      <c r="I2184" s="4">
        <v>46291.852525925933</v>
      </c>
      <c r="J2184" s="3">
        <f t="shared" si="4"/>
        <v>1</v>
      </c>
      <c r="K2184" s="3" t="s">
        <v>240</v>
      </c>
      <c r="L2184" s="3" t="s">
        <v>52</v>
      </c>
      <c r="M2184" s="3"/>
      <c r="N2184" s="3" t="s">
        <v>23</v>
      </c>
      <c r="O2184" s="3" t="s">
        <v>241</v>
      </c>
    </row>
    <row r="2185" spans="1:15" hidden="1" x14ac:dyDescent="0.75">
      <c r="A2185" s="2">
        <v>46291</v>
      </c>
      <c r="B2185" s="3" t="s">
        <v>1845</v>
      </c>
      <c r="C2185" s="3" t="s">
        <v>1846</v>
      </c>
      <c r="D2185" s="3"/>
      <c r="E2185" s="3"/>
      <c r="F2185" s="3"/>
      <c r="G2185" s="3"/>
      <c r="H2185" s="4">
        <v>46291.852525925933</v>
      </c>
      <c r="I2185" s="4">
        <v>46291.852931944442</v>
      </c>
      <c r="J2185" s="3">
        <f t="shared" si="4"/>
        <v>1</v>
      </c>
      <c r="K2185" s="3" t="s">
        <v>240</v>
      </c>
      <c r="L2185" s="3" t="s">
        <v>52</v>
      </c>
      <c r="M2185" s="3"/>
      <c r="N2185" s="3" t="s">
        <v>23</v>
      </c>
      <c r="O2185" s="3" t="s">
        <v>241</v>
      </c>
    </row>
    <row r="2186" spans="1:15" hidden="1" x14ac:dyDescent="0.75">
      <c r="A2186" s="2">
        <v>46291</v>
      </c>
      <c r="B2186" s="3" t="s">
        <v>1845</v>
      </c>
      <c r="C2186" s="3" t="s">
        <v>1846</v>
      </c>
      <c r="D2186" s="3"/>
      <c r="E2186" s="3"/>
      <c r="F2186" s="3"/>
      <c r="G2186" s="3"/>
      <c r="H2186" s="4">
        <v>46291.852936689807</v>
      </c>
      <c r="I2186" s="4">
        <v>46291.853107986113</v>
      </c>
      <c r="J2186" s="3">
        <f t="shared" si="4"/>
        <v>0</v>
      </c>
      <c r="K2186" s="3" t="s">
        <v>240</v>
      </c>
      <c r="L2186" s="3" t="s">
        <v>52</v>
      </c>
      <c r="M2186" s="3"/>
      <c r="N2186" s="3" t="s">
        <v>23</v>
      </c>
      <c r="O2186" s="3" t="s">
        <v>241</v>
      </c>
    </row>
    <row r="2187" spans="1:15" hidden="1" x14ac:dyDescent="0.75">
      <c r="A2187" s="2">
        <v>46291</v>
      </c>
      <c r="B2187" s="3" t="s">
        <v>1845</v>
      </c>
      <c r="C2187" s="3" t="s">
        <v>1846</v>
      </c>
      <c r="D2187" s="3"/>
      <c r="E2187" s="3"/>
      <c r="F2187" s="3"/>
      <c r="G2187" s="3"/>
      <c r="H2187" s="4">
        <v>46291.853109374999</v>
      </c>
      <c r="I2187" s="4">
        <v>46291.854493402781</v>
      </c>
      <c r="J2187" s="3">
        <f t="shared" si="4"/>
        <v>2</v>
      </c>
      <c r="K2187" s="3" t="s">
        <v>240</v>
      </c>
      <c r="L2187" s="3" t="s">
        <v>52</v>
      </c>
      <c r="M2187" s="3"/>
      <c r="N2187" s="3" t="s">
        <v>23</v>
      </c>
      <c r="O2187" s="3" t="s">
        <v>241</v>
      </c>
    </row>
    <row r="2188" spans="1:15" hidden="1" x14ac:dyDescent="0.75">
      <c r="A2188" s="2">
        <v>46291</v>
      </c>
      <c r="B2188" s="3" t="s">
        <v>1845</v>
      </c>
      <c r="C2188" s="3" t="s">
        <v>1846</v>
      </c>
      <c r="D2188" s="3"/>
      <c r="E2188" s="3"/>
      <c r="F2188" s="3"/>
      <c r="G2188" s="3"/>
      <c r="H2188" s="4">
        <v>46291.854496296299</v>
      </c>
      <c r="I2188" s="4">
        <v>46291.855416666673</v>
      </c>
      <c r="J2188" s="3">
        <f t="shared" si="4"/>
        <v>1</v>
      </c>
      <c r="K2188" s="3" t="s">
        <v>240</v>
      </c>
      <c r="L2188" s="3" t="s">
        <v>52</v>
      </c>
      <c r="M2188" s="3"/>
      <c r="N2188" s="3" t="s">
        <v>23</v>
      </c>
      <c r="O2188" s="3" t="s">
        <v>241</v>
      </c>
    </row>
    <row r="2189" spans="1:15" hidden="1" x14ac:dyDescent="0.75">
      <c r="A2189" s="2">
        <v>46291</v>
      </c>
      <c r="B2189" s="3" t="s">
        <v>1845</v>
      </c>
      <c r="C2189" s="3" t="s">
        <v>1846</v>
      </c>
      <c r="D2189" s="3"/>
      <c r="E2189" s="3"/>
      <c r="F2189" s="3"/>
      <c r="G2189" s="3"/>
      <c r="H2189" s="4">
        <v>46291.855417476851</v>
      </c>
      <c r="I2189" s="4">
        <v>46291.855813888891</v>
      </c>
      <c r="J2189" s="3">
        <f t="shared" si="4"/>
        <v>1</v>
      </c>
      <c r="K2189" s="3" t="s">
        <v>240</v>
      </c>
      <c r="L2189" s="3" t="s">
        <v>52</v>
      </c>
      <c r="M2189" s="3"/>
      <c r="N2189" s="3" t="s">
        <v>23</v>
      </c>
      <c r="O2189" s="3" t="s">
        <v>241</v>
      </c>
    </row>
    <row r="2190" spans="1:15" hidden="1" x14ac:dyDescent="0.75">
      <c r="A2190" s="2">
        <v>46291</v>
      </c>
      <c r="B2190" s="3" t="s">
        <v>1357</v>
      </c>
      <c r="C2190" s="3" t="s">
        <v>1358</v>
      </c>
      <c r="D2190" s="3"/>
      <c r="E2190" s="3"/>
      <c r="F2190" s="3" t="s">
        <v>82</v>
      </c>
      <c r="G2190" s="3" t="s">
        <v>83</v>
      </c>
      <c r="H2190" s="4">
        <v>46291.855585763893</v>
      </c>
      <c r="I2190" s="4">
        <v>46291.889787731481</v>
      </c>
      <c r="J2190" s="3">
        <f t="shared" si="4"/>
        <v>49</v>
      </c>
      <c r="K2190" s="3" t="s">
        <v>376</v>
      </c>
      <c r="L2190" s="3" t="s">
        <v>36</v>
      </c>
      <c r="M2190" s="3" t="s">
        <v>36</v>
      </c>
      <c r="N2190" s="3" t="s">
        <v>23</v>
      </c>
      <c r="O2190" s="3" t="s">
        <v>377</v>
      </c>
    </row>
    <row r="2191" spans="1:15" hidden="1" x14ac:dyDescent="0.75">
      <c r="A2191" s="2">
        <v>46291</v>
      </c>
      <c r="B2191" s="3" t="s">
        <v>1845</v>
      </c>
      <c r="C2191" s="3" t="s">
        <v>1846</v>
      </c>
      <c r="D2191" s="3"/>
      <c r="E2191" s="3"/>
      <c r="F2191" s="3" t="s">
        <v>2416</v>
      </c>
      <c r="G2191" s="3" t="s">
        <v>2417</v>
      </c>
      <c r="H2191" s="4">
        <v>46291.855815972223</v>
      </c>
      <c r="I2191" s="4">
        <v>46291.859992939811</v>
      </c>
      <c r="J2191" s="3">
        <f t="shared" si="4"/>
        <v>6</v>
      </c>
      <c r="K2191" s="3" t="s">
        <v>240</v>
      </c>
      <c r="L2191" s="3" t="s">
        <v>52</v>
      </c>
      <c r="M2191" s="3"/>
      <c r="N2191" s="3" t="s">
        <v>23</v>
      </c>
      <c r="O2191" s="3" t="s">
        <v>241</v>
      </c>
    </row>
    <row r="2192" spans="1:15" hidden="1" x14ac:dyDescent="0.75">
      <c r="A2192" s="2">
        <v>46291</v>
      </c>
      <c r="B2192" s="3" t="s">
        <v>2301</v>
      </c>
      <c r="C2192" s="3" t="s">
        <v>2302</v>
      </c>
      <c r="D2192" s="3" t="s">
        <v>615</v>
      </c>
      <c r="E2192" s="3" t="s">
        <v>616</v>
      </c>
      <c r="F2192" s="3" t="s">
        <v>615</v>
      </c>
      <c r="G2192" s="3" t="s">
        <v>616</v>
      </c>
      <c r="H2192" s="4">
        <v>46291.856357523153</v>
      </c>
      <c r="I2192" s="4">
        <v>46291.953017824068</v>
      </c>
      <c r="J2192" s="3">
        <f t="shared" si="4"/>
        <v>139</v>
      </c>
      <c r="K2192" s="3" t="s">
        <v>402</v>
      </c>
      <c r="L2192" s="3" t="s">
        <v>36</v>
      </c>
      <c r="M2192" s="3" t="s">
        <v>36</v>
      </c>
      <c r="N2192" s="3" t="s">
        <v>45</v>
      </c>
      <c r="O2192" s="3" t="s">
        <v>403</v>
      </c>
    </row>
    <row r="2193" spans="1:15" hidden="1" x14ac:dyDescent="0.75">
      <c r="A2193" s="2">
        <v>46291</v>
      </c>
      <c r="B2193" s="3" t="s">
        <v>1845</v>
      </c>
      <c r="C2193" s="3" t="s">
        <v>1846</v>
      </c>
      <c r="D2193" s="3" t="s">
        <v>2416</v>
      </c>
      <c r="E2193" s="3" t="s">
        <v>2417</v>
      </c>
      <c r="F2193" s="3" t="s">
        <v>2416</v>
      </c>
      <c r="G2193" s="3" t="s">
        <v>2417</v>
      </c>
      <c r="H2193" s="4">
        <v>46291.85999513889</v>
      </c>
      <c r="I2193" s="4">
        <v>46291.860162037039</v>
      </c>
      <c r="J2193" s="3">
        <f t="shared" si="4"/>
        <v>0</v>
      </c>
      <c r="K2193" s="3" t="s">
        <v>240</v>
      </c>
      <c r="L2193" s="3" t="s">
        <v>52</v>
      </c>
      <c r="M2193" s="3"/>
      <c r="N2193" s="3" t="s">
        <v>23</v>
      </c>
      <c r="O2193" s="3" t="s">
        <v>241</v>
      </c>
    </row>
    <row r="2194" spans="1:15" hidden="1" x14ac:dyDescent="0.75">
      <c r="A2194" s="2">
        <v>46291</v>
      </c>
      <c r="B2194" s="3" t="s">
        <v>1781</v>
      </c>
      <c r="C2194" s="3" t="s">
        <v>1782</v>
      </c>
      <c r="D2194" s="3" t="s">
        <v>17</v>
      </c>
      <c r="E2194" s="3" t="s">
        <v>18</v>
      </c>
      <c r="F2194" s="3"/>
      <c r="G2194" s="3"/>
      <c r="H2194" s="4">
        <v>46291.860144328697</v>
      </c>
      <c r="I2194" s="4">
        <v>46291.999809837973</v>
      </c>
      <c r="J2194" s="3">
        <f t="shared" si="4"/>
        <v>201</v>
      </c>
      <c r="K2194" s="3" t="s">
        <v>547</v>
      </c>
      <c r="L2194" s="3" t="s">
        <v>22</v>
      </c>
      <c r="M2194" s="3" t="s">
        <v>22</v>
      </c>
      <c r="N2194" s="3" t="s">
        <v>2367</v>
      </c>
      <c r="O2194" s="3" t="s">
        <v>548</v>
      </c>
    </row>
    <row r="2195" spans="1:15" hidden="1" x14ac:dyDescent="0.75">
      <c r="A2195" s="2">
        <v>46291</v>
      </c>
      <c r="B2195" s="3" t="s">
        <v>1845</v>
      </c>
      <c r="C2195" s="3" t="s">
        <v>1846</v>
      </c>
      <c r="D2195" s="3" t="s">
        <v>2416</v>
      </c>
      <c r="E2195" s="3" t="s">
        <v>2417</v>
      </c>
      <c r="F2195" s="3" t="s">
        <v>2416</v>
      </c>
      <c r="G2195" s="3" t="s">
        <v>2417</v>
      </c>
      <c r="H2195" s="4">
        <v>46291.860165740742</v>
      </c>
      <c r="I2195" s="4">
        <v>46291.860220023147</v>
      </c>
      <c r="J2195" s="3">
        <f t="shared" si="4"/>
        <v>0</v>
      </c>
      <c r="K2195" s="3" t="s">
        <v>240</v>
      </c>
      <c r="L2195" s="3" t="s">
        <v>52</v>
      </c>
      <c r="M2195" s="3"/>
      <c r="N2195" s="3" t="s">
        <v>23</v>
      </c>
      <c r="O2195" s="3" t="s">
        <v>241</v>
      </c>
    </row>
    <row r="2196" spans="1:15" hidden="1" x14ac:dyDescent="0.75">
      <c r="A2196" s="2">
        <v>46291</v>
      </c>
      <c r="B2196" s="3" t="s">
        <v>1845</v>
      </c>
      <c r="C2196" s="3" t="s">
        <v>1846</v>
      </c>
      <c r="D2196" s="3" t="s">
        <v>2416</v>
      </c>
      <c r="E2196" s="3" t="s">
        <v>2417</v>
      </c>
      <c r="F2196" s="3" t="s">
        <v>218</v>
      </c>
      <c r="G2196" s="3" t="s">
        <v>219</v>
      </c>
      <c r="H2196" s="4">
        <v>46291.860223495372</v>
      </c>
      <c r="I2196" s="4">
        <v>46291.860795370369</v>
      </c>
      <c r="J2196" s="3">
        <f t="shared" si="4"/>
        <v>1</v>
      </c>
      <c r="K2196" s="3" t="s">
        <v>240</v>
      </c>
      <c r="L2196" s="3" t="s">
        <v>52</v>
      </c>
      <c r="M2196" s="3"/>
      <c r="N2196" s="3" t="s">
        <v>23</v>
      </c>
      <c r="O2196" s="3" t="s">
        <v>241</v>
      </c>
    </row>
    <row r="2197" spans="1:15" hidden="1" x14ac:dyDescent="0.75">
      <c r="A2197" s="2">
        <v>46291</v>
      </c>
      <c r="B2197" s="3" t="s">
        <v>1845</v>
      </c>
      <c r="C2197" s="3" t="s">
        <v>1846</v>
      </c>
      <c r="D2197" s="3" t="s">
        <v>218</v>
      </c>
      <c r="E2197" s="3" t="s">
        <v>219</v>
      </c>
      <c r="F2197" s="3" t="s">
        <v>218</v>
      </c>
      <c r="G2197" s="3" t="s">
        <v>219</v>
      </c>
      <c r="H2197" s="4">
        <v>46291.860801620373</v>
      </c>
      <c r="I2197" s="4">
        <v>46291.861255208343</v>
      </c>
      <c r="J2197" s="3">
        <f t="shared" si="4"/>
        <v>1</v>
      </c>
      <c r="K2197" s="3" t="s">
        <v>240</v>
      </c>
      <c r="L2197" s="3" t="s">
        <v>52</v>
      </c>
      <c r="M2197" s="3"/>
      <c r="N2197" s="3" t="s">
        <v>23</v>
      </c>
      <c r="O2197" s="3" t="s">
        <v>241</v>
      </c>
    </row>
    <row r="2198" spans="1:15" hidden="1" x14ac:dyDescent="0.75">
      <c r="A2198" s="2">
        <v>46291</v>
      </c>
      <c r="B2198" s="3" t="s">
        <v>1845</v>
      </c>
      <c r="C2198" s="3" t="s">
        <v>1846</v>
      </c>
      <c r="D2198" s="3" t="s">
        <v>218</v>
      </c>
      <c r="E2198" s="3" t="s">
        <v>219</v>
      </c>
      <c r="F2198" s="3"/>
      <c r="G2198" s="3"/>
      <c r="H2198" s="4">
        <v>46291.861255208343</v>
      </c>
      <c r="I2198" s="4">
        <v>46291.862592013887</v>
      </c>
      <c r="J2198" s="3">
        <f t="shared" si="4"/>
        <v>2</v>
      </c>
      <c r="K2198" s="3" t="s">
        <v>240</v>
      </c>
      <c r="L2198" s="3" t="s">
        <v>52</v>
      </c>
      <c r="M2198" s="3"/>
      <c r="N2198" s="3" t="s">
        <v>23</v>
      </c>
      <c r="O2198" s="3" t="s">
        <v>241</v>
      </c>
    </row>
    <row r="2199" spans="1:15" hidden="1" x14ac:dyDescent="0.75">
      <c r="A2199" s="2">
        <v>46291</v>
      </c>
      <c r="B2199" s="3" t="s">
        <v>1845</v>
      </c>
      <c r="C2199" s="3" t="s">
        <v>1846</v>
      </c>
      <c r="D2199" s="3"/>
      <c r="E2199" s="3"/>
      <c r="F2199" s="3" t="s">
        <v>218</v>
      </c>
      <c r="G2199" s="3" t="s">
        <v>219</v>
      </c>
      <c r="H2199" s="4">
        <v>46291.86259571759</v>
      </c>
      <c r="I2199" s="4">
        <v>46291.863454282407</v>
      </c>
      <c r="J2199" s="3">
        <f t="shared" si="4"/>
        <v>1</v>
      </c>
      <c r="K2199" s="3" t="s">
        <v>240</v>
      </c>
      <c r="L2199" s="3" t="s">
        <v>52</v>
      </c>
      <c r="M2199" s="3"/>
      <c r="N2199" s="3" t="s">
        <v>23</v>
      </c>
      <c r="O2199" s="3" t="s">
        <v>241</v>
      </c>
    </row>
    <row r="2200" spans="1:15" hidden="1" x14ac:dyDescent="0.75">
      <c r="A2200" s="2">
        <v>46291</v>
      </c>
      <c r="B2200" s="3" t="s">
        <v>1845</v>
      </c>
      <c r="C2200" s="3" t="s">
        <v>1846</v>
      </c>
      <c r="D2200" s="3" t="s">
        <v>218</v>
      </c>
      <c r="E2200" s="3" t="s">
        <v>219</v>
      </c>
      <c r="F2200" s="3" t="s">
        <v>218</v>
      </c>
      <c r="G2200" s="3" t="s">
        <v>219</v>
      </c>
      <c r="H2200" s="4">
        <v>46291.863457175918</v>
      </c>
      <c r="I2200" s="4">
        <v>46291.864039236112</v>
      </c>
      <c r="J2200" s="3">
        <f t="shared" si="4"/>
        <v>1</v>
      </c>
      <c r="K2200" s="3" t="s">
        <v>240</v>
      </c>
      <c r="L2200" s="3" t="s">
        <v>52</v>
      </c>
      <c r="M2200" s="3"/>
      <c r="N2200" s="3" t="s">
        <v>23</v>
      </c>
      <c r="O2200" s="3" t="s">
        <v>241</v>
      </c>
    </row>
    <row r="2201" spans="1:15" hidden="1" x14ac:dyDescent="0.75">
      <c r="A2201" s="2">
        <v>46291</v>
      </c>
      <c r="B2201" s="3" t="s">
        <v>1845</v>
      </c>
      <c r="C2201" s="3" t="s">
        <v>1846</v>
      </c>
      <c r="D2201" s="3" t="s">
        <v>218</v>
      </c>
      <c r="E2201" s="3" t="s">
        <v>219</v>
      </c>
      <c r="F2201" s="3" t="s">
        <v>218</v>
      </c>
      <c r="G2201" s="3" t="s">
        <v>219</v>
      </c>
      <c r="H2201" s="4">
        <v>46291.864039351851</v>
      </c>
      <c r="I2201" s="4">
        <v>46291.865542129628</v>
      </c>
      <c r="J2201" s="3">
        <f t="shared" si="4"/>
        <v>2</v>
      </c>
      <c r="K2201" s="3" t="s">
        <v>240</v>
      </c>
      <c r="L2201" s="3" t="s">
        <v>52</v>
      </c>
      <c r="M2201" s="3"/>
      <c r="N2201" s="3" t="s">
        <v>23</v>
      </c>
      <c r="O2201" s="3" t="s">
        <v>241</v>
      </c>
    </row>
    <row r="2202" spans="1:15" hidden="1" x14ac:dyDescent="0.75">
      <c r="A2202" s="2">
        <v>46291</v>
      </c>
      <c r="B2202" s="3" t="s">
        <v>2418</v>
      </c>
      <c r="C2202" s="3" t="s">
        <v>2419</v>
      </c>
      <c r="D2202" s="3"/>
      <c r="E2202" s="3"/>
      <c r="F2202" s="3" t="s">
        <v>27</v>
      </c>
      <c r="G2202" s="3" t="s">
        <v>28</v>
      </c>
      <c r="H2202" s="4">
        <v>46291.864091087962</v>
      </c>
      <c r="I2202" s="4">
        <v>46291.989563310177</v>
      </c>
      <c r="J2202" s="3">
        <f t="shared" si="4"/>
        <v>181</v>
      </c>
      <c r="K2202" s="3" t="s">
        <v>174</v>
      </c>
      <c r="L2202" s="3" t="s">
        <v>36</v>
      </c>
      <c r="M2202" s="3" t="s">
        <v>36</v>
      </c>
      <c r="N2202" s="3" t="s">
        <v>23</v>
      </c>
      <c r="O2202" s="3" t="s">
        <v>175</v>
      </c>
    </row>
    <row r="2203" spans="1:15" hidden="1" x14ac:dyDescent="0.75">
      <c r="A2203" s="2">
        <v>46291</v>
      </c>
      <c r="B2203" s="3" t="s">
        <v>1809</v>
      </c>
      <c r="C2203" s="3" t="s">
        <v>1810</v>
      </c>
      <c r="D2203" s="3" t="s">
        <v>17</v>
      </c>
      <c r="E2203" s="3" t="s">
        <v>18</v>
      </c>
      <c r="F2203" s="3" t="s">
        <v>94</v>
      </c>
      <c r="G2203" s="3" t="s">
        <v>95</v>
      </c>
      <c r="H2203" s="4">
        <v>46291.865276041673</v>
      </c>
      <c r="I2203" s="4">
        <v>46291.915859837973</v>
      </c>
      <c r="J2203" s="3">
        <f t="shared" si="4"/>
        <v>73</v>
      </c>
      <c r="K2203" s="3" t="s">
        <v>396</v>
      </c>
      <c r="L2203" s="3" t="s">
        <v>77</v>
      </c>
      <c r="M2203" s="3" t="s">
        <v>78</v>
      </c>
      <c r="N2203" s="3" t="s">
        <v>23</v>
      </c>
      <c r="O2203" s="3" t="s">
        <v>397</v>
      </c>
    </row>
    <row r="2204" spans="1:15" hidden="1" x14ac:dyDescent="0.75">
      <c r="A2204" s="2">
        <v>46291</v>
      </c>
      <c r="B2204" s="3" t="s">
        <v>2047</v>
      </c>
      <c r="C2204" s="3" t="s">
        <v>2048</v>
      </c>
      <c r="D2204" s="3" t="s">
        <v>82</v>
      </c>
      <c r="E2204" s="3" t="s">
        <v>83</v>
      </c>
      <c r="F2204" s="3" t="s">
        <v>58</v>
      </c>
      <c r="G2204" s="3" t="s">
        <v>59</v>
      </c>
      <c r="H2204" s="4">
        <v>46291.865468402779</v>
      </c>
      <c r="I2204" s="4">
        <v>46291.955851736107</v>
      </c>
      <c r="J2204" s="3">
        <f t="shared" si="4"/>
        <v>130</v>
      </c>
      <c r="K2204" s="3" t="s">
        <v>86</v>
      </c>
      <c r="L2204" s="3" t="s">
        <v>36</v>
      </c>
      <c r="M2204" s="3" t="s">
        <v>36</v>
      </c>
      <c r="N2204" s="3" t="s">
        <v>23</v>
      </c>
      <c r="O2204" s="3" t="s">
        <v>87</v>
      </c>
    </row>
    <row r="2205" spans="1:15" hidden="1" x14ac:dyDescent="0.75">
      <c r="A2205" s="2">
        <v>46291</v>
      </c>
      <c r="B2205" s="3" t="s">
        <v>1789</v>
      </c>
      <c r="C2205" s="3" t="s">
        <v>1790</v>
      </c>
      <c r="D2205" s="3" t="s">
        <v>1375</v>
      </c>
      <c r="E2205" s="3" t="s">
        <v>1376</v>
      </c>
      <c r="F2205" s="3" t="s">
        <v>27</v>
      </c>
      <c r="G2205" s="3" t="s">
        <v>28</v>
      </c>
      <c r="H2205" s="4">
        <v>46291.865874305557</v>
      </c>
      <c r="I2205" s="4">
        <v>46291.937491550932</v>
      </c>
      <c r="J2205" s="3">
        <f t="shared" si="4"/>
        <v>103</v>
      </c>
      <c r="K2205" s="3" t="s">
        <v>1911</v>
      </c>
      <c r="L2205" s="3" t="s">
        <v>77</v>
      </c>
      <c r="M2205" s="3" t="s">
        <v>78</v>
      </c>
      <c r="N2205" s="3" t="s">
        <v>23</v>
      </c>
      <c r="O2205" s="3" t="s">
        <v>1912</v>
      </c>
    </row>
    <row r="2206" spans="1:15" hidden="1" x14ac:dyDescent="0.75">
      <c r="A2206" s="2">
        <v>46291</v>
      </c>
      <c r="B2206" s="3" t="s">
        <v>1837</v>
      </c>
      <c r="C2206" s="3" t="s">
        <v>1838</v>
      </c>
      <c r="D2206" s="3" t="s">
        <v>56</v>
      </c>
      <c r="E2206" s="3" t="s">
        <v>57</v>
      </c>
      <c r="F2206" s="3" t="s">
        <v>977</v>
      </c>
      <c r="G2206" s="3" t="s">
        <v>978</v>
      </c>
      <c r="H2206" s="4">
        <v>46291.866657407409</v>
      </c>
      <c r="I2206" s="4">
        <v>46291.918238425933</v>
      </c>
      <c r="J2206" s="3">
        <f t="shared" si="4"/>
        <v>74</v>
      </c>
      <c r="K2206" s="3" t="s">
        <v>887</v>
      </c>
      <c r="L2206" s="3" t="s">
        <v>36</v>
      </c>
      <c r="M2206" s="3" t="s">
        <v>36</v>
      </c>
      <c r="N2206" s="3" t="s">
        <v>45</v>
      </c>
      <c r="O2206" s="3" t="s">
        <v>888</v>
      </c>
    </row>
    <row r="2207" spans="1:15" hidden="1" x14ac:dyDescent="0.75">
      <c r="A2207" s="2">
        <v>46291</v>
      </c>
      <c r="B2207" s="3" t="s">
        <v>1825</v>
      </c>
      <c r="C2207" s="3" t="s">
        <v>1826</v>
      </c>
      <c r="D2207" s="3" t="s">
        <v>158</v>
      </c>
      <c r="E2207" s="3" t="s">
        <v>159</v>
      </c>
      <c r="F2207" s="3" t="s">
        <v>56</v>
      </c>
      <c r="G2207" s="3" t="s">
        <v>57</v>
      </c>
      <c r="H2207" s="4">
        <v>46291.868353472222</v>
      </c>
      <c r="I2207" s="4">
        <v>46291.955070949072</v>
      </c>
      <c r="J2207" s="3">
        <f t="shared" si="4"/>
        <v>125</v>
      </c>
      <c r="K2207" s="3" t="s">
        <v>715</v>
      </c>
      <c r="L2207" s="3" t="s">
        <v>36</v>
      </c>
      <c r="M2207" s="3" t="s">
        <v>36</v>
      </c>
      <c r="N2207" s="3" t="s">
        <v>23</v>
      </c>
      <c r="O2207" s="3" t="s">
        <v>716</v>
      </c>
    </row>
    <row r="2208" spans="1:15" hidden="1" x14ac:dyDescent="0.75">
      <c r="A2208" s="2">
        <v>46291</v>
      </c>
      <c r="B2208" s="3" t="s">
        <v>1829</v>
      </c>
      <c r="C2208" s="3" t="s">
        <v>1830</v>
      </c>
      <c r="D2208" s="3" t="s">
        <v>17</v>
      </c>
      <c r="E2208" s="3" t="s">
        <v>18</v>
      </c>
      <c r="F2208" s="3"/>
      <c r="G2208" s="3"/>
      <c r="H2208" s="4">
        <v>46291.870157060177</v>
      </c>
      <c r="I2208" s="4">
        <v>46291.999840277778</v>
      </c>
      <c r="J2208" s="3">
        <f t="shared" si="4"/>
        <v>187</v>
      </c>
      <c r="K2208" s="3" t="s">
        <v>455</v>
      </c>
      <c r="L2208" s="3" t="s">
        <v>43</v>
      </c>
      <c r="M2208" s="3" t="s">
        <v>44</v>
      </c>
      <c r="N2208" s="3" t="s">
        <v>2367</v>
      </c>
      <c r="O2208" s="3" t="s">
        <v>456</v>
      </c>
    </row>
    <row r="2209" spans="1:15" hidden="1" x14ac:dyDescent="0.75">
      <c r="A2209" s="2">
        <v>46291</v>
      </c>
      <c r="B2209" s="3" t="s">
        <v>1817</v>
      </c>
      <c r="C2209" s="3" t="s">
        <v>1818</v>
      </c>
      <c r="D2209" s="3" t="s">
        <v>27</v>
      </c>
      <c r="E2209" s="3" t="s">
        <v>28</v>
      </c>
      <c r="F2209" s="3" t="s">
        <v>897</v>
      </c>
      <c r="G2209" s="3" t="s">
        <v>898</v>
      </c>
      <c r="H2209" s="4">
        <v>46291.870268634259</v>
      </c>
      <c r="I2209" s="4">
        <v>46291.924218865737</v>
      </c>
      <c r="J2209" s="3">
        <f t="shared" si="4"/>
        <v>78</v>
      </c>
      <c r="K2209" s="3" t="s">
        <v>955</v>
      </c>
      <c r="L2209" s="3" t="s">
        <v>77</v>
      </c>
      <c r="M2209" s="3" t="s">
        <v>78</v>
      </c>
      <c r="N2209" s="3" t="s">
        <v>45</v>
      </c>
      <c r="O2209" s="3" t="s">
        <v>956</v>
      </c>
    </row>
    <row r="2210" spans="1:15" hidden="1" x14ac:dyDescent="0.75">
      <c r="A2210" s="2">
        <v>46291</v>
      </c>
      <c r="B2210" s="3" t="s">
        <v>1913</v>
      </c>
      <c r="C2210" s="3" t="s">
        <v>1914</v>
      </c>
      <c r="D2210" s="3" t="s">
        <v>1207</v>
      </c>
      <c r="E2210" s="3" t="s">
        <v>1208</v>
      </c>
      <c r="F2210" s="3" t="s">
        <v>56</v>
      </c>
      <c r="G2210" s="3" t="s">
        <v>57</v>
      </c>
      <c r="H2210" s="4">
        <v>46291.870708101851</v>
      </c>
      <c r="I2210" s="4">
        <v>46291.986499999999</v>
      </c>
      <c r="J2210" s="3">
        <f t="shared" si="4"/>
        <v>167</v>
      </c>
      <c r="K2210" s="3" t="s">
        <v>210</v>
      </c>
      <c r="L2210" s="3" t="s">
        <v>36</v>
      </c>
      <c r="M2210" s="3" t="s">
        <v>36</v>
      </c>
      <c r="N2210" s="3" t="s">
        <v>23</v>
      </c>
      <c r="O2210" s="3" t="s">
        <v>211</v>
      </c>
    </row>
    <row r="2211" spans="1:15" hidden="1" x14ac:dyDescent="0.75">
      <c r="A2211" s="2">
        <v>46291</v>
      </c>
      <c r="B2211" s="3" t="s">
        <v>1889</v>
      </c>
      <c r="C2211" s="3" t="s">
        <v>1890</v>
      </c>
      <c r="D2211" s="3" t="s">
        <v>142</v>
      </c>
      <c r="E2211" s="3" t="s">
        <v>143</v>
      </c>
      <c r="F2211" s="3" t="s">
        <v>56</v>
      </c>
      <c r="G2211" s="3" t="s">
        <v>57</v>
      </c>
      <c r="H2211" s="4">
        <v>46291.871558217586</v>
      </c>
      <c r="I2211" s="4">
        <v>46291.972503124998</v>
      </c>
      <c r="J2211" s="3">
        <f t="shared" si="4"/>
        <v>145</v>
      </c>
      <c r="K2211" s="3" t="s">
        <v>673</v>
      </c>
      <c r="L2211" s="3" t="s">
        <v>36</v>
      </c>
      <c r="M2211" s="3" t="s">
        <v>36</v>
      </c>
      <c r="N2211" s="3" t="s">
        <v>23</v>
      </c>
      <c r="O2211" s="3" t="s">
        <v>674</v>
      </c>
    </row>
    <row r="2212" spans="1:15" hidden="1" x14ac:dyDescent="0.75">
      <c r="A2212" s="2">
        <v>46291</v>
      </c>
      <c r="B2212" s="3" t="s">
        <v>1939</v>
      </c>
      <c r="C2212" s="3" t="s">
        <v>1940</v>
      </c>
      <c r="D2212" s="3" t="s">
        <v>27</v>
      </c>
      <c r="E2212" s="3" t="s">
        <v>28</v>
      </c>
      <c r="F2212" s="3" t="s">
        <v>17</v>
      </c>
      <c r="G2212" s="3" t="s">
        <v>18</v>
      </c>
      <c r="H2212" s="4">
        <v>46291.871762037037</v>
      </c>
      <c r="I2212" s="4">
        <v>46291.912870486107</v>
      </c>
      <c r="J2212" s="3">
        <f t="shared" si="4"/>
        <v>59</v>
      </c>
      <c r="K2212" s="3" t="s">
        <v>356</v>
      </c>
      <c r="L2212" s="3" t="s">
        <v>77</v>
      </c>
      <c r="M2212" s="3" t="s">
        <v>78</v>
      </c>
      <c r="N2212" s="3" t="s">
        <v>23</v>
      </c>
      <c r="O2212" s="3" t="s">
        <v>357</v>
      </c>
    </row>
    <row r="2213" spans="1:15" hidden="1" x14ac:dyDescent="0.75">
      <c r="A2213" s="2">
        <v>46291</v>
      </c>
      <c r="B2213" s="3" t="s">
        <v>1867</v>
      </c>
      <c r="C2213" s="3" t="s">
        <v>1868</v>
      </c>
      <c r="D2213" s="3" t="s">
        <v>17</v>
      </c>
      <c r="E2213" s="3" t="s">
        <v>18</v>
      </c>
      <c r="F2213" s="3" t="s">
        <v>56</v>
      </c>
      <c r="G2213" s="3" t="s">
        <v>57</v>
      </c>
      <c r="H2213" s="4">
        <v>46291.873404861108</v>
      </c>
      <c r="I2213" s="4">
        <v>46291.974029050929</v>
      </c>
      <c r="J2213" s="3">
        <f t="shared" si="4"/>
        <v>145</v>
      </c>
      <c r="K2213" s="3" t="s">
        <v>1215</v>
      </c>
      <c r="L2213" s="3" t="s">
        <v>22</v>
      </c>
      <c r="M2213" s="3" t="s">
        <v>22</v>
      </c>
      <c r="N2213" s="3" t="s">
        <v>23</v>
      </c>
      <c r="O2213" s="3" t="s">
        <v>1216</v>
      </c>
    </row>
    <row r="2214" spans="1:15" hidden="1" x14ac:dyDescent="0.75">
      <c r="A2214" s="2">
        <v>46291</v>
      </c>
      <c r="B2214" s="3" t="s">
        <v>1843</v>
      </c>
      <c r="C2214" s="3" t="s">
        <v>1844</v>
      </c>
      <c r="D2214" s="3" t="s">
        <v>304</v>
      </c>
      <c r="E2214" s="3" t="s">
        <v>305</v>
      </c>
      <c r="F2214" s="3"/>
      <c r="G2214" s="3"/>
      <c r="H2214" s="4">
        <v>46291.873632754628</v>
      </c>
      <c r="I2214" s="4">
        <v>46291.999842129633</v>
      </c>
      <c r="J2214" s="3">
        <f t="shared" si="4"/>
        <v>182</v>
      </c>
      <c r="K2214" s="3" t="s">
        <v>649</v>
      </c>
      <c r="L2214" s="3" t="s">
        <v>22</v>
      </c>
      <c r="M2214" s="3" t="s">
        <v>22</v>
      </c>
      <c r="N2214" s="3" t="s">
        <v>2367</v>
      </c>
      <c r="O2214" s="3" t="s">
        <v>650</v>
      </c>
    </row>
    <row r="2215" spans="1:15" hidden="1" x14ac:dyDescent="0.75">
      <c r="A2215" s="2">
        <v>46291</v>
      </c>
      <c r="B2215" s="3" t="s">
        <v>1799</v>
      </c>
      <c r="C2215" s="3" t="s">
        <v>1800</v>
      </c>
      <c r="D2215" s="3" t="s">
        <v>27</v>
      </c>
      <c r="E2215" s="3" t="s">
        <v>28</v>
      </c>
      <c r="F2215" s="3" t="s">
        <v>49</v>
      </c>
      <c r="G2215" s="3" t="s">
        <v>50</v>
      </c>
      <c r="H2215" s="4">
        <v>46291.875245949072</v>
      </c>
      <c r="I2215" s="4">
        <v>46291.920981249998</v>
      </c>
      <c r="J2215" s="3">
        <f t="shared" si="4"/>
        <v>66</v>
      </c>
      <c r="K2215" s="3" t="s">
        <v>847</v>
      </c>
      <c r="L2215" s="3" t="s">
        <v>77</v>
      </c>
      <c r="M2215" s="3" t="s">
        <v>78</v>
      </c>
      <c r="N2215" s="3" t="s">
        <v>23</v>
      </c>
      <c r="O2215" s="3" t="s">
        <v>848</v>
      </c>
    </row>
    <row r="2216" spans="1:15" hidden="1" x14ac:dyDescent="0.75">
      <c r="A2216" s="2">
        <v>46291</v>
      </c>
      <c r="B2216" s="3" t="s">
        <v>1985</v>
      </c>
      <c r="C2216" s="3" t="s">
        <v>1986</v>
      </c>
      <c r="D2216" s="3" t="s">
        <v>264</v>
      </c>
      <c r="E2216" s="3" t="s">
        <v>265</v>
      </c>
      <c r="F2216" s="3"/>
      <c r="G2216" s="3"/>
      <c r="H2216" s="4">
        <v>46291.875610648152</v>
      </c>
      <c r="I2216" s="4">
        <v>46291.999978240739</v>
      </c>
      <c r="J2216" s="3">
        <f t="shared" si="4"/>
        <v>179</v>
      </c>
      <c r="K2216" s="3" t="s">
        <v>1199</v>
      </c>
      <c r="L2216" s="3" t="s">
        <v>22</v>
      </c>
      <c r="M2216" s="3" t="s">
        <v>22</v>
      </c>
      <c r="N2216" s="3" t="s">
        <v>2367</v>
      </c>
      <c r="O2216" s="3" t="s">
        <v>1200</v>
      </c>
    </row>
    <row r="2217" spans="1:15" hidden="1" x14ac:dyDescent="0.75">
      <c r="A2217" s="2">
        <v>46291</v>
      </c>
      <c r="B2217" s="3" t="s">
        <v>1855</v>
      </c>
      <c r="C2217" s="3" t="s">
        <v>1856</v>
      </c>
      <c r="D2217" s="3" t="s">
        <v>196</v>
      </c>
      <c r="E2217" s="3" t="s">
        <v>197</v>
      </c>
      <c r="F2217" s="3" t="s">
        <v>82</v>
      </c>
      <c r="G2217" s="3" t="s">
        <v>83</v>
      </c>
      <c r="H2217" s="4">
        <v>46291.875763888893</v>
      </c>
      <c r="I2217" s="4">
        <v>46291.944670833327</v>
      </c>
      <c r="J2217" s="3">
        <f t="shared" si="4"/>
        <v>99</v>
      </c>
      <c r="K2217" s="3" t="s">
        <v>1069</v>
      </c>
      <c r="L2217" s="3" t="s">
        <v>36</v>
      </c>
      <c r="M2217" s="3" t="s">
        <v>36</v>
      </c>
      <c r="N2217" s="3" t="s">
        <v>23</v>
      </c>
      <c r="O2217" s="3" t="s">
        <v>1070</v>
      </c>
    </row>
    <row r="2218" spans="1:15" hidden="1" x14ac:dyDescent="0.75">
      <c r="A2218" s="2">
        <v>46291</v>
      </c>
      <c r="B2218" s="3" t="s">
        <v>1767</v>
      </c>
      <c r="C2218" s="3" t="s">
        <v>1768</v>
      </c>
      <c r="D2218" s="3" t="s">
        <v>56</v>
      </c>
      <c r="E2218" s="3" t="s">
        <v>57</v>
      </c>
      <c r="F2218" s="3"/>
      <c r="G2218" s="3"/>
      <c r="H2218" s="4">
        <v>46291.876388425917</v>
      </c>
      <c r="I2218" s="4">
        <v>46291.999996759259</v>
      </c>
      <c r="J2218" s="3">
        <f t="shared" si="4"/>
        <v>178</v>
      </c>
      <c r="K2218" s="3" t="s">
        <v>1147</v>
      </c>
      <c r="L2218" s="3" t="s">
        <v>22</v>
      </c>
      <c r="M2218" s="3" t="s">
        <v>22</v>
      </c>
      <c r="N2218" s="3" t="s">
        <v>2367</v>
      </c>
      <c r="O2218" s="3" t="s">
        <v>1148</v>
      </c>
    </row>
    <row r="2219" spans="1:15" hidden="1" x14ac:dyDescent="0.75">
      <c r="A2219" s="2">
        <v>46291</v>
      </c>
      <c r="B2219" s="3" t="s">
        <v>1899</v>
      </c>
      <c r="C2219" s="3" t="s">
        <v>1900</v>
      </c>
      <c r="D2219" s="3"/>
      <c r="E2219" s="3"/>
      <c r="F2219" s="3" t="s">
        <v>56</v>
      </c>
      <c r="G2219" s="3" t="s">
        <v>57</v>
      </c>
      <c r="H2219" s="4">
        <v>46291.877047916663</v>
      </c>
      <c r="I2219" s="4">
        <v>46291.89716226852</v>
      </c>
      <c r="J2219" s="3">
        <f t="shared" si="4"/>
        <v>29</v>
      </c>
      <c r="K2219" s="3" t="s">
        <v>2193</v>
      </c>
      <c r="L2219" s="3" t="s">
        <v>77</v>
      </c>
      <c r="M2219" s="3" t="s">
        <v>78</v>
      </c>
      <c r="N2219" s="3" t="s">
        <v>23</v>
      </c>
      <c r="O2219" s="3" t="s">
        <v>2194</v>
      </c>
    </row>
    <row r="2220" spans="1:15" hidden="1" x14ac:dyDescent="0.75">
      <c r="A2220" s="2">
        <v>46291</v>
      </c>
      <c r="B2220" s="3" t="s">
        <v>1821</v>
      </c>
      <c r="C2220" s="3" t="s">
        <v>1822</v>
      </c>
      <c r="D2220" s="3" t="s">
        <v>234</v>
      </c>
      <c r="E2220" s="3" t="s">
        <v>235</v>
      </c>
      <c r="F2220" s="3" t="s">
        <v>82</v>
      </c>
      <c r="G2220" s="3" t="s">
        <v>83</v>
      </c>
      <c r="H2220" s="4">
        <v>46291.877946759261</v>
      </c>
      <c r="I2220" s="4">
        <v>46291.97276921296</v>
      </c>
      <c r="J2220" s="3">
        <f t="shared" si="4"/>
        <v>137</v>
      </c>
      <c r="K2220" s="3" t="s">
        <v>1115</v>
      </c>
      <c r="L2220" s="3" t="s">
        <v>77</v>
      </c>
      <c r="M2220" s="3" t="s">
        <v>78</v>
      </c>
      <c r="N2220" s="3" t="s">
        <v>23</v>
      </c>
      <c r="O2220" s="3" t="s">
        <v>1116</v>
      </c>
    </row>
    <row r="2221" spans="1:15" hidden="1" x14ac:dyDescent="0.75">
      <c r="A2221" s="2">
        <v>46291</v>
      </c>
      <c r="B2221" s="3" t="s">
        <v>1811</v>
      </c>
      <c r="C2221" s="3" t="s">
        <v>1812</v>
      </c>
      <c r="D2221" s="3" t="s">
        <v>615</v>
      </c>
      <c r="E2221" s="3" t="s">
        <v>616</v>
      </c>
      <c r="F2221" s="3" t="s">
        <v>56</v>
      </c>
      <c r="G2221" s="3" t="s">
        <v>57</v>
      </c>
      <c r="H2221" s="4">
        <v>46291.878303935177</v>
      </c>
      <c r="I2221" s="4">
        <v>46291.971031018518</v>
      </c>
      <c r="J2221" s="3">
        <f t="shared" si="4"/>
        <v>134</v>
      </c>
      <c r="K2221" s="3" t="s">
        <v>2289</v>
      </c>
      <c r="L2221" s="3" t="s">
        <v>36</v>
      </c>
      <c r="M2221" s="3" t="s">
        <v>36</v>
      </c>
      <c r="N2221" s="3" t="s">
        <v>23</v>
      </c>
      <c r="O2221" s="3" t="s">
        <v>2290</v>
      </c>
    </row>
    <row r="2222" spans="1:15" hidden="1" x14ac:dyDescent="0.75">
      <c r="A2222" s="2">
        <v>46291</v>
      </c>
      <c r="B2222" s="3" t="s">
        <v>1875</v>
      </c>
      <c r="C2222" s="3" t="s">
        <v>1876</v>
      </c>
      <c r="D2222" s="3" t="s">
        <v>56</v>
      </c>
      <c r="E2222" s="3" t="s">
        <v>57</v>
      </c>
      <c r="F2222" s="3" t="s">
        <v>182</v>
      </c>
      <c r="G2222" s="3" t="s">
        <v>183</v>
      </c>
      <c r="H2222" s="4">
        <v>46291.880232060183</v>
      </c>
      <c r="I2222" s="4">
        <v>46291.938140625003</v>
      </c>
      <c r="J2222" s="3">
        <f t="shared" si="4"/>
        <v>83</v>
      </c>
      <c r="K2222" s="3" t="s">
        <v>144</v>
      </c>
      <c r="L2222" s="3" t="s">
        <v>36</v>
      </c>
      <c r="M2222" s="3" t="s">
        <v>36</v>
      </c>
      <c r="N2222" s="3" t="s">
        <v>23</v>
      </c>
      <c r="O2222" s="3" t="s">
        <v>145</v>
      </c>
    </row>
    <row r="2223" spans="1:15" hidden="1" x14ac:dyDescent="0.75">
      <c r="A2223" s="2">
        <v>46291</v>
      </c>
      <c r="B2223" s="3" t="s">
        <v>1885</v>
      </c>
      <c r="C2223" s="3" t="s">
        <v>1886</v>
      </c>
      <c r="D2223" s="3" t="s">
        <v>27</v>
      </c>
      <c r="E2223" s="3" t="s">
        <v>28</v>
      </c>
      <c r="F2223" s="3" t="s">
        <v>334</v>
      </c>
      <c r="G2223" s="3" t="s">
        <v>335</v>
      </c>
      <c r="H2223" s="4">
        <v>46291.882052314817</v>
      </c>
      <c r="I2223" s="4">
        <v>46291.968158680553</v>
      </c>
      <c r="J2223" s="3">
        <f t="shared" si="4"/>
        <v>124</v>
      </c>
      <c r="K2223" s="3" t="s">
        <v>368</v>
      </c>
      <c r="L2223" s="3" t="s">
        <v>77</v>
      </c>
      <c r="M2223" s="3" t="s">
        <v>78</v>
      </c>
      <c r="N2223" s="3" t="s">
        <v>23</v>
      </c>
      <c r="O2223" s="3" t="s">
        <v>369</v>
      </c>
    </row>
    <row r="2224" spans="1:15" hidden="1" x14ac:dyDescent="0.75">
      <c r="A2224" s="2">
        <v>46291</v>
      </c>
      <c r="B2224" s="3" t="s">
        <v>2420</v>
      </c>
      <c r="C2224" s="3" t="s">
        <v>2421</v>
      </c>
      <c r="D2224" s="3" t="s">
        <v>27</v>
      </c>
      <c r="E2224" s="3" t="s">
        <v>28</v>
      </c>
      <c r="F2224" s="3"/>
      <c r="G2224" s="3"/>
      <c r="H2224" s="4">
        <v>46291.882717245368</v>
      </c>
      <c r="I2224" s="4">
        <v>46291.999889930557</v>
      </c>
      <c r="J2224" s="3">
        <f t="shared" si="4"/>
        <v>169</v>
      </c>
      <c r="K2224" s="3" t="s">
        <v>943</v>
      </c>
      <c r="L2224" s="3" t="s">
        <v>43</v>
      </c>
      <c r="M2224" s="3" t="s">
        <v>44</v>
      </c>
      <c r="N2224" s="3" t="s">
        <v>2367</v>
      </c>
      <c r="O2224" s="3" t="s">
        <v>944</v>
      </c>
    </row>
    <row r="2225" spans="1:15" hidden="1" x14ac:dyDescent="0.75">
      <c r="A2225" s="2">
        <v>46291</v>
      </c>
      <c r="B2225" s="3" t="s">
        <v>1835</v>
      </c>
      <c r="C2225" s="3" t="s">
        <v>1836</v>
      </c>
      <c r="D2225" s="3" t="s">
        <v>719</v>
      </c>
      <c r="E2225" s="3" t="s">
        <v>720</v>
      </c>
      <c r="F2225" s="3" t="s">
        <v>17</v>
      </c>
      <c r="G2225" s="3" t="s">
        <v>18</v>
      </c>
      <c r="H2225" s="4">
        <v>46291.883328356482</v>
      </c>
      <c r="I2225" s="4">
        <v>46291.987031481483</v>
      </c>
      <c r="J2225" s="3">
        <f t="shared" si="4"/>
        <v>149</v>
      </c>
      <c r="K2225" s="3" t="s">
        <v>1271</v>
      </c>
      <c r="L2225" s="3" t="s">
        <v>36</v>
      </c>
      <c r="M2225" s="3" t="s">
        <v>36</v>
      </c>
      <c r="N2225" s="3" t="s">
        <v>23</v>
      </c>
      <c r="O2225" s="3" t="s">
        <v>1272</v>
      </c>
    </row>
    <row r="2226" spans="1:15" hidden="1" x14ac:dyDescent="0.75">
      <c r="A2226" s="2">
        <v>46291</v>
      </c>
      <c r="B2226" s="3" t="s">
        <v>1595</v>
      </c>
      <c r="C2226" s="3" t="s">
        <v>1596</v>
      </c>
      <c r="D2226" s="3"/>
      <c r="E2226" s="3"/>
      <c r="F2226" s="3" t="s">
        <v>56</v>
      </c>
      <c r="G2226" s="3" t="s">
        <v>57</v>
      </c>
      <c r="H2226" s="4">
        <v>46291.88453703704</v>
      </c>
      <c r="I2226" s="4">
        <v>46291.916579976853</v>
      </c>
      <c r="J2226" s="3">
        <f t="shared" si="4"/>
        <v>46</v>
      </c>
      <c r="K2226" s="3" t="s">
        <v>434</v>
      </c>
      <c r="L2226" s="3" t="s">
        <v>36</v>
      </c>
      <c r="M2226" s="3" t="s">
        <v>36</v>
      </c>
      <c r="N2226" s="3" t="s">
        <v>23</v>
      </c>
      <c r="O2226" s="3" t="s">
        <v>435</v>
      </c>
    </row>
    <row r="2227" spans="1:15" hidden="1" x14ac:dyDescent="0.75">
      <c r="A2227" s="2">
        <v>46291</v>
      </c>
      <c r="B2227" s="3" t="s">
        <v>1377</v>
      </c>
      <c r="C2227" s="3" t="s">
        <v>1378</v>
      </c>
      <c r="D2227" s="3"/>
      <c r="E2227" s="3"/>
      <c r="F2227" s="3" t="s">
        <v>56</v>
      </c>
      <c r="G2227" s="3" t="s">
        <v>57</v>
      </c>
      <c r="H2227" s="4">
        <v>46291.885625694442</v>
      </c>
      <c r="I2227" s="4">
        <v>46291.922238541672</v>
      </c>
      <c r="J2227" s="3">
        <f t="shared" si="4"/>
        <v>53</v>
      </c>
      <c r="K2227" s="3" t="s">
        <v>873</v>
      </c>
      <c r="L2227" s="3" t="s">
        <v>36</v>
      </c>
      <c r="M2227" s="3" t="s">
        <v>36</v>
      </c>
      <c r="N2227" s="3" t="s">
        <v>23</v>
      </c>
      <c r="O2227" s="3" t="s">
        <v>874</v>
      </c>
    </row>
    <row r="2228" spans="1:15" hidden="1" x14ac:dyDescent="0.75">
      <c r="A2228" s="2">
        <v>46291</v>
      </c>
      <c r="B2228" s="3" t="s">
        <v>1861</v>
      </c>
      <c r="C2228" s="3" t="s">
        <v>1862</v>
      </c>
      <c r="D2228" s="3" t="s">
        <v>17</v>
      </c>
      <c r="E2228" s="3" t="s">
        <v>18</v>
      </c>
      <c r="F2228" s="3"/>
      <c r="G2228" s="3"/>
      <c r="H2228" s="4">
        <v>46291.887270023151</v>
      </c>
      <c r="I2228" s="4">
        <v>46291.972702083331</v>
      </c>
      <c r="J2228" s="3">
        <f t="shared" si="4"/>
        <v>123</v>
      </c>
      <c r="K2228" s="3" t="s">
        <v>515</v>
      </c>
      <c r="L2228" s="3" t="s">
        <v>36</v>
      </c>
      <c r="M2228" s="3" t="s">
        <v>36</v>
      </c>
      <c r="N2228" s="3" t="s">
        <v>443</v>
      </c>
      <c r="O2228" s="3" t="s">
        <v>516</v>
      </c>
    </row>
    <row r="2229" spans="1:15" hidden="1" x14ac:dyDescent="0.75">
      <c r="A2229" s="2">
        <v>46291</v>
      </c>
      <c r="B2229" s="3" t="s">
        <v>1785</v>
      </c>
      <c r="C2229" s="3" t="s">
        <v>1786</v>
      </c>
      <c r="D2229" s="3" t="s">
        <v>27</v>
      </c>
      <c r="E2229" s="3" t="s">
        <v>28</v>
      </c>
      <c r="F2229" s="3"/>
      <c r="G2229" s="3"/>
      <c r="H2229" s="4">
        <v>46291.887293055559</v>
      </c>
      <c r="I2229" s="4">
        <v>46291.999957291657</v>
      </c>
      <c r="J2229" s="3">
        <f t="shared" si="4"/>
        <v>162</v>
      </c>
      <c r="K2229" s="3" t="s">
        <v>509</v>
      </c>
      <c r="L2229" s="3" t="s">
        <v>22</v>
      </c>
      <c r="M2229" s="3" t="s">
        <v>22</v>
      </c>
      <c r="N2229" s="3" t="s">
        <v>2367</v>
      </c>
      <c r="O2229" s="3" t="s">
        <v>510</v>
      </c>
    </row>
    <row r="2230" spans="1:15" hidden="1" x14ac:dyDescent="0.75">
      <c r="A2230" s="2">
        <v>46291</v>
      </c>
      <c r="B2230" s="3" t="s">
        <v>1877</v>
      </c>
      <c r="C2230" s="3" t="s">
        <v>1878</v>
      </c>
      <c r="D2230" s="3" t="s">
        <v>68</v>
      </c>
      <c r="E2230" s="3" t="s">
        <v>69</v>
      </c>
      <c r="F2230" s="3" t="s">
        <v>84</v>
      </c>
      <c r="G2230" s="3" t="s">
        <v>85</v>
      </c>
      <c r="H2230" s="4">
        <v>46291.887767824082</v>
      </c>
      <c r="I2230" s="4">
        <v>46291.989590046287</v>
      </c>
      <c r="J2230" s="3">
        <f t="shared" si="4"/>
        <v>147</v>
      </c>
      <c r="K2230" s="3" t="s">
        <v>537</v>
      </c>
      <c r="L2230" s="3" t="s">
        <v>36</v>
      </c>
      <c r="M2230" s="3" t="s">
        <v>36</v>
      </c>
      <c r="N2230" s="3" t="s">
        <v>45</v>
      </c>
      <c r="O2230" s="3" t="s">
        <v>538</v>
      </c>
    </row>
    <row r="2231" spans="1:15" hidden="1" x14ac:dyDescent="0.75">
      <c r="A2231" s="2">
        <v>46291</v>
      </c>
      <c r="B2231" s="3" t="s">
        <v>1681</v>
      </c>
      <c r="C2231" s="3" t="s">
        <v>1682</v>
      </c>
      <c r="D2231" s="3"/>
      <c r="E2231" s="3"/>
      <c r="F2231" s="3" t="s">
        <v>615</v>
      </c>
      <c r="G2231" s="3" t="s">
        <v>616</v>
      </c>
      <c r="H2231" s="4">
        <v>46291.88933622685</v>
      </c>
      <c r="I2231" s="4">
        <v>46291.900557407411</v>
      </c>
      <c r="J2231" s="3">
        <f t="shared" si="4"/>
        <v>16</v>
      </c>
      <c r="K2231" s="3" t="s">
        <v>951</v>
      </c>
      <c r="L2231" s="3" t="s">
        <v>36</v>
      </c>
      <c r="M2231" s="3" t="s">
        <v>36</v>
      </c>
      <c r="N2231" s="3" t="s">
        <v>45</v>
      </c>
      <c r="O2231" s="3" t="s">
        <v>952</v>
      </c>
    </row>
    <row r="2232" spans="1:15" hidden="1" x14ac:dyDescent="0.75">
      <c r="A2232" s="2">
        <v>46291</v>
      </c>
      <c r="B2232" s="3" t="s">
        <v>1945</v>
      </c>
      <c r="C2232" s="3" t="s">
        <v>1946</v>
      </c>
      <c r="D2232" s="3"/>
      <c r="E2232" s="3"/>
      <c r="F2232" s="3" t="s">
        <v>17</v>
      </c>
      <c r="G2232" s="3" t="s">
        <v>18</v>
      </c>
      <c r="H2232" s="4">
        <v>46291.891286921287</v>
      </c>
      <c r="I2232" s="4">
        <v>46291.982876967602</v>
      </c>
      <c r="J2232" s="3">
        <f t="shared" si="4"/>
        <v>132</v>
      </c>
      <c r="K2232" s="3" t="s">
        <v>108</v>
      </c>
      <c r="L2232" s="3" t="s">
        <v>36</v>
      </c>
      <c r="M2232" s="3" t="s">
        <v>36</v>
      </c>
      <c r="N2232" s="3" t="s">
        <v>23</v>
      </c>
      <c r="O2232" s="3" t="s">
        <v>109</v>
      </c>
    </row>
    <row r="2233" spans="1:15" hidden="1" x14ac:dyDescent="0.75">
      <c r="A2233" s="2">
        <v>46291</v>
      </c>
      <c r="B2233" s="3" t="s">
        <v>1891</v>
      </c>
      <c r="C2233" s="3" t="s">
        <v>1892</v>
      </c>
      <c r="D2233" s="3" t="s">
        <v>615</v>
      </c>
      <c r="E2233" s="3" t="s">
        <v>616</v>
      </c>
      <c r="F2233" s="3"/>
      <c r="G2233" s="3"/>
      <c r="H2233" s="4">
        <v>46291.893374189807</v>
      </c>
      <c r="I2233" s="4">
        <v>46291.997910763886</v>
      </c>
      <c r="J2233" s="3">
        <f t="shared" si="4"/>
        <v>151</v>
      </c>
      <c r="K2233" s="3" t="s">
        <v>1023</v>
      </c>
      <c r="L2233" s="3" t="s">
        <v>77</v>
      </c>
      <c r="M2233" s="3" t="s">
        <v>78</v>
      </c>
      <c r="N2233" s="3" t="s">
        <v>2367</v>
      </c>
      <c r="O2233" s="3" t="s">
        <v>1024</v>
      </c>
    </row>
    <row r="2234" spans="1:15" hidden="1" x14ac:dyDescent="0.75">
      <c r="A2234" s="2">
        <v>46291</v>
      </c>
      <c r="B2234" s="3" t="s">
        <v>1961</v>
      </c>
      <c r="C2234" s="3" t="s">
        <v>1962</v>
      </c>
      <c r="D2234" s="3" t="s">
        <v>17</v>
      </c>
      <c r="E2234" s="3" t="s">
        <v>18</v>
      </c>
      <c r="F2234" s="3"/>
      <c r="G2234" s="3"/>
      <c r="H2234" s="4">
        <v>46291.895634259257</v>
      </c>
      <c r="I2234" s="4">
        <v>46291.999778124999</v>
      </c>
      <c r="J2234" s="3">
        <f t="shared" si="4"/>
        <v>150</v>
      </c>
      <c r="K2234" s="3" t="s">
        <v>1181</v>
      </c>
      <c r="L2234" s="3" t="s">
        <v>22</v>
      </c>
      <c r="M2234" s="3" t="s">
        <v>22</v>
      </c>
      <c r="N2234" s="3" t="s">
        <v>2367</v>
      </c>
      <c r="O2234" s="3" t="s">
        <v>1182</v>
      </c>
    </row>
    <row r="2235" spans="1:15" hidden="1" x14ac:dyDescent="0.75">
      <c r="A2235" s="2">
        <v>46291</v>
      </c>
      <c r="B2235" s="3" t="s">
        <v>1869</v>
      </c>
      <c r="C2235" s="3" t="s">
        <v>1870</v>
      </c>
      <c r="D2235" s="3" t="s">
        <v>82</v>
      </c>
      <c r="E2235" s="3" t="s">
        <v>83</v>
      </c>
      <c r="F2235" s="3"/>
      <c r="G2235" s="3"/>
      <c r="H2235" s="4">
        <v>46291.896012152778</v>
      </c>
      <c r="I2235" s="4">
        <v>46291.999997453713</v>
      </c>
      <c r="J2235" s="3">
        <f t="shared" si="4"/>
        <v>150</v>
      </c>
      <c r="K2235" s="3" t="s">
        <v>1989</v>
      </c>
      <c r="L2235" s="3" t="s">
        <v>36</v>
      </c>
      <c r="M2235" s="3" t="s">
        <v>36</v>
      </c>
      <c r="N2235" s="3" t="s">
        <v>45</v>
      </c>
      <c r="O2235" s="3" t="s">
        <v>1990</v>
      </c>
    </row>
    <row r="2236" spans="1:15" hidden="1" x14ac:dyDescent="0.75">
      <c r="A2236" s="2">
        <v>46291</v>
      </c>
      <c r="B2236" s="3" t="s">
        <v>1937</v>
      </c>
      <c r="C2236" s="3" t="s">
        <v>1938</v>
      </c>
      <c r="D2236" s="3" t="s">
        <v>128</v>
      </c>
      <c r="E2236" s="3" t="s">
        <v>129</v>
      </c>
      <c r="F2236" s="3" t="s">
        <v>56</v>
      </c>
      <c r="G2236" s="3" t="s">
        <v>57</v>
      </c>
      <c r="H2236" s="4">
        <v>46291.896996412041</v>
      </c>
      <c r="I2236" s="4">
        <v>46291.997121759261</v>
      </c>
      <c r="J2236" s="3">
        <f t="shared" si="4"/>
        <v>144</v>
      </c>
      <c r="K2236" s="3" t="s">
        <v>168</v>
      </c>
      <c r="L2236" s="3" t="s">
        <v>36</v>
      </c>
      <c r="M2236" s="3" t="s">
        <v>36</v>
      </c>
      <c r="N2236" s="3" t="s">
        <v>23</v>
      </c>
      <c r="O2236" s="3" t="s">
        <v>169</v>
      </c>
    </row>
    <row r="2237" spans="1:15" hidden="1" x14ac:dyDescent="0.75">
      <c r="A2237" s="2">
        <v>46291</v>
      </c>
      <c r="B2237" s="3" t="s">
        <v>1919</v>
      </c>
      <c r="C2237" s="3" t="s">
        <v>1920</v>
      </c>
      <c r="D2237" s="3"/>
      <c r="E2237" s="3"/>
      <c r="F2237" s="3" t="s">
        <v>56</v>
      </c>
      <c r="G2237" s="3" t="s">
        <v>57</v>
      </c>
      <c r="H2237" s="4">
        <v>46291.897975115739</v>
      </c>
      <c r="I2237" s="4">
        <v>46291.920215162027</v>
      </c>
      <c r="J2237" s="3">
        <f t="shared" si="4"/>
        <v>32</v>
      </c>
      <c r="K2237" s="3" t="s">
        <v>2307</v>
      </c>
      <c r="L2237" s="3" t="s">
        <v>36</v>
      </c>
      <c r="M2237" s="3" t="s">
        <v>36</v>
      </c>
      <c r="N2237" s="3" t="s">
        <v>23</v>
      </c>
      <c r="O2237" s="3" t="s">
        <v>2308</v>
      </c>
    </row>
    <row r="2238" spans="1:15" hidden="1" x14ac:dyDescent="0.75">
      <c r="A2238" s="2">
        <v>46291</v>
      </c>
      <c r="B2238" s="3" t="s">
        <v>1905</v>
      </c>
      <c r="C2238" s="3" t="s">
        <v>1906</v>
      </c>
      <c r="D2238" s="3" t="s">
        <v>82</v>
      </c>
      <c r="E2238" s="3" t="s">
        <v>83</v>
      </c>
      <c r="F2238" s="3" t="s">
        <v>208</v>
      </c>
      <c r="G2238" s="3" t="s">
        <v>209</v>
      </c>
      <c r="H2238" s="4">
        <v>46291.898441087957</v>
      </c>
      <c r="I2238" s="4">
        <v>46291.987296296298</v>
      </c>
      <c r="J2238" s="3">
        <f t="shared" si="4"/>
        <v>128</v>
      </c>
      <c r="K2238" s="3" t="s">
        <v>1881</v>
      </c>
      <c r="L2238" s="3" t="s">
        <v>36</v>
      </c>
      <c r="M2238" s="3" t="s">
        <v>36</v>
      </c>
      <c r="N2238" s="3" t="s">
        <v>23</v>
      </c>
      <c r="O2238" s="3" t="s">
        <v>1882</v>
      </c>
    </row>
    <row r="2239" spans="1:15" hidden="1" x14ac:dyDescent="0.75">
      <c r="A2239" s="2">
        <v>46291</v>
      </c>
      <c r="B2239" s="3" t="s">
        <v>47</v>
      </c>
      <c r="C2239" s="3" t="s">
        <v>48</v>
      </c>
      <c r="D2239" s="3" t="s">
        <v>49</v>
      </c>
      <c r="E2239" s="3" t="s">
        <v>50</v>
      </c>
      <c r="F2239" s="3" t="s">
        <v>27</v>
      </c>
      <c r="G2239" s="3" t="s">
        <v>28</v>
      </c>
      <c r="H2239" s="4">
        <v>46291.900107407397</v>
      </c>
      <c r="I2239" s="4">
        <v>46291.963662268521</v>
      </c>
      <c r="J2239" s="3">
        <f t="shared" si="4"/>
        <v>92</v>
      </c>
      <c r="K2239" s="3" t="s">
        <v>51</v>
      </c>
      <c r="L2239" s="3" t="s">
        <v>52</v>
      </c>
      <c r="M2239" s="3"/>
      <c r="N2239" s="3" t="s">
        <v>23</v>
      </c>
      <c r="O2239" s="3" t="s">
        <v>53</v>
      </c>
    </row>
    <row r="2240" spans="1:15" hidden="1" x14ac:dyDescent="0.75">
      <c r="A2240" s="2">
        <v>46291</v>
      </c>
      <c r="B2240" s="3" t="s">
        <v>1925</v>
      </c>
      <c r="C2240" s="3" t="s">
        <v>1926</v>
      </c>
      <c r="D2240" s="3" t="s">
        <v>264</v>
      </c>
      <c r="E2240" s="3" t="s">
        <v>265</v>
      </c>
      <c r="F2240" s="3"/>
      <c r="G2240" s="3"/>
      <c r="H2240" s="4">
        <v>46291.90134502315</v>
      </c>
      <c r="I2240" s="4">
        <v>46291.999861921293</v>
      </c>
      <c r="J2240" s="3">
        <f t="shared" si="4"/>
        <v>142</v>
      </c>
      <c r="K2240" s="3" t="s">
        <v>461</v>
      </c>
      <c r="L2240" s="3" t="s">
        <v>22</v>
      </c>
      <c r="M2240" s="3" t="s">
        <v>22</v>
      </c>
      <c r="N2240" s="3" t="s">
        <v>2367</v>
      </c>
      <c r="O2240" s="3" t="s">
        <v>462</v>
      </c>
    </row>
    <row r="2241" spans="1:15" hidden="1" x14ac:dyDescent="0.75">
      <c r="A2241" s="2">
        <v>46291</v>
      </c>
      <c r="B2241" s="3" t="s">
        <v>2169</v>
      </c>
      <c r="C2241" s="3" t="s">
        <v>2170</v>
      </c>
      <c r="D2241" s="3" t="s">
        <v>172</v>
      </c>
      <c r="E2241" s="3" t="s">
        <v>173</v>
      </c>
      <c r="F2241" s="3"/>
      <c r="G2241" s="3"/>
      <c r="H2241" s="4">
        <v>46291.904739467587</v>
      </c>
      <c r="I2241" s="4">
        <v>46291.999934259256</v>
      </c>
      <c r="J2241" s="3">
        <f t="shared" si="4"/>
        <v>137</v>
      </c>
      <c r="K2241" s="3" t="s">
        <v>130</v>
      </c>
      <c r="L2241" s="3" t="s">
        <v>36</v>
      </c>
      <c r="M2241" s="3" t="s">
        <v>36</v>
      </c>
      <c r="N2241" s="3" t="s">
        <v>2367</v>
      </c>
      <c r="O2241" s="3" t="s">
        <v>131</v>
      </c>
    </row>
    <row r="2242" spans="1:15" hidden="1" x14ac:dyDescent="0.75">
      <c r="A2242" s="2">
        <v>46291</v>
      </c>
      <c r="B2242" s="3" t="s">
        <v>1879</v>
      </c>
      <c r="C2242" s="3" t="s">
        <v>1880</v>
      </c>
      <c r="D2242" s="3" t="s">
        <v>17</v>
      </c>
      <c r="E2242" s="3" t="s">
        <v>18</v>
      </c>
      <c r="F2242" s="3" t="s">
        <v>106</v>
      </c>
      <c r="G2242" s="3" t="s">
        <v>107</v>
      </c>
      <c r="H2242" s="4">
        <v>46291.909457407397</v>
      </c>
      <c r="I2242" s="4">
        <v>46291.985171759261</v>
      </c>
      <c r="J2242" s="3">
        <f t="shared" ref="J2242:J2305" si="5">ROUND((I2242-H2242)*1440,0)</f>
        <v>109</v>
      </c>
      <c r="K2242" s="3" t="s">
        <v>192</v>
      </c>
      <c r="L2242" s="3" t="s">
        <v>36</v>
      </c>
      <c r="M2242" s="3" t="s">
        <v>36</v>
      </c>
      <c r="N2242" s="3" t="s">
        <v>23</v>
      </c>
      <c r="O2242" s="3" t="s">
        <v>193</v>
      </c>
    </row>
    <row r="2243" spans="1:15" hidden="1" x14ac:dyDescent="0.75">
      <c r="A2243" s="2">
        <v>46291</v>
      </c>
      <c r="B2243" s="3" t="s">
        <v>1971</v>
      </c>
      <c r="C2243" s="3" t="s">
        <v>1972</v>
      </c>
      <c r="D2243" s="3" t="s">
        <v>459</v>
      </c>
      <c r="E2243" s="3" t="s">
        <v>460</v>
      </c>
      <c r="F2243" s="3"/>
      <c r="G2243" s="3"/>
      <c r="H2243" s="4">
        <v>46291.910171527779</v>
      </c>
      <c r="I2243" s="4">
        <v>46291.999842245372</v>
      </c>
      <c r="J2243" s="3">
        <f t="shared" si="5"/>
        <v>129</v>
      </c>
      <c r="K2243" s="3" t="s">
        <v>841</v>
      </c>
      <c r="L2243" s="3" t="s">
        <v>22</v>
      </c>
      <c r="M2243" s="3" t="s">
        <v>22</v>
      </c>
      <c r="N2243" s="3" t="s">
        <v>2367</v>
      </c>
      <c r="O2243" s="3" t="s">
        <v>842</v>
      </c>
    </row>
    <row r="2244" spans="1:15" hidden="1" x14ac:dyDescent="0.75">
      <c r="A2244" s="2">
        <v>46291</v>
      </c>
      <c r="B2244" s="3" t="s">
        <v>1909</v>
      </c>
      <c r="C2244" s="3" t="s">
        <v>1910</v>
      </c>
      <c r="D2244" s="3" t="s">
        <v>17</v>
      </c>
      <c r="E2244" s="3" t="s">
        <v>18</v>
      </c>
      <c r="F2244" s="3"/>
      <c r="G2244" s="3"/>
      <c r="H2244" s="4">
        <v>46291.911035069446</v>
      </c>
      <c r="I2244" s="4">
        <v>46291.999884375</v>
      </c>
      <c r="J2244" s="3">
        <f t="shared" si="5"/>
        <v>128</v>
      </c>
      <c r="K2244" s="3" t="s">
        <v>623</v>
      </c>
      <c r="L2244" s="3" t="s">
        <v>77</v>
      </c>
      <c r="M2244" s="3" t="s">
        <v>78</v>
      </c>
      <c r="N2244" s="3" t="s">
        <v>2367</v>
      </c>
      <c r="O2244" s="3" t="s">
        <v>624</v>
      </c>
    </row>
    <row r="2245" spans="1:15" hidden="1" x14ac:dyDescent="0.75">
      <c r="A2245" s="2">
        <v>46291</v>
      </c>
      <c r="B2245" s="3" t="s">
        <v>1903</v>
      </c>
      <c r="C2245" s="3" t="s">
        <v>1904</v>
      </c>
      <c r="D2245" s="3" t="s">
        <v>148</v>
      </c>
      <c r="E2245" s="3" t="s">
        <v>149</v>
      </c>
      <c r="F2245" s="3" t="s">
        <v>17</v>
      </c>
      <c r="G2245" s="3" t="s">
        <v>18</v>
      </c>
      <c r="H2245" s="4">
        <v>46291.911476041663</v>
      </c>
      <c r="I2245" s="4">
        <v>46291.977131250002</v>
      </c>
      <c r="J2245" s="3">
        <f t="shared" si="5"/>
        <v>95</v>
      </c>
      <c r="K2245" s="3" t="s">
        <v>1617</v>
      </c>
      <c r="L2245" s="3" t="s">
        <v>36</v>
      </c>
      <c r="M2245" s="3" t="s">
        <v>36</v>
      </c>
      <c r="N2245" s="3" t="s">
        <v>23</v>
      </c>
      <c r="O2245" s="3" t="s">
        <v>1618</v>
      </c>
    </row>
    <row r="2246" spans="1:15" hidden="1" x14ac:dyDescent="0.75">
      <c r="A2246" s="2">
        <v>46291</v>
      </c>
      <c r="B2246" s="3" t="s">
        <v>1959</v>
      </c>
      <c r="C2246" s="3" t="s">
        <v>1960</v>
      </c>
      <c r="D2246" s="3" t="s">
        <v>82</v>
      </c>
      <c r="E2246" s="3" t="s">
        <v>83</v>
      </c>
      <c r="F2246" s="3" t="s">
        <v>56</v>
      </c>
      <c r="G2246" s="3" t="s">
        <v>57</v>
      </c>
      <c r="H2246" s="4">
        <v>46291.912045023149</v>
      </c>
      <c r="I2246" s="4">
        <v>46291.937576620367</v>
      </c>
      <c r="J2246" s="3">
        <f t="shared" si="5"/>
        <v>37</v>
      </c>
      <c r="K2246" s="3" t="s">
        <v>1009</v>
      </c>
      <c r="L2246" s="3" t="s">
        <v>36</v>
      </c>
      <c r="M2246" s="3" t="s">
        <v>36</v>
      </c>
      <c r="N2246" s="3" t="s">
        <v>23</v>
      </c>
      <c r="O2246" s="3" t="s">
        <v>1010</v>
      </c>
    </row>
    <row r="2247" spans="1:15" hidden="1" x14ac:dyDescent="0.75">
      <c r="A2247" s="2">
        <v>46291</v>
      </c>
      <c r="B2247" s="3" t="s">
        <v>1437</v>
      </c>
      <c r="C2247" s="3" t="s">
        <v>1438</v>
      </c>
      <c r="D2247" s="3" t="s">
        <v>56</v>
      </c>
      <c r="E2247" s="3" t="s">
        <v>57</v>
      </c>
      <c r="F2247" s="3" t="s">
        <v>683</v>
      </c>
      <c r="G2247" s="3" t="s">
        <v>684</v>
      </c>
      <c r="H2247" s="4">
        <v>46291.912974652783</v>
      </c>
      <c r="I2247" s="4">
        <v>46291.974765509258</v>
      </c>
      <c r="J2247" s="3">
        <f t="shared" si="5"/>
        <v>89</v>
      </c>
      <c r="K2247" s="3" t="s">
        <v>1715</v>
      </c>
      <c r="L2247" s="3" t="s">
        <v>36</v>
      </c>
      <c r="M2247" s="3" t="s">
        <v>36</v>
      </c>
      <c r="N2247" s="3" t="s">
        <v>23</v>
      </c>
      <c r="O2247" s="3" t="s">
        <v>1716</v>
      </c>
    </row>
    <row r="2248" spans="1:15" hidden="1" x14ac:dyDescent="0.75">
      <c r="A2248" s="2">
        <v>46291</v>
      </c>
      <c r="B2248" s="3" t="s">
        <v>1927</v>
      </c>
      <c r="C2248" s="3" t="s">
        <v>1928</v>
      </c>
      <c r="D2248" s="3" t="s">
        <v>17</v>
      </c>
      <c r="E2248" s="3" t="s">
        <v>18</v>
      </c>
      <c r="F2248" s="3"/>
      <c r="G2248" s="3"/>
      <c r="H2248" s="4">
        <v>46291.915717361109</v>
      </c>
      <c r="I2248" s="4">
        <v>46291.999995486112</v>
      </c>
      <c r="J2248" s="3">
        <f t="shared" si="5"/>
        <v>121</v>
      </c>
      <c r="K2248" s="3" t="s">
        <v>418</v>
      </c>
      <c r="L2248" s="3" t="s">
        <v>36</v>
      </c>
      <c r="M2248" s="3" t="s">
        <v>36</v>
      </c>
      <c r="N2248" s="3" t="s">
        <v>2367</v>
      </c>
      <c r="O2248" s="3" t="s">
        <v>419</v>
      </c>
    </row>
    <row r="2249" spans="1:15" hidden="1" x14ac:dyDescent="0.75">
      <c r="A2249" s="2">
        <v>46291</v>
      </c>
      <c r="B2249" s="3" t="s">
        <v>1883</v>
      </c>
      <c r="C2249" s="3" t="s">
        <v>1884</v>
      </c>
      <c r="D2249" s="3" t="s">
        <v>122</v>
      </c>
      <c r="E2249" s="3" t="s">
        <v>123</v>
      </c>
      <c r="F2249" s="3"/>
      <c r="G2249" s="3"/>
      <c r="H2249" s="4">
        <v>46291.916128703713</v>
      </c>
      <c r="I2249" s="4">
        <v>46291.999781712962</v>
      </c>
      <c r="J2249" s="3">
        <f t="shared" si="5"/>
        <v>120</v>
      </c>
      <c r="K2249" s="3" t="s">
        <v>769</v>
      </c>
      <c r="L2249" s="3" t="s">
        <v>43</v>
      </c>
      <c r="M2249" s="3" t="s">
        <v>44</v>
      </c>
      <c r="N2249" s="3" t="s">
        <v>2367</v>
      </c>
      <c r="O2249" s="3" t="s">
        <v>770</v>
      </c>
    </row>
    <row r="2250" spans="1:15" hidden="1" x14ac:dyDescent="0.75">
      <c r="A2250" s="2">
        <v>46291</v>
      </c>
      <c r="B2250" s="3" t="s">
        <v>1887</v>
      </c>
      <c r="C2250" s="3" t="s">
        <v>1888</v>
      </c>
      <c r="D2250" s="3" t="s">
        <v>82</v>
      </c>
      <c r="E2250" s="3" t="s">
        <v>83</v>
      </c>
      <c r="F2250" s="3"/>
      <c r="G2250" s="3"/>
      <c r="H2250" s="4">
        <v>46291.918140972222</v>
      </c>
      <c r="I2250" s="4">
        <v>46291.999966319447</v>
      </c>
      <c r="J2250" s="3">
        <f t="shared" si="5"/>
        <v>118</v>
      </c>
      <c r="K2250" s="3" t="s">
        <v>1399</v>
      </c>
      <c r="L2250" s="3" t="s">
        <v>43</v>
      </c>
      <c r="M2250" s="3" t="s">
        <v>44</v>
      </c>
      <c r="N2250" s="3" t="s">
        <v>2367</v>
      </c>
      <c r="O2250" s="3" t="s">
        <v>1400</v>
      </c>
    </row>
    <row r="2251" spans="1:15" hidden="1" x14ac:dyDescent="0.75">
      <c r="A2251" s="2">
        <v>46291</v>
      </c>
      <c r="B2251" s="3" t="s">
        <v>2422</v>
      </c>
      <c r="C2251" s="3" t="s">
        <v>2423</v>
      </c>
      <c r="D2251" s="3" t="s">
        <v>2287</v>
      </c>
      <c r="E2251" s="3" t="s">
        <v>2288</v>
      </c>
      <c r="F2251" s="3" t="s">
        <v>2219</v>
      </c>
      <c r="G2251" s="3" t="s">
        <v>2220</v>
      </c>
      <c r="H2251" s="4">
        <v>46291.919355902777</v>
      </c>
      <c r="I2251" s="4">
        <v>46291.952966087963</v>
      </c>
      <c r="J2251" s="3">
        <f t="shared" si="5"/>
        <v>48</v>
      </c>
      <c r="K2251" s="3" t="s">
        <v>1049</v>
      </c>
      <c r="L2251" s="3" t="s">
        <v>22</v>
      </c>
      <c r="M2251" s="3" t="s">
        <v>22</v>
      </c>
      <c r="N2251" s="3" t="s">
        <v>23</v>
      </c>
      <c r="O2251" s="3" t="s">
        <v>1050</v>
      </c>
    </row>
    <row r="2252" spans="1:15" hidden="1" x14ac:dyDescent="0.75">
      <c r="A2252" s="2">
        <v>46291</v>
      </c>
      <c r="B2252" s="3" t="s">
        <v>2013</v>
      </c>
      <c r="C2252" s="3" t="s">
        <v>2014</v>
      </c>
      <c r="D2252" s="3" t="s">
        <v>94</v>
      </c>
      <c r="E2252" s="3" t="s">
        <v>95</v>
      </c>
      <c r="F2252" s="3" t="s">
        <v>27</v>
      </c>
      <c r="G2252" s="3" t="s">
        <v>28</v>
      </c>
      <c r="H2252" s="4">
        <v>46291.920519097221</v>
      </c>
      <c r="I2252" s="4">
        <v>46291.997420486106</v>
      </c>
      <c r="J2252" s="3">
        <f t="shared" si="5"/>
        <v>111</v>
      </c>
      <c r="K2252" s="3" t="s">
        <v>1015</v>
      </c>
      <c r="L2252" s="3" t="s">
        <v>77</v>
      </c>
      <c r="M2252" s="3" t="s">
        <v>78</v>
      </c>
      <c r="N2252" s="3" t="s">
        <v>23</v>
      </c>
      <c r="O2252" s="3" t="s">
        <v>1016</v>
      </c>
    </row>
    <row r="2253" spans="1:15" hidden="1" x14ac:dyDescent="0.75">
      <c r="A2253" s="2">
        <v>46291</v>
      </c>
      <c r="B2253" s="3" t="s">
        <v>1943</v>
      </c>
      <c r="C2253" s="3" t="s">
        <v>1944</v>
      </c>
      <c r="D2253" s="3" t="s">
        <v>122</v>
      </c>
      <c r="E2253" s="3" t="s">
        <v>123</v>
      </c>
      <c r="F2253" s="3"/>
      <c r="G2253" s="3"/>
      <c r="H2253" s="4">
        <v>46291.921859259259</v>
      </c>
      <c r="I2253" s="4">
        <v>46291.999892361113</v>
      </c>
      <c r="J2253" s="3">
        <f t="shared" si="5"/>
        <v>112</v>
      </c>
      <c r="K2253" s="3" t="s">
        <v>677</v>
      </c>
      <c r="L2253" s="3" t="s">
        <v>22</v>
      </c>
      <c r="M2253" s="3" t="s">
        <v>22</v>
      </c>
      <c r="N2253" s="3" t="s">
        <v>2367</v>
      </c>
      <c r="O2253" s="3" t="s">
        <v>678</v>
      </c>
    </row>
    <row r="2254" spans="1:15" hidden="1" x14ac:dyDescent="0.75">
      <c r="A2254" s="2">
        <v>46291</v>
      </c>
      <c r="B2254" s="3" t="s">
        <v>1863</v>
      </c>
      <c r="C2254" s="3" t="s">
        <v>1864</v>
      </c>
      <c r="D2254" s="3" t="s">
        <v>1195</v>
      </c>
      <c r="E2254" s="3" t="s">
        <v>1196</v>
      </c>
      <c r="F2254" s="3"/>
      <c r="G2254" s="3"/>
      <c r="H2254" s="4">
        <v>46291.922324421299</v>
      </c>
      <c r="I2254" s="4">
        <v>46291.999824537037</v>
      </c>
      <c r="J2254" s="3">
        <f t="shared" si="5"/>
        <v>112</v>
      </c>
      <c r="K2254" s="3" t="s">
        <v>2339</v>
      </c>
      <c r="L2254" s="3" t="s">
        <v>36</v>
      </c>
      <c r="M2254" s="3" t="s">
        <v>36</v>
      </c>
      <c r="N2254" s="3" t="s">
        <v>2367</v>
      </c>
      <c r="O2254" s="3" t="s">
        <v>2340</v>
      </c>
    </row>
    <row r="2255" spans="1:15" hidden="1" x14ac:dyDescent="0.75">
      <c r="A2255" s="2">
        <v>46291</v>
      </c>
      <c r="B2255" s="3" t="s">
        <v>1957</v>
      </c>
      <c r="C2255" s="3" t="s">
        <v>1958</v>
      </c>
      <c r="D2255" s="3" t="s">
        <v>615</v>
      </c>
      <c r="E2255" s="3" t="s">
        <v>616</v>
      </c>
      <c r="F2255" s="3"/>
      <c r="G2255" s="3"/>
      <c r="H2255" s="4">
        <v>46291.923378356492</v>
      </c>
      <c r="I2255" s="4">
        <v>46291.932130092588</v>
      </c>
      <c r="J2255" s="3">
        <f t="shared" si="5"/>
        <v>13</v>
      </c>
      <c r="K2255" s="3" t="s">
        <v>935</v>
      </c>
      <c r="L2255" s="3" t="s">
        <v>36</v>
      </c>
      <c r="M2255" s="3" t="s">
        <v>36</v>
      </c>
      <c r="N2255" s="3" t="s">
        <v>443</v>
      </c>
      <c r="O2255" s="3" t="s">
        <v>936</v>
      </c>
    </row>
    <row r="2256" spans="1:15" hidden="1" x14ac:dyDescent="0.75">
      <c r="A2256" s="2">
        <v>46291</v>
      </c>
      <c r="B2256" s="3" t="s">
        <v>2019</v>
      </c>
      <c r="C2256" s="3" t="s">
        <v>2020</v>
      </c>
      <c r="D2256" s="3" t="s">
        <v>68</v>
      </c>
      <c r="E2256" s="3" t="s">
        <v>69</v>
      </c>
      <c r="F2256" s="3"/>
      <c r="G2256" s="3"/>
      <c r="H2256" s="4">
        <v>46291.923983217603</v>
      </c>
      <c r="I2256" s="4">
        <v>46291.999914351851</v>
      </c>
      <c r="J2256" s="3">
        <f t="shared" si="5"/>
        <v>109</v>
      </c>
      <c r="K2256" s="3" t="s">
        <v>1873</v>
      </c>
      <c r="L2256" s="3" t="s">
        <v>36</v>
      </c>
      <c r="M2256" s="3" t="s">
        <v>36</v>
      </c>
      <c r="N2256" s="3" t="s">
        <v>2367</v>
      </c>
      <c r="O2256" s="3" t="s">
        <v>1874</v>
      </c>
    </row>
    <row r="2257" spans="1:15" hidden="1" x14ac:dyDescent="0.75">
      <c r="A2257" s="2">
        <v>46291</v>
      </c>
      <c r="B2257" s="3" t="s">
        <v>1999</v>
      </c>
      <c r="C2257" s="3" t="s">
        <v>2000</v>
      </c>
      <c r="D2257" s="3" t="s">
        <v>270</v>
      </c>
      <c r="E2257" s="3" t="s">
        <v>271</v>
      </c>
      <c r="F2257" s="3"/>
      <c r="G2257" s="3"/>
      <c r="H2257" s="4">
        <v>46291.923992129632</v>
      </c>
      <c r="I2257" s="4">
        <v>46291.999959606481</v>
      </c>
      <c r="J2257" s="3">
        <f t="shared" si="5"/>
        <v>109</v>
      </c>
      <c r="K2257" s="3" t="s">
        <v>60</v>
      </c>
      <c r="L2257" s="3" t="s">
        <v>36</v>
      </c>
      <c r="M2257" s="3" t="s">
        <v>36</v>
      </c>
      <c r="N2257" s="3" t="s">
        <v>2367</v>
      </c>
      <c r="O2257" s="3" t="s">
        <v>61</v>
      </c>
    </row>
    <row r="2258" spans="1:15" hidden="1" x14ac:dyDescent="0.75">
      <c r="A2258" s="2">
        <v>46291</v>
      </c>
      <c r="B2258" s="3" t="s">
        <v>1955</v>
      </c>
      <c r="C2258" s="3" t="s">
        <v>1956</v>
      </c>
      <c r="D2258" s="3"/>
      <c r="E2258" s="3"/>
      <c r="F2258" s="3" t="s">
        <v>56</v>
      </c>
      <c r="G2258" s="3" t="s">
        <v>57</v>
      </c>
      <c r="H2258" s="4">
        <v>46291.924244097223</v>
      </c>
      <c r="I2258" s="4">
        <v>46291.944474305557</v>
      </c>
      <c r="J2258" s="3">
        <f t="shared" si="5"/>
        <v>29</v>
      </c>
      <c r="K2258" s="3" t="s">
        <v>793</v>
      </c>
      <c r="L2258" s="3" t="s">
        <v>77</v>
      </c>
      <c r="M2258" s="3" t="s">
        <v>78</v>
      </c>
      <c r="N2258" s="3" t="s">
        <v>23</v>
      </c>
      <c r="O2258" s="3" t="s">
        <v>794</v>
      </c>
    </row>
    <row r="2259" spans="1:15" hidden="1" x14ac:dyDescent="0.75">
      <c r="A2259" s="2">
        <v>46291</v>
      </c>
      <c r="B2259" s="3" t="s">
        <v>1935</v>
      </c>
      <c r="C2259" s="3" t="s">
        <v>1936</v>
      </c>
      <c r="D2259" s="3" t="s">
        <v>82</v>
      </c>
      <c r="E2259" s="3" t="s">
        <v>83</v>
      </c>
      <c r="F2259" s="3"/>
      <c r="G2259" s="3"/>
      <c r="H2259" s="4">
        <v>46291.924978935182</v>
      </c>
      <c r="I2259" s="4">
        <v>46291.999893518521</v>
      </c>
      <c r="J2259" s="3">
        <f t="shared" si="5"/>
        <v>108</v>
      </c>
      <c r="K2259" s="3" t="s">
        <v>697</v>
      </c>
      <c r="L2259" s="3" t="s">
        <v>77</v>
      </c>
      <c r="M2259" s="3" t="s">
        <v>78</v>
      </c>
      <c r="N2259" s="3" t="s">
        <v>2367</v>
      </c>
      <c r="O2259" s="3" t="s">
        <v>698</v>
      </c>
    </row>
    <row r="2260" spans="1:15" hidden="1" x14ac:dyDescent="0.75">
      <c r="A2260" s="2">
        <v>46291</v>
      </c>
      <c r="B2260" s="3" t="s">
        <v>1983</v>
      </c>
      <c r="C2260" s="3" t="s">
        <v>1984</v>
      </c>
      <c r="D2260" s="3" t="s">
        <v>17</v>
      </c>
      <c r="E2260" s="3" t="s">
        <v>18</v>
      </c>
      <c r="F2260" s="3" t="s">
        <v>737</v>
      </c>
      <c r="G2260" s="3" t="s">
        <v>738</v>
      </c>
      <c r="H2260" s="4">
        <v>46291.925836805553</v>
      </c>
      <c r="I2260" s="4">
        <v>46291.962223032409</v>
      </c>
      <c r="J2260" s="3">
        <f t="shared" si="5"/>
        <v>52</v>
      </c>
      <c r="K2260" s="3" t="s">
        <v>553</v>
      </c>
      <c r="L2260" s="3" t="s">
        <v>77</v>
      </c>
      <c r="M2260" s="3" t="s">
        <v>78</v>
      </c>
      <c r="N2260" s="3" t="s">
        <v>45</v>
      </c>
      <c r="O2260" s="3" t="s">
        <v>554</v>
      </c>
    </row>
    <row r="2261" spans="1:15" hidden="1" x14ac:dyDescent="0.75">
      <c r="A2261" s="2">
        <v>46291</v>
      </c>
      <c r="B2261" s="3" t="s">
        <v>1993</v>
      </c>
      <c r="C2261" s="3" t="s">
        <v>1994</v>
      </c>
      <c r="D2261" s="3" t="s">
        <v>1113</v>
      </c>
      <c r="E2261" s="3" t="s">
        <v>1114</v>
      </c>
      <c r="F2261" s="3"/>
      <c r="G2261" s="3"/>
      <c r="H2261" s="4">
        <v>46291.926314236109</v>
      </c>
      <c r="I2261" s="4">
        <v>46291.999969212957</v>
      </c>
      <c r="J2261" s="3">
        <f t="shared" si="5"/>
        <v>106</v>
      </c>
      <c r="K2261" s="3" t="s">
        <v>296</v>
      </c>
      <c r="L2261" s="3" t="s">
        <v>77</v>
      </c>
      <c r="M2261" s="3" t="s">
        <v>78</v>
      </c>
      <c r="N2261" s="3" t="s">
        <v>2367</v>
      </c>
      <c r="O2261" s="3" t="s">
        <v>297</v>
      </c>
    </row>
    <row r="2262" spans="1:15" hidden="1" x14ac:dyDescent="0.75">
      <c r="A2262" s="2">
        <v>46291</v>
      </c>
      <c r="B2262" s="3" t="s">
        <v>2023</v>
      </c>
      <c r="C2262" s="3" t="s">
        <v>2024</v>
      </c>
      <c r="D2262" s="3" t="s">
        <v>158</v>
      </c>
      <c r="E2262" s="3" t="s">
        <v>159</v>
      </c>
      <c r="F2262" s="3"/>
      <c r="G2262" s="3"/>
      <c r="H2262" s="4">
        <v>46291.9299181713</v>
      </c>
      <c r="I2262" s="4">
        <v>46291.999993055557</v>
      </c>
      <c r="J2262" s="3">
        <f t="shared" si="5"/>
        <v>101</v>
      </c>
      <c r="K2262" s="3" t="s">
        <v>1735</v>
      </c>
      <c r="L2262" s="3" t="s">
        <v>77</v>
      </c>
      <c r="M2262" s="3" t="s">
        <v>78</v>
      </c>
      <c r="N2262" s="3" t="s">
        <v>2367</v>
      </c>
      <c r="O2262" s="3" t="s">
        <v>1736</v>
      </c>
    </row>
    <row r="2263" spans="1:15" hidden="1" x14ac:dyDescent="0.75">
      <c r="A2263" s="2">
        <v>46291</v>
      </c>
      <c r="B2263" s="3" t="s">
        <v>1725</v>
      </c>
      <c r="C2263" s="3" t="s">
        <v>1726</v>
      </c>
      <c r="D2263" s="3" t="s">
        <v>27</v>
      </c>
      <c r="E2263" s="3" t="s">
        <v>28</v>
      </c>
      <c r="F2263" s="3"/>
      <c r="G2263" s="3"/>
      <c r="H2263" s="4">
        <v>46291.93091354167</v>
      </c>
      <c r="I2263" s="4">
        <v>46291.99999733796</v>
      </c>
      <c r="J2263" s="3">
        <f t="shared" si="5"/>
        <v>99</v>
      </c>
      <c r="K2263" s="3" t="s">
        <v>807</v>
      </c>
      <c r="L2263" s="3" t="s">
        <v>77</v>
      </c>
      <c r="M2263" s="3" t="s">
        <v>78</v>
      </c>
      <c r="N2263" s="3" t="s">
        <v>2367</v>
      </c>
      <c r="O2263" s="3" t="s">
        <v>808</v>
      </c>
    </row>
    <row r="2264" spans="1:15" hidden="1" x14ac:dyDescent="0.75">
      <c r="A2264" s="2">
        <v>46291</v>
      </c>
      <c r="B2264" s="3" t="s">
        <v>1849</v>
      </c>
      <c r="C2264" s="3" t="s">
        <v>1850</v>
      </c>
      <c r="D2264" s="3"/>
      <c r="E2264" s="3"/>
      <c r="F2264" s="3"/>
      <c r="G2264" s="3"/>
      <c r="H2264" s="4">
        <v>46291.931217013887</v>
      </c>
      <c r="I2264" s="4">
        <v>46291.999965393523</v>
      </c>
      <c r="J2264" s="3">
        <f t="shared" si="5"/>
        <v>99</v>
      </c>
      <c r="K2264" s="3" t="s">
        <v>1129</v>
      </c>
      <c r="L2264" s="3" t="s">
        <v>22</v>
      </c>
      <c r="M2264" s="3" t="s">
        <v>22</v>
      </c>
      <c r="N2264" s="3" t="s">
        <v>2367</v>
      </c>
      <c r="O2264" s="3" t="s">
        <v>1130</v>
      </c>
    </row>
    <row r="2265" spans="1:15" hidden="1" x14ac:dyDescent="0.75">
      <c r="A2265" s="2">
        <v>46291</v>
      </c>
      <c r="B2265" s="3" t="s">
        <v>1977</v>
      </c>
      <c r="C2265" s="3" t="s">
        <v>1978</v>
      </c>
      <c r="D2265" s="3" t="s">
        <v>27</v>
      </c>
      <c r="E2265" s="3" t="s">
        <v>28</v>
      </c>
      <c r="F2265" s="3"/>
      <c r="G2265" s="3"/>
      <c r="H2265" s="4">
        <v>46291.932547337958</v>
      </c>
      <c r="I2265" s="4">
        <v>46291.999967129632</v>
      </c>
      <c r="J2265" s="3">
        <f t="shared" si="5"/>
        <v>97</v>
      </c>
      <c r="K2265" s="3" t="s">
        <v>581</v>
      </c>
      <c r="L2265" s="3" t="s">
        <v>22</v>
      </c>
      <c r="M2265" s="3" t="s">
        <v>22</v>
      </c>
      <c r="N2265" s="3" t="s">
        <v>2367</v>
      </c>
      <c r="O2265" s="3" t="s">
        <v>582</v>
      </c>
    </row>
    <row r="2266" spans="1:15" hidden="1" x14ac:dyDescent="0.75">
      <c r="A2266" s="2">
        <v>46291</v>
      </c>
      <c r="B2266" s="3" t="s">
        <v>2033</v>
      </c>
      <c r="C2266" s="3" t="s">
        <v>2034</v>
      </c>
      <c r="D2266" s="3" t="s">
        <v>208</v>
      </c>
      <c r="E2266" s="3" t="s">
        <v>209</v>
      </c>
      <c r="F2266" s="3"/>
      <c r="G2266" s="3"/>
      <c r="H2266" s="4">
        <v>46291.933909722233</v>
      </c>
      <c r="I2266" s="4">
        <v>46291.999822337973</v>
      </c>
      <c r="J2266" s="3">
        <f t="shared" si="5"/>
        <v>95</v>
      </c>
      <c r="K2266" s="3" t="s">
        <v>2215</v>
      </c>
      <c r="L2266" s="3" t="s">
        <v>36</v>
      </c>
      <c r="M2266" s="3" t="s">
        <v>36</v>
      </c>
      <c r="N2266" s="3" t="s">
        <v>2367</v>
      </c>
      <c r="O2266" s="3" t="s">
        <v>2216</v>
      </c>
    </row>
    <row r="2267" spans="1:15" hidden="1" x14ac:dyDescent="0.75">
      <c r="A2267" s="2">
        <v>46291</v>
      </c>
      <c r="B2267" s="3" t="s">
        <v>2017</v>
      </c>
      <c r="C2267" s="3" t="s">
        <v>2018</v>
      </c>
      <c r="D2267" s="3" t="s">
        <v>27</v>
      </c>
      <c r="E2267" s="3" t="s">
        <v>28</v>
      </c>
      <c r="F2267" s="3" t="s">
        <v>158</v>
      </c>
      <c r="G2267" s="3" t="s">
        <v>159</v>
      </c>
      <c r="H2267" s="4">
        <v>46291.939670949083</v>
      </c>
      <c r="I2267" s="4">
        <v>46291.986962268522</v>
      </c>
      <c r="J2267" s="3">
        <f t="shared" si="5"/>
        <v>68</v>
      </c>
      <c r="K2267" s="3" t="s">
        <v>783</v>
      </c>
      <c r="L2267" s="3" t="s">
        <v>77</v>
      </c>
      <c r="M2267" s="3" t="s">
        <v>78</v>
      </c>
      <c r="N2267" s="3" t="s">
        <v>23</v>
      </c>
      <c r="O2267" s="3" t="s">
        <v>784</v>
      </c>
    </row>
    <row r="2268" spans="1:15" hidden="1" x14ac:dyDescent="0.75">
      <c r="A2268" s="2">
        <v>46291</v>
      </c>
      <c r="B2268" s="3" t="s">
        <v>2027</v>
      </c>
      <c r="C2268" s="3" t="s">
        <v>2028</v>
      </c>
      <c r="D2268" s="3" t="s">
        <v>158</v>
      </c>
      <c r="E2268" s="3" t="s">
        <v>159</v>
      </c>
      <c r="F2268" s="3"/>
      <c r="G2268" s="3"/>
      <c r="H2268" s="4">
        <v>46291.939907870372</v>
      </c>
      <c r="I2268" s="4">
        <v>46291.999922453702</v>
      </c>
      <c r="J2268" s="3">
        <f t="shared" si="5"/>
        <v>86</v>
      </c>
      <c r="K2268" s="3" t="s">
        <v>1571</v>
      </c>
      <c r="L2268" s="3" t="s">
        <v>36</v>
      </c>
      <c r="M2268" s="3" t="s">
        <v>36</v>
      </c>
      <c r="N2268" s="3" t="s">
        <v>2367</v>
      </c>
      <c r="O2268" s="3" t="s">
        <v>1572</v>
      </c>
    </row>
    <row r="2269" spans="1:15" hidden="1" x14ac:dyDescent="0.75">
      <c r="A2269" s="2">
        <v>46291</v>
      </c>
      <c r="B2269" s="3" t="s">
        <v>2029</v>
      </c>
      <c r="C2269" s="3" t="s">
        <v>2030</v>
      </c>
      <c r="D2269" s="3" t="s">
        <v>17</v>
      </c>
      <c r="E2269" s="3" t="s">
        <v>18</v>
      </c>
      <c r="F2269" s="3"/>
      <c r="G2269" s="3"/>
      <c r="H2269" s="4">
        <v>46291.940278703703</v>
      </c>
      <c r="I2269" s="4">
        <v>46291.998443634257</v>
      </c>
      <c r="J2269" s="3">
        <f t="shared" si="5"/>
        <v>84</v>
      </c>
      <c r="K2269" s="3" t="s">
        <v>765</v>
      </c>
      <c r="L2269" s="3" t="s">
        <v>43</v>
      </c>
      <c r="M2269" s="3" t="s">
        <v>44</v>
      </c>
      <c r="N2269" s="3" t="s">
        <v>2367</v>
      </c>
      <c r="O2269" s="3" t="s">
        <v>766</v>
      </c>
    </row>
    <row r="2270" spans="1:15" hidden="1" x14ac:dyDescent="0.75">
      <c r="A2270" s="2">
        <v>46291</v>
      </c>
      <c r="B2270" s="3" t="s">
        <v>1969</v>
      </c>
      <c r="C2270" s="3" t="s">
        <v>1970</v>
      </c>
      <c r="D2270" s="3"/>
      <c r="E2270" s="3"/>
      <c r="F2270" s="3" t="s">
        <v>17</v>
      </c>
      <c r="G2270" s="3" t="s">
        <v>18</v>
      </c>
      <c r="H2270" s="4">
        <v>46291.941727777783</v>
      </c>
      <c r="I2270" s="4">
        <v>46291.994239699066</v>
      </c>
      <c r="J2270" s="3">
        <f t="shared" si="5"/>
        <v>76</v>
      </c>
      <c r="K2270" s="3" t="s">
        <v>607</v>
      </c>
      <c r="L2270" s="3" t="s">
        <v>22</v>
      </c>
      <c r="M2270" s="3" t="s">
        <v>22</v>
      </c>
      <c r="N2270" s="3" t="s">
        <v>23</v>
      </c>
      <c r="O2270" s="3" t="s">
        <v>608</v>
      </c>
    </row>
    <row r="2271" spans="1:15" hidden="1" x14ac:dyDescent="0.75">
      <c r="A2271" s="2">
        <v>46291</v>
      </c>
      <c r="B2271" s="3" t="s">
        <v>2327</v>
      </c>
      <c r="C2271" s="3" t="s">
        <v>2328</v>
      </c>
      <c r="D2271" s="3"/>
      <c r="E2271" s="3"/>
      <c r="F2271" s="3"/>
      <c r="G2271" s="3"/>
      <c r="H2271" s="4">
        <v>46291.942483680563</v>
      </c>
      <c r="I2271" s="4">
        <v>46291.99990185185</v>
      </c>
      <c r="J2271" s="3">
        <f t="shared" si="5"/>
        <v>83</v>
      </c>
      <c r="K2271" s="3" t="s">
        <v>519</v>
      </c>
      <c r="L2271" s="3" t="s">
        <v>22</v>
      </c>
      <c r="M2271" s="3" t="s">
        <v>22</v>
      </c>
      <c r="N2271" s="3" t="s">
        <v>2367</v>
      </c>
      <c r="O2271" s="3" t="s">
        <v>520</v>
      </c>
    </row>
    <row r="2272" spans="1:15" hidden="1" x14ac:dyDescent="0.75">
      <c r="A2272" s="2">
        <v>46291</v>
      </c>
      <c r="B2272" s="3" t="s">
        <v>2093</v>
      </c>
      <c r="C2272" s="3" t="s">
        <v>2094</v>
      </c>
      <c r="D2272" s="3" t="s">
        <v>82</v>
      </c>
      <c r="E2272" s="3" t="s">
        <v>83</v>
      </c>
      <c r="F2272" s="3"/>
      <c r="G2272" s="3"/>
      <c r="H2272" s="4">
        <v>46291.944524652783</v>
      </c>
      <c r="I2272" s="4">
        <v>46291.999868287043</v>
      </c>
      <c r="J2272" s="3">
        <f t="shared" si="5"/>
        <v>80</v>
      </c>
      <c r="K2272" s="3" t="s">
        <v>2185</v>
      </c>
      <c r="L2272" s="3" t="s">
        <v>43</v>
      </c>
      <c r="M2272" s="3" t="s">
        <v>44</v>
      </c>
      <c r="N2272" s="3" t="s">
        <v>2367</v>
      </c>
      <c r="O2272" s="3" t="s">
        <v>2186</v>
      </c>
    </row>
    <row r="2273" spans="1:15" hidden="1" x14ac:dyDescent="0.75">
      <c r="A2273" s="2">
        <v>46291</v>
      </c>
      <c r="B2273" s="3" t="s">
        <v>2009</v>
      </c>
      <c r="C2273" s="3" t="s">
        <v>2010</v>
      </c>
      <c r="D2273" s="3" t="s">
        <v>17</v>
      </c>
      <c r="E2273" s="3" t="s">
        <v>18</v>
      </c>
      <c r="F2273" s="3"/>
      <c r="G2273" s="3"/>
      <c r="H2273" s="4">
        <v>46291.944964814807</v>
      </c>
      <c r="I2273" s="4">
        <v>46291.999837731477</v>
      </c>
      <c r="J2273" s="3">
        <f t="shared" si="5"/>
        <v>79</v>
      </c>
      <c r="K2273" s="3" t="s">
        <v>2209</v>
      </c>
      <c r="L2273" s="3" t="s">
        <v>22</v>
      </c>
      <c r="M2273" s="3" t="s">
        <v>22</v>
      </c>
      <c r="N2273" s="3" t="s">
        <v>2367</v>
      </c>
      <c r="O2273" s="3" t="s">
        <v>2210</v>
      </c>
    </row>
    <row r="2274" spans="1:15" hidden="1" x14ac:dyDescent="0.75">
      <c r="A2274" s="2">
        <v>46291</v>
      </c>
      <c r="B2274" s="3" t="s">
        <v>2237</v>
      </c>
      <c r="C2274" s="3" t="s">
        <v>2238</v>
      </c>
      <c r="D2274" s="3" t="s">
        <v>1367</v>
      </c>
      <c r="E2274" s="3" t="s">
        <v>1368</v>
      </c>
      <c r="F2274" s="3"/>
      <c r="G2274" s="3"/>
      <c r="H2274" s="4">
        <v>46291.94515162037</v>
      </c>
      <c r="I2274" s="4">
        <v>46291.999857407412</v>
      </c>
      <c r="J2274" s="3">
        <f t="shared" si="5"/>
        <v>79</v>
      </c>
      <c r="K2274" s="3" t="s">
        <v>1369</v>
      </c>
      <c r="L2274" s="3" t="s">
        <v>36</v>
      </c>
      <c r="M2274" s="3" t="s">
        <v>36</v>
      </c>
      <c r="N2274" s="3" t="s">
        <v>2367</v>
      </c>
      <c r="O2274" s="3" t="s">
        <v>1370</v>
      </c>
    </row>
    <row r="2275" spans="1:15" hidden="1" x14ac:dyDescent="0.75">
      <c r="A2275" s="2">
        <v>46291</v>
      </c>
      <c r="B2275" s="3" t="s">
        <v>1995</v>
      </c>
      <c r="C2275" s="3" t="s">
        <v>1996</v>
      </c>
      <c r="D2275" s="3" t="s">
        <v>17</v>
      </c>
      <c r="E2275" s="3" t="s">
        <v>18</v>
      </c>
      <c r="F2275" s="3"/>
      <c r="G2275" s="3"/>
      <c r="H2275" s="4">
        <v>46291.946476504629</v>
      </c>
      <c r="I2275" s="4">
        <v>46291.99980636574</v>
      </c>
      <c r="J2275" s="3">
        <f t="shared" si="5"/>
        <v>77</v>
      </c>
      <c r="K2275" s="3" t="s">
        <v>214</v>
      </c>
      <c r="L2275" s="3" t="s">
        <v>77</v>
      </c>
      <c r="M2275" s="3" t="s">
        <v>78</v>
      </c>
      <c r="N2275" s="3" t="s">
        <v>2367</v>
      </c>
      <c r="O2275" s="3" t="s">
        <v>215</v>
      </c>
    </row>
    <row r="2276" spans="1:15" hidden="1" x14ac:dyDescent="0.75">
      <c r="A2276" s="2">
        <v>46291</v>
      </c>
      <c r="B2276" s="3" t="s">
        <v>1923</v>
      </c>
      <c r="C2276" s="3" t="s">
        <v>1924</v>
      </c>
      <c r="D2276" s="3"/>
      <c r="E2276" s="3"/>
      <c r="F2276" s="3" t="s">
        <v>17</v>
      </c>
      <c r="G2276" s="3" t="s">
        <v>18</v>
      </c>
      <c r="H2276" s="4">
        <v>46291.947329282397</v>
      </c>
      <c r="I2276" s="4">
        <v>46291.995890046303</v>
      </c>
      <c r="J2276" s="3">
        <f t="shared" si="5"/>
        <v>70</v>
      </c>
      <c r="K2276" s="3" t="s">
        <v>1143</v>
      </c>
      <c r="L2276" s="3" t="s">
        <v>22</v>
      </c>
      <c r="M2276" s="3" t="s">
        <v>22</v>
      </c>
      <c r="N2276" s="3" t="s">
        <v>23</v>
      </c>
      <c r="O2276" s="3" t="s">
        <v>1144</v>
      </c>
    </row>
    <row r="2277" spans="1:15" hidden="1" x14ac:dyDescent="0.75">
      <c r="A2277" s="2">
        <v>46291</v>
      </c>
      <c r="B2277" s="3" t="s">
        <v>2139</v>
      </c>
      <c r="C2277" s="3" t="s">
        <v>2140</v>
      </c>
      <c r="D2277" s="3" t="s">
        <v>27</v>
      </c>
      <c r="E2277" s="3" t="s">
        <v>28</v>
      </c>
      <c r="F2277" s="3"/>
      <c r="G2277" s="3"/>
      <c r="H2277" s="4">
        <v>46291.947344675929</v>
      </c>
      <c r="I2277" s="4">
        <v>46291.999996990737</v>
      </c>
      <c r="J2277" s="3">
        <f t="shared" si="5"/>
        <v>76</v>
      </c>
      <c r="K2277" s="3" t="s">
        <v>2263</v>
      </c>
      <c r="L2277" s="3" t="s">
        <v>77</v>
      </c>
      <c r="M2277" s="3" t="s">
        <v>78</v>
      </c>
      <c r="N2277" s="3" t="s">
        <v>2367</v>
      </c>
      <c r="O2277" s="3" t="s">
        <v>2264</v>
      </c>
    </row>
    <row r="2278" spans="1:15" hidden="1" x14ac:dyDescent="0.75">
      <c r="A2278" s="2">
        <v>46291</v>
      </c>
      <c r="B2278" s="3" t="s">
        <v>2025</v>
      </c>
      <c r="C2278" s="3" t="s">
        <v>2026</v>
      </c>
      <c r="D2278" s="3" t="s">
        <v>196</v>
      </c>
      <c r="E2278" s="3" t="s">
        <v>197</v>
      </c>
      <c r="F2278" s="3"/>
      <c r="G2278" s="3"/>
      <c r="H2278" s="4">
        <v>46291.948398611108</v>
      </c>
      <c r="I2278" s="4">
        <v>46291.999796296303</v>
      </c>
      <c r="J2278" s="3">
        <f t="shared" si="5"/>
        <v>74</v>
      </c>
      <c r="K2278" s="3" t="s">
        <v>224</v>
      </c>
      <c r="L2278" s="3" t="s">
        <v>77</v>
      </c>
      <c r="M2278" s="3" t="s">
        <v>78</v>
      </c>
      <c r="N2278" s="3" t="s">
        <v>45</v>
      </c>
      <c r="O2278" s="3" t="s">
        <v>225</v>
      </c>
    </row>
    <row r="2279" spans="1:15" hidden="1" x14ac:dyDescent="0.75">
      <c r="A2279" s="2">
        <v>46291</v>
      </c>
      <c r="B2279" s="3" t="s">
        <v>1677</v>
      </c>
      <c r="C2279" s="3" t="s">
        <v>1678</v>
      </c>
      <c r="D2279" s="3" t="s">
        <v>615</v>
      </c>
      <c r="E2279" s="3" t="s">
        <v>616</v>
      </c>
      <c r="F2279" s="3"/>
      <c r="G2279" s="3"/>
      <c r="H2279" s="4">
        <v>46291.949249189813</v>
      </c>
      <c r="I2279" s="4">
        <v>46291.957535185182</v>
      </c>
      <c r="J2279" s="3">
        <f t="shared" si="5"/>
        <v>12</v>
      </c>
      <c r="K2279" s="3" t="s">
        <v>951</v>
      </c>
      <c r="L2279" s="3" t="s">
        <v>36</v>
      </c>
      <c r="M2279" s="3" t="s">
        <v>36</v>
      </c>
      <c r="N2279" s="3" t="s">
        <v>443</v>
      </c>
      <c r="O2279" s="3" t="s">
        <v>952</v>
      </c>
    </row>
    <row r="2280" spans="1:15" hidden="1" x14ac:dyDescent="0.75">
      <c r="A2280" s="2">
        <v>46291</v>
      </c>
      <c r="B2280" s="3" t="s">
        <v>2085</v>
      </c>
      <c r="C2280" s="3" t="s">
        <v>2086</v>
      </c>
      <c r="D2280" s="3" t="s">
        <v>56</v>
      </c>
      <c r="E2280" s="3" t="s">
        <v>57</v>
      </c>
      <c r="F2280" s="3"/>
      <c r="G2280" s="3"/>
      <c r="H2280" s="4">
        <v>46291.949621527783</v>
      </c>
      <c r="I2280" s="4">
        <v>46291.999999189808</v>
      </c>
      <c r="J2280" s="3">
        <f t="shared" si="5"/>
        <v>73</v>
      </c>
      <c r="K2280" s="3" t="s">
        <v>617</v>
      </c>
      <c r="L2280" s="3" t="s">
        <v>36</v>
      </c>
      <c r="M2280" s="3" t="s">
        <v>36</v>
      </c>
      <c r="N2280" s="3" t="s">
        <v>2367</v>
      </c>
      <c r="O2280" s="3" t="s">
        <v>618</v>
      </c>
    </row>
    <row r="2281" spans="1:15" hidden="1" x14ac:dyDescent="0.75">
      <c r="A2281" s="2">
        <v>46291</v>
      </c>
      <c r="B2281" s="3" t="s">
        <v>2049</v>
      </c>
      <c r="C2281" s="3" t="s">
        <v>2050</v>
      </c>
      <c r="D2281" s="3" t="s">
        <v>56</v>
      </c>
      <c r="E2281" s="3" t="s">
        <v>57</v>
      </c>
      <c r="F2281" s="3"/>
      <c r="G2281" s="3"/>
      <c r="H2281" s="4">
        <v>46291.950567824068</v>
      </c>
      <c r="I2281" s="4">
        <v>46291.999848148153</v>
      </c>
      <c r="J2281" s="3">
        <f t="shared" si="5"/>
        <v>71</v>
      </c>
      <c r="K2281" s="3" t="s">
        <v>336</v>
      </c>
      <c r="L2281" s="3" t="s">
        <v>36</v>
      </c>
      <c r="M2281" s="3" t="s">
        <v>36</v>
      </c>
      <c r="N2281" s="3" t="s">
        <v>2367</v>
      </c>
      <c r="O2281" s="3" t="s">
        <v>337</v>
      </c>
    </row>
    <row r="2282" spans="1:15" hidden="1" x14ac:dyDescent="0.75">
      <c r="A2282" s="2">
        <v>46291</v>
      </c>
      <c r="B2282" s="3" t="s">
        <v>2037</v>
      </c>
      <c r="C2282" s="3" t="s">
        <v>2038</v>
      </c>
      <c r="D2282" s="3" t="s">
        <v>68</v>
      </c>
      <c r="E2282" s="3" t="s">
        <v>69</v>
      </c>
      <c r="F2282" s="3"/>
      <c r="G2282" s="3"/>
      <c r="H2282" s="4">
        <v>46291.951363194443</v>
      </c>
      <c r="I2282" s="4">
        <v>46291.999880787043</v>
      </c>
      <c r="J2282" s="3">
        <f t="shared" si="5"/>
        <v>70</v>
      </c>
      <c r="K2282" s="3" t="s">
        <v>90</v>
      </c>
      <c r="L2282" s="3" t="s">
        <v>77</v>
      </c>
      <c r="M2282" s="3" t="s">
        <v>78</v>
      </c>
      <c r="N2282" s="3" t="s">
        <v>2367</v>
      </c>
      <c r="O2282" s="3" t="s">
        <v>91</v>
      </c>
    </row>
    <row r="2283" spans="1:15" hidden="1" x14ac:dyDescent="0.75">
      <c r="A2283" s="2">
        <v>46291</v>
      </c>
      <c r="B2283" s="3" t="s">
        <v>2087</v>
      </c>
      <c r="C2283" s="3" t="s">
        <v>2088</v>
      </c>
      <c r="D2283" s="3" t="s">
        <v>82</v>
      </c>
      <c r="E2283" s="3" t="s">
        <v>83</v>
      </c>
      <c r="F2283" s="3"/>
      <c r="G2283" s="3"/>
      <c r="H2283" s="4">
        <v>46291.952549884263</v>
      </c>
      <c r="I2283" s="4">
        <v>46291.999788078712</v>
      </c>
      <c r="J2283" s="3">
        <f t="shared" si="5"/>
        <v>68</v>
      </c>
      <c r="K2283" s="3" t="s">
        <v>138</v>
      </c>
      <c r="L2283" s="3" t="s">
        <v>36</v>
      </c>
      <c r="M2283" s="3" t="s">
        <v>36</v>
      </c>
      <c r="N2283" s="3" t="s">
        <v>2367</v>
      </c>
      <c r="O2283" s="3" t="s">
        <v>139</v>
      </c>
    </row>
    <row r="2284" spans="1:15" hidden="1" x14ac:dyDescent="0.75">
      <c r="A2284" s="2">
        <v>46291</v>
      </c>
      <c r="B2284" s="3" t="s">
        <v>1967</v>
      </c>
      <c r="C2284" s="3" t="s">
        <v>1968</v>
      </c>
      <c r="D2284" s="3" t="s">
        <v>17</v>
      </c>
      <c r="E2284" s="3" t="s">
        <v>18</v>
      </c>
      <c r="F2284" s="3"/>
      <c r="G2284" s="3"/>
      <c r="H2284" s="4">
        <v>46291.953013078702</v>
      </c>
      <c r="I2284" s="4">
        <v>46291.999895717592</v>
      </c>
      <c r="J2284" s="3">
        <f t="shared" si="5"/>
        <v>68</v>
      </c>
      <c r="K2284" s="3" t="s">
        <v>1165</v>
      </c>
      <c r="L2284" s="3" t="s">
        <v>22</v>
      </c>
      <c r="M2284" s="3" t="s">
        <v>22</v>
      </c>
      <c r="N2284" s="3" t="s">
        <v>2367</v>
      </c>
      <c r="O2284" s="3" t="s">
        <v>1166</v>
      </c>
    </row>
    <row r="2285" spans="1:15" hidden="1" x14ac:dyDescent="0.75">
      <c r="A2285" s="2">
        <v>46291</v>
      </c>
      <c r="B2285" s="3" t="s">
        <v>312</v>
      </c>
      <c r="C2285" s="3" t="s">
        <v>313</v>
      </c>
      <c r="D2285" s="3" t="s">
        <v>615</v>
      </c>
      <c r="E2285" s="3" t="s">
        <v>616</v>
      </c>
      <c r="F2285" s="3"/>
      <c r="G2285" s="3"/>
      <c r="H2285" s="4">
        <v>46291.955490277767</v>
      </c>
      <c r="I2285" s="4">
        <v>46291.962748148151</v>
      </c>
      <c r="J2285" s="3">
        <f t="shared" si="5"/>
        <v>10</v>
      </c>
      <c r="K2285" s="3" t="s">
        <v>1343</v>
      </c>
      <c r="L2285" s="3" t="s">
        <v>36</v>
      </c>
      <c r="M2285" s="3" t="s">
        <v>36</v>
      </c>
      <c r="N2285" s="3" t="s">
        <v>443</v>
      </c>
      <c r="O2285" s="3" t="s">
        <v>1344</v>
      </c>
    </row>
    <row r="2286" spans="1:15" hidden="1" x14ac:dyDescent="0.75">
      <c r="A2286" s="2">
        <v>46291</v>
      </c>
      <c r="B2286" s="3" t="s">
        <v>98</v>
      </c>
      <c r="C2286" s="3" t="s">
        <v>99</v>
      </c>
      <c r="D2286" s="3" t="s">
        <v>100</v>
      </c>
      <c r="E2286" s="3" t="s">
        <v>101</v>
      </c>
      <c r="F2286" s="3"/>
      <c r="G2286" s="3"/>
      <c r="H2286" s="4">
        <v>46291.955939930558</v>
      </c>
      <c r="I2286" s="4">
        <v>46291.999963657407</v>
      </c>
      <c r="J2286" s="3">
        <f t="shared" si="5"/>
        <v>63</v>
      </c>
      <c r="K2286" s="3" t="s">
        <v>969</v>
      </c>
      <c r="L2286" s="3" t="s">
        <v>36</v>
      </c>
      <c r="M2286" s="3" t="s">
        <v>36</v>
      </c>
      <c r="N2286" s="3" t="s">
        <v>2367</v>
      </c>
      <c r="O2286" s="3" t="s">
        <v>970</v>
      </c>
    </row>
    <row r="2287" spans="1:15" hidden="1" x14ac:dyDescent="0.75">
      <c r="A2287" s="2">
        <v>46291</v>
      </c>
      <c r="B2287" s="3" t="s">
        <v>1973</v>
      </c>
      <c r="C2287" s="3" t="s">
        <v>1974</v>
      </c>
      <c r="D2287" s="3" t="s">
        <v>82</v>
      </c>
      <c r="E2287" s="3" t="s">
        <v>83</v>
      </c>
      <c r="F2287" s="3"/>
      <c r="G2287" s="3"/>
      <c r="H2287" s="4">
        <v>46291.957177430559</v>
      </c>
      <c r="I2287" s="4">
        <v>46291.999885879632</v>
      </c>
      <c r="J2287" s="3">
        <f t="shared" si="5"/>
        <v>62</v>
      </c>
      <c r="K2287" s="3" t="s">
        <v>376</v>
      </c>
      <c r="L2287" s="3" t="s">
        <v>36</v>
      </c>
      <c r="M2287" s="3" t="s">
        <v>36</v>
      </c>
      <c r="N2287" s="3" t="s">
        <v>2367</v>
      </c>
      <c r="O2287" s="3" t="s">
        <v>377</v>
      </c>
    </row>
    <row r="2288" spans="1:15" hidden="1" x14ac:dyDescent="0.75">
      <c r="A2288" s="2">
        <v>46291</v>
      </c>
      <c r="B2288" s="3" t="s">
        <v>2063</v>
      </c>
      <c r="C2288" s="3" t="s">
        <v>2064</v>
      </c>
      <c r="D2288" s="3"/>
      <c r="E2288" s="3"/>
      <c r="F2288" s="3"/>
      <c r="G2288" s="3"/>
      <c r="H2288" s="4">
        <v>46291.957745023137</v>
      </c>
      <c r="I2288" s="4">
        <v>46291.999819444442</v>
      </c>
      <c r="J2288" s="3">
        <f t="shared" si="5"/>
        <v>61</v>
      </c>
      <c r="K2288" s="3" t="s">
        <v>721</v>
      </c>
      <c r="L2288" s="3" t="s">
        <v>22</v>
      </c>
      <c r="M2288" s="3" t="s">
        <v>22</v>
      </c>
      <c r="N2288" s="3" t="s">
        <v>2367</v>
      </c>
      <c r="O2288" s="3" t="s">
        <v>722</v>
      </c>
    </row>
    <row r="2289" spans="1:15" hidden="1" x14ac:dyDescent="0.75">
      <c r="A2289" s="2">
        <v>46291</v>
      </c>
      <c r="B2289" s="3" t="s">
        <v>2043</v>
      </c>
      <c r="C2289" s="3" t="s">
        <v>2044</v>
      </c>
      <c r="D2289" s="3" t="s">
        <v>17</v>
      </c>
      <c r="E2289" s="3" t="s">
        <v>18</v>
      </c>
      <c r="F2289" s="3"/>
      <c r="G2289" s="3"/>
      <c r="H2289" s="4">
        <v>46291.95784988426</v>
      </c>
      <c r="I2289" s="4">
        <v>46291.999890393519</v>
      </c>
      <c r="J2289" s="3">
        <f t="shared" si="5"/>
        <v>61</v>
      </c>
      <c r="K2289" s="3" t="s">
        <v>326</v>
      </c>
      <c r="L2289" s="3" t="s">
        <v>22</v>
      </c>
      <c r="M2289" s="3" t="s">
        <v>22</v>
      </c>
      <c r="N2289" s="3" t="s">
        <v>2367</v>
      </c>
      <c r="O2289" s="3" t="s">
        <v>327</v>
      </c>
    </row>
    <row r="2290" spans="1:15" hidden="1" x14ac:dyDescent="0.75">
      <c r="A2290" s="2">
        <v>46291</v>
      </c>
      <c r="B2290" s="3" t="s">
        <v>2424</v>
      </c>
      <c r="C2290" s="3" t="s">
        <v>2425</v>
      </c>
      <c r="D2290" s="3" t="s">
        <v>2293</v>
      </c>
      <c r="E2290" s="3" t="s">
        <v>2294</v>
      </c>
      <c r="F2290" s="3"/>
      <c r="G2290" s="3"/>
      <c r="H2290" s="4">
        <v>46291.958389814812</v>
      </c>
      <c r="I2290" s="4">
        <v>46291.999897337962</v>
      </c>
      <c r="J2290" s="3">
        <f t="shared" si="5"/>
        <v>60</v>
      </c>
      <c r="K2290" s="3" t="s">
        <v>1761</v>
      </c>
      <c r="L2290" s="3" t="s">
        <v>22</v>
      </c>
      <c r="M2290" s="3" t="s">
        <v>22</v>
      </c>
      <c r="N2290" s="3" t="s">
        <v>2367</v>
      </c>
      <c r="O2290" s="3" t="s">
        <v>1762</v>
      </c>
    </row>
    <row r="2291" spans="1:15" hidden="1" x14ac:dyDescent="0.75">
      <c r="A2291" s="2">
        <v>46291</v>
      </c>
      <c r="B2291" s="3" t="s">
        <v>2035</v>
      </c>
      <c r="C2291" s="3" t="s">
        <v>2036</v>
      </c>
      <c r="D2291" s="3" t="s">
        <v>264</v>
      </c>
      <c r="E2291" s="3" t="s">
        <v>265</v>
      </c>
      <c r="F2291" s="3"/>
      <c r="G2291" s="3"/>
      <c r="H2291" s="4">
        <v>46291.960376041658</v>
      </c>
      <c r="I2291" s="4">
        <v>46291.99975289352</v>
      </c>
      <c r="J2291" s="3">
        <f t="shared" si="5"/>
        <v>57</v>
      </c>
      <c r="K2291" s="3" t="s">
        <v>124</v>
      </c>
      <c r="L2291" s="3" t="s">
        <v>22</v>
      </c>
      <c r="M2291" s="3" t="s">
        <v>22</v>
      </c>
      <c r="N2291" s="3" t="s">
        <v>2367</v>
      </c>
      <c r="O2291" s="3" t="s">
        <v>125</v>
      </c>
    </row>
    <row r="2292" spans="1:15" hidden="1" x14ac:dyDescent="0.75">
      <c r="A2292" s="2">
        <v>46291</v>
      </c>
      <c r="B2292" s="3" t="s">
        <v>278</v>
      </c>
      <c r="C2292" s="3" t="s">
        <v>279</v>
      </c>
      <c r="D2292" s="3" t="s">
        <v>280</v>
      </c>
      <c r="E2292" s="3" t="s">
        <v>281</v>
      </c>
      <c r="F2292" s="3"/>
      <c r="G2292" s="3"/>
      <c r="H2292" s="4">
        <v>46291.960408101862</v>
      </c>
      <c r="I2292" s="4">
        <v>46291.999826157407</v>
      </c>
      <c r="J2292" s="3">
        <f t="shared" si="5"/>
        <v>57</v>
      </c>
      <c r="K2292" s="3" t="s">
        <v>1211</v>
      </c>
      <c r="L2292" s="3" t="s">
        <v>36</v>
      </c>
      <c r="M2292" s="3" t="s">
        <v>36</v>
      </c>
      <c r="N2292" s="3" t="s">
        <v>2367</v>
      </c>
      <c r="O2292" s="3" t="s">
        <v>1212</v>
      </c>
    </row>
    <row r="2293" spans="1:15" hidden="1" x14ac:dyDescent="0.75">
      <c r="A2293" s="2">
        <v>46291</v>
      </c>
      <c r="B2293" s="3" t="s">
        <v>2053</v>
      </c>
      <c r="C2293" s="3" t="s">
        <v>2054</v>
      </c>
      <c r="D2293" s="3" t="s">
        <v>56</v>
      </c>
      <c r="E2293" s="3" t="s">
        <v>57</v>
      </c>
      <c r="F2293" s="3"/>
      <c r="G2293" s="3"/>
      <c r="H2293" s="4">
        <v>46291.960751157407</v>
      </c>
      <c r="I2293" s="4">
        <v>46291.999814583331</v>
      </c>
      <c r="J2293" s="3">
        <f t="shared" si="5"/>
        <v>56</v>
      </c>
      <c r="K2293" s="3" t="s">
        <v>993</v>
      </c>
      <c r="L2293" s="3" t="s">
        <v>36</v>
      </c>
      <c r="M2293" s="3" t="s">
        <v>36</v>
      </c>
      <c r="N2293" s="3" t="s">
        <v>2367</v>
      </c>
      <c r="O2293" s="3" t="s">
        <v>994</v>
      </c>
    </row>
    <row r="2294" spans="1:15" hidden="1" x14ac:dyDescent="0.75">
      <c r="A2294" s="2">
        <v>46291</v>
      </c>
      <c r="B2294" s="3" t="s">
        <v>1701</v>
      </c>
      <c r="C2294" s="3" t="s">
        <v>1702</v>
      </c>
      <c r="D2294" s="3" t="s">
        <v>58</v>
      </c>
      <c r="E2294" s="3" t="s">
        <v>59</v>
      </c>
      <c r="F2294" s="3"/>
      <c r="G2294" s="3"/>
      <c r="H2294" s="4">
        <v>46291.965064930548</v>
      </c>
      <c r="I2294" s="4">
        <v>46291.999924074073</v>
      </c>
      <c r="J2294" s="3">
        <f t="shared" si="5"/>
        <v>50</v>
      </c>
      <c r="K2294" s="3" t="s">
        <v>2125</v>
      </c>
      <c r="L2294" s="3" t="s">
        <v>36</v>
      </c>
      <c r="M2294" s="3" t="s">
        <v>36</v>
      </c>
      <c r="N2294" s="3" t="s">
        <v>2367</v>
      </c>
      <c r="O2294" s="3" t="s">
        <v>2126</v>
      </c>
    </row>
    <row r="2295" spans="1:15" hidden="1" x14ac:dyDescent="0.75">
      <c r="A2295" s="2">
        <v>46291</v>
      </c>
      <c r="B2295" s="3" t="s">
        <v>463</v>
      </c>
      <c r="C2295" s="3" t="s">
        <v>464</v>
      </c>
      <c r="D2295" s="3" t="s">
        <v>27</v>
      </c>
      <c r="E2295" s="3" t="s">
        <v>28</v>
      </c>
      <c r="F2295" s="3"/>
      <c r="G2295" s="3"/>
      <c r="H2295" s="4">
        <v>46291.966127777778</v>
      </c>
      <c r="I2295" s="4">
        <v>46291.999851851862</v>
      </c>
      <c r="J2295" s="3">
        <f t="shared" si="5"/>
        <v>49</v>
      </c>
      <c r="K2295" s="3" t="s">
        <v>465</v>
      </c>
      <c r="L2295" s="3" t="s">
        <v>43</v>
      </c>
      <c r="M2295" s="3" t="s">
        <v>44</v>
      </c>
      <c r="N2295" s="3" t="s">
        <v>2367</v>
      </c>
      <c r="O2295" s="3" t="s">
        <v>466</v>
      </c>
    </row>
    <row r="2296" spans="1:15" hidden="1" x14ac:dyDescent="0.75">
      <c r="A2296" s="2">
        <v>46291</v>
      </c>
      <c r="B2296" s="3" t="s">
        <v>2065</v>
      </c>
      <c r="C2296" s="3" t="s">
        <v>2066</v>
      </c>
      <c r="D2296" s="3" t="s">
        <v>182</v>
      </c>
      <c r="E2296" s="3" t="s">
        <v>183</v>
      </c>
      <c r="F2296" s="3"/>
      <c r="G2296" s="3"/>
      <c r="H2296" s="4">
        <v>46291.967688657409</v>
      </c>
      <c r="I2296" s="4">
        <v>46291.999936921296</v>
      </c>
      <c r="J2296" s="3">
        <f t="shared" si="5"/>
        <v>46</v>
      </c>
      <c r="K2296" s="3" t="s">
        <v>1161</v>
      </c>
      <c r="L2296" s="3" t="s">
        <v>77</v>
      </c>
      <c r="M2296" s="3" t="s">
        <v>78</v>
      </c>
      <c r="N2296" s="3" t="s">
        <v>2367</v>
      </c>
      <c r="O2296" s="3" t="s">
        <v>1162</v>
      </c>
    </row>
    <row r="2297" spans="1:15" hidden="1" x14ac:dyDescent="0.75">
      <c r="A2297" s="2">
        <v>46291</v>
      </c>
      <c r="B2297" s="3" t="s">
        <v>132</v>
      </c>
      <c r="C2297" s="3" t="s">
        <v>133</v>
      </c>
      <c r="D2297" s="3" t="s">
        <v>615</v>
      </c>
      <c r="E2297" s="3" t="s">
        <v>616</v>
      </c>
      <c r="F2297" s="3"/>
      <c r="G2297" s="3"/>
      <c r="H2297" s="4">
        <v>46291.972007638891</v>
      </c>
      <c r="I2297" s="4">
        <v>46291.982981018518</v>
      </c>
      <c r="J2297" s="3">
        <f t="shared" si="5"/>
        <v>16</v>
      </c>
      <c r="K2297" s="3" t="s">
        <v>198</v>
      </c>
      <c r="L2297" s="3" t="s">
        <v>36</v>
      </c>
      <c r="M2297" s="3" t="s">
        <v>36</v>
      </c>
      <c r="N2297" s="3" t="s">
        <v>443</v>
      </c>
      <c r="O2297" s="3" t="s">
        <v>199</v>
      </c>
    </row>
    <row r="2298" spans="1:15" hidden="1" x14ac:dyDescent="0.75">
      <c r="A2298" s="2">
        <v>46291</v>
      </c>
      <c r="B2298" s="3" t="s">
        <v>2099</v>
      </c>
      <c r="C2298" s="3" t="s">
        <v>2100</v>
      </c>
      <c r="D2298" s="3" t="s">
        <v>106</v>
      </c>
      <c r="E2298" s="3" t="s">
        <v>107</v>
      </c>
      <c r="F2298" s="3"/>
      <c r="G2298" s="3"/>
      <c r="H2298" s="4">
        <v>46291.97305104167</v>
      </c>
      <c r="I2298" s="4">
        <v>46291.999879629628</v>
      </c>
      <c r="J2298" s="3">
        <f t="shared" si="5"/>
        <v>39</v>
      </c>
      <c r="K2298" s="3" t="s">
        <v>1033</v>
      </c>
      <c r="L2298" s="3" t="s">
        <v>77</v>
      </c>
      <c r="M2298" s="3" t="s">
        <v>78</v>
      </c>
      <c r="N2298" s="3" t="s">
        <v>2367</v>
      </c>
      <c r="O2298" s="3" t="s">
        <v>1034</v>
      </c>
    </row>
    <row r="2299" spans="1:15" hidden="1" x14ac:dyDescent="0.75">
      <c r="A2299" s="2">
        <v>46291</v>
      </c>
      <c r="B2299" s="3" t="s">
        <v>2089</v>
      </c>
      <c r="C2299" s="3" t="s">
        <v>2090</v>
      </c>
      <c r="D2299" s="3" t="s">
        <v>17</v>
      </c>
      <c r="E2299" s="3" t="s">
        <v>18</v>
      </c>
      <c r="F2299" s="3"/>
      <c r="G2299" s="3"/>
      <c r="H2299" s="4">
        <v>46291.973540509258</v>
      </c>
      <c r="I2299" s="4">
        <v>46291.999853009263</v>
      </c>
      <c r="J2299" s="3">
        <f t="shared" si="5"/>
        <v>38</v>
      </c>
      <c r="K2299" s="3" t="s">
        <v>1651</v>
      </c>
      <c r="L2299" s="3" t="s">
        <v>36</v>
      </c>
      <c r="M2299" s="3" t="s">
        <v>36</v>
      </c>
      <c r="N2299" s="3" t="s">
        <v>2367</v>
      </c>
      <c r="O2299" s="3" t="s">
        <v>1652</v>
      </c>
    </row>
    <row r="2300" spans="1:15" hidden="1" x14ac:dyDescent="0.75">
      <c r="A2300" s="2">
        <v>46291</v>
      </c>
      <c r="B2300" s="3" t="s">
        <v>1991</v>
      </c>
      <c r="C2300" s="3" t="s">
        <v>1992</v>
      </c>
      <c r="D2300" s="3" t="s">
        <v>27</v>
      </c>
      <c r="E2300" s="3" t="s">
        <v>28</v>
      </c>
      <c r="F2300" s="3"/>
      <c r="G2300" s="3"/>
      <c r="H2300" s="4">
        <v>46291.973628009262</v>
      </c>
      <c r="I2300" s="4">
        <v>46291.999846990737</v>
      </c>
      <c r="J2300" s="3">
        <f t="shared" si="5"/>
        <v>38</v>
      </c>
      <c r="K2300" s="3" t="s">
        <v>1089</v>
      </c>
      <c r="L2300" s="3" t="s">
        <v>36</v>
      </c>
      <c r="M2300" s="3" t="s">
        <v>36</v>
      </c>
      <c r="N2300" s="3" t="s">
        <v>2367</v>
      </c>
      <c r="O2300" s="3" t="s">
        <v>1090</v>
      </c>
    </row>
    <row r="2301" spans="1:15" hidden="1" x14ac:dyDescent="0.75">
      <c r="A2301" s="2">
        <v>46291</v>
      </c>
      <c r="B2301" s="3" t="s">
        <v>2133</v>
      </c>
      <c r="C2301" s="3" t="s">
        <v>2134</v>
      </c>
      <c r="D2301" s="3" t="s">
        <v>17</v>
      </c>
      <c r="E2301" s="3" t="s">
        <v>18</v>
      </c>
      <c r="F2301" s="3"/>
      <c r="G2301" s="3"/>
      <c r="H2301" s="4">
        <v>46291.974269675928</v>
      </c>
      <c r="I2301" s="4">
        <v>46291.999783217587</v>
      </c>
      <c r="J2301" s="3">
        <f t="shared" si="5"/>
        <v>37</v>
      </c>
      <c r="K2301" s="3" t="s">
        <v>2187</v>
      </c>
      <c r="L2301" s="3" t="s">
        <v>77</v>
      </c>
      <c r="M2301" s="3" t="s">
        <v>78</v>
      </c>
      <c r="N2301" s="3" t="s">
        <v>2367</v>
      </c>
      <c r="O2301" s="3" t="s">
        <v>2188</v>
      </c>
    </row>
    <row r="2302" spans="1:15" hidden="1" x14ac:dyDescent="0.75">
      <c r="A2302" s="2">
        <v>46291</v>
      </c>
      <c r="B2302" s="3" t="s">
        <v>2073</v>
      </c>
      <c r="C2302" s="3" t="s">
        <v>2074</v>
      </c>
      <c r="D2302" s="3" t="s">
        <v>977</v>
      </c>
      <c r="E2302" s="3" t="s">
        <v>978</v>
      </c>
      <c r="F2302" s="3"/>
      <c r="G2302" s="3"/>
      <c r="H2302" s="4">
        <v>46291.974380902779</v>
      </c>
      <c r="I2302" s="4">
        <v>46291.999920949071</v>
      </c>
      <c r="J2302" s="3">
        <f t="shared" si="5"/>
        <v>37</v>
      </c>
      <c r="K2302" s="3" t="s">
        <v>887</v>
      </c>
      <c r="L2302" s="3" t="s">
        <v>36</v>
      </c>
      <c r="M2302" s="3" t="s">
        <v>36</v>
      </c>
      <c r="N2302" s="3" t="s">
        <v>2367</v>
      </c>
      <c r="O2302" s="3" t="s">
        <v>888</v>
      </c>
    </row>
    <row r="2303" spans="1:15" hidden="1" x14ac:dyDescent="0.75">
      <c r="A2303" s="2">
        <v>46291</v>
      </c>
      <c r="B2303" s="3" t="s">
        <v>2331</v>
      </c>
      <c r="C2303" s="3" t="s">
        <v>2332</v>
      </c>
      <c r="D2303" s="3"/>
      <c r="E2303" s="3"/>
      <c r="F2303" s="3"/>
      <c r="G2303" s="3"/>
      <c r="H2303" s="4">
        <v>46291.974808449071</v>
      </c>
      <c r="I2303" s="4">
        <v>46291.99684965278</v>
      </c>
      <c r="J2303" s="3">
        <f t="shared" si="5"/>
        <v>32</v>
      </c>
      <c r="K2303" s="3" t="s">
        <v>497</v>
      </c>
      <c r="L2303" s="3" t="s">
        <v>22</v>
      </c>
      <c r="M2303" s="3" t="s">
        <v>22</v>
      </c>
      <c r="N2303" s="3" t="s">
        <v>2367</v>
      </c>
      <c r="O2303" s="3" t="s">
        <v>498</v>
      </c>
    </row>
    <row r="2304" spans="1:15" hidden="1" x14ac:dyDescent="0.75">
      <c r="A2304" s="2">
        <v>46291</v>
      </c>
      <c r="B2304" s="3" t="s">
        <v>2039</v>
      </c>
      <c r="C2304" s="3" t="s">
        <v>2040</v>
      </c>
      <c r="D2304" s="3" t="s">
        <v>56</v>
      </c>
      <c r="E2304" s="3" t="s">
        <v>57</v>
      </c>
      <c r="F2304" s="3"/>
      <c r="G2304" s="3"/>
      <c r="H2304" s="4">
        <v>46291.974965740737</v>
      </c>
      <c r="I2304" s="4">
        <v>46291.999913425927</v>
      </c>
      <c r="J2304" s="3">
        <f t="shared" si="5"/>
        <v>36</v>
      </c>
      <c r="K2304" s="3" t="s">
        <v>314</v>
      </c>
      <c r="L2304" s="3" t="s">
        <v>36</v>
      </c>
      <c r="M2304" s="3" t="s">
        <v>36</v>
      </c>
      <c r="N2304" s="3" t="s">
        <v>2367</v>
      </c>
      <c r="O2304" s="3" t="s">
        <v>315</v>
      </c>
    </row>
    <row r="2305" spans="1:15" hidden="1" x14ac:dyDescent="0.75">
      <c r="A2305" s="2">
        <v>46291</v>
      </c>
      <c r="B2305" s="3" t="s">
        <v>1949</v>
      </c>
      <c r="C2305" s="3" t="s">
        <v>1950</v>
      </c>
      <c r="D2305" s="3" t="s">
        <v>27</v>
      </c>
      <c r="E2305" s="3" t="s">
        <v>28</v>
      </c>
      <c r="F2305" s="3"/>
      <c r="G2305" s="3"/>
      <c r="H2305" s="4">
        <v>46291.977418402777</v>
      </c>
      <c r="I2305" s="4">
        <v>46291.999865393518</v>
      </c>
      <c r="J2305" s="3">
        <f t="shared" si="5"/>
        <v>32</v>
      </c>
      <c r="K2305" s="3" t="s">
        <v>891</v>
      </c>
      <c r="L2305" s="3" t="s">
        <v>77</v>
      </c>
      <c r="M2305" s="3" t="s">
        <v>78</v>
      </c>
      <c r="N2305" s="3" t="s">
        <v>2367</v>
      </c>
      <c r="O2305" s="3" t="s">
        <v>892</v>
      </c>
    </row>
    <row r="2306" spans="1:15" hidden="1" x14ac:dyDescent="0.75">
      <c r="A2306" s="2">
        <v>46291</v>
      </c>
      <c r="B2306" s="3" t="s">
        <v>2007</v>
      </c>
      <c r="C2306" s="3" t="s">
        <v>2008</v>
      </c>
      <c r="D2306" s="3" t="s">
        <v>27</v>
      </c>
      <c r="E2306" s="3" t="s">
        <v>28</v>
      </c>
      <c r="F2306" s="3"/>
      <c r="G2306" s="3"/>
      <c r="H2306" s="4">
        <v>46291.979185185177</v>
      </c>
      <c r="I2306" s="4">
        <v>46291.999905324083</v>
      </c>
      <c r="J2306" s="3">
        <f t="shared" ref="J2306:J2369" si="6">ROUND((I2306-H2306)*1440,0)</f>
        <v>30</v>
      </c>
      <c r="K2306" s="3" t="s">
        <v>260</v>
      </c>
      <c r="L2306" s="3" t="s">
        <v>52</v>
      </c>
      <c r="M2306" s="3"/>
      <c r="N2306" s="3" t="s">
        <v>2367</v>
      </c>
      <c r="O2306" s="3" t="s">
        <v>261</v>
      </c>
    </row>
    <row r="2307" spans="1:15" hidden="1" x14ac:dyDescent="0.75">
      <c r="A2307" s="2">
        <v>46291</v>
      </c>
      <c r="B2307" s="3" t="s">
        <v>2069</v>
      </c>
      <c r="C2307" s="3" t="s">
        <v>2070</v>
      </c>
      <c r="D2307" s="3" t="s">
        <v>182</v>
      </c>
      <c r="E2307" s="3" t="s">
        <v>183</v>
      </c>
      <c r="F2307" s="3"/>
      <c r="G2307" s="3"/>
      <c r="H2307" s="4">
        <v>46291.98213449074</v>
      </c>
      <c r="I2307" s="4">
        <v>46291.99992465278</v>
      </c>
      <c r="J2307" s="3">
        <f t="shared" si="6"/>
        <v>26</v>
      </c>
      <c r="K2307" s="3" t="s">
        <v>230</v>
      </c>
      <c r="L2307" s="3" t="s">
        <v>77</v>
      </c>
      <c r="M2307" s="3" t="s">
        <v>78</v>
      </c>
      <c r="N2307" s="3" t="s">
        <v>2367</v>
      </c>
      <c r="O2307" s="3" t="s">
        <v>231</v>
      </c>
    </row>
    <row r="2308" spans="1:15" hidden="1" x14ac:dyDescent="0.75">
      <c r="A2308" s="2">
        <v>46291</v>
      </c>
      <c r="B2308" s="3" t="s">
        <v>2057</v>
      </c>
      <c r="C2308" s="3" t="s">
        <v>2058</v>
      </c>
      <c r="D2308" s="3" t="s">
        <v>27</v>
      </c>
      <c r="E2308" s="3" t="s">
        <v>28</v>
      </c>
      <c r="F2308" s="3"/>
      <c r="G2308" s="3"/>
      <c r="H2308" s="4">
        <v>46291.983362962957</v>
      </c>
      <c r="I2308" s="4">
        <v>46291.999926620367</v>
      </c>
      <c r="J2308" s="3">
        <f t="shared" si="6"/>
        <v>24</v>
      </c>
      <c r="K2308" s="3" t="s">
        <v>1293</v>
      </c>
      <c r="L2308" s="3" t="s">
        <v>77</v>
      </c>
      <c r="M2308" s="3" t="s">
        <v>78</v>
      </c>
      <c r="N2308" s="3" t="s">
        <v>2367</v>
      </c>
      <c r="O2308" s="3" t="s">
        <v>1294</v>
      </c>
    </row>
    <row r="2309" spans="1:15" hidden="1" x14ac:dyDescent="0.75">
      <c r="A2309" s="2">
        <v>46291</v>
      </c>
      <c r="B2309" s="3" t="s">
        <v>2045</v>
      </c>
      <c r="C2309" s="3" t="s">
        <v>2046</v>
      </c>
      <c r="D2309" s="3" t="s">
        <v>17</v>
      </c>
      <c r="E2309" s="3" t="s">
        <v>18</v>
      </c>
      <c r="F2309" s="3"/>
      <c r="G2309" s="3"/>
      <c r="H2309" s="4">
        <v>46291.985250578713</v>
      </c>
      <c r="I2309" s="4">
        <v>46291.999870717591</v>
      </c>
      <c r="J2309" s="3">
        <f t="shared" si="6"/>
        <v>21</v>
      </c>
      <c r="K2309" s="3" t="s">
        <v>356</v>
      </c>
      <c r="L2309" s="3" t="s">
        <v>77</v>
      </c>
      <c r="M2309" s="3" t="s">
        <v>78</v>
      </c>
      <c r="N2309" s="3" t="s">
        <v>2367</v>
      </c>
      <c r="O2309" s="3" t="s">
        <v>357</v>
      </c>
    </row>
    <row r="2310" spans="1:15" hidden="1" x14ac:dyDescent="0.75">
      <c r="A2310" s="2">
        <v>46291</v>
      </c>
      <c r="B2310" s="3" t="s">
        <v>2031</v>
      </c>
      <c r="C2310" s="3" t="s">
        <v>2032</v>
      </c>
      <c r="D2310" s="3" t="s">
        <v>304</v>
      </c>
      <c r="E2310" s="3" t="s">
        <v>305</v>
      </c>
      <c r="F2310" s="3"/>
      <c r="G2310" s="3"/>
      <c r="H2310" s="4">
        <v>46291.985289699071</v>
      </c>
      <c r="I2310" s="4">
        <v>46291.999875347217</v>
      </c>
      <c r="J2310" s="3">
        <f t="shared" si="6"/>
        <v>21</v>
      </c>
      <c r="K2310" s="3" t="s">
        <v>1301</v>
      </c>
      <c r="L2310" s="3" t="s">
        <v>22</v>
      </c>
      <c r="M2310" s="3" t="s">
        <v>22</v>
      </c>
      <c r="N2310" s="3" t="s">
        <v>2367</v>
      </c>
      <c r="O2310" s="3" t="s">
        <v>1302</v>
      </c>
    </row>
    <row r="2311" spans="1:15" hidden="1" x14ac:dyDescent="0.75">
      <c r="A2311" s="2">
        <v>46291</v>
      </c>
      <c r="B2311" s="3" t="s">
        <v>1963</v>
      </c>
      <c r="C2311" s="3" t="s">
        <v>1964</v>
      </c>
      <c r="D2311" s="3" t="s">
        <v>27</v>
      </c>
      <c r="E2311" s="3" t="s">
        <v>28</v>
      </c>
      <c r="F2311" s="3"/>
      <c r="G2311" s="3"/>
      <c r="H2311" s="4">
        <v>46291.985673263887</v>
      </c>
      <c r="I2311" s="4">
        <v>46291.999910879633</v>
      </c>
      <c r="J2311" s="3">
        <f t="shared" si="6"/>
        <v>21</v>
      </c>
      <c r="K2311" s="3" t="s">
        <v>831</v>
      </c>
      <c r="L2311" s="3" t="s">
        <v>77</v>
      </c>
      <c r="M2311" s="3" t="s">
        <v>78</v>
      </c>
      <c r="N2311" s="3" t="s">
        <v>2367</v>
      </c>
      <c r="O2311" s="3" t="s">
        <v>832</v>
      </c>
    </row>
    <row r="2312" spans="1:15" hidden="1" x14ac:dyDescent="0.75">
      <c r="A2312" s="2">
        <v>46291</v>
      </c>
      <c r="B2312" s="3" t="s">
        <v>2095</v>
      </c>
      <c r="C2312" s="3" t="s">
        <v>2096</v>
      </c>
      <c r="D2312" s="3" t="s">
        <v>19</v>
      </c>
      <c r="E2312" s="3" t="s">
        <v>20</v>
      </c>
      <c r="F2312" s="3"/>
      <c r="G2312" s="3"/>
      <c r="H2312" s="4">
        <v>46291.986993981482</v>
      </c>
      <c r="I2312" s="4">
        <v>46291.999972916667</v>
      </c>
      <c r="J2312" s="3">
        <f t="shared" si="6"/>
        <v>19</v>
      </c>
      <c r="K2312" s="3" t="s">
        <v>164</v>
      </c>
      <c r="L2312" s="3" t="s">
        <v>36</v>
      </c>
      <c r="M2312" s="3" t="s">
        <v>36</v>
      </c>
      <c r="N2312" s="3" t="s">
        <v>2367</v>
      </c>
      <c r="O2312" s="3" t="s">
        <v>165</v>
      </c>
    </row>
    <row r="2313" spans="1:15" hidden="1" x14ac:dyDescent="0.75">
      <c r="A2313" s="2">
        <v>46291</v>
      </c>
      <c r="B2313" s="3" t="s">
        <v>66</v>
      </c>
      <c r="C2313" s="3" t="s">
        <v>67</v>
      </c>
      <c r="D2313" s="3" t="s">
        <v>68</v>
      </c>
      <c r="E2313" s="3" t="s">
        <v>69</v>
      </c>
      <c r="F2313" s="3"/>
      <c r="G2313" s="3"/>
      <c r="H2313" s="4">
        <v>46291.988471412027</v>
      </c>
      <c r="I2313" s="4">
        <v>46291.999881481483</v>
      </c>
      <c r="J2313" s="3">
        <f t="shared" si="6"/>
        <v>16</v>
      </c>
      <c r="K2313" s="3" t="s">
        <v>406</v>
      </c>
      <c r="L2313" s="3" t="s">
        <v>36</v>
      </c>
      <c r="M2313" s="3" t="s">
        <v>36</v>
      </c>
      <c r="N2313" s="3" t="s">
        <v>2367</v>
      </c>
      <c r="O2313" s="3" t="s">
        <v>407</v>
      </c>
    </row>
    <row r="2314" spans="1:15" hidden="1" x14ac:dyDescent="0.75">
      <c r="A2314" s="2">
        <v>46291</v>
      </c>
      <c r="B2314" s="3" t="s">
        <v>2051</v>
      </c>
      <c r="C2314" s="3" t="s">
        <v>2052</v>
      </c>
      <c r="D2314" s="3" t="s">
        <v>82</v>
      </c>
      <c r="E2314" s="3" t="s">
        <v>83</v>
      </c>
      <c r="F2314" s="3"/>
      <c r="G2314" s="3"/>
      <c r="H2314" s="4">
        <v>46291.989097106481</v>
      </c>
      <c r="I2314" s="4">
        <v>46291.999986226852</v>
      </c>
      <c r="J2314" s="3">
        <f t="shared" si="6"/>
        <v>16</v>
      </c>
      <c r="K2314" s="3" t="s">
        <v>2127</v>
      </c>
      <c r="L2314" s="3" t="s">
        <v>22</v>
      </c>
      <c r="M2314" s="3" t="s">
        <v>22</v>
      </c>
      <c r="N2314" s="3" t="s">
        <v>2367</v>
      </c>
      <c r="O2314" s="3" t="s">
        <v>2128</v>
      </c>
    </row>
    <row r="2315" spans="1:15" hidden="1" x14ac:dyDescent="0.75">
      <c r="A2315" s="2">
        <v>46291</v>
      </c>
      <c r="B2315" s="3" t="s">
        <v>2426</v>
      </c>
      <c r="C2315" s="3" t="s">
        <v>2427</v>
      </c>
      <c r="D2315" s="3" t="s">
        <v>2219</v>
      </c>
      <c r="E2315" s="3" t="s">
        <v>2220</v>
      </c>
      <c r="F2315" s="3"/>
      <c r="G2315" s="3"/>
      <c r="H2315" s="4">
        <v>46291.989151273148</v>
      </c>
      <c r="I2315" s="4">
        <v>46291.999966550917</v>
      </c>
      <c r="J2315" s="3">
        <f t="shared" si="6"/>
        <v>16</v>
      </c>
      <c r="K2315" s="3" t="s">
        <v>1049</v>
      </c>
      <c r="L2315" s="3" t="s">
        <v>22</v>
      </c>
      <c r="M2315" s="3" t="s">
        <v>22</v>
      </c>
      <c r="N2315" s="3" t="s">
        <v>2367</v>
      </c>
      <c r="O2315" s="3" t="s">
        <v>1050</v>
      </c>
    </row>
    <row r="2316" spans="1:15" hidden="1" x14ac:dyDescent="0.75">
      <c r="A2316" s="2">
        <v>46291</v>
      </c>
      <c r="B2316" s="3" t="s">
        <v>1979</v>
      </c>
      <c r="C2316" s="3" t="s">
        <v>1980</v>
      </c>
      <c r="D2316" s="3" t="s">
        <v>270</v>
      </c>
      <c r="E2316" s="3" t="s">
        <v>271</v>
      </c>
      <c r="F2316" s="3"/>
      <c r="G2316" s="3"/>
      <c r="H2316" s="4">
        <v>46291.990213078701</v>
      </c>
      <c r="I2316" s="4">
        <v>46291.999990625001</v>
      </c>
      <c r="J2316" s="3">
        <f t="shared" si="6"/>
        <v>14</v>
      </c>
      <c r="K2316" s="3" t="s">
        <v>1997</v>
      </c>
      <c r="L2316" s="3" t="s">
        <v>77</v>
      </c>
      <c r="M2316" s="3" t="s">
        <v>78</v>
      </c>
      <c r="N2316" s="3" t="s">
        <v>2367</v>
      </c>
      <c r="O2316" s="3" t="s">
        <v>1998</v>
      </c>
    </row>
    <row r="2317" spans="1:15" hidden="1" x14ac:dyDescent="0.75">
      <c r="A2317" s="2">
        <v>46291</v>
      </c>
      <c r="B2317" s="3" t="s">
        <v>232</v>
      </c>
      <c r="C2317" s="3" t="s">
        <v>233</v>
      </c>
      <c r="D2317" s="3" t="s">
        <v>27</v>
      </c>
      <c r="E2317" s="3" t="s">
        <v>28</v>
      </c>
      <c r="F2317" s="3"/>
      <c r="G2317" s="3"/>
      <c r="H2317" s="4">
        <v>46291.990359953707</v>
      </c>
      <c r="I2317" s="4">
        <v>46291.999870370368</v>
      </c>
      <c r="J2317" s="3">
        <f t="shared" si="6"/>
        <v>14</v>
      </c>
      <c r="K2317" s="3" t="s">
        <v>236</v>
      </c>
      <c r="L2317" s="3" t="s">
        <v>77</v>
      </c>
      <c r="M2317" s="3" t="s">
        <v>78</v>
      </c>
      <c r="N2317" s="3" t="s">
        <v>2367</v>
      </c>
      <c r="O2317" s="3" t="s">
        <v>237</v>
      </c>
    </row>
    <row r="2318" spans="1:15" hidden="1" x14ac:dyDescent="0.75">
      <c r="A2318" s="2">
        <v>46291</v>
      </c>
      <c r="B2318" s="3" t="s">
        <v>2113</v>
      </c>
      <c r="C2318" s="3" t="s">
        <v>2114</v>
      </c>
      <c r="D2318" s="3" t="s">
        <v>218</v>
      </c>
      <c r="E2318" s="3" t="s">
        <v>219</v>
      </c>
      <c r="F2318" s="3" t="s">
        <v>218</v>
      </c>
      <c r="G2318" s="3" t="s">
        <v>219</v>
      </c>
      <c r="H2318" s="4">
        <v>46291.992221759261</v>
      </c>
      <c r="I2318" s="4">
        <v>46291.992396875001</v>
      </c>
      <c r="J2318" s="3">
        <f t="shared" si="6"/>
        <v>0</v>
      </c>
      <c r="K2318" s="3" t="s">
        <v>240</v>
      </c>
      <c r="L2318" s="3" t="s">
        <v>52</v>
      </c>
      <c r="M2318" s="3"/>
      <c r="N2318" s="3" t="s">
        <v>23</v>
      </c>
      <c r="O2318" s="3" t="s">
        <v>241</v>
      </c>
    </row>
    <row r="2319" spans="1:15" hidden="1" x14ac:dyDescent="0.75">
      <c r="A2319" s="2">
        <v>46291</v>
      </c>
      <c r="B2319" s="3" t="s">
        <v>2113</v>
      </c>
      <c r="C2319" s="3" t="s">
        <v>2114</v>
      </c>
      <c r="D2319" s="3" t="s">
        <v>218</v>
      </c>
      <c r="E2319" s="3" t="s">
        <v>219</v>
      </c>
      <c r="F2319" s="3" t="s">
        <v>218</v>
      </c>
      <c r="G2319" s="3" t="s">
        <v>219</v>
      </c>
      <c r="H2319" s="4">
        <v>46291.992402662043</v>
      </c>
      <c r="I2319" s="4">
        <v>46291.993089583331</v>
      </c>
      <c r="J2319" s="3">
        <f t="shared" si="6"/>
        <v>1</v>
      </c>
      <c r="K2319" s="3" t="s">
        <v>240</v>
      </c>
      <c r="L2319" s="3" t="s">
        <v>52</v>
      </c>
      <c r="M2319" s="3"/>
      <c r="N2319" s="3" t="s">
        <v>23</v>
      </c>
      <c r="O2319" s="3" t="s">
        <v>241</v>
      </c>
    </row>
    <row r="2320" spans="1:15" hidden="1" x14ac:dyDescent="0.75">
      <c r="A2320" s="2">
        <v>46291</v>
      </c>
      <c r="B2320" s="3" t="s">
        <v>2113</v>
      </c>
      <c r="C2320" s="3" t="s">
        <v>2114</v>
      </c>
      <c r="D2320" s="3" t="s">
        <v>218</v>
      </c>
      <c r="E2320" s="3" t="s">
        <v>219</v>
      </c>
      <c r="F2320" s="3" t="s">
        <v>2416</v>
      </c>
      <c r="G2320" s="3" t="s">
        <v>2417</v>
      </c>
      <c r="H2320" s="4">
        <v>46291.993095254627</v>
      </c>
      <c r="I2320" s="4">
        <v>46291.99413298611</v>
      </c>
      <c r="J2320" s="3">
        <f t="shared" si="6"/>
        <v>1</v>
      </c>
      <c r="K2320" s="3" t="s">
        <v>240</v>
      </c>
      <c r="L2320" s="3" t="s">
        <v>52</v>
      </c>
      <c r="M2320" s="3"/>
      <c r="N2320" s="3" t="s">
        <v>23</v>
      </c>
      <c r="O2320" s="3" t="s">
        <v>241</v>
      </c>
    </row>
    <row r="2321" spans="1:15" hidden="1" x14ac:dyDescent="0.75">
      <c r="A2321" s="2">
        <v>46291</v>
      </c>
      <c r="B2321" s="3" t="s">
        <v>2113</v>
      </c>
      <c r="C2321" s="3" t="s">
        <v>2114</v>
      </c>
      <c r="D2321" s="3" t="s">
        <v>2416</v>
      </c>
      <c r="E2321" s="3" t="s">
        <v>2417</v>
      </c>
      <c r="F2321" s="3" t="s">
        <v>2416</v>
      </c>
      <c r="G2321" s="3" t="s">
        <v>2417</v>
      </c>
      <c r="H2321" s="4">
        <v>46291.99413298611</v>
      </c>
      <c r="I2321" s="4">
        <v>46291.99436099537</v>
      </c>
      <c r="J2321" s="3">
        <f t="shared" si="6"/>
        <v>0</v>
      </c>
      <c r="K2321" s="3" t="s">
        <v>240</v>
      </c>
      <c r="L2321" s="3" t="s">
        <v>52</v>
      </c>
      <c r="M2321" s="3"/>
      <c r="N2321" s="3" t="s">
        <v>23</v>
      </c>
      <c r="O2321" s="3" t="s">
        <v>241</v>
      </c>
    </row>
    <row r="2322" spans="1:15" hidden="1" x14ac:dyDescent="0.75">
      <c r="A2322" s="2">
        <v>46291</v>
      </c>
      <c r="B2322" s="3" t="s">
        <v>2113</v>
      </c>
      <c r="C2322" s="3" t="s">
        <v>2114</v>
      </c>
      <c r="D2322" s="3" t="s">
        <v>2416</v>
      </c>
      <c r="E2322" s="3" t="s">
        <v>2417</v>
      </c>
      <c r="F2322" s="3" t="s">
        <v>2416</v>
      </c>
      <c r="G2322" s="3" t="s">
        <v>2417</v>
      </c>
      <c r="H2322" s="4">
        <v>46291.994364120372</v>
      </c>
      <c r="I2322" s="4">
        <v>46291.994708333332</v>
      </c>
      <c r="J2322" s="3">
        <f t="shared" si="6"/>
        <v>0</v>
      </c>
      <c r="K2322" s="3" t="s">
        <v>240</v>
      </c>
      <c r="L2322" s="3" t="s">
        <v>52</v>
      </c>
      <c r="M2322" s="3"/>
      <c r="N2322" s="3" t="s">
        <v>23</v>
      </c>
      <c r="O2322" s="3" t="s">
        <v>241</v>
      </c>
    </row>
    <row r="2323" spans="1:15" hidden="1" x14ac:dyDescent="0.75">
      <c r="A2323" s="2">
        <v>46291</v>
      </c>
      <c r="B2323" s="3" t="s">
        <v>2113</v>
      </c>
      <c r="C2323" s="3" t="s">
        <v>2114</v>
      </c>
      <c r="D2323" s="3" t="s">
        <v>2416</v>
      </c>
      <c r="E2323" s="3" t="s">
        <v>2417</v>
      </c>
      <c r="F2323" s="3" t="s">
        <v>2416</v>
      </c>
      <c r="G2323" s="3" t="s">
        <v>2417</v>
      </c>
      <c r="H2323" s="4">
        <v>46291.994711921303</v>
      </c>
      <c r="I2323" s="4">
        <v>46291.994877199068</v>
      </c>
      <c r="J2323" s="3">
        <f t="shared" si="6"/>
        <v>0</v>
      </c>
      <c r="K2323" s="3" t="s">
        <v>240</v>
      </c>
      <c r="L2323" s="3" t="s">
        <v>52</v>
      </c>
      <c r="M2323" s="3"/>
      <c r="N2323" s="3" t="s">
        <v>23</v>
      </c>
      <c r="O2323" s="3" t="s">
        <v>241</v>
      </c>
    </row>
    <row r="2324" spans="1:15" hidden="1" x14ac:dyDescent="0.75">
      <c r="A2324" s="2">
        <v>46291</v>
      </c>
      <c r="B2324" s="3" t="s">
        <v>2113</v>
      </c>
      <c r="C2324" s="3" t="s">
        <v>2114</v>
      </c>
      <c r="D2324" s="3" t="s">
        <v>2416</v>
      </c>
      <c r="E2324" s="3" t="s">
        <v>2417</v>
      </c>
      <c r="F2324" s="3"/>
      <c r="G2324" s="3"/>
      <c r="H2324" s="4">
        <v>46291.994884027779</v>
      </c>
      <c r="I2324" s="4">
        <v>46291.996607754627</v>
      </c>
      <c r="J2324" s="3">
        <f t="shared" si="6"/>
        <v>2</v>
      </c>
      <c r="K2324" s="3" t="s">
        <v>240</v>
      </c>
      <c r="L2324" s="3" t="s">
        <v>52</v>
      </c>
      <c r="M2324" s="3"/>
      <c r="N2324" s="3" t="s">
        <v>23</v>
      </c>
      <c r="O2324" s="3" t="s">
        <v>241</v>
      </c>
    </row>
    <row r="2325" spans="1:15" hidden="1" x14ac:dyDescent="0.75">
      <c r="A2325" s="2">
        <v>46291</v>
      </c>
      <c r="B2325" s="3" t="s">
        <v>2113</v>
      </c>
      <c r="C2325" s="3" t="s">
        <v>2114</v>
      </c>
      <c r="D2325" s="3"/>
      <c r="E2325" s="3"/>
      <c r="F2325" s="3"/>
      <c r="G2325" s="3"/>
      <c r="H2325" s="4">
        <v>46291.996608449073</v>
      </c>
      <c r="I2325" s="4">
        <v>46291.99746979167</v>
      </c>
      <c r="J2325" s="3">
        <f t="shared" si="6"/>
        <v>1</v>
      </c>
      <c r="K2325" s="3" t="s">
        <v>240</v>
      </c>
      <c r="L2325" s="3" t="s">
        <v>52</v>
      </c>
      <c r="M2325" s="3"/>
      <c r="N2325" s="3" t="s">
        <v>23</v>
      </c>
      <c r="O2325" s="3" t="s">
        <v>241</v>
      </c>
    </row>
    <row r="2326" spans="1:15" hidden="1" x14ac:dyDescent="0.75">
      <c r="A2326" s="2">
        <v>46291</v>
      </c>
      <c r="B2326" s="3" t="s">
        <v>2111</v>
      </c>
      <c r="C2326" s="3" t="s">
        <v>2112</v>
      </c>
      <c r="D2326" s="3" t="s">
        <v>234</v>
      </c>
      <c r="E2326" s="3" t="s">
        <v>235</v>
      </c>
      <c r="F2326" s="3"/>
      <c r="G2326" s="3"/>
      <c r="H2326" s="4">
        <v>46291.996914699077</v>
      </c>
      <c r="I2326" s="4">
        <v>46291.999976736108</v>
      </c>
      <c r="J2326" s="3">
        <f t="shared" si="6"/>
        <v>4</v>
      </c>
      <c r="K2326" s="3" t="s">
        <v>1307</v>
      </c>
      <c r="L2326" s="3" t="s">
        <v>36</v>
      </c>
      <c r="M2326" s="3" t="s">
        <v>36</v>
      </c>
      <c r="N2326" s="3" t="s">
        <v>2367</v>
      </c>
      <c r="O2326" s="3" t="s">
        <v>1308</v>
      </c>
    </row>
    <row r="2327" spans="1:15" hidden="1" x14ac:dyDescent="0.75">
      <c r="A2327" s="2">
        <v>46291</v>
      </c>
      <c r="B2327" s="3" t="s">
        <v>2059</v>
      </c>
      <c r="C2327" s="3" t="s">
        <v>2060</v>
      </c>
      <c r="D2327" s="3" t="s">
        <v>82</v>
      </c>
      <c r="E2327" s="3" t="s">
        <v>83</v>
      </c>
      <c r="F2327" s="3"/>
      <c r="G2327" s="3"/>
      <c r="H2327" s="4">
        <v>46291.99712083333</v>
      </c>
      <c r="I2327" s="4">
        <v>46291.999989583332</v>
      </c>
      <c r="J2327" s="3">
        <f t="shared" si="6"/>
        <v>4</v>
      </c>
      <c r="K2327" s="3" t="s">
        <v>747</v>
      </c>
      <c r="L2327" s="3" t="s">
        <v>22</v>
      </c>
      <c r="M2327" s="3" t="s">
        <v>22</v>
      </c>
      <c r="N2327" s="3" t="s">
        <v>2367</v>
      </c>
      <c r="O2327" s="3" t="s">
        <v>748</v>
      </c>
    </row>
    <row r="2328" spans="1:15" hidden="1" x14ac:dyDescent="0.75">
      <c r="A2328" s="2">
        <v>46291</v>
      </c>
      <c r="B2328" s="3" t="s">
        <v>2113</v>
      </c>
      <c r="C2328" s="3" t="s">
        <v>2114</v>
      </c>
      <c r="D2328" s="3"/>
      <c r="E2328" s="3"/>
      <c r="F2328" s="3" t="s">
        <v>2428</v>
      </c>
      <c r="G2328" s="3" t="s">
        <v>2429</v>
      </c>
      <c r="H2328" s="4">
        <v>46291.997473611111</v>
      </c>
      <c r="I2328" s="4">
        <v>46291.999276388888</v>
      </c>
      <c r="J2328" s="3">
        <f t="shared" si="6"/>
        <v>3</v>
      </c>
      <c r="K2328" s="3" t="s">
        <v>240</v>
      </c>
      <c r="L2328" s="3" t="s">
        <v>52</v>
      </c>
      <c r="M2328" s="3"/>
      <c r="N2328" s="3" t="s">
        <v>23</v>
      </c>
      <c r="O2328" s="3" t="s">
        <v>241</v>
      </c>
    </row>
    <row r="2329" spans="1:15" hidden="1" x14ac:dyDescent="0.75">
      <c r="A2329" s="2">
        <v>46291</v>
      </c>
      <c r="B2329" s="3" t="s">
        <v>2115</v>
      </c>
      <c r="C2329" s="3" t="s">
        <v>2116</v>
      </c>
      <c r="D2329" s="3" t="s">
        <v>56</v>
      </c>
      <c r="E2329" s="3" t="s">
        <v>57</v>
      </c>
      <c r="F2329" s="3" t="s">
        <v>56</v>
      </c>
      <c r="G2329" s="3" t="s">
        <v>57</v>
      </c>
      <c r="H2329" s="4">
        <v>46291.998812384263</v>
      </c>
      <c r="I2329" s="4">
        <v>46291.999995833343</v>
      </c>
      <c r="J2329" s="3">
        <f t="shared" si="6"/>
        <v>2</v>
      </c>
      <c r="K2329" s="3" t="s">
        <v>252</v>
      </c>
      <c r="L2329" s="3" t="s">
        <v>36</v>
      </c>
      <c r="M2329" s="3" t="s">
        <v>36</v>
      </c>
      <c r="N2329" s="3" t="s">
        <v>45</v>
      </c>
      <c r="O2329" s="3" t="s">
        <v>253</v>
      </c>
    </row>
    <row r="2330" spans="1:15" hidden="1" x14ac:dyDescent="0.75">
      <c r="A2330" s="2">
        <v>46291</v>
      </c>
      <c r="B2330" s="3" t="s">
        <v>2113</v>
      </c>
      <c r="C2330" s="3" t="s">
        <v>2114</v>
      </c>
      <c r="D2330" s="3" t="s">
        <v>2428</v>
      </c>
      <c r="E2330" s="3" t="s">
        <v>2429</v>
      </c>
      <c r="F2330" s="3"/>
      <c r="G2330" s="3"/>
      <c r="H2330" s="4">
        <v>46291.999278819443</v>
      </c>
      <c r="I2330" s="4">
        <v>46291.999996296297</v>
      </c>
      <c r="J2330" s="3">
        <f t="shared" si="6"/>
        <v>1</v>
      </c>
      <c r="K2330" s="3" t="s">
        <v>240</v>
      </c>
      <c r="L2330" s="3" t="s">
        <v>52</v>
      </c>
      <c r="M2330" s="3"/>
      <c r="N2330" s="3" t="s">
        <v>2367</v>
      </c>
      <c r="O2330" s="3" t="s">
        <v>241</v>
      </c>
    </row>
    <row r="2331" spans="1:15" hidden="1" x14ac:dyDescent="0.75">
      <c r="A2331" s="2">
        <v>46291</v>
      </c>
      <c r="B2331" s="3" t="s">
        <v>92</v>
      </c>
      <c r="C2331" s="3" t="s">
        <v>93</v>
      </c>
      <c r="D2331" s="3" t="s">
        <v>94</v>
      </c>
      <c r="E2331" s="3" t="s">
        <v>95</v>
      </c>
      <c r="F2331" s="3" t="s">
        <v>94</v>
      </c>
      <c r="G2331" s="3" t="s">
        <v>95</v>
      </c>
      <c r="H2331" s="4">
        <v>46291.999469212962</v>
      </c>
      <c r="I2331" s="4">
        <v>46291.99999074074</v>
      </c>
      <c r="J2331" s="3">
        <f t="shared" si="6"/>
        <v>1</v>
      </c>
      <c r="K2331" s="3" t="s">
        <v>396</v>
      </c>
      <c r="L2331" s="3" t="s">
        <v>77</v>
      </c>
      <c r="M2331" s="3" t="s">
        <v>78</v>
      </c>
      <c r="N2331" s="3" t="s">
        <v>45</v>
      </c>
      <c r="O2331" s="3" t="s">
        <v>397</v>
      </c>
    </row>
  </sheetData>
  <autoFilter ref="A1:O2331" xr:uid="{00000000-0009-0000-0000-000000000000}">
    <filterColumn colId="3">
      <filters>
        <filter val="JFK"/>
        <filter val="MCO"/>
      </filters>
    </filterColumn>
    <filterColumn colId="5">
      <filters>
        <filter val="JFK"/>
        <filter val="MCO"/>
      </filters>
    </filterColumn>
    <filterColumn colId="10">
      <filters>
        <filter val="N2017J"/>
      </filters>
    </filterColumn>
    <sortState xmlns:xlrd2="http://schemas.microsoft.com/office/spreadsheetml/2017/richdata2" ref="A70:O2093">
      <sortCondition ref="H1:H2331"/>
    </sortState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workbookViewId="0"/>
  </sheetViews>
  <sheetFormatPr defaultRowHeight="14.75" x14ac:dyDescent="0.75"/>
  <cols>
    <col min="1" max="1" width="18" customWidth="1"/>
    <col min="2" max="6" width="13" customWidth="1"/>
  </cols>
  <sheetData>
    <row r="1" spans="1:6" ht="16.75" x14ac:dyDescent="0.75">
      <c r="A1" s="5" t="s">
        <v>2430</v>
      </c>
    </row>
    <row r="3" spans="1:6" x14ac:dyDescent="0.75">
      <c r="A3" s="1" t="s">
        <v>11</v>
      </c>
      <c r="B3" s="1" t="s">
        <v>2431</v>
      </c>
      <c r="C3" s="1" t="s">
        <v>2432</v>
      </c>
      <c r="D3" s="1" t="s">
        <v>2433</v>
      </c>
      <c r="E3" s="1" t="s">
        <v>2434</v>
      </c>
      <c r="F3" s="1" t="s">
        <v>2435</v>
      </c>
    </row>
    <row r="4" spans="1:6" x14ac:dyDescent="0.75">
      <c r="A4" s="3" t="s">
        <v>77</v>
      </c>
      <c r="B4" s="3">
        <f>COUNTIFS(Flights!$A$2:$A$2331,DATEVALUE(B$3),Flights!$L$2:$L$2331,$A4)</f>
        <v>190</v>
      </c>
      <c r="C4" s="3">
        <f>COUNTIFS(Flights!$A$2:$A$2331,DATEVALUE(C$3),Flights!$L$2:$L$2331,$A4)</f>
        <v>204</v>
      </c>
      <c r="D4" s="3">
        <f>COUNTIFS(Flights!$A$2:$A$2331,DATEVALUE(D$3),Flights!$L$2:$L$2331,$A4)</f>
        <v>179</v>
      </c>
      <c r="E4" s="3">
        <f>SUM(B4:D4)</f>
        <v>573</v>
      </c>
      <c r="F4" s="3">
        <v>59</v>
      </c>
    </row>
    <row r="5" spans="1:6" x14ac:dyDescent="0.75">
      <c r="A5" s="3" t="s">
        <v>36</v>
      </c>
      <c r="B5" s="3">
        <f>COUNTIFS(Flights!$A$2:$A$2331,DATEVALUE(B$3),Flights!$L$2:$L$2331,$A5)</f>
        <v>308</v>
      </c>
      <c r="C5" s="3">
        <f>COUNTIFS(Flights!$A$2:$A$2331,DATEVALUE(C$3),Flights!$L$2:$L$2331,$A5)</f>
        <v>318</v>
      </c>
      <c r="D5" s="3">
        <f>COUNTIFS(Flights!$A$2:$A$2331,DATEVALUE(D$3),Flights!$L$2:$L$2331,$A5)</f>
        <v>303</v>
      </c>
      <c r="E5" s="3">
        <f>SUM(B5:D5)</f>
        <v>929</v>
      </c>
      <c r="F5" s="3">
        <v>111</v>
      </c>
    </row>
    <row r="6" spans="1:6" x14ac:dyDescent="0.75">
      <c r="A6" s="3" t="s">
        <v>22</v>
      </c>
      <c r="B6" s="3">
        <f>COUNTIFS(Flights!$A$2:$A$2331,DATEVALUE(B$3),Flights!$L$2:$L$2331,$A6)</f>
        <v>148</v>
      </c>
      <c r="C6" s="3">
        <f>COUNTIFS(Flights!$A$2:$A$2331,DATEVALUE(C$3),Flights!$L$2:$L$2331,$A6)</f>
        <v>147</v>
      </c>
      <c r="D6" s="3">
        <f>COUNTIFS(Flights!$A$2:$A$2331,DATEVALUE(D$3),Flights!$L$2:$L$2331,$A6)</f>
        <v>134</v>
      </c>
      <c r="E6" s="3">
        <f>SUM(B6:D6)</f>
        <v>429</v>
      </c>
      <c r="F6" s="3">
        <v>61</v>
      </c>
    </row>
    <row r="7" spans="1:6" x14ac:dyDescent="0.75">
      <c r="A7" s="3" t="s">
        <v>43</v>
      </c>
      <c r="B7" s="3">
        <f>COUNTIFS(Flights!$A$2:$A$2331,DATEVALUE(B$3),Flights!$L$2:$L$2331,$A7)</f>
        <v>66</v>
      </c>
      <c r="C7" s="3">
        <f>COUNTIFS(Flights!$A$2:$A$2331,DATEVALUE(C$3),Flights!$L$2:$L$2331,$A7)</f>
        <v>63</v>
      </c>
      <c r="D7" s="3">
        <f>COUNTIFS(Flights!$A$2:$A$2331,DATEVALUE(D$3),Flights!$L$2:$L$2331,$A7)</f>
        <v>63</v>
      </c>
      <c r="E7" s="3">
        <f>SUM(B7:D7)</f>
        <v>192</v>
      </c>
      <c r="F7" s="3">
        <v>33</v>
      </c>
    </row>
    <row r="8" spans="1:6" x14ac:dyDescent="0.75">
      <c r="A8" s="3" t="s">
        <v>52</v>
      </c>
      <c r="B8" s="3">
        <f>COUNTIFS(Flights!$A$2:$A$2331,DATEVALUE(B$3),Flights!$L$2:$L$2331,$A8)</f>
        <v>46</v>
      </c>
      <c r="C8" s="3">
        <f>COUNTIFS(Flights!$A$2:$A$2331,DATEVALUE(C$3),Flights!$L$2:$L$2331,$A8)</f>
        <v>16</v>
      </c>
      <c r="D8" s="3">
        <f>COUNTIFS(Flights!$A$2:$A$2331,DATEVALUE(D$3),Flights!$L$2:$L$2331,$A8)</f>
        <v>145</v>
      </c>
      <c r="E8" s="3">
        <f>SUM(B8:D8)</f>
        <v>207</v>
      </c>
      <c r="F8" s="3">
        <v>4</v>
      </c>
    </row>
    <row r="9" spans="1:6" x14ac:dyDescent="0.75">
      <c r="A9" s="6" t="s">
        <v>2434</v>
      </c>
      <c r="B9" s="6">
        <f>SUM(B4:B8)</f>
        <v>758</v>
      </c>
      <c r="C9" s="6">
        <f>SUM(C4:C8)</f>
        <v>748</v>
      </c>
      <c r="D9" s="6">
        <f>SUM(D4:D8)</f>
        <v>824</v>
      </c>
      <c r="E9" s="6">
        <f>SUM(E4:E8)</f>
        <v>2330</v>
      </c>
    </row>
    <row r="11" spans="1:6" x14ac:dyDescent="0.75">
      <c r="A11" s="7" t="s">
        <v>2436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69"/>
  <sheetViews>
    <sheetView workbookViewId="0">
      <pane ySplit="1" topLeftCell="A2" activePane="bottomLeft" state="frozen"/>
      <selection pane="bottomLeft"/>
    </sheetView>
  </sheetViews>
  <sheetFormatPr defaultRowHeight="14.75" x14ac:dyDescent="0.75"/>
  <cols>
    <col min="1" max="2" width="14" customWidth="1"/>
    <col min="3" max="3" width="12" customWidth="1"/>
    <col min="4" max="4" width="10" customWidth="1"/>
  </cols>
  <sheetData>
    <row r="1" spans="1:4" x14ac:dyDescent="0.75">
      <c r="A1" s="1" t="s">
        <v>10</v>
      </c>
      <c r="B1" s="1" t="s">
        <v>11</v>
      </c>
      <c r="C1" s="1" t="s">
        <v>12</v>
      </c>
      <c r="D1" s="1" t="s">
        <v>2437</v>
      </c>
    </row>
    <row r="2" spans="1:4" x14ac:dyDescent="0.75">
      <c r="A2" s="3" t="s">
        <v>801</v>
      </c>
      <c r="B2" s="3" t="s">
        <v>77</v>
      </c>
      <c r="C2" s="3" t="s">
        <v>78</v>
      </c>
      <c r="D2" s="3">
        <f>COUNTIF(Flights!$K$2:$K$2331,A2)</f>
        <v>9</v>
      </c>
    </row>
    <row r="3" spans="1:4" x14ac:dyDescent="0.75">
      <c r="A3" s="3" t="s">
        <v>1735</v>
      </c>
      <c r="B3" s="3" t="s">
        <v>77</v>
      </c>
      <c r="C3" s="3" t="s">
        <v>78</v>
      </c>
      <c r="D3" s="3">
        <f>COUNTIF(Flights!$K$2:$K$2331,A3)</f>
        <v>6</v>
      </c>
    </row>
    <row r="4" spans="1:4" x14ac:dyDescent="0.75">
      <c r="A4" s="3" t="s">
        <v>1229</v>
      </c>
      <c r="B4" s="3" t="s">
        <v>77</v>
      </c>
      <c r="C4" s="3" t="s">
        <v>78</v>
      </c>
      <c r="D4" s="3">
        <f>COUNTIF(Flights!$K$2:$K$2331,A4)</f>
        <v>10</v>
      </c>
    </row>
    <row r="5" spans="1:4" x14ac:dyDescent="0.75">
      <c r="A5" s="3" t="s">
        <v>2303</v>
      </c>
      <c r="B5" s="3" t="s">
        <v>77</v>
      </c>
      <c r="C5" s="3" t="s">
        <v>78</v>
      </c>
      <c r="D5" s="3">
        <f>COUNTIF(Flights!$K$2:$K$2331,A5)</f>
        <v>4</v>
      </c>
    </row>
    <row r="6" spans="1:4" x14ac:dyDescent="0.75">
      <c r="A6" s="3" t="s">
        <v>939</v>
      </c>
      <c r="B6" s="3" t="s">
        <v>77</v>
      </c>
      <c r="C6" s="3" t="s">
        <v>78</v>
      </c>
      <c r="D6" s="3">
        <f>COUNTIF(Flights!$K$2:$K$2331,A6)</f>
        <v>12</v>
      </c>
    </row>
    <row r="7" spans="1:4" x14ac:dyDescent="0.75">
      <c r="A7" s="3" t="s">
        <v>368</v>
      </c>
      <c r="B7" s="3" t="s">
        <v>77</v>
      </c>
      <c r="C7" s="3" t="s">
        <v>78</v>
      </c>
      <c r="D7" s="3">
        <f>COUNTIF(Flights!$K$2:$K$2331,A7)</f>
        <v>15</v>
      </c>
    </row>
    <row r="8" spans="1:4" x14ac:dyDescent="0.75">
      <c r="A8" s="3" t="s">
        <v>230</v>
      </c>
      <c r="B8" s="3" t="s">
        <v>77</v>
      </c>
      <c r="C8" s="3" t="s">
        <v>78</v>
      </c>
      <c r="D8" s="3">
        <f>COUNTIF(Flights!$K$2:$K$2331,A8)</f>
        <v>10</v>
      </c>
    </row>
    <row r="9" spans="1:4" x14ac:dyDescent="0.75">
      <c r="A9" s="3" t="s">
        <v>1501</v>
      </c>
      <c r="B9" s="3" t="s">
        <v>77</v>
      </c>
      <c r="C9" s="3" t="s">
        <v>78</v>
      </c>
      <c r="D9" s="3">
        <f>COUNTIF(Flights!$K$2:$K$2331,A9)</f>
        <v>9</v>
      </c>
    </row>
    <row r="10" spans="1:4" x14ac:dyDescent="0.75">
      <c r="A10" s="3" t="s">
        <v>1177</v>
      </c>
      <c r="B10" s="3" t="s">
        <v>77</v>
      </c>
      <c r="C10" s="3" t="s">
        <v>78</v>
      </c>
      <c r="D10" s="3">
        <f>COUNTIF(Flights!$K$2:$K$2331,A10)</f>
        <v>7</v>
      </c>
    </row>
    <row r="11" spans="1:4" x14ac:dyDescent="0.75">
      <c r="A11" s="3" t="s">
        <v>955</v>
      </c>
      <c r="B11" s="3" t="s">
        <v>77</v>
      </c>
      <c r="C11" s="3" t="s">
        <v>78</v>
      </c>
      <c r="D11" s="3">
        <f>COUNTIF(Flights!$K$2:$K$2331,A11)</f>
        <v>10</v>
      </c>
    </row>
    <row r="12" spans="1:4" x14ac:dyDescent="0.75">
      <c r="A12" s="3" t="s">
        <v>807</v>
      </c>
      <c r="B12" s="3" t="s">
        <v>77</v>
      </c>
      <c r="C12" s="3" t="s">
        <v>78</v>
      </c>
      <c r="D12" s="3">
        <f>COUNTIF(Flights!$K$2:$K$2331,A12)</f>
        <v>13</v>
      </c>
    </row>
    <row r="13" spans="1:4" x14ac:dyDescent="0.75">
      <c r="A13" s="3" t="s">
        <v>160</v>
      </c>
      <c r="B13" s="3" t="s">
        <v>77</v>
      </c>
      <c r="C13" s="3" t="s">
        <v>78</v>
      </c>
      <c r="D13" s="3">
        <f>COUNTIF(Flights!$K$2:$K$2331,A13)</f>
        <v>11</v>
      </c>
    </row>
    <row r="14" spans="1:4" x14ac:dyDescent="0.75">
      <c r="A14" s="3" t="s">
        <v>1261</v>
      </c>
      <c r="B14" s="3" t="s">
        <v>77</v>
      </c>
      <c r="C14" s="3" t="s">
        <v>78</v>
      </c>
      <c r="D14" s="3">
        <f>COUNTIF(Flights!$K$2:$K$2331,A14)</f>
        <v>11</v>
      </c>
    </row>
    <row r="15" spans="1:4" x14ac:dyDescent="0.75">
      <c r="A15" s="3" t="s">
        <v>236</v>
      </c>
      <c r="B15" s="3" t="s">
        <v>77</v>
      </c>
      <c r="C15" s="3" t="s">
        <v>78</v>
      </c>
      <c r="D15" s="3">
        <f>COUNTIF(Flights!$K$2:$K$2331,A15)</f>
        <v>12</v>
      </c>
    </row>
    <row r="16" spans="1:4" x14ac:dyDescent="0.75">
      <c r="A16" s="3" t="s">
        <v>1911</v>
      </c>
      <c r="B16" s="3" t="s">
        <v>77</v>
      </c>
      <c r="C16" s="3" t="s">
        <v>78</v>
      </c>
      <c r="D16" s="3">
        <f>COUNTIF(Flights!$K$2:$K$2331,A16)</f>
        <v>10</v>
      </c>
    </row>
    <row r="17" spans="1:4" x14ac:dyDescent="0.75">
      <c r="A17" s="3" t="s">
        <v>697</v>
      </c>
      <c r="B17" s="3" t="s">
        <v>77</v>
      </c>
      <c r="C17" s="3" t="s">
        <v>78</v>
      </c>
      <c r="D17" s="3">
        <f>COUNTIF(Flights!$K$2:$K$2331,A17)</f>
        <v>11</v>
      </c>
    </row>
    <row r="18" spans="1:4" x14ac:dyDescent="0.75">
      <c r="A18" s="3" t="s">
        <v>2323</v>
      </c>
      <c r="B18" s="3" t="s">
        <v>77</v>
      </c>
      <c r="C18" s="3" t="s">
        <v>78</v>
      </c>
      <c r="D18" s="3">
        <f>COUNTIF(Flights!$K$2:$K$2331,A18)</f>
        <v>4</v>
      </c>
    </row>
    <row r="19" spans="1:4" x14ac:dyDescent="0.75">
      <c r="A19" s="3" t="s">
        <v>422</v>
      </c>
      <c r="B19" s="3" t="s">
        <v>77</v>
      </c>
      <c r="C19" s="3" t="s">
        <v>78</v>
      </c>
      <c r="D19" s="3">
        <f>COUNTIF(Flights!$K$2:$K$2331,A19)</f>
        <v>10</v>
      </c>
    </row>
    <row r="20" spans="1:4" x14ac:dyDescent="0.75">
      <c r="A20" s="3" t="s">
        <v>396</v>
      </c>
      <c r="B20" s="3" t="s">
        <v>77</v>
      </c>
      <c r="C20" s="3" t="s">
        <v>78</v>
      </c>
      <c r="D20" s="3">
        <f>COUNTIF(Flights!$K$2:$K$2331,A20)</f>
        <v>8</v>
      </c>
    </row>
    <row r="21" spans="1:4" x14ac:dyDescent="0.75">
      <c r="A21" s="3" t="s">
        <v>891</v>
      </c>
      <c r="B21" s="3" t="s">
        <v>77</v>
      </c>
      <c r="C21" s="3" t="s">
        <v>78</v>
      </c>
      <c r="D21" s="3">
        <f>COUNTIF(Flights!$K$2:$K$2331,A21)</f>
        <v>11</v>
      </c>
    </row>
    <row r="22" spans="1:4" x14ac:dyDescent="0.75">
      <c r="A22" s="3" t="s">
        <v>76</v>
      </c>
      <c r="B22" s="3" t="s">
        <v>77</v>
      </c>
      <c r="C22" s="3" t="s">
        <v>78</v>
      </c>
      <c r="D22" s="3">
        <f>COUNTIF(Flights!$K$2:$K$2331,A22)</f>
        <v>10</v>
      </c>
    </row>
    <row r="23" spans="1:4" x14ac:dyDescent="0.75">
      <c r="A23" s="3" t="s">
        <v>300</v>
      </c>
      <c r="B23" s="3" t="s">
        <v>77</v>
      </c>
      <c r="C23" s="3" t="s">
        <v>78</v>
      </c>
      <c r="D23" s="3">
        <f>COUNTIF(Flights!$K$2:$K$2331,A23)</f>
        <v>8</v>
      </c>
    </row>
    <row r="24" spans="1:4" x14ac:dyDescent="0.75">
      <c r="A24" s="3" t="s">
        <v>1161</v>
      </c>
      <c r="B24" s="3" t="s">
        <v>77</v>
      </c>
      <c r="C24" s="3" t="s">
        <v>78</v>
      </c>
      <c r="D24" s="3">
        <f>COUNTIF(Flights!$K$2:$K$2331,A24)</f>
        <v>13</v>
      </c>
    </row>
    <row r="25" spans="1:4" x14ac:dyDescent="0.75">
      <c r="A25" s="3" t="s">
        <v>1115</v>
      </c>
      <c r="B25" s="3" t="s">
        <v>77</v>
      </c>
      <c r="C25" s="3" t="s">
        <v>78</v>
      </c>
      <c r="D25" s="3">
        <f>COUNTIF(Flights!$K$2:$K$2331,A25)</f>
        <v>11</v>
      </c>
    </row>
    <row r="26" spans="1:4" x14ac:dyDescent="0.75">
      <c r="A26" s="3" t="s">
        <v>296</v>
      </c>
      <c r="B26" s="3" t="s">
        <v>77</v>
      </c>
      <c r="C26" s="3" t="s">
        <v>78</v>
      </c>
      <c r="D26" s="3">
        <f>COUNTIF(Flights!$K$2:$K$2331,A26)</f>
        <v>14</v>
      </c>
    </row>
    <row r="27" spans="1:4" x14ac:dyDescent="0.75">
      <c r="A27" s="3" t="s">
        <v>543</v>
      </c>
      <c r="B27" s="3" t="s">
        <v>77</v>
      </c>
      <c r="C27" s="3" t="s">
        <v>78</v>
      </c>
      <c r="D27" s="3">
        <f>COUNTIF(Flights!$K$2:$K$2331,A27)</f>
        <v>5</v>
      </c>
    </row>
    <row r="28" spans="1:4" x14ac:dyDescent="0.75">
      <c r="A28" s="3" t="s">
        <v>2313</v>
      </c>
      <c r="B28" s="3" t="s">
        <v>77</v>
      </c>
      <c r="C28" s="3" t="s">
        <v>78</v>
      </c>
      <c r="D28" s="3">
        <f>COUNTIF(Flights!$K$2:$K$2331,A28)</f>
        <v>5</v>
      </c>
    </row>
    <row r="29" spans="1:4" x14ac:dyDescent="0.75">
      <c r="A29" s="3" t="s">
        <v>553</v>
      </c>
      <c r="B29" s="3" t="s">
        <v>77</v>
      </c>
      <c r="C29" s="3" t="s">
        <v>78</v>
      </c>
      <c r="D29" s="3">
        <f>COUNTIF(Flights!$K$2:$K$2331,A29)</f>
        <v>10</v>
      </c>
    </row>
    <row r="30" spans="1:4" x14ac:dyDescent="0.75">
      <c r="A30" s="3" t="s">
        <v>90</v>
      </c>
      <c r="B30" s="3" t="s">
        <v>77</v>
      </c>
      <c r="C30" s="3" t="s">
        <v>78</v>
      </c>
      <c r="D30" s="3">
        <f>COUNTIF(Flights!$K$2:$K$2331,A30)</f>
        <v>13</v>
      </c>
    </row>
    <row r="31" spans="1:4" x14ac:dyDescent="0.75">
      <c r="A31" s="3" t="s">
        <v>1037</v>
      </c>
      <c r="B31" s="3" t="s">
        <v>77</v>
      </c>
      <c r="C31" s="3" t="s">
        <v>78</v>
      </c>
      <c r="D31" s="3">
        <f>COUNTIF(Flights!$K$2:$K$2331,A31)</f>
        <v>11</v>
      </c>
    </row>
    <row r="32" spans="1:4" x14ac:dyDescent="0.75">
      <c r="A32" s="3" t="s">
        <v>847</v>
      </c>
      <c r="B32" s="3" t="s">
        <v>77</v>
      </c>
      <c r="C32" s="3" t="s">
        <v>78</v>
      </c>
      <c r="D32" s="3">
        <f>COUNTIF(Flights!$K$2:$K$2331,A32)</f>
        <v>12</v>
      </c>
    </row>
    <row r="33" spans="1:4" x14ac:dyDescent="0.75">
      <c r="A33" s="3" t="s">
        <v>2147</v>
      </c>
      <c r="B33" s="3" t="s">
        <v>77</v>
      </c>
      <c r="C33" s="3" t="s">
        <v>78</v>
      </c>
      <c r="D33" s="3">
        <f>COUNTIF(Flights!$K$2:$K$2331,A33)</f>
        <v>5</v>
      </c>
    </row>
    <row r="34" spans="1:4" x14ac:dyDescent="0.75">
      <c r="A34" s="3" t="s">
        <v>2193</v>
      </c>
      <c r="B34" s="3" t="s">
        <v>77</v>
      </c>
      <c r="C34" s="3" t="s">
        <v>78</v>
      </c>
      <c r="D34" s="3">
        <f>COUNTIF(Flights!$K$2:$K$2331,A34)</f>
        <v>8</v>
      </c>
    </row>
    <row r="35" spans="1:4" x14ac:dyDescent="0.75">
      <c r="A35" s="3" t="s">
        <v>477</v>
      </c>
      <c r="B35" s="3" t="s">
        <v>77</v>
      </c>
      <c r="C35" s="3" t="s">
        <v>78</v>
      </c>
      <c r="D35" s="3">
        <f>COUNTIF(Flights!$K$2:$K$2331,A35)</f>
        <v>13</v>
      </c>
    </row>
    <row r="36" spans="1:4" x14ac:dyDescent="0.75">
      <c r="A36" s="3" t="s">
        <v>793</v>
      </c>
      <c r="B36" s="3" t="s">
        <v>77</v>
      </c>
      <c r="C36" s="3" t="s">
        <v>78</v>
      </c>
      <c r="D36" s="3">
        <f>COUNTIF(Flights!$K$2:$K$2331,A36)</f>
        <v>10</v>
      </c>
    </row>
    <row r="37" spans="1:4" x14ac:dyDescent="0.75">
      <c r="A37" s="3" t="s">
        <v>739</v>
      </c>
      <c r="B37" s="3" t="s">
        <v>77</v>
      </c>
      <c r="C37" s="3" t="s">
        <v>78</v>
      </c>
      <c r="D37" s="3">
        <f>COUNTIF(Flights!$K$2:$K$2331,A37)</f>
        <v>10</v>
      </c>
    </row>
    <row r="38" spans="1:4" x14ac:dyDescent="0.75">
      <c r="A38" s="3" t="s">
        <v>2263</v>
      </c>
      <c r="B38" s="3" t="s">
        <v>77</v>
      </c>
      <c r="C38" s="3" t="s">
        <v>78</v>
      </c>
      <c r="D38" s="3">
        <f>COUNTIF(Flights!$K$2:$K$2331,A38)</f>
        <v>6</v>
      </c>
    </row>
    <row r="39" spans="1:4" x14ac:dyDescent="0.75">
      <c r="A39" s="3" t="s">
        <v>356</v>
      </c>
      <c r="B39" s="3" t="s">
        <v>77</v>
      </c>
      <c r="C39" s="3" t="s">
        <v>78</v>
      </c>
      <c r="D39" s="3">
        <f>COUNTIF(Flights!$K$2:$K$2331,A39)</f>
        <v>14</v>
      </c>
    </row>
    <row r="40" spans="1:4" x14ac:dyDescent="0.75">
      <c r="A40" s="3" t="s">
        <v>743</v>
      </c>
      <c r="B40" s="3" t="s">
        <v>77</v>
      </c>
      <c r="C40" s="3" t="s">
        <v>78</v>
      </c>
      <c r="D40" s="3">
        <f>COUNTIF(Flights!$K$2:$K$2331,A40)</f>
        <v>9</v>
      </c>
    </row>
    <row r="41" spans="1:4" x14ac:dyDescent="0.75">
      <c r="A41" s="3" t="s">
        <v>184</v>
      </c>
      <c r="B41" s="3" t="s">
        <v>77</v>
      </c>
      <c r="C41" s="3" t="s">
        <v>78</v>
      </c>
      <c r="D41" s="3">
        <f>COUNTIF(Flights!$K$2:$K$2331,A41)</f>
        <v>9</v>
      </c>
    </row>
    <row r="42" spans="1:4" x14ac:dyDescent="0.75">
      <c r="A42" s="3" t="s">
        <v>629</v>
      </c>
      <c r="B42" s="3" t="s">
        <v>77</v>
      </c>
      <c r="C42" s="3" t="s">
        <v>78</v>
      </c>
      <c r="D42" s="3">
        <f>COUNTIF(Flights!$K$2:$K$2331,A42)</f>
        <v>9</v>
      </c>
    </row>
    <row r="43" spans="1:4" x14ac:dyDescent="0.75">
      <c r="A43" s="3" t="s">
        <v>529</v>
      </c>
      <c r="B43" s="3" t="s">
        <v>77</v>
      </c>
      <c r="C43" s="3" t="s">
        <v>78</v>
      </c>
      <c r="D43" s="3">
        <f>COUNTIF(Flights!$K$2:$K$2331,A43)</f>
        <v>9</v>
      </c>
    </row>
    <row r="44" spans="1:4" x14ac:dyDescent="0.75">
      <c r="A44" s="3" t="s">
        <v>501</v>
      </c>
      <c r="B44" s="3" t="s">
        <v>77</v>
      </c>
      <c r="C44" s="3" t="s">
        <v>78</v>
      </c>
      <c r="D44" s="3">
        <f>COUNTIF(Flights!$K$2:$K$2331,A44)</f>
        <v>7</v>
      </c>
    </row>
    <row r="45" spans="1:4" x14ac:dyDescent="0.75">
      <c r="A45" s="3" t="s">
        <v>372</v>
      </c>
      <c r="B45" s="3" t="s">
        <v>77</v>
      </c>
      <c r="C45" s="3" t="s">
        <v>78</v>
      </c>
      <c r="D45" s="3">
        <f>COUNTIF(Flights!$K$2:$K$2331,A45)</f>
        <v>12</v>
      </c>
    </row>
    <row r="46" spans="1:4" x14ac:dyDescent="0.75">
      <c r="A46" s="3" t="s">
        <v>2187</v>
      </c>
      <c r="B46" s="3" t="s">
        <v>77</v>
      </c>
      <c r="C46" s="3" t="s">
        <v>78</v>
      </c>
      <c r="D46" s="3">
        <f>COUNTIF(Flights!$K$2:$K$2331,A46)</f>
        <v>6</v>
      </c>
    </row>
    <row r="47" spans="1:4" x14ac:dyDescent="0.75">
      <c r="A47" s="3" t="s">
        <v>96</v>
      </c>
      <c r="B47" s="3" t="s">
        <v>77</v>
      </c>
      <c r="C47" s="3" t="s">
        <v>78</v>
      </c>
      <c r="D47" s="3">
        <f>COUNTIF(Flights!$K$2:$K$2331,A47)</f>
        <v>11</v>
      </c>
    </row>
    <row r="48" spans="1:4" x14ac:dyDescent="0.75">
      <c r="A48" s="3" t="s">
        <v>224</v>
      </c>
      <c r="B48" s="3" t="s">
        <v>77</v>
      </c>
      <c r="C48" s="3" t="s">
        <v>78</v>
      </c>
      <c r="D48" s="3">
        <f>COUNTIF(Flights!$K$2:$K$2331,A48)</f>
        <v>15</v>
      </c>
    </row>
    <row r="49" spans="1:4" x14ac:dyDescent="0.75">
      <c r="A49" s="3" t="s">
        <v>1015</v>
      </c>
      <c r="B49" s="3" t="s">
        <v>77</v>
      </c>
      <c r="C49" s="3" t="s">
        <v>78</v>
      </c>
      <c r="D49" s="3">
        <f>COUNTIF(Flights!$K$2:$K$2331,A49)</f>
        <v>12</v>
      </c>
    </row>
    <row r="50" spans="1:4" x14ac:dyDescent="0.75">
      <c r="A50" s="3" t="s">
        <v>831</v>
      </c>
      <c r="B50" s="3" t="s">
        <v>77</v>
      </c>
      <c r="C50" s="3" t="s">
        <v>78</v>
      </c>
      <c r="D50" s="3">
        <f>COUNTIF(Flights!$K$2:$K$2331,A50)</f>
        <v>7</v>
      </c>
    </row>
    <row r="51" spans="1:4" x14ac:dyDescent="0.75">
      <c r="A51" s="3" t="s">
        <v>1997</v>
      </c>
      <c r="B51" s="3" t="s">
        <v>77</v>
      </c>
      <c r="C51" s="3" t="s">
        <v>78</v>
      </c>
      <c r="D51" s="3">
        <f>COUNTIF(Flights!$K$2:$K$2331,A51)</f>
        <v>8</v>
      </c>
    </row>
    <row r="52" spans="1:4" x14ac:dyDescent="0.75">
      <c r="A52" s="3" t="s">
        <v>783</v>
      </c>
      <c r="B52" s="3" t="s">
        <v>77</v>
      </c>
      <c r="C52" s="3" t="s">
        <v>78</v>
      </c>
      <c r="D52" s="3">
        <f>COUNTIF(Flights!$K$2:$K$2331,A52)</f>
        <v>10</v>
      </c>
    </row>
    <row r="53" spans="1:4" x14ac:dyDescent="0.75">
      <c r="A53" s="3" t="s">
        <v>220</v>
      </c>
      <c r="B53" s="3" t="s">
        <v>77</v>
      </c>
      <c r="C53" s="3" t="s">
        <v>78</v>
      </c>
      <c r="D53" s="3">
        <f>COUNTIF(Flights!$K$2:$K$2331,A53)</f>
        <v>12</v>
      </c>
    </row>
    <row r="54" spans="1:4" x14ac:dyDescent="0.75">
      <c r="A54" s="3" t="s">
        <v>623</v>
      </c>
      <c r="B54" s="3" t="s">
        <v>77</v>
      </c>
      <c r="C54" s="3" t="s">
        <v>78</v>
      </c>
      <c r="D54" s="3">
        <f>COUNTIF(Flights!$K$2:$K$2331,A54)</f>
        <v>7</v>
      </c>
    </row>
    <row r="55" spans="1:4" x14ac:dyDescent="0.75">
      <c r="A55" s="3" t="s">
        <v>931</v>
      </c>
      <c r="B55" s="3" t="s">
        <v>77</v>
      </c>
      <c r="C55" s="3" t="s">
        <v>78</v>
      </c>
      <c r="D55" s="3">
        <f>COUNTIF(Flights!$K$2:$K$2331,A55)</f>
        <v>11</v>
      </c>
    </row>
    <row r="56" spans="1:4" x14ac:dyDescent="0.75">
      <c r="A56" s="3" t="s">
        <v>214</v>
      </c>
      <c r="B56" s="3" t="s">
        <v>77</v>
      </c>
      <c r="C56" s="3" t="s">
        <v>78</v>
      </c>
      <c r="D56" s="3">
        <f>COUNTIF(Flights!$K$2:$K$2331,A56)</f>
        <v>7</v>
      </c>
    </row>
    <row r="57" spans="1:4" x14ac:dyDescent="0.75">
      <c r="A57" s="3" t="s">
        <v>1023</v>
      </c>
      <c r="B57" s="3" t="s">
        <v>77</v>
      </c>
      <c r="C57" s="3" t="s">
        <v>78</v>
      </c>
      <c r="D57" s="3">
        <f>COUNTIF(Flights!$K$2:$K$2331,A57)</f>
        <v>9</v>
      </c>
    </row>
    <row r="58" spans="1:4" x14ac:dyDescent="0.75">
      <c r="A58" s="3" t="s">
        <v>1293</v>
      </c>
      <c r="B58" s="3" t="s">
        <v>77</v>
      </c>
      <c r="C58" s="3" t="s">
        <v>78</v>
      </c>
      <c r="D58" s="3">
        <f>COUNTIF(Flights!$K$2:$K$2331,A58)</f>
        <v>11</v>
      </c>
    </row>
    <row r="59" spans="1:4" x14ac:dyDescent="0.75">
      <c r="A59" s="3" t="s">
        <v>1033</v>
      </c>
      <c r="B59" s="3" t="s">
        <v>77</v>
      </c>
      <c r="C59" s="3" t="s">
        <v>78</v>
      </c>
      <c r="D59" s="3">
        <f>COUNTIF(Flights!$K$2:$K$2331,A59)</f>
        <v>10</v>
      </c>
    </row>
    <row r="60" spans="1:4" x14ac:dyDescent="0.75">
      <c r="A60" s="3" t="s">
        <v>1517</v>
      </c>
      <c r="B60" s="3" t="s">
        <v>77</v>
      </c>
      <c r="C60" s="3" t="s">
        <v>78</v>
      </c>
      <c r="D60" s="3">
        <f>COUNTIF(Flights!$K$2:$K$2331,A60)</f>
        <v>11</v>
      </c>
    </row>
    <row r="61" spans="1:4" x14ac:dyDescent="0.75">
      <c r="A61" s="3" t="s">
        <v>1125</v>
      </c>
      <c r="B61" s="3" t="s">
        <v>36</v>
      </c>
      <c r="C61" s="3" t="s">
        <v>36</v>
      </c>
      <c r="D61" s="3">
        <f>COUNTIF(Flights!$K$2:$K$2331,A61)</f>
        <v>4</v>
      </c>
    </row>
    <row r="62" spans="1:4" x14ac:dyDescent="0.75">
      <c r="A62" s="3" t="s">
        <v>1343</v>
      </c>
      <c r="B62" s="3" t="s">
        <v>36</v>
      </c>
      <c r="C62" s="3" t="s">
        <v>36</v>
      </c>
      <c r="D62" s="3">
        <f>COUNTIF(Flights!$K$2:$K$2331,A62)</f>
        <v>11</v>
      </c>
    </row>
    <row r="63" spans="1:4" x14ac:dyDescent="0.75">
      <c r="A63" s="3" t="s">
        <v>174</v>
      </c>
      <c r="B63" s="3" t="s">
        <v>36</v>
      </c>
      <c r="C63" s="3" t="s">
        <v>36</v>
      </c>
      <c r="D63" s="3">
        <f>COUNTIF(Flights!$K$2:$K$2331,A63)</f>
        <v>7</v>
      </c>
    </row>
    <row r="64" spans="1:4" x14ac:dyDescent="0.75">
      <c r="A64" s="3" t="s">
        <v>775</v>
      </c>
      <c r="B64" s="3" t="s">
        <v>36</v>
      </c>
      <c r="C64" s="3" t="s">
        <v>36</v>
      </c>
      <c r="D64" s="3">
        <f>COUNTIF(Flights!$K$2:$K$2331,A64)</f>
        <v>9</v>
      </c>
    </row>
    <row r="65" spans="1:4" x14ac:dyDescent="0.75">
      <c r="A65" s="3" t="s">
        <v>380</v>
      </c>
      <c r="B65" s="3" t="s">
        <v>36</v>
      </c>
      <c r="C65" s="3" t="s">
        <v>36</v>
      </c>
      <c r="D65" s="3">
        <f>COUNTIF(Flights!$K$2:$K$2331,A65)</f>
        <v>10</v>
      </c>
    </row>
    <row r="66" spans="1:4" x14ac:dyDescent="0.75">
      <c r="A66" s="3" t="s">
        <v>282</v>
      </c>
      <c r="B66" s="3" t="s">
        <v>36</v>
      </c>
      <c r="C66" s="3" t="s">
        <v>36</v>
      </c>
      <c r="D66" s="3">
        <f>COUNTIF(Flights!$K$2:$K$2331,A66)</f>
        <v>7</v>
      </c>
    </row>
    <row r="67" spans="1:4" x14ac:dyDescent="0.75">
      <c r="A67" s="3" t="s">
        <v>134</v>
      </c>
      <c r="B67" s="3" t="s">
        <v>36</v>
      </c>
      <c r="C67" s="3" t="s">
        <v>36</v>
      </c>
      <c r="D67" s="3">
        <f>COUNTIF(Flights!$K$2:$K$2331,A67)</f>
        <v>11</v>
      </c>
    </row>
    <row r="68" spans="1:4" x14ac:dyDescent="0.75">
      <c r="A68" s="3" t="s">
        <v>981</v>
      </c>
      <c r="B68" s="3" t="s">
        <v>36</v>
      </c>
      <c r="C68" s="3" t="s">
        <v>36</v>
      </c>
      <c r="D68" s="3">
        <f>COUNTIF(Flights!$K$2:$K$2331,A68)</f>
        <v>10</v>
      </c>
    </row>
    <row r="69" spans="1:4" x14ac:dyDescent="0.75">
      <c r="A69" s="3" t="s">
        <v>1369</v>
      </c>
      <c r="B69" s="3" t="s">
        <v>36</v>
      </c>
      <c r="C69" s="3" t="s">
        <v>36</v>
      </c>
      <c r="D69" s="3">
        <f>COUNTIF(Flights!$K$2:$K$2331,A69)</f>
        <v>6</v>
      </c>
    </row>
    <row r="70" spans="1:4" x14ac:dyDescent="0.75">
      <c r="A70" s="3" t="s">
        <v>130</v>
      </c>
      <c r="B70" s="3" t="s">
        <v>36</v>
      </c>
      <c r="C70" s="3" t="s">
        <v>36</v>
      </c>
      <c r="D70" s="3">
        <f>COUNTIF(Flights!$K$2:$K$2331,A70)</f>
        <v>11</v>
      </c>
    </row>
    <row r="71" spans="1:4" x14ac:dyDescent="0.75">
      <c r="A71" s="3" t="s">
        <v>999</v>
      </c>
      <c r="B71" s="3" t="s">
        <v>36</v>
      </c>
      <c r="C71" s="3" t="s">
        <v>36</v>
      </c>
      <c r="D71" s="3">
        <f>COUNTIF(Flights!$K$2:$K$2331,A71)</f>
        <v>6</v>
      </c>
    </row>
    <row r="72" spans="1:4" x14ac:dyDescent="0.75">
      <c r="A72" s="3" t="s">
        <v>1045</v>
      </c>
      <c r="B72" s="3" t="s">
        <v>36</v>
      </c>
      <c r="C72" s="3" t="s">
        <v>36</v>
      </c>
      <c r="D72" s="3">
        <f>COUNTIF(Flights!$K$2:$K$2331,A72)</f>
        <v>10</v>
      </c>
    </row>
    <row r="73" spans="1:4" x14ac:dyDescent="0.75">
      <c r="A73" s="3" t="s">
        <v>70</v>
      </c>
      <c r="B73" s="3" t="s">
        <v>36</v>
      </c>
      <c r="C73" s="3" t="s">
        <v>36</v>
      </c>
      <c r="D73" s="3">
        <f>COUNTIF(Flights!$K$2:$K$2331,A73)</f>
        <v>6</v>
      </c>
    </row>
    <row r="74" spans="1:4" x14ac:dyDescent="0.75">
      <c r="A74" s="3" t="s">
        <v>2339</v>
      </c>
      <c r="B74" s="3" t="s">
        <v>36</v>
      </c>
      <c r="C74" s="3" t="s">
        <v>36</v>
      </c>
      <c r="D74" s="3">
        <f>COUNTIF(Flights!$K$2:$K$2331,A74)</f>
        <v>4</v>
      </c>
    </row>
    <row r="75" spans="1:4" x14ac:dyDescent="0.75">
      <c r="A75" s="3" t="s">
        <v>1617</v>
      </c>
      <c r="B75" s="3" t="s">
        <v>36</v>
      </c>
      <c r="C75" s="3" t="s">
        <v>36</v>
      </c>
      <c r="D75" s="3">
        <f>COUNTIF(Flights!$K$2:$K$2331,A75)</f>
        <v>5</v>
      </c>
    </row>
    <row r="76" spans="1:4" x14ac:dyDescent="0.75">
      <c r="A76" s="3" t="s">
        <v>2125</v>
      </c>
      <c r="B76" s="3" t="s">
        <v>36</v>
      </c>
      <c r="C76" s="3" t="s">
        <v>36</v>
      </c>
      <c r="D76" s="3">
        <f>COUNTIF(Flights!$K$2:$K$2331,A76)</f>
        <v>8</v>
      </c>
    </row>
    <row r="77" spans="1:4" x14ac:dyDescent="0.75">
      <c r="A77" s="3" t="s">
        <v>641</v>
      </c>
      <c r="B77" s="3" t="s">
        <v>36</v>
      </c>
      <c r="C77" s="3" t="s">
        <v>36</v>
      </c>
      <c r="D77" s="3">
        <f>COUNTIF(Flights!$K$2:$K$2331,A77)</f>
        <v>8</v>
      </c>
    </row>
    <row r="78" spans="1:4" x14ac:dyDescent="0.75">
      <c r="A78" s="3" t="s">
        <v>164</v>
      </c>
      <c r="B78" s="3" t="s">
        <v>36</v>
      </c>
      <c r="C78" s="3" t="s">
        <v>36</v>
      </c>
      <c r="D78" s="3">
        <f>COUNTIF(Flights!$K$2:$K$2331,A78)</f>
        <v>11</v>
      </c>
    </row>
    <row r="79" spans="1:4" x14ac:dyDescent="0.75">
      <c r="A79" s="3" t="s">
        <v>1317</v>
      </c>
      <c r="B79" s="3" t="s">
        <v>36</v>
      </c>
      <c r="C79" s="3" t="s">
        <v>36</v>
      </c>
      <c r="D79" s="3">
        <f>COUNTIF(Flights!$K$2:$K$2331,A79)</f>
        <v>9</v>
      </c>
    </row>
    <row r="80" spans="1:4" x14ac:dyDescent="0.75">
      <c r="A80" s="3" t="s">
        <v>673</v>
      </c>
      <c r="B80" s="3" t="s">
        <v>36</v>
      </c>
      <c r="C80" s="3" t="s">
        <v>36</v>
      </c>
      <c r="D80" s="3">
        <f>COUNTIF(Flights!$K$2:$K$2331,A80)</f>
        <v>10</v>
      </c>
    </row>
    <row r="81" spans="1:4" x14ac:dyDescent="0.75">
      <c r="A81" s="3" t="s">
        <v>430</v>
      </c>
      <c r="B81" s="3" t="s">
        <v>36</v>
      </c>
      <c r="C81" s="3" t="s">
        <v>36</v>
      </c>
      <c r="D81" s="3">
        <f>COUNTIF(Flights!$K$2:$K$2331,A81)</f>
        <v>8</v>
      </c>
    </row>
    <row r="82" spans="1:4" x14ac:dyDescent="0.75">
      <c r="A82" s="3" t="s">
        <v>1469</v>
      </c>
      <c r="B82" s="3" t="s">
        <v>36</v>
      </c>
      <c r="C82" s="3" t="s">
        <v>36</v>
      </c>
      <c r="D82" s="3">
        <f>COUNTIF(Flights!$K$2:$K$2331,A82)</f>
        <v>9</v>
      </c>
    </row>
    <row r="83" spans="1:4" x14ac:dyDescent="0.75">
      <c r="A83" s="3" t="s">
        <v>406</v>
      </c>
      <c r="B83" s="3" t="s">
        <v>36</v>
      </c>
      <c r="C83" s="3" t="s">
        <v>36</v>
      </c>
      <c r="D83" s="3">
        <f>COUNTIF(Flights!$K$2:$K$2331,A83)</f>
        <v>13</v>
      </c>
    </row>
    <row r="84" spans="1:4" x14ac:dyDescent="0.75">
      <c r="A84" s="3" t="s">
        <v>1185</v>
      </c>
      <c r="B84" s="3" t="s">
        <v>36</v>
      </c>
      <c r="C84" s="3" t="s">
        <v>36</v>
      </c>
      <c r="D84" s="3">
        <f>COUNTIF(Flights!$K$2:$K$2331,A84)</f>
        <v>7</v>
      </c>
    </row>
    <row r="85" spans="1:4" x14ac:dyDescent="0.75">
      <c r="A85" s="3" t="s">
        <v>310</v>
      </c>
      <c r="B85" s="3" t="s">
        <v>36</v>
      </c>
      <c r="C85" s="3" t="s">
        <v>36</v>
      </c>
      <c r="D85" s="3">
        <f>COUNTIF(Flights!$K$2:$K$2331,A85)</f>
        <v>12</v>
      </c>
    </row>
    <row r="86" spans="1:4" x14ac:dyDescent="0.75">
      <c r="A86" s="3" t="s">
        <v>154</v>
      </c>
      <c r="B86" s="3" t="s">
        <v>36</v>
      </c>
      <c r="C86" s="3" t="s">
        <v>36</v>
      </c>
      <c r="D86" s="3">
        <f>COUNTIF(Flights!$K$2:$K$2331,A86)</f>
        <v>8</v>
      </c>
    </row>
    <row r="87" spans="1:4" x14ac:dyDescent="0.75">
      <c r="A87" s="3" t="s">
        <v>2231</v>
      </c>
      <c r="B87" s="3" t="s">
        <v>36</v>
      </c>
      <c r="C87" s="3" t="s">
        <v>36</v>
      </c>
      <c r="D87" s="3">
        <f>COUNTIF(Flights!$K$2:$K$2331,A87)</f>
        <v>3</v>
      </c>
    </row>
    <row r="88" spans="1:4" x14ac:dyDescent="0.75">
      <c r="A88" s="3" t="s">
        <v>402</v>
      </c>
      <c r="B88" s="3" t="s">
        <v>36</v>
      </c>
      <c r="C88" s="3" t="s">
        <v>36</v>
      </c>
      <c r="D88" s="3">
        <f>COUNTIF(Flights!$K$2:$K$2331,A88)</f>
        <v>10</v>
      </c>
    </row>
    <row r="89" spans="1:4" x14ac:dyDescent="0.75">
      <c r="A89" s="3" t="s">
        <v>1873</v>
      </c>
      <c r="B89" s="3" t="s">
        <v>36</v>
      </c>
      <c r="C89" s="3" t="s">
        <v>36</v>
      </c>
      <c r="D89" s="3">
        <f>COUNTIF(Flights!$K$2:$K$2331,A89)</f>
        <v>7</v>
      </c>
    </row>
    <row r="90" spans="1:4" x14ac:dyDescent="0.75">
      <c r="A90" s="3" t="s">
        <v>715</v>
      </c>
      <c r="B90" s="3" t="s">
        <v>36</v>
      </c>
      <c r="C90" s="3" t="s">
        <v>36</v>
      </c>
      <c r="D90" s="3">
        <f>COUNTIF(Flights!$K$2:$K$2331,A90)</f>
        <v>11</v>
      </c>
    </row>
    <row r="91" spans="1:4" x14ac:dyDescent="0.75">
      <c r="A91" s="3" t="s">
        <v>336</v>
      </c>
      <c r="B91" s="3" t="s">
        <v>36</v>
      </c>
      <c r="C91" s="3" t="s">
        <v>36</v>
      </c>
      <c r="D91" s="3">
        <f>COUNTIF(Flights!$K$2:$K$2331,A91)</f>
        <v>11</v>
      </c>
    </row>
    <row r="92" spans="1:4" x14ac:dyDescent="0.75">
      <c r="A92" s="3" t="s">
        <v>210</v>
      </c>
      <c r="B92" s="3" t="s">
        <v>36</v>
      </c>
      <c r="C92" s="3" t="s">
        <v>36</v>
      </c>
      <c r="D92" s="3">
        <f>COUNTIF(Flights!$K$2:$K$2331,A92)</f>
        <v>12</v>
      </c>
    </row>
    <row r="93" spans="1:4" x14ac:dyDescent="0.75">
      <c r="A93" s="3" t="s">
        <v>118</v>
      </c>
      <c r="B93" s="3" t="s">
        <v>36</v>
      </c>
      <c r="C93" s="3" t="s">
        <v>36</v>
      </c>
      <c r="D93" s="3">
        <f>COUNTIF(Flights!$K$2:$K$2331,A93)</f>
        <v>6</v>
      </c>
    </row>
    <row r="94" spans="1:4" x14ac:dyDescent="0.75">
      <c r="A94" s="3" t="s">
        <v>314</v>
      </c>
      <c r="B94" s="3" t="s">
        <v>36</v>
      </c>
      <c r="C94" s="3" t="s">
        <v>36</v>
      </c>
      <c r="D94" s="3">
        <f>COUNTIF(Flights!$K$2:$K$2331,A94)</f>
        <v>8</v>
      </c>
    </row>
    <row r="95" spans="1:4" x14ac:dyDescent="0.75">
      <c r="A95" s="3" t="s">
        <v>1221</v>
      </c>
      <c r="B95" s="3" t="s">
        <v>36</v>
      </c>
      <c r="C95" s="3" t="s">
        <v>36</v>
      </c>
      <c r="D95" s="3">
        <f>COUNTIF(Flights!$K$2:$K$2331,A95)</f>
        <v>2</v>
      </c>
    </row>
    <row r="96" spans="1:4" x14ac:dyDescent="0.75">
      <c r="A96" s="3" t="s">
        <v>813</v>
      </c>
      <c r="B96" s="3" t="s">
        <v>36</v>
      </c>
      <c r="C96" s="3" t="s">
        <v>36</v>
      </c>
      <c r="D96" s="3">
        <f>COUNTIF(Flights!$K$2:$K$2331,A96)</f>
        <v>7</v>
      </c>
    </row>
    <row r="97" spans="1:4" x14ac:dyDescent="0.75">
      <c r="A97" s="3" t="s">
        <v>1271</v>
      </c>
      <c r="B97" s="3" t="s">
        <v>36</v>
      </c>
      <c r="C97" s="3" t="s">
        <v>36</v>
      </c>
      <c r="D97" s="3">
        <f>COUNTIF(Flights!$K$2:$K$2331,A97)</f>
        <v>9</v>
      </c>
    </row>
    <row r="98" spans="1:4" x14ac:dyDescent="0.75">
      <c r="A98" s="3" t="s">
        <v>1157</v>
      </c>
      <c r="B98" s="3" t="s">
        <v>36</v>
      </c>
      <c r="C98" s="3" t="s">
        <v>36</v>
      </c>
      <c r="D98" s="3">
        <f>COUNTIF(Flights!$K$2:$K$2331,A98)</f>
        <v>7</v>
      </c>
    </row>
    <row r="99" spans="1:4" x14ac:dyDescent="0.75">
      <c r="A99" s="3" t="s">
        <v>1989</v>
      </c>
      <c r="B99" s="3" t="s">
        <v>36</v>
      </c>
      <c r="C99" s="3" t="s">
        <v>36</v>
      </c>
      <c r="D99" s="3">
        <f>COUNTIF(Flights!$K$2:$K$2331,A99)</f>
        <v>8</v>
      </c>
    </row>
    <row r="100" spans="1:4" x14ac:dyDescent="0.75">
      <c r="A100" s="3" t="s">
        <v>2171</v>
      </c>
      <c r="B100" s="3" t="s">
        <v>36</v>
      </c>
      <c r="C100" s="3" t="s">
        <v>36</v>
      </c>
      <c r="D100" s="3">
        <f>COUNTIF(Flights!$K$2:$K$2331,A100)</f>
        <v>6</v>
      </c>
    </row>
    <row r="101" spans="1:4" x14ac:dyDescent="0.75">
      <c r="A101" s="3" t="s">
        <v>1077</v>
      </c>
      <c r="B101" s="3" t="s">
        <v>36</v>
      </c>
      <c r="C101" s="3" t="s">
        <v>36</v>
      </c>
      <c r="D101" s="3">
        <f>COUNTIF(Flights!$K$2:$K$2331,A101)</f>
        <v>9</v>
      </c>
    </row>
    <row r="102" spans="1:4" x14ac:dyDescent="0.75">
      <c r="A102" s="3" t="s">
        <v>144</v>
      </c>
      <c r="B102" s="3" t="s">
        <v>36</v>
      </c>
      <c r="C102" s="3" t="s">
        <v>36</v>
      </c>
      <c r="D102" s="3">
        <f>COUNTIF(Flights!$K$2:$K$2331,A102)</f>
        <v>9</v>
      </c>
    </row>
    <row r="103" spans="1:4" x14ac:dyDescent="0.75">
      <c r="A103" s="3" t="s">
        <v>617</v>
      </c>
      <c r="B103" s="3" t="s">
        <v>36</v>
      </c>
      <c r="C103" s="3" t="s">
        <v>36</v>
      </c>
      <c r="D103" s="3">
        <f>COUNTIF(Flights!$K$2:$K$2331,A103)</f>
        <v>8</v>
      </c>
    </row>
    <row r="104" spans="1:4" x14ac:dyDescent="0.75">
      <c r="A104" s="3" t="s">
        <v>1089</v>
      </c>
      <c r="B104" s="3" t="s">
        <v>36</v>
      </c>
      <c r="C104" s="3" t="s">
        <v>36</v>
      </c>
      <c r="D104" s="3">
        <f>COUNTIF(Flights!$K$2:$K$2331,A104)</f>
        <v>11</v>
      </c>
    </row>
    <row r="105" spans="1:4" x14ac:dyDescent="0.75">
      <c r="A105" s="3" t="s">
        <v>1723</v>
      </c>
      <c r="B105" s="3" t="s">
        <v>36</v>
      </c>
      <c r="C105" s="3" t="s">
        <v>36</v>
      </c>
      <c r="D105" s="3">
        <f>COUNTIF(Flights!$K$2:$K$2331,A105)</f>
        <v>9</v>
      </c>
    </row>
    <row r="106" spans="1:4" x14ac:dyDescent="0.75">
      <c r="A106" s="3" t="s">
        <v>138</v>
      </c>
      <c r="B106" s="3" t="s">
        <v>36</v>
      </c>
      <c r="C106" s="3" t="s">
        <v>36</v>
      </c>
      <c r="D106" s="3">
        <f>COUNTIF(Flights!$K$2:$K$2331,A106)</f>
        <v>12</v>
      </c>
    </row>
    <row r="107" spans="1:4" x14ac:dyDescent="0.75">
      <c r="A107" s="3" t="s">
        <v>1571</v>
      </c>
      <c r="B107" s="3" t="s">
        <v>36</v>
      </c>
      <c r="C107" s="3" t="s">
        <v>36</v>
      </c>
      <c r="D107" s="3">
        <f>COUNTIF(Flights!$K$2:$K$2331,A107)</f>
        <v>7</v>
      </c>
    </row>
    <row r="108" spans="1:4" x14ac:dyDescent="0.75">
      <c r="A108" s="3" t="s">
        <v>1751</v>
      </c>
      <c r="B108" s="3" t="s">
        <v>36</v>
      </c>
      <c r="C108" s="3" t="s">
        <v>36</v>
      </c>
      <c r="D108" s="3">
        <f>COUNTIF(Flights!$K$2:$K$2331,A108)</f>
        <v>3</v>
      </c>
    </row>
    <row r="109" spans="1:4" x14ac:dyDescent="0.75">
      <c r="A109" s="3" t="s">
        <v>384</v>
      </c>
      <c r="B109" s="3" t="s">
        <v>36</v>
      </c>
      <c r="C109" s="3" t="s">
        <v>36</v>
      </c>
      <c r="D109" s="3">
        <f>COUNTIF(Flights!$K$2:$K$2331,A109)</f>
        <v>12</v>
      </c>
    </row>
    <row r="110" spans="1:4" x14ac:dyDescent="0.75">
      <c r="A110" s="3" t="s">
        <v>1069</v>
      </c>
      <c r="B110" s="3" t="s">
        <v>36</v>
      </c>
      <c r="C110" s="3" t="s">
        <v>36</v>
      </c>
      <c r="D110" s="3">
        <f>COUNTIF(Flights!$K$2:$K$2331,A110)</f>
        <v>10</v>
      </c>
    </row>
    <row r="111" spans="1:4" x14ac:dyDescent="0.75">
      <c r="A111" s="3" t="s">
        <v>1211</v>
      </c>
      <c r="B111" s="3" t="s">
        <v>36</v>
      </c>
      <c r="C111" s="3" t="s">
        <v>36</v>
      </c>
      <c r="D111" s="3">
        <f>COUNTIF(Flights!$K$2:$K$2331,A111)</f>
        <v>8</v>
      </c>
    </row>
    <row r="112" spans="1:4" x14ac:dyDescent="0.75">
      <c r="A112" s="3" t="s">
        <v>376</v>
      </c>
      <c r="B112" s="3" t="s">
        <v>36</v>
      </c>
      <c r="C112" s="3" t="s">
        <v>36</v>
      </c>
      <c r="D112" s="3">
        <f>COUNTIF(Flights!$K$2:$K$2331,A112)</f>
        <v>10</v>
      </c>
    </row>
    <row r="113" spans="1:4" x14ac:dyDescent="0.75">
      <c r="A113" s="3" t="s">
        <v>537</v>
      </c>
      <c r="B113" s="3" t="s">
        <v>36</v>
      </c>
      <c r="C113" s="3" t="s">
        <v>36</v>
      </c>
      <c r="D113" s="3">
        <f>COUNTIF(Flights!$K$2:$K$2331,A113)</f>
        <v>9</v>
      </c>
    </row>
    <row r="114" spans="1:4" x14ac:dyDescent="0.75">
      <c r="A114" s="3" t="s">
        <v>2402</v>
      </c>
      <c r="B114" s="3" t="s">
        <v>36</v>
      </c>
      <c r="C114" s="3" t="s">
        <v>36</v>
      </c>
      <c r="D114" s="3">
        <f>COUNTIF(Flights!$K$2:$K$2331,A114)</f>
        <v>1</v>
      </c>
    </row>
    <row r="115" spans="1:4" x14ac:dyDescent="0.75">
      <c r="A115" s="3" t="s">
        <v>102</v>
      </c>
      <c r="B115" s="3" t="s">
        <v>36</v>
      </c>
      <c r="C115" s="3" t="s">
        <v>36</v>
      </c>
      <c r="D115" s="3">
        <f>COUNTIF(Flights!$K$2:$K$2331,A115)</f>
        <v>11</v>
      </c>
    </row>
    <row r="116" spans="1:4" x14ac:dyDescent="0.75">
      <c r="A116" s="3" t="s">
        <v>2307</v>
      </c>
      <c r="B116" s="3" t="s">
        <v>36</v>
      </c>
      <c r="C116" s="3" t="s">
        <v>36</v>
      </c>
      <c r="D116" s="3">
        <f>COUNTIF(Flights!$K$2:$K$2331,A116)</f>
        <v>4</v>
      </c>
    </row>
    <row r="117" spans="1:4" x14ac:dyDescent="0.75">
      <c r="A117" s="3" t="s">
        <v>168</v>
      </c>
      <c r="B117" s="3" t="s">
        <v>36</v>
      </c>
      <c r="C117" s="3" t="s">
        <v>36</v>
      </c>
      <c r="D117" s="3">
        <f>COUNTIF(Flights!$K$2:$K$2331,A117)</f>
        <v>7</v>
      </c>
    </row>
    <row r="118" spans="1:4" x14ac:dyDescent="0.75">
      <c r="A118" s="3" t="s">
        <v>86</v>
      </c>
      <c r="B118" s="3" t="s">
        <v>36</v>
      </c>
      <c r="C118" s="3" t="s">
        <v>36</v>
      </c>
      <c r="D118" s="3">
        <f>COUNTIF(Flights!$K$2:$K$2331,A118)</f>
        <v>9</v>
      </c>
    </row>
    <row r="119" spans="1:4" x14ac:dyDescent="0.75">
      <c r="A119" s="3" t="s">
        <v>899</v>
      </c>
      <c r="B119" s="3" t="s">
        <v>36</v>
      </c>
      <c r="C119" s="3" t="s">
        <v>36</v>
      </c>
      <c r="D119" s="3">
        <f>COUNTIF(Flights!$K$2:$K$2331,A119)</f>
        <v>2</v>
      </c>
    </row>
    <row r="120" spans="1:4" x14ac:dyDescent="0.75">
      <c r="A120" s="3" t="s">
        <v>442</v>
      </c>
      <c r="B120" s="3" t="s">
        <v>36</v>
      </c>
      <c r="C120" s="3" t="s">
        <v>36</v>
      </c>
      <c r="D120" s="3">
        <f>COUNTIF(Flights!$K$2:$K$2331,A120)</f>
        <v>8</v>
      </c>
    </row>
    <row r="121" spans="1:4" x14ac:dyDescent="0.75">
      <c r="A121" s="3" t="s">
        <v>985</v>
      </c>
      <c r="B121" s="3" t="s">
        <v>36</v>
      </c>
      <c r="C121" s="3" t="s">
        <v>36</v>
      </c>
      <c r="D121" s="3">
        <f>COUNTIF(Flights!$K$2:$K$2331,A121)</f>
        <v>8</v>
      </c>
    </row>
    <row r="122" spans="1:4" x14ac:dyDescent="0.75">
      <c r="A122" s="3" t="s">
        <v>493</v>
      </c>
      <c r="B122" s="3" t="s">
        <v>36</v>
      </c>
      <c r="C122" s="3" t="s">
        <v>36</v>
      </c>
      <c r="D122" s="3">
        <f>COUNTIF(Flights!$K$2:$K$2331,A122)</f>
        <v>8</v>
      </c>
    </row>
    <row r="123" spans="1:4" x14ac:dyDescent="0.75">
      <c r="A123" s="3" t="s">
        <v>1881</v>
      </c>
      <c r="B123" s="3" t="s">
        <v>36</v>
      </c>
      <c r="C123" s="3" t="s">
        <v>36</v>
      </c>
      <c r="D123" s="3">
        <f>COUNTIF(Flights!$K$2:$K$2331,A123)</f>
        <v>5</v>
      </c>
    </row>
    <row r="124" spans="1:4" x14ac:dyDescent="0.75">
      <c r="A124" s="3" t="s">
        <v>256</v>
      </c>
      <c r="B124" s="3" t="s">
        <v>36</v>
      </c>
      <c r="C124" s="3" t="s">
        <v>36</v>
      </c>
      <c r="D124" s="3">
        <f>COUNTIF(Flights!$K$2:$K$2331,A124)</f>
        <v>9</v>
      </c>
    </row>
    <row r="125" spans="1:4" x14ac:dyDescent="0.75">
      <c r="A125" s="3" t="s">
        <v>252</v>
      </c>
      <c r="B125" s="3" t="s">
        <v>36</v>
      </c>
      <c r="C125" s="3" t="s">
        <v>36</v>
      </c>
      <c r="D125" s="3">
        <f>COUNTIF(Flights!$K$2:$K$2331,A125)</f>
        <v>11</v>
      </c>
    </row>
    <row r="126" spans="1:4" x14ac:dyDescent="0.75">
      <c r="A126" s="3" t="s">
        <v>961</v>
      </c>
      <c r="B126" s="3" t="s">
        <v>36</v>
      </c>
      <c r="C126" s="3" t="s">
        <v>36</v>
      </c>
      <c r="D126" s="3">
        <f>COUNTIF(Flights!$K$2:$K$2331,A126)</f>
        <v>10</v>
      </c>
    </row>
    <row r="127" spans="1:4" x14ac:dyDescent="0.75">
      <c r="A127" s="3" t="s">
        <v>2215</v>
      </c>
      <c r="B127" s="3" t="s">
        <v>36</v>
      </c>
      <c r="C127" s="3" t="s">
        <v>36</v>
      </c>
      <c r="D127" s="3">
        <f>COUNTIF(Flights!$K$2:$K$2331,A127)</f>
        <v>7</v>
      </c>
    </row>
    <row r="128" spans="1:4" x14ac:dyDescent="0.75">
      <c r="A128" s="3" t="s">
        <v>969</v>
      </c>
      <c r="B128" s="3" t="s">
        <v>36</v>
      </c>
      <c r="C128" s="3" t="s">
        <v>36</v>
      </c>
      <c r="D128" s="3">
        <f>COUNTIF(Flights!$K$2:$K$2331,A128)</f>
        <v>12</v>
      </c>
    </row>
    <row r="129" spans="1:4" x14ac:dyDescent="0.75">
      <c r="A129" s="3" t="s">
        <v>60</v>
      </c>
      <c r="B129" s="3" t="s">
        <v>36</v>
      </c>
      <c r="C129" s="3" t="s">
        <v>36</v>
      </c>
      <c r="D129" s="3">
        <f>COUNTIF(Flights!$K$2:$K$2331,A129)</f>
        <v>14</v>
      </c>
    </row>
    <row r="130" spans="1:4" x14ac:dyDescent="0.75">
      <c r="A130" s="3" t="s">
        <v>935</v>
      </c>
      <c r="B130" s="3" t="s">
        <v>36</v>
      </c>
      <c r="C130" s="3" t="s">
        <v>36</v>
      </c>
      <c r="D130" s="3">
        <f>COUNTIF(Flights!$K$2:$K$2331,A130)</f>
        <v>10</v>
      </c>
    </row>
    <row r="131" spans="1:4" x14ac:dyDescent="0.75">
      <c r="A131" s="3" t="s">
        <v>859</v>
      </c>
      <c r="B131" s="3" t="s">
        <v>36</v>
      </c>
      <c r="C131" s="3" t="s">
        <v>36</v>
      </c>
      <c r="D131" s="3">
        <f>COUNTIF(Flights!$K$2:$K$2331,A131)</f>
        <v>9</v>
      </c>
    </row>
    <row r="132" spans="1:4" x14ac:dyDescent="0.75">
      <c r="A132" s="3" t="s">
        <v>108</v>
      </c>
      <c r="B132" s="3" t="s">
        <v>36</v>
      </c>
      <c r="C132" s="3" t="s">
        <v>36</v>
      </c>
      <c r="D132" s="3">
        <f>COUNTIF(Flights!$K$2:$K$2331,A132)</f>
        <v>8</v>
      </c>
    </row>
    <row r="133" spans="1:4" x14ac:dyDescent="0.75">
      <c r="A133" s="3" t="s">
        <v>1191</v>
      </c>
      <c r="B133" s="3" t="s">
        <v>36</v>
      </c>
      <c r="C133" s="3" t="s">
        <v>36</v>
      </c>
      <c r="D133" s="3">
        <f>COUNTIF(Flights!$K$2:$K$2331,A133)</f>
        <v>9</v>
      </c>
    </row>
    <row r="134" spans="1:4" x14ac:dyDescent="0.75">
      <c r="A134" s="3" t="s">
        <v>873</v>
      </c>
      <c r="B134" s="3" t="s">
        <v>36</v>
      </c>
      <c r="C134" s="3" t="s">
        <v>36</v>
      </c>
      <c r="D134" s="3">
        <f>COUNTIF(Flights!$K$2:$K$2331,A134)</f>
        <v>10</v>
      </c>
    </row>
    <row r="135" spans="1:4" x14ac:dyDescent="0.75">
      <c r="A135" s="3" t="s">
        <v>489</v>
      </c>
      <c r="B135" s="3" t="s">
        <v>36</v>
      </c>
      <c r="C135" s="3" t="s">
        <v>36</v>
      </c>
      <c r="D135" s="3">
        <f>COUNTIF(Flights!$K$2:$K$2331,A135)</f>
        <v>12</v>
      </c>
    </row>
    <row r="136" spans="1:4" x14ac:dyDescent="0.75">
      <c r="A136" s="3" t="s">
        <v>35</v>
      </c>
      <c r="B136" s="3" t="s">
        <v>36</v>
      </c>
      <c r="C136" s="3" t="s">
        <v>36</v>
      </c>
      <c r="D136" s="3">
        <f>COUNTIF(Flights!$K$2:$K$2331,A136)</f>
        <v>10</v>
      </c>
    </row>
    <row r="137" spans="1:4" x14ac:dyDescent="0.75">
      <c r="A137" s="3" t="s">
        <v>1105</v>
      </c>
      <c r="B137" s="3" t="s">
        <v>36</v>
      </c>
      <c r="C137" s="3" t="s">
        <v>36</v>
      </c>
      <c r="D137" s="3">
        <f>COUNTIF(Flights!$K$2:$K$2331,A137)</f>
        <v>5</v>
      </c>
    </row>
    <row r="138" spans="1:4" x14ac:dyDescent="0.75">
      <c r="A138" s="3" t="s">
        <v>438</v>
      </c>
      <c r="B138" s="3" t="s">
        <v>36</v>
      </c>
      <c r="C138" s="3" t="s">
        <v>36</v>
      </c>
      <c r="D138" s="3">
        <f>COUNTIF(Flights!$K$2:$K$2331,A138)</f>
        <v>10</v>
      </c>
    </row>
    <row r="139" spans="1:4" x14ac:dyDescent="0.75">
      <c r="A139" s="3" t="s">
        <v>1715</v>
      </c>
      <c r="B139" s="3" t="s">
        <v>36</v>
      </c>
      <c r="C139" s="3" t="s">
        <v>36</v>
      </c>
      <c r="D139" s="3">
        <f>COUNTIF(Flights!$K$2:$K$2331,A139)</f>
        <v>10</v>
      </c>
    </row>
    <row r="140" spans="1:4" x14ac:dyDescent="0.75">
      <c r="A140" s="3" t="s">
        <v>911</v>
      </c>
      <c r="B140" s="3" t="s">
        <v>36</v>
      </c>
      <c r="C140" s="3" t="s">
        <v>36</v>
      </c>
      <c r="D140" s="3">
        <f>COUNTIF(Flights!$K$2:$K$2331,A140)</f>
        <v>9</v>
      </c>
    </row>
    <row r="141" spans="1:4" x14ac:dyDescent="0.75">
      <c r="A141" s="3" t="s">
        <v>1359</v>
      </c>
      <c r="B141" s="3" t="s">
        <v>36</v>
      </c>
      <c r="C141" s="3" t="s">
        <v>36</v>
      </c>
      <c r="D141" s="3">
        <f>COUNTIF(Flights!$K$2:$K$2331,A141)</f>
        <v>5</v>
      </c>
    </row>
    <row r="142" spans="1:4" x14ac:dyDescent="0.75">
      <c r="A142" s="3" t="s">
        <v>198</v>
      </c>
      <c r="B142" s="3" t="s">
        <v>36</v>
      </c>
      <c r="C142" s="3" t="s">
        <v>36</v>
      </c>
      <c r="D142" s="3">
        <f>COUNTIF(Flights!$K$2:$K$2331,A142)</f>
        <v>10</v>
      </c>
    </row>
    <row r="143" spans="1:4" x14ac:dyDescent="0.75">
      <c r="A143" s="3" t="s">
        <v>867</v>
      </c>
      <c r="B143" s="3" t="s">
        <v>36</v>
      </c>
      <c r="C143" s="3" t="s">
        <v>36</v>
      </c>
      <c r="D143" s="3">
        <f>COUNTIF(Flights!$K$2:$K$2331,A143)</f>
        <v>6</v>
      </c>
    </row>
    <row r="144" spans="1:4" x14ac:dyDescent="0.75">
      <c r="A144" s="3" t="s">
        <v>150</v>
      </c>
      <c r="B144" s="3" t="s">
        <v>36</v>
      </c>
      <c r="C144" s="3" t="s">
        <v>36</v>
      </c>
      <c r="D144" s="3">
        <f>COUNTIF(Flights!$K$2:$K$2331,A144)</f>
        <v>10</v>
      </c>
    </row>
    <row r="145" spans="1:4" x14ac:dyDescent="0.75">
      <c r="A145" s="3" t="s">
        <v>272</v>
      </c>
      <c r="B145" s="3" t="s">
        <v>36</v>
      </c>
      <c r="C145" s="3" t="s">
        <v>36</v>
      </c>
      <c r="D145" s="3">
        <f>COUNTIF(Flights!$K$2:$K$2331,A145)</f>
        <v>10</v>
      </c>
    </row>
    <row r="146" spans="1:4" x14ac:dyDescent="0.75">
      <c r="A146" s="3" t="s">
        <v>322</v>
      </c>
      <c r="B146" s="3" t="s">
        <v>36</v>
      </c>
      <c r="C146" s="3" t="s">
        <v>36</v>
      </c>
      <c r="D146" s="3">
        <f>COUNTIF(Flights!$K$2:$K$2331,A146)</f>
        <v>5</v>
      </c>
    </row>
    <row r="147" spans="1:4" x14ac:dyDescent="0.75">
      <c r="A147" s="3" t="s">
        <v>789</v>
      </c>
      <c r="B147" s="3" t="s">
        <v>36</v>
      </c>
      <c r="C147" s="3" t="s">
        <v>36</v>
      </c>
      <c r="D147" s="3">
        <f>COUNTIF(Flights!$K$2:$K$2331,A147)</f>
        <v>9</v>
      </c>
    </row>
    <row r="148" spans="1:4" x14ac:dyDescent="0.75">
      <c r="A148" s="3" t="s">
        <v>1389</v>
      </c>
      <c r="B148" s="3" t="s">
        <v>36</v>
      </c>
      <c r="C148" s="3" t="s">
        <v>36</v>
      </c>
      <c r="D148" s="3">
        <f>COUNTIF(Flights!$K$2:$K$2331,A148)</f>
        <v>7</v>
      </c>
    </row>
    <row r="149" spans="1:4" x14ac:dyDescent="0.75">
      <c r="A149" s="3" t="s">
        <v>665</v>
      </c>
      <c r="B149" s="3" t="s">
        <v>36</v>
      </c>
      <c r="C149" s="3" t="s">
        <v>36</v>
      </c>
      <c r="D149" s="3">
        <f>COUNTIF(Flights!$K$2:$K$2331,A149)</f>
        <v>9</v>
      </c>
    </row>
    <row r="150" spans="1:4" x14ac:dyDescent="0.75">
      <c r="A150" s="3" t="s">
        <v>515</v>
      </c>
      <c r="B150" s="3" t="s">
        <v>36</v>
      </c>
      <c r="C150" s="3" t="s">
        <v>36</v>
      </c>
      <c r="D150" s="3">
        <f>COUNTIF(Flights!$K$2:$K$2331,A150)</f>
        <v>5</v>
      </c>
    </row>
    <row r="151" spans="1:4" x14ac:dyDescent="0.75">
      <c r="A151" s="3" t="s">
        <v>434</v>
      </c>
      <c r="B151" s="3" t="s">
        <v>36</v>
      </c>
      <c r="C151" s="3" t="s">
        <v>36</v>
      </c>
      <c r="D151" s="3">
        <f>COUNTIF(Flights!$K$2:$K$2331,A151)</f>
        <v>12</v>
      </c>
    </row>
    <row r="152" spans="1:4" x14ac:dyDescent="0.75">
      <c r="A152" s="3" t="s">
        <v>1651</v>
      </c>
      <c r="B152" s="3" t="s">
        <v>36</v>
      </c>
      <c r="C152" s="3" t="s">
        <v>36</v>
      </c>
      <c r="D152" s="3">
        <f>COUNTIF(Flights!$K$2:$K$2331,A152)</f>
        <v>9</v>
      </c>
    </row>
    <row r="153" spans="1:4" x14ac:dyDescent="0.75">
      <c r="A153" s="3" t="s">
        <v>1009</v>
      </c>
      <c r="B153" s="3" t="s">
        <v>36</v>
      </c>
      <c r="C153" s="3" t="s">
        <v>36</v>
      </c>
      <c r="D153" s="3">
        <f>COUNTIF(Flights!$K$2:$K$2331,A153)</f>
        <v>7</v>
      </c>
    </row>
    <row r="154" spans="1:4" x14ac:dyDescent="0.75">
      <c r="A154" s="3" t="s">
        <v>951</v>
      </c>
      <c r="B154" s="3" t="s">
        <v>36</v>
      </c>
      <c r="C154" s="3" t="s">
        <v>36</v>
      </c>
      <c r="D154" s="3">
        <f>COUNTIF(Flights!$K$2:$K$2331,A154)</f>
        <v>11</v>
      </c>
    </row>
    <row r="155" spans="1:4" x14ac:dyDescent="0.75">
      <c r="A155" s="3" t="s">
        <v>112</v>
      </c>
      <c r="B155" s="3" t="s">
        <v>36</v>
      </c>
      <c r="C155" s="3" t="s">
        <v>36</v>
      </c>
      <c r="D155" s="3">
        <f>COUNTIF(Flights!$K$2:$K$2331,A155)</f>
        <v>10</v>
      </c>
    </row>
    <row r="156" spans="1:4" x14ac:dyDescent="0.75">
      <c r="A156" s="3" t="s">
        <v>2273</v>
      </c>
      <c r="B156" s="3" t="s">
        <v>36</v>
      </c>
      <c r="C156" s="3" t="s">
        <v>36</v>
      </c>
      <c r="D156" s="3">
        <f>COUNTIF(Flights!$K$2:$K$2331,A156)</f>
        <v>5</v>
      </c>
    </row>
    <row r="157" spans="1:4" x14ac:dyDescent="0.75">
      <c r="A157" s="3" t="s">
        <v>887</v>
      </c>
      <c r="B157" s="3" t="s">
        <v>36</v>
      </c>
      <c r="C157" s="3" t="s">
        <v>36</v>
      </c>
      <c r="D157" s="3">
        <f>COUNTIF(Flights!$K$2:$K$2331,A157)</f>
        <v>10</v>
      </c>
    </row>
    <row r="158" spans="1:4" x14ac:dyDescent="0.75">
      <c r="A158" s="3" t="s">
        <v>2289</v>
      </c>
      <c r="B158" s="3" t="s">
        <v>36</v>
      </c>
      <c r="C158" s="3" t="s">
        <v>36</v>
      </c>
      <c r="D158" s="3">
        <f>COUNTIF(Flights!$K$2:$K$2331,A158)</f>
        <v>4</v>
      </c>
    </row>
    <row r="159" spans="1:4" x14ac:dyDescent="0.75">
      <c r="A159" s="3" t="s">
        <v>246</v>
      </c>
      <c r="B159" s="3" t="s">
        <v>36</v>
      </c>
      <c r="C159" s="3" t="s">
        <v>36</v>
      </c>
      <c r="D159" s="3">
        <f>COUNTIF(Flights!$K$2:$K$2331,A159)</f>
        <v>11</v>
      </c>
    </row>
    <row r="160" spans="1:4" x14ac:dyDescent="0.75">
      <c r="A160" s="3" t="s">
        <v>1505</v>
      </c>
      <c r="B160" s="3" t="s">
        <v>36</v>
      </c>
      <c r="C160" s="3" t="s">
        <v>36</v>
      </c>
      <c r="D160" s="3">
        <f>COUNTIF(Flights!$K$2:$K$2331,A160)</f>
        <v>7</v>
      </c>
    </row>
    <row r="161" spans="1:4" x14ac:dyDescent="0.75">
      <c r="A161" s="3" t="s">
        <v>993</v>
      </c>
      <c r="B161" s="3" t="s">
        <v>36</v>
      </c>
      <c r="C161" s="3" t="s">
        <v>36</v>
      </c>
      <c r="D161" s="3">
        <f>COUNTIF(Flights!$K$2:$K$2331,A161)</f>
        <v>12</v>
      </c>
    </row>
    <row r="162" spans="1:4" x14ac:dyDescent="0.75">
      <c r="A162" s="3" t="s">
        <v>907</v>
      </c>
      <c r="B162" s="3" t="s">
        <v>36</v>
      </c>
      <c r="C162" s="3" t="s">
        <v>36</v>
      </c>
      <c r="D162" s="3">
        <f>COUNTIF(Flights!$K$2:$K$2331,A162)</f>
        <v>10</v>
      </c>
    </row>
    <row r="163" spans="1:4" x14ac:dyDescent="0.75">
      <c r="A163" s="3" t="s">
        <v>819</v>
      </c>
      <c r="B163" s="3" t="s">
        <v>36</v>
      </c>
      <c r="C163" s="3" t="s">
        <v>36</v>
      </c>
      <c r="D163" s="3">
        <f>COUNTIF(Flights!$K$2:$K$2331,A163)</f>
        <v>6</v>
      </c>
    </row>
    <row r="164" spans="1:4" x14ac:dyDescent="0.75">
      <c r="A164" s="3" t="s">
        <v>1363</v>
      </c>
      <c r="B164" s="3" t="s">
        <v>36</v>
      </c>
      <c r="C164" s="3" t="s">
        <v>36</v>
      </c>
      <c r="D164" s="3">
        <f>COUNTIF(Flights!$K$2:$K$2331,A164)</f>
        <v>8</v>
      </c>
    </row>
    <row r="165" spans="1:4" x14ac:dyDescent="0.75">
      <c r="A165" s="3" t="s">
        <v>1307</v>
      </c>
      <c r="B165" s="3" t="s">
        <v>36</v>
      </c>
      <c r="C165" s="3" t="s">
        <v>36</v>
      </c>
      <c r="D165" s="3">
        <f>COUNTIF(Flights!$K$2:$K$2331,A165)</f>
        <v>11</v>
      </c>
    </row>
    <row r="166" spans="1:4" x14ac:dyDescent="0.75">
      <c r="A166" s="3" t="s">
        <v>703</v>
      </c>
      <c r="B166" s="3" t="s">
        <v>36</v>
      </c>
      <c r="C166" s="3" t="s">
        <v>36</v>
      </c>
      <c r="D166" s="3">
        <f>COUNTIF(Flights!$K$2:$K$2331,A166)</f>
        <v>4</v>
      </c>
    </row>
    <row r="167" spans="1:4" x14ac:dyDescent="0.75">
      <c r="A167" s="3" t="s">
        <v>645</v>
      </c>
      <c r="B167" s="3" t="s">
        <v>36</v>
      </c>
      <c r="C167" s="3" t="s">
        <v>36</v>
      </c>
      <c r="D167" s="3">
        <f>COUNTIF(Flights!$K$2:$K$2331,A167)</f>
        <v>9</v>
      </c>
    </row>
    <row r="168" spans="1:4" x14ac:dyDescent="0.75">
      <c r="A168" s="3" t="s">
        <v>192</v>
      </c>
      <c r="B168" s="3" t="s">
        <v>36</v>
      </c>
      <c r="C168" s="3" t="s">
        <v>36</v>
      </c>
      <c r="D168" s="3">
        <f>COUNTIF(Flights!$K$2:$K$2331,A168)</f>
        <v>9</v>
      </c>
    </row>
    <row r="169" spans="1:4" x14ac:dyDescent="0.75">
      <c r="A169" s="3" t="s">
        <v>485</v>
      </c>
      <c r="B169" s="3" t="s">
        <v>36</v>
      </c>
      <c r="C169" s="3" t="s">
        <v>36</v>
      </c>
      <c r="D169" s="3">
        <f>COUNTIF(Flights!$K$2:$K$2331,A169)</f>
        <v>7</v>
      </c>
    </row>
    <row r="170" spans="1:4" x14ac:dyDescent="0.75">
      <c r="A170" s="3" t="s">
        <v>292</v>
      </c>
      <c r="B170" s="3" t="s">
        <v>36</v>
      </c>
      <c r="C170" s="3" t="s">
        <v>36</v>
      </c>
      <c r="D170" s="3">
        <f>COUNTIF(Flights!$K$2:$K$2331,A170)</f>
        <v>10</v>
      </c>
    </row>
    <row r="171" spans="1:4" x14ac:dyDescent="0.75">
      <c r="A171" s="3" t="s">
        <v>418</v>
      </c>
      <c r="B171" s="3" t="s">
        <v>36</v>
      </c>
      <c r="C171" s="3" t="s">
        <v>36</v>
      </c>
      <c r="D171" s="3">
        <f>COUNTIF(Flights!$K$2:$K$2331,A171)</f>
        <v>9</v>
      </c>
    </row>
    <row r="172" spans="1:4" x14ac:dyDescent="0.75">
      <c r="A172" s="3" t="s">
        <v>1233</v>
      </c>
      <c r="B172" s="3" t="s">
        <v>22</v>
      </c>
      <c r="C172" s="3" t="s">
        <v>22</v>
      </c>
      <c r="D172" s="3">
        <f>COUNTIF(Flights!$K$2:$K$2331,A172)</f>
        <v>4</v>
      </c>
    </row>
    <row r="173" spans="1:4" x14ac:dyDescent="0.75">
      <c r="A173" s="3" t="s">
        <v>1247</v>
      </c>
      <c r="B173" s="3" t="s">
        <v>22</v>
      </c>
      <c r="C173" s="3" t="s">
        <v>22</v>
      </c>
      <c r="D173" s="3">
        <f>COUNTIF(Flights!$K$2:$K$2331,A173)</f>
        <v>6</v>
      </c>
    </row>
    <row r="174" spans="1:4" x14ac:dyDescent="0.75">
      <c r="A174" s="3" t="s">
        <v>877</v>
      </c>
      <c r="B174" s="3" t="s">
        <v>22</v>
      </c>
      <c r="C174" s="3" t="s">
        <v>22</v>
      </c>
      <c r="D174" s="3">
        <f>COUNTIF(Flights!$K$2:$K$2331,A174)</f>
        <v>5</v>
      </c>
    </row>
    <row r="175" spans="1:4" x14ac:dyDescent="0.75">
      <c r="A175" s="3" t="s">
        <v>1281</v>
      </c>
      <c r="B175" s="3" t="s">
        <v>22</v>
      </c>
      <c r="C175" s="3" t="s">
        <v>22</v>
      </c>
      <c r="D175" s="3">
        <f>COUNTIF(Flights!$K$2:$K$2331,A175)</f>
        <v>4</v>
      </c>
    </row>
    <row r="176" spans="1:4" x14ac:dyDescent="0.75">
      <c r="A176" s="3" t="s">
        <v>841</v>
      </c>
      <c r="B176" s="3" t="s">
        <v>22</v>
      </c>
      <c r="C176" s="3" t="s">
        <v>22</v>
      </c>
      <c r="D176" s="3">
        <f>COUNTIF(Flights!$K$2:$K$2331,A176)</f>
        <v>8</v>
      </c>
    </row>
    <row r="177" spans="1:4" x14ac:dyDescent="0.75">
      <c r="A177" s="3" t="s">
        <v>1147</v>
      </c>
      <c r="B177" s="3" t="s">
        <v>22</v>
      </c>
      <c r="C177" s="3" t="s">
        <v>22</v>
      </c>
      <c r="D177" s="3">
        <f>COUNTIF(Flights!$K$2:$K$2331,A177)</f>
        <v>8</v>
      </c>
    </row>
    <row r="178" spans="1:4" x14ac:dyDescent="0.75">
      <c r="A178" s="3" t="s">
        <v>657</v>
      </c>
      <c r="B178" s="3" t="s">
        <v>22</v>
      </c>
      <c r="C178" s="3" t="s">
        <v>22</v>
      </c>
      <c r="D178" s="3">
        <f>COUNTIF(Flights!$K$2:$K$2331,A178)</f>
        <v>7</v>
      </c>
    </row>
    <row r="179" spans="1:4" x14ac:dyDescent="0.75">
      <c r="A179" s="3" t="s">
        <v>276</v>
      </c>
      <c r="B179" s="3" t="s">
        <v>22</v>
      </c>
      <c r="C179" s="3" t="s">
        <v>22</v>
      </c>
      <c r="D179" s="3">
        <f>COUNTIF(Flights!$K$2:$K$2331,A179)</f>
        <v>8</v>
      </c>
    </row>
    <row r="180" spans="1:4" x14ac:dyDescent="0.75">
      <c r="A180" s="3" t="s">
        <v>519</v>
      </c>
      <c r="B180" s="3" t="s">
        <v>22</v>
      </c>
      <c r="C180" s="3" t="s">
        <v>22</v>
      </c>
      <c r="D180" s="3">
        <f>COUNTIF(Flights!$K$2:$K$2331,A180)</f>
        <v>9</v>
      </c>
    </row>
    <row r="181" spans="1:4" x14ac:dyDescent="0.75">
      <c r="A181" s="3" t="s">
        <v>426</v>
      </c>
      <c r="B181" s="3" t="s">
        <v>22</v>
      </c>
      <c r="C181" s="3" t="s">
        <v>22</v>
      </c>
      <c r="D181" s="3">
        <f>COUNTIF(Flights!$K$2:$K$2331,A181)</f>
        <v>8</v>
      </c>
    </row>
    <row r="182" spans="1:4" x14ac:dyDescent="0.75">
      <c r="A182" s="3" t="s">
        <v>1689</v>
      </c>
      <c r="B182" s="3" t="s">
        <v>22</v>
      </c>
      <c r="C182" s="3" t="s">
        <v>22</v>
      </c>
      <c r="D182" s="3">
        <f>COUNTIF(Flights!$K$2:$K$2331,A182)</f>
        <v>6</v>
      </c>
    </row>
    <row r="183" spans="1:4" x14ac:dyDescent="0.75">
      <c r="A183" s="3" t="s">
        <v>661</v>
      </c>
      <c r="B183" s="3" t="s">
        <v>22</v>
      </c>
      <c r="C183" s="3" t="s">
        <v>22</v>
      </c>
      <c r="D183" s="3">
        <f>COUNTIF(Flights!$K$2:$K$2331,A183)</f>
        <v>7</v>
      </c>
    </row>
    <row r="184" spans="1:4" x14ac:dyDescent="0.75">
      <c r="A184" s="3" t="s">
        <v>481</v>
      </c>
      <c r="B184" s="3" t="s">
        <v>22</v>
      </c>
      <c r="C184" s="3" t="s">
        <v>22</v>
      </c>
      <c r="D184" s="3">
        <f>COUNTIF(Flights!$K$2:$K$2331,A184)</f>
        <v>8</v>
      </c>
    </row>
    <row r="185" spans="1:4" x14ac:dyDescent="0.75">
      <c r="A185" s="3" t="s">
        <v>653</v>
      </c>
      <c r="B185" s="3" t="s">
        <v>22</v>
      </c>
      <c r="C185" s="3" t="s">
        <v>22</v>
      </c>
      <c r="D185" s="3">
        <f>COUNTIF(Flights!$K$2:$K$2331,A185)</f>
        <v>8</v>
      </c>
    </row>
    <row r="186" spans="1:4" x14ac:dyDescent="0.75">
      <c r="A186" s="3" t="s">
        <v>1761</v>
      </c>
      <c r="B186" s="3" t="s">
        <v>22</v>
      </c>
      <c r="C186" s="3" t="s">
        <v>22</v>
      </c>
      <c r="D186" s="3">
        <f>COUNTIF(Flights!$K$2:$K$2331,A186)</f>
        <v>4</v>
      </c>
    </row>
    <row r="187" spans="1:4" x14ac:dyDescent="0.75">
      <c r="A187" s="3" t="s">
        <v>721</v>
      </c>
      <c r="B187" s="3" t="s">
        <v>22</v>
      </c>
      <c r="C187" s="3" t="s">
        <v>22</v>
      </c>
      <c r="D187" s="3">
        <f>COUNTIF(Flights!$K$2:$K$2331,A187)</f>
        <v>10</v>
      </c>
    </row>
    <row r="188" spans="1:4" x14ac:dyDescent="0.75">
      <c r="A188" s="3" t="s">
        <v>637</v>
      </c>
      <c r="B188" s="3" t="s">
        <v>22</v>
      </c>
      <c r="C188" s="3" t="s">
        <v>22</v>
      </c>
      <c r="D188" s="3">
        <f>COUNTIF(Flights!$K$2:$K$2331,A188)</f>
        <v>6</v>
      </c>
    </row>
    <row r="189" spans="1:4" x14ac:dyDescent="0.75">
      <c r="A189" s="3" t="s">
        <v>607</v>
      </c>
      <c r="B189" s="3" t="s">
        <v>22</v>
      </c>
      <c r="C189" s="3" t="s">
        <v>22</v>
      </c>
      <c r="D189" s="3">
        <f>COUNTIF(Flights!$K$2:$K$2331,A189)</f>
        <v>6</v>
      </c>
    </row>
    <row r="190" spans="1:4" x14ac:dyDescent="0.75">
      <c r="A190" s="3" t="s">
        <v>1109</v>
      </c>
      <c r="B190" s="3" t="s">
        <v>22</v>
      </c>
      <c r="C190" s="3" t="s">
        <v>22</v>
      </c>
      <c r="D190" s="3">
        <f>COUNTIF(Flights!$K$2:$K$2331,A190)</f>
        <v>4</v>
      </c>
    </row>
    <row r="191" spans="1:4" x14ac:dyDescent="0.75">
      <c r="A191" s="3" t="s">
        <v>2209</v>
      </c>
      <c r="B191" s="3" t="s">
        <v>22</v>
      </c>
      <c r="C191" s="3" t="s">
        <v>22</v>
      </c>
      <c r="D191" s="3">
        <f>COUNTIF(Flights!$K$2:$K$2331,A191)</f>
        <v>6</v>
      </c>
    </row>
    <row r="192" spans="1:4" x14ac:dyDescent="0.75">
      <c r="A192" s="3" t="s">
        <v>595</v>
      </c>
      <c r="B192" s="3" t="s">
        <v>22</v>
      </c>
      <c r="C192" s="3" t="s">
        <v>22</v>
      </c>
      <c r="D192" s="3">
        <f>COUNTIF(Flights!$K$2:$K$2331,A192)</f>
        <v>6</v>
      </c>
    </row>
    <row r="193" spans="1:4" x14ac:dyDescent="0.75">
      <c r="A193" s="3" t="s">
        <v>188</v>
      </c>
      <c r="B193" s="3" t="s">
        <v>22</v>
      </c>
      <c r="C193" s="3" t="s">
        <v>22</v>
      </c>
      <c r="D193" s="3">
        <f>COUNTIF(Flights!$K$2:$K$2331,A193)</f>
        <v>8</v>
      </c>
    </row>
    <row r="194" spans="1:4" x14ac:dyDescent="0.75">
      <c r="A194" s="3" t="s">
        <v>1049</v>
      </c>
      <c r="B194" s="3" t="s">
        <v>22</v>
      </c>
      <c r="C194" s="3" t="s">
        <v>22</v>
      </c>
      <c r="D194" s="3">
        <f>COUNTIF(Flights!$K$2:$K$2331,A194)</f>
        <v>6</v>
      </c>
    </row>
    <row r="195" spans="1:4" x14ac:dyDescent="0.75">
      <c r="A195" s="3" t="s">
        <v>1685</v>
      </c>
      <c r="B195" s="3" t="s">
        <v>22</v>
      </c>
      <c r="C195" s="3" t="s">
        <v>22</v>
      </c>
      <c r="D195" s="3">
        <f>COUNTIF(Flights!$K$2:$K$2331,A195)</f>
        <v>7</v>
      </c>
    </row>
    <row r="196" spans="1:4" x14ac:dyDescent="0.75">
      <c r="A196" s="3" t="s">
        <v>306</v>
      </c>
      <c r="B196" s="3" t="s">
        <v>22</v>
      </c>
      <c r="C196" s="3" t="s">
        <v>22</v>
      </c>
      <c r="D196" s="3">
        <f>COUNTIF(Flights!$K$2:$K$2331,A196)</f>
        <v>8</v>
      </c>
    </row>
    <row r="197" spans="1:4" x14ac:dyDescent="0.75">
      <c r="A197" s="3" t="s">
        <v>469</v>
      </c>
      <c r="B197" s="3" t="s">
        <v>22</v>
      </c>
      <c r="C197" s="3" t="s">
        <v>22</v>
      </c>
      <c r="D197" s="3">
        <f>COUNTIF(Flights!$K$2:$K$2331,A197)</f>
        <v>8</v>
      </c>
    </row>
    <row r="198" spans="1:4" x14ac:dyDescent="0.75">
      <c r="A198" s="3" t="s">
        <v>523</v>
      </c>
      <c r="B198" s="3" t="s">
        <v>22</v>
      </c>
      <c r="C198" s="3" t="s">
        <v>22</v>
      </c>
      <c r="D198" s="3">
        <f>COUNTIF(Flights!$K$2:$K$2331,A198)</f>
        <v>9</v>
      </c>
    </row>
    <row r="199" spans="1:4" x14ac:dyDescent="0.75">
      <c r="A199" s="3" t="s">
        <v>21</v>
      </c>
      <c r="B199" s="3" t="s">
        <v>22</v>
      </c>
      <c r="C199" s="3" t="s">
        <v>22</v>
      </c>
      <c r="D199" s="3">
        <f>COUNTIF(Flights!$K$2:$K$2331,A199)</f>
        <v>12</v>
      </c>
    </row>
    <row r="200" spans="1:4" x14ac:dyDescent="0.75">
      <c r="A200" s="3" t="s">
        <v>1237</v>
      </c>
      <c r="B200" s="3" t="s">
        <v>22</v>
      </c>
      <c r="C200" s="3" t="s">
        <v>22</v>
      </c>
      <c r="D200" s="3">
        <f>COUNTIF(Flights!$K$2:$K$2331,A200)</f>
        <v>4</v>
      </c>
    </row>
    <row r="201" spans="1:4" x14ac:dyDescent="0.75">
      <c r="A201" s="3" t="s">
        <v>677</v>
      </c>
      <c r="B201" s="3" t="s">
        <v>22</v>
      </c>
      <c r="C201" s="3" t="s">
        <v>22</v>
      </c>
      <c r="D201" s="3">
        <f>COUNTIF(Flights!$K$2:$K$2331,A201)</f>
        <v>8</v>
      </c>
    </row>
    <row r="202" spans="1:4" x14ac:dyDescent="0.75">
      <c r="A202" s="3" t="s">
        <v>124</v>
      </c>
      <c r="B202" s="3" t="s">
        <v>22</v>
      </c>
      <c r="C202" s="3" t="s">
        <v>22</v>
      </c>
      <c r="D202" s="3">
        <f>COUNTIF(Flights!$K$2:$K$2331,A202)</f>
        <v>10</v>
      </c>
    </row>
    <row r="203" spans="1:4" x14ac:dyDescent="0.75">
      <c r="A203" s="3" t="s">
        <v>1301</v>
      </c>
      <c r="B203" s="3" t="s">
        <v>22</v>
      </c>
      <c r="C203" s="3" t="s">
        <v>22</v>
      </c>
      <c r="D203" s="3">
        <f>COUNTIF(Flights!$K$2:$K$2331,A203)</f>
        <v>7</v>
      </c>
    </row>
    <row r="204" spans="1:4" x14ac:dyDescent="0.75">
      <c r="A204" s="3" t="s">
        <v>573</v>
      </c>
      <c r="B204" s="3" t="s">
        <v>22</v>
      </c>
      <c r="C204" s="3" t="s">
        <v>22</v>
      </c>
      <c r="D204" s="3">
        <f>COUNTIF(Flights!$K$2:$K$2331,A204)</f>
        <v>9</v>
      </c>
    </row>
    <row r="205" spans="1:4" x14ac:dyDescent="0.75">
      <c r="A205" s="3" t="s">
        <v>31</v>
      </c>
      <c r="B205" s="3" t="s">
        <v>22</v>
      </c>
      <c r="C205" s="3" t="s">
        <v>22</v>
      </c>
      <c r="D205" s="3">
        <f>COUNTIF(Flights!$K$2:$K$2331,A205)</f>
        <v>7</v>
      </c>
    </row>
    <row r="206" spans="1:4" x14ac:dyDescent="0.75">
      <c r="A206" s="3" t="s">
        <v>691</v>
      </c>
      <c r="B206" s="3" t="s">
        <v>22</v>
      </c>
      <c r="C206" s="3" t="s">
        <v>22</v>
      </c>
      <c r="D206" s="3">
        <f>COUNTIF(Flights!$K$2:$K$2331,A206)</f>
        <v>4</v>
      </c>
    </row>
    <row r="207" spans="1:4" x14ac:dyDescent="0.75">
      <c r="A207" s="3" t="s">
        <v>1215</v>
      </c>
      <c r="B207" s="3" t="s">
        <v>22</v>
      </c>
      <c r="C207" s="3" t="s">
        <v>22</v>
      </c>
      <c r="D207" s="3">
        <f>COUNTIF(Flights!$K$2:$K$2331,A207)</f>
        <v>7</v>
      </c>
    </row>
    <row r="208" spans="1:4" x14ac:dyDescent="0.75">
      <c r="A208" s="3" t="s">
        <v>883</v>
      </c>
      <c r="B208" s="3" t="s">
        <v>22</v>
      </c>
      <c r="C208" s="3" t="s">
        <v>22</v>
      </c>
      <c r="D208" s="3">
        <f>COUNTIF(Flights!$K$2:$K$2331,A208)</f>
        <v>4</v>
      </c>
    </row>
    <row r="209" spans="1:4" x14ac:dyDescent="0.75">
      <c r="A209" s="3" t="s">
        <v>1143</v>
      </c>
      <c r="B209" s="3" t="s">
        <v>22</v>
      </c>
      <c r="C209" s="3" t="s">
        <v>22</v>
      </c>
      <c r="D209" s="3">
        <f>COUNTIF(Flights!$K$2:$K$2331,A209)</f>
        <v>7</v>
      </c>
    </row>
    <row r="210" spans="1:4" x14ac:dyDescent="0.75">
      <c r="A210" s="3" t="s">
        <v>266</v>
      </c>
      <c r="B210" s="3" t="s">
        <v>22</v>
      </c>
      <c r="C210" s="3" t="s">
        <v>22</v>
      </c>
      <c r="D210" s="3">
        <f>COUNTIF(Flights!$K$2:$K$2331,A210)</f>
        <v>2</v>
      </c>
    </row>
    <row r="211" spans="1:4" x14ac:dyDescent="0.75">
      <c r="A211" s="3" t="s">
        <v>1257</v>
      </c>
      <c r="B211" s="3" t="s">
        <v>22</v>
      </c>
      <c r="C211" s="3" t="s">
        <v>22</v>
      </c>
      <c r="D211" s="3">
        <f>COUNTIF(Flights!$K$2:$K$2331,A211)</f>
        <v>6</v>
      </c>
    </row>
    <row r="212" spans="1:4" x14ac:dyDescent="0.75">
      <c r="A212" s="3" t="s">
        <v>965</v>
      </c>
      <c r="B212" s="3" t="s">
        <v>22</v>
      </c>
      <c r="C212" s="3" t="s">
        <v>22</v>
      </c>
      <c r="D212" s="3">
        <f>COUNTIF(Flights!$K$2:$K$2331,A212)</f>
        <v>6</v>
      </c>
    </row>
    <row r="213" spans="1:4" x14ac:dyDescent="0.75">
      <c r="A213" s="3" t="s">
        <v>557</v>
      </c>
      <c r="B213" s="3" t="s">
        <v>22</v>
      </c>
      <c r="C213" s="3" t="s">
        <v>22</v>
      </c>
      <c r="D213" s="3">
        <f>COUNTIF(Flights!$K$2:$K$2331,A213)</f>
        <v>6</v>
      </c>
    </row>
    <row r="214" spans="1:4" x14ac:dyDescent="0.75">
      <c r="A214" s="3" t="s">
        <v>1199</v>
      </c>
      <c r="B214" s="3" t="s">
        <v>22</v>
      </c>
      <c r="C214" s="3" t="s">
        <v>22</v>
      </c>
      <c r="D214" s="3">
        <f>COUNTIF(Flights!$K$2:$K$2331,A214)</f>
        <v>6</v>
      </c>
    </row>
    <row r="215" spans="1:4" x14ac:dyDescent="0.75">
      <c r="A215" s="3" t="s">
        <v>567</v>
      </c>
      <c r="B215" s="3" t="s">
        <v>22</v>
      </c>
      <c r="C215" s="3" t="s">
        <v>22</v>
      </c>
      <c r="D215" s="3">
        <f>COUNTIF(Flights!$K$2:$K$2331,A215)</f>
        <v>7</v>
      </c>
    </row>
    <row r="216" spans="1:4" x14ac:dyDescent="0.75">
      <c r="A216" s="3" t="s">
        <v>326</v>
      </c>
      <c r="B216" s="3" t="s">
        <v>22</v>
      </c>
      <c r="C216" s="3" t="s">
        <v>22</v>
      </c>
      <c r="D216" s="3">
        <f>COUNTIF(Flights!$K$2:$K$2331,A216)</f>
        <v>9</v>
      </c>
    </row>
    <row r="217" spans="1:4" x14ac:dyDescent="0.75">
      <c r="A217" s="3" t="s">
        <v>1181</v>
      </c>
      <c r="B217" s="3" t="s">
        <v>22</v>
      </c>
      <c r="C217" s="3" t="s">
        <v>22</v>
      </c>
      <c r="D217" s="3">
        <f>COUNTIF(Flights!$K$2:$K$2331,A217)</f>
        <v>9</v>
      </c>
    </row>
    <row r="218" spans="1:4" x14ac:dyDescent="0.75">
      <c r="A218" s="3" t="s">
        <v>497</v>
      </c>
      <c r="B218" s="3" t="s">
        <v>22</v>
      </c>
      <c r="C218" s="3" t="s">
        <v>22</v>
      </c>
      <c r="D218" s="3">
        <f>COUNTIF(Flights!$K$2:$K$2331,A218)</f>
        <v>9</v>
      </c>
    </row>
    <row r="219" spans="1:4" x14ac:dyDescent="0.75">
      <c r="A219" s="3" t="s">
        <v>547</v>
      </c>
      <c r="B219" s="3" t="s">
        <v>22</v>
      </c>
      <c r="C219" s="3" t="s">
        <v>22</v>
      </c>
      <c r="D219" s="3">
        <f>COUNTIF(Flights!$K$2:$K$2331,A219)</f>
        <v>8</v>
      </c>
    </row>
    <row r="220" spans="1:4" x14ac:dyDescent="0.75">
      <c r="A220" s="3" t="s">
        <v>461</v>
      </c>
      <c r="B220" s="3" t="s">
        <v>22</v>
      </c>
      <c r="C220" s="3" t="s">
        <v>22</v>
      </c>
      <c r="D220" s="3">
        <f>COUNTIF(Flights!$K$2:$K$2331,A220)</f>
        <v>9</v>
      </c>
    </row>
    <row r="221" spans="1:4" x14ac:dyDescent="0.75">
      <c r="A221" s="3" t="s">
        <v>581</v>
      </c>
      <c r="B221" s="3" t="s">
        <v>22</v>
      </c>
      <c r="C221" s="3" t="s">
        <v>22</v>
      </c>
      <c r="D221" s="3">
        <f>COUNTIF(Flights!$K$2:$K$2331,A221)</f>
        <v>8</v>
      </c>
    </row>
    <row r="222" spans="1:4" x14ac:dyDescent="0.75">
      <c r="A222" s="3" t="s">
        <v>649</v>
      </c>
      <c r="B222" s="3" t="s">
        <v>22</v>
      </c>
      <c r="C222" s="3" t="s">
        <v>22</v>
      </c>
      <c r="D222" s="3">
        <f>COUNTIF(Flights!$K$2:$K$2331,A222)</f>
        <v>8</v>
      </c>
    </row>
    <row r="223" spans="1:4" x14ac:dyDescent="0.75">
      <c r="A223" s="3" t="s">
        <v>509</v>
      </c>
      <c r="B223" s="3" t="s">
        <v>22</v>
      </c>
      <c r="C223" s="3" t="s">
        <v>22</v>
      </c>
      <c r="D223" s="3">
        <f>COUNTIF(Flights!$K$2:$K$2331,A223)</f>
        <v>8</v>
      </c>
    </row>
    <row r="224" spans="1:4" x14ac:dyDescent="0.75">
      <c r="A224" s="3" t="s">
        <v>388</v>
      </c>
      <c r="B224" s="3" t="s">
        <v>22</v>
      </c>
      <c r="C224" s="3" t="s">
        <v>22</v>
      </c>
      <c r="D224" s="3">
        <f>COUNTIF(Flights!$K$2:$K$2331,A224)</f>
        <v>8</v>
      </c>
    </row>
    <row r="225" spans="1:4" x14ac:dyDescent="0.75">
      <c r="A225" s="3" t="s">
        <v>1203</v>
      </c>
      <c r="B225" s="3" t="s">
        <v>22</v>
      </c>
      <c r="C225" s="3" t="s">
        <v>22</v>
      </c>
      <c r="D225" s="3">
        <f>COUNTIF(Flights!$K$2:$K$2331,A225)</f>
        <v>6</v>
      </c>
    </row>
    <row r="226" spans="1:4" x14ac:dyDescent="0.75">
      <c r="A226" s="3" t="s">
        <v>1055</v>
      </c>
      <c r="B226" s="3" t="s">
        <v>22</v>
      </c>
      <c r="C226" s="3" t="s">
        <v>22</v>
      </c>
      <c r="D226" s="3">
        <f>COUNTIF(Flights!$K$2:$K$2331,A226)</f>
        <v>6</v>
      </c>
    </row>
    <row r="227" spans="1:4" x14ac:dyDescent="0.75">
      <c r="A227" s="3" t="s">
        <v>747</v>
      </c>
      <c r="B227" s="3" t="s">
        <v>22</v>
      </c>
      <c r="C227" s="3" t="s">
        <v>22</v>
      </c>
      <c r="D227" s="3">
        <f>COUNTIF(Flights!$K$2:$K$2331,A227)</f>
        <v>8</v>
      </c>
    </row>
    <row r="228" spans="1:4" x14ac:dyDescent="0.75">
      <c r="A228" s="3" t="s">
        <v>392</v>
      </c>
      <c r="B228" s="3" t="s">
        <v>22</v>
      </c>
      <c r="C228" s="3" t="s">
        <v>22</v>
      </c>
      <c r="D228" s="3">
        <f>COUNTIF(Flights!$K$2:$K$2331,A228)</f>
        <v>8</v>
      </c>
    </row>
    <row r="229" spans="1:4" x14ac:dyDescent="0.75">
      <c r="A229" s="3" t="s">
        <v>2127</v>
      </c>
      <c r="B229" s="3" t="s">
        <v>22</v>
      </c>
      <c r="C229" s="3" t="s">
        <v>22</v>
      </c>
      <c r="D229" s="3">
        <f>COUNTIF(Flights!$K$2:$K$2331,A229)</f>
        <v>7</v>
      </c>
    </row>
    <row r="230" spans="1:4" x14ac:dyDescent="0.75">
      <c r="A230" s="3" t="s">
        <v>1165</v>
      </c>
      <c r="B230" s="3" t="s">
        <v>22</v>
      </c>
      <c r="C230" s="3" t="s">
        <v>22</v>
      </c>
      <c r="D230" s="3">
        <f>COUNTIF(Flights!$K$2:$K$2331,A230)</f>
        <v>7</v>
      </c>
    </row>
    <row r="231" spans="1:4" x14ac:dyDescent="0.75">
      <c r="A231" s="3" t="s">
        <v>947</v>
      </c>
      <c r="B231" s="3" t="s">
        <v>22</v>
      </c>
      <c r="C231" s="3" t="s">
        <v>22</v>
      </c>
      <c r="D231" s="3">
        <f>COUNTIF(Flights!$K$2:$K$2331,A231)</f>
        <v>8</v>
      </c>
    </row>
    <row r="232" spans="1:4" x14ac:dyDescent="0.75">
      <c r="A232" s="3" t="s">
        <v>1129</v>
      </c>
      <c r="B232" s="3" t="s">
        <v>22</v>
      </c>
      <c r="C232" s="3" t="s">
        <v>22</v>
      </c>
      <c r="D232" s="3">
        <f>COUNTIF(Flights!$K$2:$K$2331,A232)</f>
        <v>7</v>
      </c>
    </row>
    <row r="233" spans="1:4" x14ac:dyDescent="0.75">
      <c r="A233" s="3" t="s">
        <v>1537</v>
      </c>
      <c r="B233" s="3" t="s">
        <v>43</v>
      </c>
      <c r="C233" s="3" t="s">
        <v>44</v>
      </c>
      <c r="D233" s="3">
        <f>COUNTIF(Flights!$K$2:$K$2331,A233)</f>
        <v>6</v>
      </c>
    </row>
    <row r="234" spans="1:4" x14ac:dyDescent="0.75">
      <c r="A234" s="3" t="s">
        <v>1399</v>
      </c>
      <c r="B234" s="3" t="s">
        <v>43</v>
      </c>
      <c r="C234" s="3" t="s">
        <v>44</v>
      </c>
      <c r="D234" s="3">
        <f>COUNTIF(Flights!$K$2:$K$2331,A234)</f>
        <v>6</v>
      </c>
    </row>
    <row r="235" spans="1:4" x14ac:dyDescent="0.75">
      <c r="A235" s="3" t="s">
        <v>1441</v>
      </c>
      <c r="B235" s="3" t="s">
        <v>43</v>
      </c>
      <c r="C235" s="3" t="s">
        <v>44</v>
      </c>
      <c r="D235" s="3">
        <f>COUNTIF(Flights!$K$2:$K$2331,A235)</f>
        <v>5</v>
      </c>
    </row>
    <row r="236" spans="1:4" x14ac:dyDescent="0.75">
      <c r="A236" s="3" t="s">
        <v>64</v>
      </c>
      <c r="B236" s="3" t="s">
        <v>43</v>
      </c>
      <c r="C236" s="3" t="s">
        <v>44</v>
      </c>
      <c r="D236" s="3">
        <f>COUNTIF(Flights!$K$2:$K$2331,A236)</f>
        <v>6</v>
      </c>
    </row>
    <row r="237" spans="1:4" x14ac:dyDescent="0.75">
      <c r="A237" s="3" t="s">
        <v>755</v>
      </c>
      <c r="B237" s="3" t="s">
        <v>43</v>
      </c>
      <c r="C237" s="3" t="s">
        <v>44</v>
      </c>
      <c r="D237" s="3">
        <f>COUNTIF(Flights!$K$2:$K$2331,A237)</f>
        <v>6</v>
      </c>
    </row>
    <row r="238" spans="1:4" x14ac:dyDescent="0.75">
      <c r="A238" s="3" t="s">
        <v>1119</v>
      </c>
      <c r="B238" s="3" t="s">
        <v>43</v>
      </c>
      <c r="C238" s="3" t="s">
        <v>44</v>
      </c>
      <c r="D238" s="3">
        <f>COUNTIF(Flights!$K$2:$K$2331,A238)</f>
        <v>6</v>
      </c>
    </row>
    <row r="239" spans="1:4" x14ac:dyDescent="0.75">
      <c r="A239" s="3" t="s">
        <v>765</v>
      </c>
      <c r="B239" s="3" t="s">
        <v>43</v>
      </c>
      <c r="C239" s="3" t="s">
        <v>44</v>
      </c>
      <c r="D239" s="3">
        <f>COUNTIF(Flights!$K$2:$K$2331,A239)</f>
        <v>6</v>
      </c>
    </row>
    <row r="240" spans="1:4" x14ac:dyDescent="0.75">
      <c r="A240" s="3" t="s">
        <v>330</v>
      </c>
      <c r="B240" s="3" t="s">
        <v>43</v>
      </c>
      <c r="C240" s="3" t="s">
        <v>44</v>
      </c>
      <c r="D240" s="3">
        <f>COUNTIF(Flights!$K$2:$K$2331,A240)</f>
        <v>6</v>
      </c>
    </row>
    <row r="241" spans="1:4" x14ac:dyDescent="0.75">
      <c r="A241" s="3" t="s">
        <v>178</v>
      </c>
      <c r="B241" s="3" t="s">
        <v>43</v>
      </c>
      <c r="C241" s="3" t="s">
        <v>44</v>
      </c>
      <c r="D241" s="3">
        <f>COUNTIF(Flights!$K$2:$K$2331,A241)</f>
        <v>7</v>
      </c>
    </row>
    <row r="242" spans="1:4" x14ac:dyDescent="0.75">
      <c r="A242" s="3" t="s">
        <v>1093</v>
      </c>
      <c r="B242" s="3" t="s">
        <v>43</v>
      </c>
      <c r="C242" s="3" t="s">
        <v>44</v>
      </c>
      <c r="D242" s="3">
        <f>COUNTIF(Flights!$K$2:$K$2331,A242)</f>
        <v>4</v>
      </c>
    </row>
    <row r="243" spans="1:4" x14ac:dyDescent="0.75">
      <c r="A243" s="3" t="s">
        <v>2185</v>
      </c>
      <c r="B243" s="3" t="s">
        <v>43</v>
      </c>
      <c r="C243" s="3" t="s">
        <v>44</v>
      </c>
      <c r="D243" s="3">
        <f>COUNTIF(Flights!$K$2:$K$2331,A243)</f>
        <v>6</v>
      </c>
    </row>
    <row r="244" spans="1:4" x14ac:dyDescent="0.75">
      <c r="A244" s="3" t="s">
        <v>505</v>
      </c>
      <c r="B244" s="3" t="s">
        <v>43</v>
      </c>
      <c r="C244" s="3" t="s">
        <v>44</v>
      </c>
      <c r="D244" s="3">
        <f>COUNTIF(Flights!$K$2:$K$2331,A244)</f>
        <v>7</v>
      </c>
    </row>
    <row r="245" spans="1:4" x14ac:dyDescent="0.75">
      <c r="A245" s="3" t="s">
        <v>2161</v>
      </c>
      <c r="B245" s="3" t="s">
        <v>43</v>
      </c>
      <c r="C245" s="3" t="s">
        <v>44</v>
      </c>
      <c r="D245" s="3">
        <f>COUNTIF(Flights!$K$2:$K$2331,A245)</f>
        <v>4</v>
      </c>
    </row>
    <row r="246" spans="1:4" x14ac:dyDescent="0.75">
      <c r="A246" s="3" t="s">
        <v>473</v>
      </c>
      <c r="B246" s="3" t="s">
        <v>43</v>
      </c>
      <c r="C246" s="3" t="s">
        <v>44</v>
      </c>
      <c r="D246" s="3">
        <f>COUNTIF(Flights!$K$2:$K$2331,A246)</f>
        <v>7</v>
      </c>
    </row>
    <row r="247" spans="1:4" x14ac:dyDescent="0.75">
      <c r="A247" s="3" t="s">
        <v>943</v>
      </c>
      <c r="B247" s="3" t="s">
        <v>43</v>
      </c>
      <c r="C247" s="3" t="s">
        <v>44</v>
      </c>
      <c r="D247" s="3">
        <f>COUNTIF(Flights!$K$2:$K$2331,A247)</f>
        <v>5</v>
      </c>
    </row>
    <row r="248" spans="1:4" x14ac:dyDescent="0.75">
      <c r="A248" s="3" t="s">
        <v>769</v>
      </c>
      <c r="B248" s="3" t="s">
        <v>43</v>
      </c>
      <c r="C248" s="3" t="s">
        <v>44</v>
      </c>
      <c r="D248" s="3">
        <f>COUNTIF(Flights!$K$2:$K$2331,A248)</f>
        <v>8</v>
      </c>
    </row>
    <row r="249" spans="1:4" x14ac:dyDescent="0.75">
      <c r="A249" s="3" t="s">
        <v>561</v>
      </c>
      <c r="B249" s="3" t="s">
        <v>43</v>
      </c>
      <c r="C249" s="3" t="s">
        <v>44</v>
      </c>
      <c r="D249" s="3">
        <f>COUNTIF(Flights!$K$2:$K$2331,A249)</f>
        <v>5</v>
      </c>
    </row>
    <row r="250" spans="1:4" x14ac:dyDescent="0.75">
      <c r="A250" s="3" t="s">
        <v>1831</v>
      </c>
      <c r="B250" s="3" t="s">
        <v>43</v>
      </c>
      <c r="C250" s="3" t="s">
        <v>44</v>
      </c>
      <c r="D250" s="3">
        <f>COUNTIF(Flights!$K$2:$K$2331,A250)</f>
        <v>6</v>
      </c>
    </row>
    <row r="251" spans="1:4" x14ac:dyDescent="0.75">
      <c r="A251" s="3" t="s">
        <v>455</v>
      </c>
      <c r="B251" s="3" t="s">
        <v>43</v>
      </c>
      <c r="C251" s="3" t="s">
        <v>44</v>
      </c>
      <c r="D251" s="3">
        <f>COUNTIF(Flights!$K$2:$K$2331,A251)</f>
        <v>5</v>
      </c>
    </row>
    <row r="252" spans="1:4" x14ac:dyDescent="0.75">
      <c r="A252" s="3" t="s">
        <v>2239</v>
      </c>
      <c r="B252" s="3" t="s">
        <v>43</v>
      </c>
      <c r="C252" s="3" t="s">
        <v>44</v>
      </c>
      <c r="D252" s="3">
        <f>COUNTIF(Flights!$K$2:$K$2331,A252)</f>
        <v>4</v>
      </c>
    </row>
    <row r="253" spans="1:4" x14ac:dyDescent="0.75">
      <c r="A253" s="3" t="s">
        <v>362</v>
      </c>
      <c r="B253" s="3" t="s">
        <v>43</v>
      </c>
      <c r="C253" s="3" t="s">
        <v>44</v>
      </c>
      <c r="D253" s="3">
        <f>COUNTIF(Flights!$K$2:$K$2331,A253)</f>
        <v>8</v>
      </c>
    </row>
    <row r="254" spans="1:4" x14ac:dyDescent="0.75">
      <c r="A254" s="3" t="s">
        <v>533</v>
      </c>
      <c r="B254" s="3" t="s">
        <v>43</v>
      </c>
      <c r="C254" s="3" t="s">
        <v>44</v>
      </c>
      <c r="D254" s="3">
        <f>COUNTIF(Flights!$K$2:$K$2331,A254)</f>
        <v>7</v>
      </c>
    </row>
    <row r="255" spans="1:4" x14ac:dyDescent="0.75">
      <c r="A255" s="3" t="s">
        <v>1041</v>
      </c>
      <c r="B255" s="3" t="s">
        <v>43</v>
      </c>
      <c r="C255" s="3" t="s">
        <v>44</v>
      </c>
      <c r="D255" s="3">
        <f>COUNTIF(Flights!$K$2:$K$2331,A255)</f>
        <v>5</v>
      </c>
    </row>
    <row r="256" spans="1:4" x14ac:dyDescent="0.75">
      <c r="A256" s="3" t="s">
        <v>412</v>
      </c>
      <c r="B256" s="3" t="s">
        <v>43</v>
      </c>
      <c r="C256" s="3" t="s">
        <v>44</v>
      </c>
      <c r="D256" s="3">
        <f>COUNTIF(Flights!$K$2:$K$2331,A256)</f>
        <v>5</v>
      </c>
    </row>
    <row r="257" spans="1:4" x14ac:dyDescent="0.75">
      <c r="A257" s="3" t="s">
        <v>346</v>
      </c>
      <c r="B257" s="3" t="s">
        <v>43</v>
      </c>
      <c r="C257" s="3" t="s">
        <v>44</v>
      </c>
      <c r="D257" s="3">
        <f>COUNTIF(Flights!$K$2:$K$2331,A257)</f>
        <v>4</v>
      </c>
    </row>
    <row r="258" spans="1:4" x14ac:dyDescent="0.75">
      <c r="A258" s="3" t="s">
        <v>449</v>
      </c>
      <c r="B258" s="3" t="s">
        <v>43</v>
      </c>
      <c r="C258" s="3" t="s">
        <v>44</v>
      </c>
      <c r="D258" s="3">
        <f>COUNTIF(Flights!$K$2:$K$2331,A258)</f>
        <v>4</v>
      </c>
    </row>
    <row r="259" spans="1:4" x14ac:dyDescent="0.75">
      <c r="A259" s="3" t="s">
        <v>204</v>
      </c>
      <c r="B259" s="3" t="s">
        <v>43</v>
      </c>
      <c r="C259" s="3" t="s">
        <v>44</v>
      </c>
      <c r="D259" s="3">
        <f>COUNTIF(Flights!$K$2:$K$2331,A259)</f>
        <v>6</v>
      </c>
    </row>
    <row r="260" spans="1:4" x14ac:dyDescent="0.75">
      <c r="A260" s="3" t="s">
        <v>42</v>
      </c>
      <c r="B260" s="3" t="s">
        <v>43</v>
      </c>
      <c r="C260" s="3" t="s">
        <v>44</v>
      </c>
      <c r="D260" s="3">
        <f>COUNTIF(Flights!$K$2:$K$2331,A260)</f>
        <v>6</v>
      </c>
    </row>
    <row r="261" spans="1:4" x14ac:dyDescent="0.75">
      <c r="A261" s="3" t="s">
        <v>352</v>
      </c>
      <c r="B261" s="3" t="s">
        <v>43</v>
      </c>
      <c r="C261" s="3" t="s">
        <v>44</v>
      </c>
      <c r="D261" s="3">
        <f>COUNTIF(Flights!$K$2:$K$2331,A261)</f>
        <v>7</v>
      </c>
    </row>
    <row r="262" spans="1:4" x14ac:dyDescent="0.75">
      <c r="A262" s="3" t="s">
        <v>340</v>
      </c>
      <c r="B262" s="3" t="s">
        <v>43</v>
      </c>
      <c r="C262" s="3" t="s">
        <v>44</v>
      </c>
      <c r="D262" s="3">
        <f>COUNTIF(Flights!$K$2:$K$2331,A262)</f>
        <v>6</v>
      </c>
    </row>
    <row r="263" spans="1:4" x14ac:dyDescent="0.75">
      <c r="A263" s="3" t="s">
        <v>585</v>
      </c>
      <c r="B263" s="3" t="s">
        <v>43</v>
      </c>
      <c r="C263" s="3" t="s">
        <v>44</v>
      </c>
      <c r="D263" s="3">
        <f>COUNTIF(Flights!$K$2:$K$2331,A263)</f>
        <v>5</v>
      </c>
    </row>
    <row r="264" spans="1:4" x14ac:dyDescent="0.75">
      <c r="A264" s="3" t="s">
        <v>465</v>
      </c>
      <c r="B264" s="3" t="s">
        <v>43</v>
      </c>
      <c r="C264" s="3" t="s">
        <v>44</v>
      </c>
      <c r="D264" s="3">
        <f>COUNTIF(Flights!$K$2:$K$2331,A264)</f>
        <v>7</v>
      </c>
    </row>
    <row r="265" spans="1:4" x14ac:dyDescent="0.75">
      <c r="A265" s="3" t="s">
        <v>288</v>
      </c>
      <c r="B265" s="3" t="s">
        <v>43</v>
      </c>
      <c r="C265" s="3" t="s">
        <v>44</v>
      </c>
      <c r="D265" s="3">
        <f>COUNTIF(Flights!$K$2:$K$2331,A265)</f>
        <v>7</v>
      </c>
    </row>
    <row r="266" spans="1:4" x14ac:dyDescent="0.75">
      <c r="A266" s="3" t="s">
        <v>51</v>
      </c>
      <c r="B266" s="3" t="s">
        <v>52</v>
      </c>
      <c r="C266" s="3"/>
      <c r="D266" s="3">
        <f>COUNTIF(Flights!$K$2:$K$2331,A266)</f>
        <v>12</v>
      </c>
    </row>
    <row r="267" spans="1:4" x14ac:dyDescent="0.75">
      <c r="A267" s="3" t="s">
        <v>923</v>
      </c>
      <c r="B267" s="3" t="s">
        <v>52</v>
      </c>
      <c r="C267" s="3"/>
      <c r="D267" s="3">
        <f>COUNTIF(Flights!$K$2:$K$2331,A267)</f>
        <v>8</v>
      </c>
    </row>
    <row r="268" spans="1:4" x14ac:dyDescent="0.75">
      <c r="A268" s="3" t="s">
        <v>240</v>
      </c>
      <c r="B268" s="3" t="s">
        <v>52</v>
      </c>
      <c r="C268" s="3"/>
      <c r="D268" s="3">
        <f>COUNTIF(Flights!$K$2:$K$2331,A268)</f>
        <v>174</v>
      </c>
    </row>
    <row r="269" spans="1:4" x14ac:dyDescent="0.75">
      <c r="A269" s="3" t="s">
        <v>260</v>
      </c>
      <c r="B269" s="3" t="s">
        <v>52</v>
      </c>
      <c r="C269" s="3"/>
      <c r="D269" s="3">
        <f>COUNTIF(Flights!$K$2:$K$2331,A269)</f>
        <v>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2"/>
  <sheetViews>
    <sheetView workbookViewId="0"/>
  </sheetViews>
  <sheetFormatPr defaultRowHeight="14.75" x14ac:dyDescent="0.75"/>
  <cols>
    <col min="1" max="1" width="110" customWidth="1"/>
  </cols>
  <sheetData>
    <row r="1" spans="1:1" x14ac:dyDescent="0.75">
      <c r="A1" s="6" t="s">
        <v>2438</v>
      </c>
    </row>
    <row r="2" spans="1:1" x14ac:dyDescent="0.75">
      <c r="A2" s="8" t="s">
        <v>2439</v>
      </c>
    </row>
    <row r="3" spans="1:1" x14ac:dyDescent="0.75">
      <c r="A3" s="8" t="s">
        <v>2440</v>
      </c>
    </row>
    <row r="4" spans="1:1" x14ac:dyDescent="0.75">
      <c r="A4" s="8" t="s">
        <v>2441</v>
      </c>
    </row>
    <row r="5" spans="1:1" x14ac:dyDescent="0.75">
      <c r="A5" s="8"/>
    </row>
    <row r="6" spans="1:1" x14ac:dyDescent="0.75">
      <c r="A6" s="6" t="s">
        <v>2442</v>
      </c>
    </row>
    <row r="7" spans="1:1" x14ac:dyDescent="0.75">
      <c r="A7" s="8" t="s">
        <v>2443</v>
      </c>
    </row>
    <row r="8" spans="1:1" x14ac:dyDescent="0.75">
      <c r="A8" s="8" t="s">
        <v>2444</v>
      </c>
    </row>
    <row r="9" spans="1:1" x14ac:dyDescent="0.75">
      <c r="A9" s="8" t="s">
        <v>2445</v>
      </c>
    </row>
    <row r="10" spans="1:1" x14ac:dyDescent="0.75">
      <c r="A10" s="8" t="s">
        <v>2446</v>
      </c>
    </row>
    <row r="11" spans="1:1" x14ac:dyDescent="0.75">
      <c r="A11" s="8" t="s">
        <v>2447</v>
      </c>
    </row>
    <row r="12" spans="1:1" x14ac:dyDescent="0.75">
      <c r="A12" s="8" t="s">
        <v>2448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Flights</vt:lpstr>
      <vt:lpstr>Summary</vt:lpstr>
      <vt:lpstr>Fleet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Ajesh Rajan</cp:lastModifiedBy>
  <dcterms:created xsi:type="dcterms:W3CDTF">2026-09-27T10:13:20Z</dcterms:created>
  <dcterms:modified xsi:type="dcterms:W3CDTF">2026-09-27T10:20:20Z</dcterms:modified>
</cp:coreProperties>
</file>